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 firstSheet="5" activeTab="5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18" r:id="rId5"/>
    <sheet name="Nodes" sheetId="19" r:id="rId6"/>
    <sheet name="On-Ramps" sheetId="20" r:id="rId7"/>
    <sheet name="Off-Ramp" sheetId="22" r:id="rId8"/>
    <sheet name="Aggregated_Data" sheetId="2" r:id="rId9"/>
    <sheet name="IC_Miles" sheetId="3" r:id="rId10"/>
    <sheet name="Input_Conf" sheetId="5" r:id="rId11"/>
    <sheet name="Route_Decisions_Conf" sheetId="6" r:id="rId12"/>
    <sheet name="Comp_Conf" sheetId="7" r:id="rId13"/>
    <sheet name="Incidents_Conf" sheetId="9" r:id="rId14"/>
    <sheet name="DC_Conf" sheetId="10" r:id="rId15"/>
    <sheet name="FCD_Conf" sheetId="11" r:id="rId16"/>
    <sheet name="VSL_Conf" sheetId="13" r:id="rId17"/>
    <sheet name="RM_Conf" sheetId="14" r:id="rId18"/>
    <sheet name="PRD_Conf" sheetId="15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82" i="18" l="1"/>
  <c r="AN182" i="18"/>
  <c r="AO182" i="18"/>
  <c r="AP182" i="18"/>
  <c r="AQ182" i="18"/>
  <c r="AR182" i="18"/>
  <c r="AS182" i="18"/>
  <c r="AT182" i="18"/>
  <c r="AL182" i="18"/>
  <c r="AK182" i="18"/>
  <c r="AJ182" i="18"/>
  <c r="AI182" i="18"/>
  <c r="AH182" i="18"/>
  <c r="AG182" i="18"/>
  <c r="AF182" i="18"/>
  <c r="BT4" i="19"/>
  <c r="BT5" i="19"/>
  <c r="BT6" i="19"/>
  <c r="BT7" i="19"/>
  <c r="BT8" i="19"/>
  <c r="BT9" i="19"/>
  <c r="BT10" i="19"/>
  <c r="BT11" i="19"/>
  <c r="BT12" i="19"/>
  <c r="BT13" i="19"/>
  <c r="BT14" i="19"/>
  <c r="BT15" i="19"/>
  <c r="BT16" i="19"/>
  <c r="BT17" i="19"/>
  <c r="BT18" i="19"/>
  <c r="BT19" i="19"/>
  <c r="BT20" i="19"/>
  <c r="BT21" i="19"/>
  <c r="BT22" i="19"/>
  <c r="BT23" i="19"/>
  <c r="BT24" i="19"/>
  <c r="BT25" i="19"/>
  <c r="BT26" i="19"/>
  <c r="BT27" i="19"/>
  <c r="BT28" i="19"/>
  <c r="BT29" i="19"/>
  <c r="BT30" i="19"/>
  <c r="BT31" i="19"/>
  <c r="BT32" i="19"/>
  <c r="BT33" i="19"/>
  <c r="BT34" i="19"/>
  <c r="BT35" i="19"/>
  <c r="BT36" i="19"/>
  <c r="BT37" i="19"/>
  <c r="BT38" i="19"/>
  <c r="BT39" i="19"/>
  <c r="BT40" i="19"/>
  <c r="BT41" i="19"/>
  <c r="BT42" i="19"/>
  <c r="BT43" i="19"/>
  <c r="BT44" i="19"/>
  <c r="BT45" i="19"/>
  <c r="BT46" i="19"/>
  <c r="BT47" i="19"/>
  <c r="BT48" i="19"/>
  <c r="BT49" i="19"/>
  <c r="BT50" i="19"/>
  <c r="BT51" i="19"/>
  <c r="BT52" i="19"/>
  <c r="BT53" i="19"/>
  <c r="BT54" i="19"/>
  <c r="BT55" i="19"/>
  <c r="BT56" i="19"/>
  <c r="BT57" i="19"/>
  <c r="BT58" i="19"/>
  <c r="BT59" i="19"/>
  <c r="BT60" i="19"/>
  <c r="BT61" i="19"/>
  <c r="BT62" i="19"/>
  <c r="BT63" i="19"/>
  <c r="BT64" i="19"/>
  <c r="BT65" i="19"/>
  <c r="BT66" i="19"/>
  <c r="BT67" i="19"/>
  <c r="BT68" i="19"/>
  <c r="BT69" i="19"/>
  <c r="BT70" i="19"/>
  <c r="BT71" i="19"/>
  <c r="BT72" i="19"/>
  <c r="BT73" i="19"/>
  <c r="BT74" i="19"/>
  <c r="BT75" i="19"/>
  <c r="BT76" i="19"/>
  <c r="BT77" i="19"/>
  <c r="BT78" i="19"/>
  <c r="BT79" i="19"/>
  <c r="BT80" i="19"/>
  <c r="BT81" i="19"/>
  <c r="BT82" i="19"/>
  <c r="BT83" i="19"/>
  <c r="BT84" i="19"/>
  <c r="BT85" i="19"/>
  <c r="BT86" i="19"/>
  <c r="BT87" i="19"/>
  <c r="BT88" i="19"/>
  <c r="BT89" i="19"/>
  <c r="BT90" i="19"/>
  <c r="BT91" i="19"/>
  <c r="BT92" i="19"/>
  <c r="BT93" i="19"/>
  <c r="BT94" i="19"/>
  <c r="BT95" i="19"/>
  <c r="BT96" i="19"/>
  <c r="BT97" i="19"/>
  <c r="BT98" i="19"/>
  <c r="BT99" i="19"/>
  <c r="BT100" i="19"/>
  <c r="BT101" i="19"/>
  <c r="BT102" i="19"/>
  <c r="BT103" i="19"/>
  <c r="BT104" i="19"/>
  <c r="BT105" i="19"/>
  <c r="BT106" i="19"/>
  <c r="BT107" i="19"/>
  <c r="BT108" i="19"/>
  <c r="BT109" i="19"/>
  <c r="BT110" i="19"/>
  <c r="BT111" i="19"/>
  <c r="BT112" i="19"/>
  <c r="BT113" i="19"/>
  <c r="BT114" i="19"/>
  <c r="BT115" i="19"/>
  <c r="BT116" i="19"/>
  <c r="BT117" i="19"/>
  <c r="BT118" i="19"/>
  <c r="BT119" i="19"/>
  <c r="BT120" i="19"/>
  <c r="BT121" i="19"/>
  <c r="BT122" i="19"/>
  <c r="BT123" i="19"/>
  <c r="BT124" i="19"/>
  <c r="BT125" i="19"/>
  <c r="BT126" i="19"/>
  <c r="BT127" i="19"/>
  <c r="BT128" i="19"/>
  <c r="BT129" i="19"/>
  <c r="BT130" i="19"/>
  <c r="BT131" i="19"/>
  <c r="BT132" i="19"/>
  <c r="BT133" i="19"/>
  <c r="BT134" i="19"/>
  <c r="BT135" i="19"/>
  <c r="BT136" i="19"/>
  <c r="BT137" i="19"/>
  <c r="BT138" i="19"/>
  <c r="BT139" i="19"/>
  <c r="BT140" i="19"/>
  <c r="BT141" i="19"/>
  <c r="BT142" i="19"/>
  <c r="BT143" i="19"/>
  <c r="BT144" i="19"/>
  <c r="BT145" i="19"/>
  <c r="BT146" i="19"/>
  <c r="BT147" i="19"/>
  <c r="BT148" i="19"/>
  <c r="BT149" i="19"/>
  <c r="BT150" i="19"/>
  <c r="BT151" i="19"/>
  <c r="BT152" i="19"/>
  <c r="BT153" i="19"/>
  <c r="BT154" i="19"/>
  <c r="BT155" i="19"/>
  <c r="BT156" i="19"/>
  <c r="BT157" i="19"/>
  <c r="BT158" i="19"/>
  <c r="BT159" i="19"/>
  <c r="BT160" i="19"/>
  <c r="BT161" i="19"/>
  <c r="BT162" i="19"/>
  <c r="BT163" i="19"/>
  <c r="BT164" i="19"/>
  <c r="BT165" i="19"/>
  <c r="BT166" i="19"/>
  <c r="BT167" i="19"/>
  <c r="BT168" i="19"/>
  <c r="BT169" i="19"/>
  <c r="BT170" i="19"/>
  <c r="BT171" i="19"/>
  <c r="BT172" i="19"/>
  <c r="BT173" i="19"/>
  <c r="BT174" i="19"/>
  <c r="BT175" i="19"/>
  <c r="BT176" i="19"/>
  <c r="BT177" i="19"/>
  <c r="BT178" i="19"/>
  <c r="BT179" i="19"/>
  <c r="BT180" i="19"/>
  <c r="BT181" i="19"/>
  <c r="BT182" i="19"/>
  <c r="BT3" i="19"/>
  <c r="BS4" i="19"/>
  <c r="BS5" i="19"/>
  <c r="BS3" i="19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M4" i="22" l="1"/>
  <c r="N4" i="22"/>
  <c r="O4" i="22"/>
  <c r="R4" i="22"/>
  <c r="S4" i="22"/>
  <c r="T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Y4" i="22"/>
  <c r="Y5" i="22" s="1"/>
  <c r="Y6" i="22" s="1"/>
  <c r="Y7" i="22" s="1"/>
  <c r="Y8" i="22" s="1"/>
  <c r="Y9" i="22" s="1"/>
  <c r="Y10" i="22" s="1"/>
  <c r="Y11" i="22" s="1"/>
  <c r="Y12" i="22" s="1"/>
  <c r="Y13" i="22" s="1"/>
  <c r="Y14" i="22" s="1"/>
  <c r="Y15" i="22" s="1"/>
  <c r="Y16" i="22" s="1"/>
  <c r="Y17" i="22" s="1"/>
  <c r="Y18" i="22" s="1"/>
  <c r="Y19" i="22" s="1"/>
  <c r="Y20" i="22" s="1"/>
  <c r="Y21" i="22" s="1"/>
  <c r="Y22" i="22" s="1"/>
  <c r="Y23" i="22" s="1"/>
  <c r="Y24" i="22" s="1"/>
  <c r="Y25" i="22" s="1"/>
  <c r="Y26" i="22" s="1"/>
  <c r="Y27" i="22" s="1"/>
  <c r="Y28" i="22" s="1"/>
  <c r="Y29" i="22" s="1"/>
  <c r="Y30" i="22" s="1"/>
  <c r="Y31" i="22" s="1"/>
  <c r="Y32" i="22" s="1"/>
  <c r="Y33" i="22" s="1"/>
  <c r="Y34" i="22" s="1"/>
  <c r="Y35" i="22" s="1"/>
  <c r="Y36" i="22" s="1"/>
  <c r="Y37" i="22" s="1"/>
  <c r="Y38" i="22" s="1"/>
  <c r="Y39" i="22" s="1"/>
  <c r="Y40" i="22" s="1"/>
  <c r="Y41" i="22" s="1"/>
  <c r="Y42" i="22" s="1"/>
  <c r="Y43" i="22" s="1"/>
  <c r="Y44" i="22" s="1"/>
  <c r="Y45" i="22" s="1"/>
  <c r="Y46" i="22" s="1"/>
  <c r="Y47" i="22" s="1"/>
  <c r="Y48" i="22" s="1"/>
  <c r="Y49" i="22" s="1"/>
  <c r="Y50" i="22" s="1"/>
  <c r="Y51" i="22" s="1"/>
  <c r="Y52" i="22" s="1"/>
  <c r="Y53" i="22" s="1"/>
  <c r="Y54" i="22" s="1"/>
  <c r="Y55" i="22" s="1"/>
  <c r="Y56" i="22" s="1"/>
  <c r="Y57" i="22" s="1"/>
  <c r="Y58" i="22" s="1"/>
  <c r="Y59" i="22" s="1"/>
  <c r="Y60" i="22" s="1"/>
  <c r="Y61" i="22" s="1"/>
  <c r="Y62" i="22" s="1"/>
  <c r="Y63" i="22" s="1"/>
  <c r="Y64" i="22" s="1"/>
  <c r="Y65" i="22" s="1"/>
  <c r="Y66" i="22" s="1"/>
  <c r="Y67" i="22" s="1"/>
  <c r="Y68" i="22" s="1"/>
  <c r="Y69" i="22" s="1"/>
  <c r="Y70" i="22" s="1"/>
  <c r="Y71" i="22" s="1"/>
  <c r="Y72" i="22" s="1"/>
  <c r="Y73" i="22" s="1"/>
  <c r="Y74" i="22" s="1"/>
  <c r="Y75" i="22" s="1"/>
  <c r="Y76" i="22" s="1"/>
  <c r="Y77" i="22" s="1"/>
  <c r="Y78" i="22" s="1"/>
  <c r="Y79" i="22" s="1"/>
  <c r="Y80" i="22" s="1"/>
  <c r="Y81" i="22" s="1"/>
  <c r="Y82" i="22" s="1"/>
  <c r="Y83" i="22" s="1"/>
  <c r="Y84" i="22" s="1"/>
  <c r="Y85" i="22" s="1"/>
  <c r="Y86" i="22" s="1"/>
  <c r="Y87" i="22" s="1"/>
  <c r="Y88" i="22" s="1"/>
  <c r="Y89" i="22" s="1"/>
  <c r="Y90" i="22" s="1"/>
  <c r="Y91" i="22" s="1"/>
  <c r="Y92" i="22" s="1"/>
  <c r="Y93" i="22" s="1"/>
  <c r="Y94" i="22" s="1"/>
  <c r="Y95" i="22" s="1"/>
  <c r="Y96" i="22" s="1"/>
  <c r="Y97" i="22" s="1"/>
  <c r="Y98" i="22" s="1"/>
  <c r="Y99" i="22" s="1"/>
  <c r="Y100" i="22" s="1"/>
  <c r="Y101" i="22" s="1"/>
  <c r="Y102" i="22" s="1"/>
  <c r="Y103" i="22" s="1"/>
  <c r="Y104" i="22" s="1"/>
  <c r="Y105" i="22" s="1"/>
  <c r="Y106" i="22" s="1"/>
  <c r="Y107" i="22" s="1"/>
  <c r="Y108" i="22" s="1"/>
  <c r="Y109" i="22" s="1"/>
  <c r="Y110" i="22" s="1"/>
  <c r="Y111" i="22" s="1"/>
  <c r="Y112" i="22" s="1"/>
  <c r="Y113" i="22" s="1"/>
  <c r="Y114" i="22" s="1"/>
  <c r="Y115" i="22" s="1"/>
  <c r="Y116" i="22" s="1"/>
  <c r="Y117" i="22" s="1"/>
  <c r="Y118" i="22" s="1"/>
  <c r="Y119" i="22" s="1"/>
  <c r="Y120" i="22" s="1"/>
  <c r="Y121" i="22" s="1"/>
  <c r="Y122" i="22" s="1"/>
  <c r="Y123" i="22" s="1"/>
  <c r="Y124" i="22" s="1"/>
  <c r="Y125" i="22" s="1"/>
  <c r="Y126" i="22" s="1"/>
  <c r="Y127" i="22" s="1"/>
  <c r="Y128" i="22" s="1"/>
  <c r="Y129" i="22" s="1"/>
  <c r="Y130" i="22" s="1"/>
  <c r="Y131" i="22" s="1"/>
  <c r="Y132" i="22" s="1"/>
  <c r="Y133" i="22" s="1"/>
  <c r="Y134" i="22" s="1"/>
  <c r="Y135" i="22" s="1"/>
  <c r="Y136" i="22" s="1"/>
  <c r="Y137" i="22" s="1"/>
  <c r="Y138" i="22" s="1"/>
  <c r="Y139" i="22" s="1"/>
  <c r="Y140" i="22" s="1"/>
  <c r="Y141" i="22" s="1"/>
  <c r="Y142" i="22" s="1"/>
  <c r="Y143" i="22" s="1"/>
  <c r="Y144" i="22" s="1"/>
  <c r="Y145" i="22" s="1"/>
  <c r="Y146" i="22" s="1"/>
  <c r="Y147" i="22" s="1"/>
  <c r="Y148" i="22" s="1"/>
  <c r="Y149" i="22" s="1"/>
  <c r="Y150" i="22" s="1"/>
  <c r="Y151" i="22" s="1"/>
  <c r="Y152" i="22" s="1"/>
  <c r="Y153" i="22" s="1"/>
  <c r="Y154" i="22" s="1"/>
  <c r="Y155" i="22" s="1"/>
  <c r="Y156" i="22" s="1"/>
  <c r="Y157" i="22" s="1"/>
  <c r="Y158" i="22" s="1"/>
  <c r="Y159" i="22" s="1"/>
  <c r="Y160" i="22" s="1"/>
  <c r="Y161" i="22" s="1"/>
  <c r="Y162" i="22" s="1"/>
  <c r="Y163" i="22" s="1"/>
  <c r="Y164" i="22" s="1"/>
  <c r="Y165" i="22" s="1"/>
  <c r="Y166" i="22" s="1"/>
  <c r="Y167" i="22" s="1"/>
  <c r="Y168" i="22" s="1"/>
  <c r="Y169" i="22" s="1"/>
  <c r="Y170" i="22" s="1"/>
  <c r="Y171" i="22" s="1"/>
  <c r="Y172" i="22" s="1"/>
  <c r="Y173" i="22" s="1"/>
  <c r="Y174" i="22" s="1"/>
  <c r="Y175" i="22" s="1"/>
  <c r="Y176" i="22" s="1"/>
  <c r="Y177" i="22" s="1"/>
  <c r="Y178" i="22" s="1"/>
  <c r="Y179" i="22" s="1"/>
  <c r="Y180" i="22" s="1"/>
  <c r="Y181" i="22" s="1"/>
  <c r="Y182" i="22" s="1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AA4" i="22"/>
  <c r="AA5" i="22" s="1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L4" i="22"/>
  <c r="R3" i="18" l="1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Q3" i="18"/>
  <c r="BM182" i="20" l="1"/>
  <c r="DC182" i="18"/>
  <c r="AN3" i="19"/>
  <c r="AL3" i="19"/>
  <c r="AK3" i="19"/>
  <c r="U4" i="22" s="1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AT4" i="18" l="1"/>
  <c r="CA3" i="19"/>
  <c r="BZ3" i="19"/>
  <c r="AR4" i="18" s="1"/>
  <c r="BR3" i="19"/>
  <c r="AI4" i="18" s="1"/>
  <c r="BP3" i="19"/>
  <c r="AG4" i="18" s="1"/>
  <c r="BN182" i="19" l="1"/>
  <c r="BL182" i="19"/>
  <c r="BD182" i="19"/>
  <c r="BB182" i="19"/>
  <c r="BN3" i="19"/>
  <c r="BL3" i="19"/>
  <c r="BB3" i="19"/>
  <c r="BD3" i="19"/>
  <c r="BQ3" i="19"/>
  <c r="BU3" i="19"/>
  <c r="BV3" i="19"/>
  <c r="AN4" i="18" s="1"/>
  <c r="BW3" i="19"/>
  <c r="BX3" i="19"/>
  <c r="BY3" i="19"/>
  <c r="BO3" i="19"/>
  <c r="AF4" i="18" s="1"/>
  <c r="BB4" i="19" l="1"/>
  <c r="C3" i="18"/>
  <c r="D3" i="18"/>
  <c r="Q3" i="19" s="1"/>
  <c r="D3" i="19" s="1"/>
  <c r="AQ3" i="19" s="1"/>
  <c r="AQ17" i="19" s="1"/>
  <c r="E3" i="18"/>
  <c r="F3" i="18"/>
  <c r="G3" i="18"/>
  <c r="H3" i="18"/>
  <c r="I3" i="18"/>
  <c r="J3" i="18"/>
  <c r="K3" i="18"/>
  <c r="L3" i="18"/>
  <c r="M3" i="18"/>
  <c r="N3" i="18"/>
  <c r="P3" i="18"/>
  <c r="B3" i="18"/>
  <c r="DD171" i="18"/>
  <c r="DE171" i="18"/>
  <c r="DF171" i="18"/>
  <c r="DG171" i="18"/>
  <c r="DH171" i="18"/>
  <c r="DI171" i="18"/>
  <c r="DJ171" i="18"/>
  <c r="DK171" i="18"/>
  <c r="DL171" i="18"/>
  <c r="DM171" i="18"/>
  <c r="DN171" i="18"/>
  <c r="DO171" i="18"/>
  <c r="DP171" i="18"/>
  <c r="DQ171" i="18"/>
  <c r="DD159" i="18"/>
  <c r="DE159" i="18"/>
  <c r="DF159" i="18"/>
  <c r="DG159" i="18"/>
  <c r="DH159" i="18"/>
  <c r="DI159" i="18"/>
  <c r="DJ159" i="18"/>
  <c r="DK159" i="18"/>
  <c r="DL159" i="18"/>
  <c r="DM159" i="18"/>
  <c r="DN159" i="18"/>
  <c r="DO159" i="18"/>
  <c r="DP159" i="18"/>
  <c r="DQ159" i="18"/>
  <c r="DD147" i="18"/>
  <c r="DE147" i="18"/>
  <c r="DF147" i="18"/>
  <c r="DG147" i="18"/>
  <c r="DH147" i="18"/>
  <c r="DI147" i="18"/>
  <c r="DJ147" i="18"/>
  <c r="DK147" i="18"/>
  <c r="DL147" i="18"/>
  <c r="DM147" i="18"/>
  <c r="DN147" i="18"/>
  <c r="DO147" i="18"/>
  <c r="DP147" i="18"/>
  <c r="DQ147" i="18"/>
  <c r="DD135" i="18"/>
  <c r="DE135" i="18"/>
  <c r="DF135" i="18"/>
  <c r="DG135" i="18"/>
  <c r="DH135" i="18"/>
  <c r="DI135" i="18"/>
  <c r="DJ135" i="18"/>
  <c r="DK135" i="18"/>
  <c r="DL135" i="18"/>
  <c r="DM135" i="18"/>
  <c r="DN135" i="18"/>
  <c r="DO135" i="18"/>
  <c r="DP135" i="18"/>
  <c r="DQ135" i="18"/>
  <c r="DD123" i="18"/>
  <c r="DE123" i="18"/>
  <c r="DF123" i="18"/>
  <c r="DG123" i="18"/>
  <c r="DH123" i="18"/>
  <c r="DI123" i="18"/>
  <c r="DJ123" i="18"/>
  <c r="DK123" i="18"/>
  <c r="DL123" i="18"/>
  <c r="DM123" i="18"/>
  <c r="DN123" i="18"/>
  <c r="DO123" i="18"/>
  <c r="DP123" i="18"/>
  <c r="DQ123" i="18"/>
  <c r="DD111" i="18"/>
  <c r="DE111" i="18"/>
  <c r="DF111" i="18"/>
  <c r="DG111" i="18"/>
  <c r="DH111" i="18"/>
  <c r="DI111" i="18"/>
  <c r="DJ111" i="18"/>
  <c r="DK111" i="18"/>
  <c r="DL111" i="18"/>
  <c r="DM111" i="18"/>
  <c r="DN111" i="18"/>
  <c r="DO111" i="18"/>
  <c r="DP111" i="18"/>
  <c r="DQ111" i="18"/>
  <c r="DD99" i="18"/>
  <c r="DE99" i="18"/>
  <c r="DF99" i="18"/>
  <c r="DG99" i="18"/>
  <c r="DH99" i="18"/>
  <c r="DI99" i="18"/>
  <c r="DJ99" i="18"/>
  <c r="DK99" i="18"/>
  <c r="DL99" i="18"/>
  <c r="DM99" i="18"/>
  <c r="DN99" i="18"/>
  <c r="DO99" i="18"/>
  <c r="DP99" i="18"/>
  <c r="DQ99" i="18"/>
  <c r="DD87" i="18"/>
  <c r="DE87" i="18"/>
  <c r="DF87" i="18"/>
  <c r="DG87" i="18"/>
  <c r="DH87" i="18"/>
  <c r="DI87" i="18"/>
  <c r="DJ87" i="18"/>
  <c r="DK87" i="18"/>
  <c r="DL87" i="18"/>
  <c r="DM87" i="18"/>
  <c r="DN87" i="18"/>
  <c r="DO87" i="18"/>
  <c r="DP87" i="18"/>
  <c r="DQ87" i="18"/>
  <c r="DD75" i="18"/>
  <c r="DE75" i="18"/>
  <c r="DF75" i="18"/>
  <c r="DG75" i="18"/>
  <c r="DH75" i="18"/>
  <c r="DI75" i="18"/>
  <c r="DJ75" i="18"/>
  <c r="DK75" i="18"/>
  <c r="DL75" i="18"/>
  <c r="DM75" i="18"/>
  <c r="DN75" i="18"/>
  <c r="DO75" i="18"/>
  <c r="DP75" i="18"/>
  <c r="DQ75" i="18"/>
  <c r="DD63" i="18"/>
  <c r="DE63" i="18"/>
  <c r="DF63" i="18"/>
  <c r="DG63" i="18"/>
  <c r="DH63" i="18"/>
  <c r="DI63" i="18"/>
  <c r="DJ63" i="18"/>
  <c r="DK63" i="18"/>
  <c r="DL63" i="18"/>
  <c r="DM63" i="18"/>
  <c r="DN63" i="18"/>
  <c r="DO63" i="18"/>
  <c r="DP63" i="18"/>
  <c r="DQ63" i="18"/>
  <c r="DD51" i="18"/>
  <c r="DE51" i="18"/>
  <c r="DF51" i="18"/>
  <c r="DG51" i="18"/>
  <c r="DH51" i="18"/>
  <c r="DI51" i="18"/>
  <c r="DJ51" i="18"/>
  <c r="DK51" i="18"/>
  <c r="DL51" i="18"/>
  <c r="DM51" i="18"/>
  <c r="DN51" i="18"/>
  <c r="DO51" i="18"/>
  <c r="DP51" i="18"/>
  <c r="DQ51" i="18"/>
  <c r="DD39" i="18"/>
  <c r="DE39" i="18"/>
  <c r="DF39" i="18"/>
  <c r="DG39" i="18"/>
  <c r="DH39" i="18"/>
  <c r="DI39" i="18"/>
  <c r="DJ39" i="18"/>
  <c r="DK39" i="18"/>
  <c r="DL39" i="18"/>
  <c r="DM39" i="18"/>
  <c r="DN39" i="18"/>
  <c r="DO39" i="18"/>
  <c r="DP39" i="18"/>
  <c r="DQ39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C171" i="18"/>
  <c r="DC159" i="18"/>
  <c r="DC147" i="18"/>
  <c r="DC135" i="18"/>
  <c r="DC123" i="18"/>
  <c r="DC111" i="18"/>
  <c r="DC99" i="18"/>
  <c r="DC87" i="18"/>
  <c r="DC75" i="18"/>
  <c r="DC63" i="18"/>
  <c r="DC51" i="18"/>
  <c r="DC39" i="18"/>
  <c r="DC27" i="18"/>
  <c r="DD15" i="18"/>
  <c r="DE15" i="18"/>
  <c r="DF15" i="18"/>
  <c r="DG15" i="18"/>
  <c r="DH15" i="18"/>
  <c r="DI15" i="18"/>
  <c r="DJ15" i="18"/>
  <c r="DK15" i="18"/>
  <c r="DL15" i="18"/>
  <c r="DM15" i="18"/>
  <c r="DN15" i="18"/>
  <c r="DO15" i="18"/>
  <c r="DP15" i="18"/>
  <c r="DQ15" i="18"/>
  <c r="DC15" i="18"/>
  <c r="CO172" i="18"/>
  <c r="CP172" i="18"/>
  <c r="CQ172" i="18"/>
  <c r="CR172" i="18"/>
  <c r="CS172" i="18"/>
  <c r="CT172" i="18"/>
  <c r="CU172" i="18"/>
  <c r="CV172" i="18"/>
  <c r="CW172" i="18"/>
  <c r="CX172" i="18"/>
  <c r="CY172" i="18"/>
  <c r="CZ172" i="18"/>
  <c r="DA172" i="18"/>
  <c r="DB172" i="18"/>
  <c r="CO173" i="18"/>
  <c r="CP173" i="18"/>
  <c r="CQ173" i="18"/>
  <c r="CR173" i="18"/>
  <c r="CS173" i="18"/>
  <c r="CT173" i="18"/>
  <c r="CU173" i="18"/>
  <c r="CV173" i="18"/>
  <c r="CW173" i="18"/>
  <c r="CX173" i="18"/>
  <c r="CY173" i="18"/>
  <c r="CZ173" i="18"/>
  <c r="DA173" i="18"/>
  <c r="DB173" i="18"/>
  <c r="CO174" i="18"/>
  <c r="CP174" i="18"/>
  <c r="CQ174" i="18"/>
  <c r="CR174" i="18"/>
  <c r="CS174" i="18"/>
  <c r="CT174" i="18"/>
  <c r="CU174" i="18"/>
  <c r="CV174" i="18"/>
  <c r="CW174" i="18"/>
  <c r="CX174" i="18"/>
  <c r="CY174" i="18"/>
  <c r="CZ174" i="18"/>
  <c r="DA174" i="18"/>
  <c r="DB174" i="18"/>
  <c r="CO175" i="18"/>
  <c r="CP175" i="18"/>
  <c r="CQ175" i="18"/>
  <c r="CR175" i="18"/>
  <c r="CS175" i="18"/>
  <c r="CT175" i="18"/>
  <c r="CU175" i="18"/>
  <c r="CV175" i="18"/>
  <c r="CW175" i="18"/>
  <c r="CX175" i="18"/>
  <c r="CY175" i="18"/>
  <c r="CZ175" i="18"/>
  <c r="DA175" i="18"/>
  <c r="DB175" i="18"/>
  <c r="CO176" i="18"/>
  <c r="CP176" i="18"/>
  <c r="CQ176" i="18"/>
  <c r="CR176" i="18"/>
  <c r="CS176" i="18"/>
  <c r="CT176" i="18"/>
  <c r="CU176" i="18"/>
  <c r="CV176" i="18"/>
  <c r="CW176" i="18"/>
  <c r="CX176" i="18"/>
  <c r="CY176" i="18"/>
  <c r="CZ176" i="18"/>
  <c r="DA176" i="18"/>
  <c r="DB176" i="18"/>
  <c r="CO177" i="18"/>
  <c r="CP177" i="18"/>
  <c r="CQ177" i="18"/>
  <c r="CR177" i="18"/>
  <c r="CS177" i="18"/>
  <c r="CT177" i="18"/>
  <c r="CU177" i="18"/>
  <c r="CV177" i="18"/>
  <c r="CW177" i="18"/>
  <c r="CX177" i="18"/>
  <c r="CY177" i="18"/>
  <c r="CZ177" i="18"/>
  <c r="DA177" i="18"/>
  <c r="DB177" i="18"/>
  <c r="CO178" i="18"/>
  <c r="CP178" i="18"/>
  <c r="CQ178" i="18"/>
  <c r="CR178" i="18"/>
  <c r="CS178" i="18"/>
  <c r="CT178" i="18"/>
  <c r="CU178" i="18"/>
  <c r="CV178" i="18"/>
  <c r="CW178" i="18"/>
  <c r="CX178" i="18"/>
  <c r="CY178" i="18"/>
  <c r="CZ178" i="18"/>
  <c r="DA178" i="18"/>
  <c r="DB178" i="18"/>
  <c r="CO179" i="18"/>
  <c r="CP179" i="18"/>
  <c r="CQ179" i="18"/>
  <c r="CR179" i="18"/>
  <c r="CS179" i="18"/>
  <c r="CT179" i="18"/>
  <c r="CU179" i="18"/>
  <c r="CV179" i="18"/>
  <c r="CW179" i="18"/>
  <c r="CX179" i="18"/>
  <c r="CY179" i="18"/>
  <c r="CZ179" i="18"/>
  <c r="DA179" i="18"/>
  <c r="DB179" i="18"/>
  <c r="CO180" i="18"/>
  <c r="CP180" i="18"/>
  <c r="CQ180" i="18"/>
  <c r="CR180" i="18"/>
  <c r="CS180" i="18"/>
  <c r="CT180" i="18"/>
  <c r="CU180" i="18"/>
  <c r="CV180" i="18"/>
  <c r="CW180" i="18"/>
  <c r="CX180" i="18"/>
  <c r="CY180" i="18"/>
  <c r="CZ180" i="18"/>
  <c r="DA180" i="18"/>
  <c r="DB180" i="18"/>
  <c r="CO181" i="18"/>
  <c r="CP181" i="18"/>
  <c r="CQ181" i="18"/>
  <c r="CR181" i="18"/>
  <c r="CS181" i="18"/>
  <c r="CT181" i="18"/>
  <c r="CU181" i="18"/>
  <c r="CV181" i="18"/>
  <c r="CW181" i="18"/>
  <c r="CX181" i="18"/>
  <c r="CY181" i="18"/>
  <c r="CZ181" i="18"/>
  <c r="DA181" i="18"/>
  <c r="DB181" i="18"/>
  <c r="CO182" i="18"/>
  <c r="CP182" i="18"/>
  <c r="CQ182" i="18"/>
  <c r="CR182" i="18"/>
  <c r="CS182" i="18"/>
  <c r="CT182" i="18"/>
  <c r="CU182" i="18"/>
  <c r="CV182" i="18"/>
  <c r="CW182" i="18"/>
  <c r="CX182" i="18"/>
  <c r="CY182" i="18"/>
  <c r="CZ182" i="18"/>
  <c r="DA182" i="18"/>
  <c r="DB182" i="18"/>
  <c r="CN173" i="18"/>
  <c r="CN174" i="18"/>
  <c r="CN175" i="18"/>
  <c r="CN176" i="18"/>
  <c r="CN177" i="18"/>
  <c r="CN178" i="18"/>
  <c r="CN179" i="18"/>
  <c r="CN180" i="18"/>
  <c r="CN181" i="18"/>
  <c r="CN182" i="18"/>
  <c r="CN172" i="18"/>
  <c r="CO160" i="18"/>
  <c r="CP160" i="18"/>
  <c r="CQ160" i="18"/>
  <c r="CR160" i="18"/>
  <c r="CS160" i="18"/>
  <c r="CT160" i="18"/>
  <c r="CU160" i="18"/>
  <c r="CV160" i="18"/>
  <c r="CW160" i="18"/>
  <c r="CX160" i="18"/>
  <c r="CY160" i="18"/>
  <c r="CZ160" i="18"/>
  <c r="DA160" i="18"/>
  <c r="DB160" i="18"/>
  <c r="CO161" i="18"/>
  <c r="CP161" i="18"/>
  <c r="CQ161" i="18"/>
  <c r="CR161" i="18"/>
  <c r="CS161" i="18"/>
  <c r="CT161" i="18"/>
  <c r="CU161" i="18"/>
  <c r="CV161" i="18"/>
  <c r="CW161" i="18"/>
  <c r="CX161" i="18"/>
  <c r="CY161" i="18"/>
  <c r="CZ161" i="18"/>
  <c r="DA161" i="18"/>
  <c r="DB161" i="18"/>
  <c r="CO162" i="18"/>
  <c r="CP162" i="18"/>
  <c r="CQ162" i="18"/>
  <c r="CR162" i="18"/>
  <c r="CS162" i="18"/>
  <c r="CT162" i="18"/>
  <c r="CU162" i="18"/>
  <c r="CV162" i="18"/>
  <c r="CW162" i="18"/>
  <c r="CX162" i="18"/>
  <c r="CY162" i="18"/>
  <c r="CZ162" i="18"/>
  <c r="DA162" i="18"/>
  <c r="DB162" i="18"/>
  <c r="CO163" i="18"/>
  <c r="CP163" i="18"/>
  <c r="CQ163" i="18"/>
  <c r="CR163" i="18"/>
  <c r="CS163" i="18"/>
  <c r="CT163" i="18"/>
  <c r="CU163" i="18"/>
  <c r="CV163" i="18"/>
  <c r="CW163" i="18"/>
  <c r="CX163" i="18"/>
  <c r="CY163" i="18"/>
  <c r="CZ163" i="18"/>
  <c r="DA163" i="18"/>
  <c r="DB163" i="18"/>
  <c r="CO164" i="18"/>
  <c r="CP164" i="18"/>
  <c r="CQ164" i="18"/>
  <c r="CR164" i="18"/>
  <c r="CS164" i="18"/>
  <c r="CT164" i="18"/>
  <c r="CU164" i="18"/>
  <c r="CV164" i="18"/>
  <c r="CW164" i="18"/>
  <c r="CX164" i="18"/>
  <c r="CY164" i="18"/>
  <c r="CZ164" i="18"/>
  <c r="DA164" i="18"/>
  <c r="DB164" i="18"/>
  <c r="CO165" i="18"/>
  <c r="CP165" i="18"/>
  <c r="CQ165" i="18"/>
  <c r="CR165" i="18"/>
  <c r="CS165" i="18"/>
  <c r="CT165" i="18"/>
  <c r="CU165" i="18"/>
  <c r="CV165" i="18"/>
  <c r="CW165" i="18"/>
  <c r="CX165" i="18"/>
  <c r="CY165" i="18"/>
  <c r="CZ165" i="18"/>
  <c r="DA165" i="18"/>
  <c r="DB165" i="18"/>
  <c r="CO166" i="18"/>
  <c r="CP166" i="18"/>
  <c r="CQ166" i="18"/>
  <c r="CR166" i="18"/>
  <c r="CS166" i="18"/>
  <c r="CT166" i="18"/>
  <c r="CU166" i="18"/>
  <c r="CV166" i="18"/>
  <c r="CW166" i="18"/>
  <c r="CX166" i="18"/>
  <c r="CY166" i="18"/>
  <c r="CZ166" i="18"/>
  <c r="DA166" i="18"/>
  <c r="DB166" i="18"/>
  <c r="CO167" i="18"/>
  <c r="CP167" i="18"/>
  <c r="CQ167" i="18"/>
  <c r="CR167" i="18"/>
  <c r="CS167" i="18"/>
  <c r="CT167" i="18"/>
  <c r="CU167" i="18"/>
  <c r="CV167" i="18"/>
  <c r="CW167" i="18"/>
  <c r="CX167" i="18"/>
  <c r="CY167" i="18"/>
  <c r="CZ167" i="18"/>
  <c r="DA167" i="18"/>
  <c r="DB167" i="18"/>
  <c r="CO168" i="18"/>
  <c r="CP168" i="18"/>
  <c r="CQ168" i="18"/>
  <c r="CR168" i="18"/>
  <c r="CS168" i="18"/>
  <c r="CT168" i="18"/>
  <c r="CU168" i="18"/>
  <c r="CV168" i="18"/>
  <c r="CW168" i="18"/>
  <c r="CX168" i="18"/>
  <c r="CY168" i="18"/>
  <c r="CZ168" i="18"/>
  <c r="DA168" i="18"/>
  <c r="DB168" i="18"/>
  <c r="CO169" i="18"/>
  <c r="CP169" i="18"/>
  <c r="CQ169" i="18"/>
  <c r="CR169" i="18"/>
  <c r="CS169" i="18"/>
  <c r="CT169" i="18"/>
  <c r="CU169" i="18"/>
  <c r="CV169" i="18"/>
  <c r="CW169" i="18"/>
  <c r="CX169" i="18"/>
  <c r="CY169" i="18"/>
  <c r="CZ169" i="18"/>
  <c r="DA169" i="18"/>
  <c r="DB169" i="18"/>
  <c r="CO170" i="18"/>
  <c r="CP170" i="18"/>
  <c r="CQ170" i="18"/>
  <c r="CR170" i="18"/>
  <c r="CS170" i="18"/>
  <c r="CT170" i="18"/>
  <c r="CU170" i="18"/>
  <c r="CV170" i="18"/>
  <c r="CW170" i="18"/>
  <c r="CX170" i="18"/>
  <c r="CY170" i="18"/>
  <c r="CZ170" i="18"/>
  <c r="DA170" i="18"/>
  <c r="DB170" i="18"/>
  <c r="CN161" i="18"/>
  <c r="CN162" i="18"/>
  <c r="CN163" i="18"/>
  <c r="CN164" i="18"/>
  <c r="CN165" i="18"/>
  <c r="CN166" i="18"/>
  <c r="CN167" i="18"/>
  <c r="CN168" i="18"/>
  <c r="CN169" i="18"/>
  <c r="CN170" i="18"/>
  <c r="CN160" i="18"/>
  <c r="CO148" i="18"/>
  <c r="CP148" i="18"/>
  <c r="CQ148" i="18"/>
  <c r="CR148" i="18"/>
  <c r="CS148" i="18"/>
  <c r="CT148" i="18"/>
  <c r="CU148" i="18"/>
  <c r="CV148" i="18"/>
  <c r="CW148" i="18"/>
  <c r="CX148" i="18"/>
  <c r="CY148" i="18"/>
  <c r="CZ148" i="18"/>
  <c r="DA148" i="18"/>
  <c r="DB148" i="18"/>
  <c r="CO149" i="18"/>
  <c r="CP149" i="18"/>
  <c r="CQ149" i="18"/>
  <c r="CR149" i="18"/>
  <c r="CS149" i="18"/>
  <c r="CT149" i="18"/>
  <c r="CU149" i="18"/>
  <c r="CV149" i="18"/>
  <c r="CW149" i="18"/>
  <c r="CX149" i="18"/>
  <c r="CY149" i="18"/>
  <c r="CZ149" i="18"/>
  <c r="DA149" i="18"/>
  <c r="DB149" i="18"/>
  <c r="CO150" i="18"/>
  <c r="CP150" i="18"/>
  <c r="CQ150" i="18"/>
  <c r="CR150" i="18"/>
  <c r="CS150" i="18"/>
  <c r="CT150" i="18"/>
  <c r="CU150" i="18"/>
  <c r="CV150" i="18"/>
  <c r="CW150" i="18"/>
  <c r="CX150" i="18"/>
  <c r="CY150" i="18"/>
  <c r="CZ150" i="18"/>
  <c r="DA150" i="18"/>
  <c r="DB150" i="18"/>
  <c r="CO151" i="18"/>
  <c r="CP151" i="18"/>
  <c r="CQ151" i="18"/>
  <c r="CR151" i="18"/>
  <c r="CS151" i="18"/>
  <c r="CT151" i="18"/>
  <c r="CU151" i="18"/>
  <c r="CV151" i="18"/>
  <c r="CW151" i="18"/>
  <c r="CX151" i="18"/>
  <c r="CY151" i="18"/>
  <c r="CZ151" i="18"/>
  <c r="DA151" i="18"/>
  <c r="DB151" i="18"/>
  <c r="CO152" i="18"/>
  <c r="CP152" i="18"/>
  <c r="CQ152" i="18"/>
  <c r="CR152" i="18"/>
  <c r="CS152" i="18"/>
  <c r="CT152" i="18"/>
  <c r="CU152" i="18"/>
  <c r="CV152" i="18"/>
  <c r="CW152" i="18"/>
  <c r="CX152" i="18"/>
  <c r="CY152" i="18"/>
  <c r="CZ152" i="18"/>
  <c r="DA152" i="18"/>
  <c r="DB152" i="18"/>
  <c r="CO153" i="18"/>
  <c r="CP153" i="18"/>
  <c r="CQ153" i="18"/>
  <c r="CR153" i="18"/>
  <c r="CS153" i="18"/>
  <c r="CT153" i="18"/>
  <c r="CU153" i="18"/>
  <c r="CV153" i="18"/>
  <c r="CW153" i="18"/>
  <c r="CX153" i="18"/>
  <c r="CY153" i="18"/>
  <c r="CZ153" i="18"/>
  <c r="DA153" i="18"/>
  <c r="DB153" i="18"/>
  <c r="CO154" i="18"/>
  <c r="CP154" i="18"/>
  <c r="CQ154" i="18"/>
  <c r="CR154" i="18"/>
  <c r="CS154" i="18"/>
  <c r="CT154" i="18"/>
  <c r="CU154" i="18"/>
  <c r="CV154" i="18"/>
  <c r="CW154" i="18"/>
  <c r="CX154" i="18"/>
  <c r="CY154" i="18"/>
  <c r="CZ154" i="18"/>
  <c r="DA154" i="18"/>
  <c r="DB154" i="18"/>
  <c r="CO155" i="18"/>
  <c r="CP155" i="18"/>
  <c r="CQ155" i="18"/>
  <c r="CR155" i="18"/>
  <c r="CS155" i="18"/>
  <c r="CT155" i="18"/>
  <c r="CU155" i="18"/>
  <c r="CV155" i="18"/>
  <c r="CW155" i="18"/>
  <c r="CX155" i="18"/>
  <c r="CY155" i="18"/>
  <c r="CZ155" i="18"/>
  <c r="DA155" i="18"/>
  <c r="DB155" i="18"/>
  <c r="CO156" i="18"/>
  <c r="CP156" i="18"/>
  <c r="CQ156" i="18"/>
  <c r="CR156" i="18"/>
  <c r="CS156" i="18"/>
  <c r="CT156" i="18"/>
  <c r="CU156" i="18"/>
  <c r="CV156" i="18"/>
  <c r="CW156" i="18"/>
  <c r="CX156" i="18"/>
  <c r="CY156" i="18"/>
  <c r="CZ156" i="18"/>
  <c r="DA156" i="18"/>
  <c r="DB156" i="18"/>
  <c r="CO157" i="18"/>
  <c r="CP157" i="18"/>
  <c r="CQ157" i="18"/>
  <c r="CR157" i="18"/>
  <c r="CS157" i="18"/>
  <c r="CT157" i="18"/>
  <c r="CU157" i="18"/>
  <c r="CV157" i="18"/>
  <c r="CW157" i="18"/>
  <c r="CX157" i="18"/>
  <c r="CY157" i="18"/>
  <c r="CZ157" i="18"/>
  <c r="DA157" i="18"/>
  <c r="DB157" i="18"/>
  <c r="CO158" i="18"/>
  <c r="CP158" i="18"/>
  <c r="CQ158" i="18"/>
  <c r="CR158" i="18"/>
  <c r="CS158" i="18"/>
  <c r="CT158" i="18"/>
  <c r="CU158" i="18"/>
  <c r="CV158" i="18"/>
  <c r="CW158" i="18"/>
  <c r="CX158" i="18"/>
  <c r="CY158" i="18"/>
  <c r="CZ158" i="18"/>
  <c r="DA158" i="18"/>
  <c r="DB158" i="18"/>
  <c r="CN149" i="18"/>
  <c r="CN150" i="18"/>
  <c r="CN151" i="18"/>
  <c r="CN152" i="18"/>
  <c r="CN153" i="18"/>
  <c r="CN154" i="18"/>
  <c r="CN155" i="18"/>
  <c r="CN156" i="18"/>
  <c r="CN157" i="18"/>
  <c r="CN158" i="18"/>
  <c r="CN148" i="18"/>
  <c r="CO136" i="18"/>
  <c r="CP136" i="18"/>
  <c r="CQ136" i="18"/>
  <c r="CR136" i="18"/>
  <c r="CS136" i="18"/>
  <c r="CT136" i="18"/>
  <c r="CU136" i="18"/>
  <c r="CV136" i="18"/>
  <c r="CW136" i="18"/>
  <c r="CX136" i="18"/>
  <c r="CY136" i="18"/>
  <c r="CZ136" i="18"/>
  <c r="DA136" i="18"/>
  <c r="DB136" i="18"/>
  <c r="CO137" i="18"/>
  <c r="CP137" i="18"/>
  <c r="CQ137" i="18"/>
  <c r="CR137" i="18"/>
  <c r="CS137" i="18"/>
  <c r="CT137" i="18"/>
  <c r="CU137" i="18"/>
  <c r="CV137" i="18"/>
  <c r="CW137" i="18"/>
  <c r="CX137" i="18"/>
  <c r="CY137" i="18"/>
  <c r="CZ137" i="18"/>
  <c r="DA137" i="18"/>
  <c r="DB137" i="18"/>
  <c r="CO138" i="18"/>
  <c r="CP138" i="18"/>
  <c r="CQ138" i="18"/>
  <c r="CR138" i="18"/>
  <c r="CS138" i="18"/>
  <c r="CT138" i="18"/>
  <c r="CU138" i="18"/>
  <c r="CV138" i="18"/>
  <c r="CW138" i="18"/>
  <c r="CX138" i="18"/>
  <c r="CY138" i="18"/>
  <c r="CZ138" i="18"/>
  <c r="DA138" i="18"/>
  <c r="DB138" i="18"/>
  <c r="CO139" i="18"/>
  <c r="CP139" i="18"/>
  <c r="CQ139" i="18"/>
  <c r="CR139" i="18"/>
  <c r="CS139" i="18"/>
  <c r="CT139" i="18"/>
  <c r="CU139" i="18"/>
  <c r="CV139" i="18"/>
  <c r="CW139" i="18"/>
  <c r="CX139" i="18"/>
  <c r="CY139" i="18"/>
  <c r="CZ139" i="18"/>
  <c r="DA139" i="18"/>
  <c r="DB139" i="18"/>
  <c r="CO140" i="18"/>
  <c r="CP140" i="18"/>
  <c r="CQ140" i="18"/>
  <c r="CR140" i="18"/>
  <c r="CS140" i="18"/>
  <c r="CT140" i="18"/>
  <c r="CU140" i="18"/>
  <c r="CV140" i="18"/>
  <c r="CW140" i="18"/>
  <c r="CX140" i="18"/>
  <c r="CY140" i="18"/>
  <c r="CZ140" i="18"/>
  <c r="DA140" i="18"/>
  <c r="DB140" i="18"/>
  <c r="CO141" i="18"/>
  <c r="CP141" i="18"/>
  <c r="CQ141" i="18"/>
  <c r="CR141" i="18"/>
  <c r="CS141" i="18"/>
  <c r="CT141" i="18"/>
  <c r="CU141" i="18"/>
  <c r="CV141" i="18"/>
  <c r="CW141" i="18"/>
  <c r="CX141" i="18"/>
  <c r="CY141" i="18"/>
  <c r="CZ141" i="18"/>
  <c r="DA141" i="18"/>
  <c r="DB141" i="18"/>
  <c r="CO142" i="18"/>
  <c r="CP142" i="18"/>
  <c r="CQ142" i="18"/>
  <c r="CR142" i="18"/>
  <c r="CS142" i="18"/>
  <c r="CT142" i="18"/>
  <c r="CU142" i="18"/>
  <c r="CV142" i="18"/>
  <c r="CW142" i="18"/>
  <c r="CX142" i="18"/>
  <c r="CY142" i="18"/>
  <c r="CZ142" i="18"/>
  <c r="DA142" i="18"/>
  <c r="DB142" i="18"/>
  <c r="CO143" i="18"/>
  <c r="CP143" i="18"/>
  <c r="CQ143" i="18"/>
  <c r="CR143" i="18"/>
  <c r="CS143" i="18"/>
  <c r="CT143" i="18"/>
  <c r="CU143" i="18"/>
  <c r="CV143" i="18"/>
  <c r="CW143" i="18"/>
  <c r="CX143" i="18"/>
  <c r="CY143" i="18"/>
  <c r="CZ143" i="18"/>
  <c r="DA143" i="18"/>
  <c r="DB143" i="18"/>
  <c r="CO144" i="18"/>
  <c r="CP144" i="18"/>
  <c r="CQ144" i="18"/>
  <c r="CR144" i="18"/>
  <c r="CS144" i="18"/>
  <c r="CT144" i="18"/>
  <c r="CU144" i="18"/>
  <c r="CV144" i="18"/>
  <c r="CW144" i="18"/>
  <c r="CX144" i="18"/>
  <c r="CY144" i="18"/>
  <c r="CZ144" i="18"/>
  <c r="DA144" i="18"/>
  <c r="DB144" i="18"/>
  <c r="CO145" i="18"/>
  <c r="CP145" i="18"/>
  <c r="CQ145" i="18"/>
  <c r="CR145" i="18"/>
  <c r="CS145" i="18"/>
  <c r="CT145" i="18"/>
  <c r="CU145" i="18"/>
  <c r="CV145" i="18"/>
  <c r="CW145" i="18"/>
  <c r="CX145" i="18"/>
  <c r="CY145" i="18"/>
  <c r="CZ145" i="18"/>
  <c r="DA145" i="18"/>
  <c r="DB145" i="18"/>
  <c r="CO146" i="18"/>
  <c r="CP146" i="18"/>
  <c r="CQ146" i="18"/>
  <c r="CR146" i="18"/>
  <c r="CS146" i="18"/>
  <c r="CT146" i="18"/>
  <c r="CU146" i="18"/>
  <c r="CV146" i="18"/>
  <c r="CW146" i="18"/>
  <c r="CX146" i="18"/>
  <c r="CY146" i="18"/>
  <c r="CZ146" i="18"/>
  <c r="DA146" i="18"/>
  <c r="DB146" i="18"/>
  <c r="CN137" i="18"/>
  <c r="CN138" i="18"/>
  <c r="CN139" i="18"/>
  <c r="CN140" i="18"/>
  <c r="CN141" i="18"/>
  <c r="CN142" i="18"/>
  <c r="CN143" i="18"/>
  <c r="CN144" i="18"/>
  <c r="CN145" i="18"/>
  <c r="CN146" i="18"/>
  <c r="CN136" i="18"/>
  <c r="CO124" i="18"/>
  <c r="CP124" i="18"/>
  <c r="CQ124" i="18"/>
  <c r="CR124" i="18"/>
  <c r="CS124" i="18"/>
  <c r="CT124" i="18"/>
  <c r="CU124" i="18"/>
  <c r="CV124" i="18"/>
  <c r="CW124" i="18"/>
  <c r="CX124" i="18"/>
  <c r="CY124" i="18"/>
  <c r="CZ124" i="18"/>
  <c r="DA124" i="18"/>
  <c r="DB124" i="18"/>
  <c r="CO125" i="18"/>
  <c r="CP125" i="18"/>
  <c r="CQ125" i="18"/>
  <c r="CR125" i="18"/>
  <c r="CS125" i="18"/>
  <c r="CT125" i="18"/>
  <c r="CU125" i="18"/>
  <c r="CV125" i="18"/>
  <c r="CW125" i="18"/>
  <c r="CX125" i="18"/>
  <c r="CY125" i="18"/>
  <c r="CZ125" i="18"/>
  <c r="DA125" i="18"/>
  <c r="DB125" i="18"/>
  <c r="CO126" i="18"/>
  <c r="CP126" i="18"/>
  <c r="CQ126" i="18"/>
  <c r="CR126" i="18"/>
  <c r="CS126" i="18"/>
  <c r="CT126" i="18"/>
  <c r="CU126" i="18"/>
  <c r="CV126" i="18"/>
  <c r="CW126" i="18"/>
  <c r="CX126" i="18"/>
  <c r="CY126" i="18"/>
  <c r="CZ126" i="18"/>
  <c r="DA126" i="18"/>
  <c r="DB126" i="18"/>
  <c r="CO127" i="18"/>
  <c r="CP127" i="18"/>
  <c r="CQ127" i="18"/>
  <c r="CR127" i="18"/>
  <c r="CS127" i="18"/>
  <c r="CT127" i="18"/>
  <c r="CU127" i="18"/>
  <c r="CV127" i="18"/>
  <c r="CW127" i="18"/>
  <c r="CX127" i="18"/>
  <c r="CY127" i="18"/>
  <c r="CZ127" i="18"/>
  <c r="DA127" i="18"/>
  <c r="DB127" i="18"/>
  <c r="CO128" i="18"/>
  <c r="CP128" i="18"/>
  <c r="CQ128" i="18"/>
  <c r="CR128" i="18"/>
  <c r="CS128" i="18"/>
  <c r="CT128" i="18"/>
  <c r="CU128" i="18"/>
  <c r="CV128" i="18"/>
  <c r="CW128" i="18"/>
  <c r="CX128" i="18"/>
  <c r="CY128" i="18"/>
  <c r="CZ128" i="18"/>
  <c r="DA128" i="18"/>
  <c r="DB128" i="18"/>
  <c r="CO129" i="18"/>
  <c r="CP129" i="18"/>
  <c r="CQ129" i="18"/>
  <c r="CR129" i="18"/>
  <c r="CS129" i="18"/>
  <c r="CT129" i="18"/>
  <c r="CU129" i="18"/>
  <c r="CV129" i="18"/>
  <c r="CW129" i="18"/>
  <c r="CX129" i="18"/>
  <c r="CY129" i="18"/>
  <c r="CZ129" i="18"/>
  <c r="DA129" i="18"/>
  <c r="DB129" i="18"/>
  <c r="CO130" i="18"/>
  <c r="CP130" i="18"/>
  <c r="CQ130" i="18"/>
  <c r="CR130" i="18"/>
  <c r="CS130" i="18"/>
  <c r="CT130" i="18"/>
  <c r="CU130" i="18"/>
  <c r="CV130" i="18"/>
  <c r="CW130" i="18"/>
  <c r="CX130" i="18"/>
  <c r="CY130" i="18"/>
  <c r="CZ130" i="18"/>
  <c r="DA130" i="18"/>
  <c r="DB130" i="18"/>
  <c r="CO131" i="18"/>
  <c r="CP131" i="18"/>
  <c r="CQ131" i="18"/>
  <c r="CR131" i="18"/>
  <c r="CS131" i="18"/>
  <c r="CT131" i="18"/>
  <c r="CU131" i="18"/>
  <c r="CV131" i="18"/>
  <c r="CW131" i="18"/>
  <c r="CX131" i="18"/>
  <c r="CY131" i="18"/>
  <c r="CZ131" i="18"/>
  <c r="DA131" i="18"/>
  <c r="DB131" i="18"/>
  <c r="CO132" i="18"/>
  <c r="CP132" i="18"/>
  <c r="CQ132" i="18"/>
  <c r="CR132" i="18"/>
  <c r="CS132" i="18"/>
  <c r="CT132" i="18"/>
  <c r="CU132" i="18"/>
  <c r="CV132" i="18"/>
  <c r="CW132" i="18"/>
  <c r="CX132" i="18"/>
  <c r="CY132" i="18"/>
  <c r="CZ132" i="18"/>
  <c r="DA132" i="18"/>
  <c r="DB132" i="18"/>
  <c r="CO133" i="18"/>
  <c r="CP133" i="18"/>
  <c r="CQ133" i="18"/>
  <c r="CR133" i="18"/>
  <c r="CS133" i="18"/>
  <c r="CT133" i="18"/>
  <c r="CU133" i="18"/>
  <c r="CV133" i="18"/>
  <c r="CW133" i="18"/>
  <c r="CX133" i="18"/>
  <c r="CY133" i="18"/>
  <c r="CZ133" i="18"/>
  <c r="DA133" i="18"/>
  <c r="DB133" i="18"/>
  <c r="CO134" i="18"/>
  <c r="CP134" i="18"/>
  <c r="CQ134" i="18"/>
  <c r="CR134" i="18"/>
  <c r="CS134" i="18"/>
  <c r="CT134" i="18"/>
  <c r="CU134" i="18"/>
  <c r="CV134" i="18"/>
  <c r="CW134" i="18"/>
  <c r="CX134" i="18"/>
  <c r="CY134" i="18"/>
  <c r="CZ134" i="18"/>
  <c r="DA134" i="18"/>
  <c r="DB134" i="18"/>
  <c r="CN125" i="18"/>
  <c r="CN126" i="18"/>
  <c r="CN127" i="18"/>
  <c r="CN128" i="18"/>
  <c r="CN129" i="18"/>
  <c r="CN130" i="18"/>
  <c r="CN131" i="18"/>
  <c r="CN132" i="18"/>
  <c r="CN133" i="18"/>
  <c r="CN134" i="18"/>
  <c r="CN124" i="18"/>
  <c r="CN113" i="18"/>
  <c r="CO113" i="18"/>
  <c r="CP113" i="18"/>
  <c r="CQ113" i="18"/>
  <c r="CR113" i="18"/>
  <c r="CS113" i="18"/>
  <c r="CT113" i="18"/>
  <c r="CU113" i="18"/>
  <c r="CV113" i="18"/>
  <c r="CW113" i="18"/>
  <c r="CX113" i="18"/>
  <c r="CY113" i="18"/>
  <c r="CZ113" i="18"/>
  <c r="DA113" i="18"/>
  <c r="DB113" i="18"/>
  <c r="CN114" i="18"/>
  <c r="CO114" i="18"/>
  <c r="CP114" i="18"/>
  <c r="CQ114" i="18"/>
  <c r="CR114" i="18"/>
  <c r="CS114" i="18"/>
  <c r="CT114" i="18"/>
  <c r="CU114" i="18"/>
  <c r="CV114" i="18"/>
  <c r="CW114" i="18"/>
  <c r="CX114" i="18"/>
  <c r="CY114" i="18"/>
  <c r="CZ114" i="18"/>
  <c r="DA114" i="18"/>
  <c r="DB114" i="18"/>
  <c r="CN115" i="18"/>
  <c r="CO115" i="18"/>
  <c r="CP115" i="18"/>
  <c r="CQ115" i="18"/>
  <c r="CR115" i="18"/>
  <c r="CS115" i="18"/>
  <c r="CT115" i="18"/>
  <c r="CU115" i="18"/>
  <c r="CV115" i="18"/>
  <c r="CW115" i="18"/>
  <c r="CX115" i="18"/>
  <c r="CY115" i="18"/>
  <c r="CZ115" i="18"/>
  <c r="DA115" i="18"/>
  <c r="DB115" i="18"/>
  <c r="CN116" i="18"/>
  <c r="CO116" i="18"/>
  <c r="CP116" i="18"/>
  <c r="CQ116" i="18"/>
  <c r="CR116" i="18"/>
  <c r="CS116" i="18"/>
  <c r="CT116" i="18"/>
  <c r="CU116" i="18"/>
  <c r="CV116" i="18"/>
  <c r="CW116" i="18"/>
  <c r="CX116" i="18"/>
  <c r="CY116" i="18"/>
  <c r="CZ116" i="18"/>
  <c r="DA116" i="18"/>
  <c r="DB116" i="18"/>
  <c r="CN117" i="18"/>
  <c r="CO117" i="18"/>
  <c r="CP117" i="18"/>
  <c r="CQ117" i="18"/>
  <c r="CR117" i="18"/>
  <c r="CS117" i="18"/>
  <c r="CT117" i="18"/>
  <c r="CU117" i="18"/>
  <c r="CV117" i="18"/>
  <c r="CW117" i="18"/>
  <c r="CX117" i="18"/>
  <c r="CY117" i="18"/>
  <c r="CZ117" i="18"/>
  <c r="DA117" i="18"/>
  <c r="DB117" i="18"/>
  <c r="CN118" i="18"/>
  <c r="CO118" i="18"/>
  <c r="CP118" i="18"/>
  <c r="CQ118" i="18"/>
  <c r="CR118" i="18"/>
  <c r="CS118" i="18"/>
  <c r="CT118" i="18"/>
  <c r="CU118" i="18"/>
  <c r="CV118" i="18"/>
  <c r="CW118" i="18"/>
  <c r="CX118" i="18"/>
  <c r="CY118" i="18"/>
  <c r="CZ118" i="18"/>
  <c r="DA118" i="18"/>
  <c r="DB118" i="18"/>
  <c r="CN119" i="18"/>
  <c r="CO119" i="18"/>
  <c r="CP119" i="18"/>
  <c r="CQ119" i="18"/>
  <c r="CR119" i="18"/>
  <c r="CS119" i="18"/>
  <c r="CT119" i="18"/>
  <c r="CU119" i="18"/>
  <c r="CV119" i="18"/>
  <c r="CW119" i="18"/>
  <c r="CX119" i="18"/>
  <c r="CY119" i="18"/>
  <c r="CZ119" i="18"/>
  <c r="DA119" i="18"/>
  <c r="DB119" i="18"/>
  <c r="CN120" i="18"/>
  <c r="CO120" i="18"/>
  <c r="CP120" i="18"/>
  <c r="CQ120" i="18"/>
  <c r="CR120" i="18"/>
  <c r="CS120" i="18"/>
  <c r="CT120" i="18"/>
  <c r="CU120" i="18"/>
  <c r="CV120" i="18"/>
  <c r="CW120" i="18"/>
  <c r="CX120" i="18"/>
  <c r="CY120" i="18"/>
  <c r="CZ120" i="18"/>
  <c r="DA120" i="18"/>
  <c r="DB120" i="18"/>
  <c r="CN121" i="18"/>
  <c r="CO121" i="18"/>
  <c r="CP121" i="18"/>
  <c r="CQ121" i="18"/>
  <c r="CR121" i="18"/>
  <c r="CS121" i="18"/>
  <c r="CT121" i="18"/>
  <c r="CU121" i="18"/>
  <c r="CV121" i="18"/>
  <c r="CW121" i="18"/>
  <c r="CX121" i="18"/>
  <c r="CY121" i="18"/>
  <c r="CZ121" i="18"/>
  <c r="DA121" i="18"/>
  <c r="DB121" i="18"/>
  <c r="CN122" i="18"/>
  <c r="CO122" i="18"/>
  <c r="CP122" i="18"/>
  <c r="CQ122" i="18"/>
  <c r="CR122" i="18"/>
  <c r="CS122" i="18"/>
  <c r="CT122" i="18"/>
  <c r="CU122" i="18"/>
  <c r="CV122" i="18"/>
  <c r="CW122" i="18"/>
  <c r="CX122" i="18"/>
  <c r="CY122" i="18"/>
  <c r="CZ122" i="18"/>
  <c r="DA122" i="18"/>
  <c r="DB12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CN112" i="18"/>
  <c r="CO100" i="18"/>
  <c r="CP100" i="18"/>
  <c r="CQ100" i="18"/>
  <c r="CR100" i="18"/>
  <c r="CS100" i="18"/>
  <c r="CT100" i="18"/>
  <c r="CU100" i="18"/>
  <c r="CV100" i="18"/>
  <c r="CW100" i="18"/>
  <c r="CX100" i="18"/>
  <c r="CY100" i="18"/>
  <c r="CZ100" i="18"/>
  <c r="DA100" i="18"/>
  <c r="DB100" i="18"/>
  <c r="CO101" i="18"/>
  <c r="CP101" i="18"/>
  <c r="CQ101" i="18"/>
  <c r="CR101" i="18"/>
  <c r="CS101" i="18"/>
  <c r="CT101" i="18"/>
  <c r="CU101" i="18"/>
  <c r="CV101" i="18"/>
  <c r="CW101" i="18"/>
  <c r="CX101" i="18"/>
  <c r="CY101" i="18"/>
  <c r="CZ101" i="18"/>
  <c r="DA101" i="18"/>
  <c r="DB101" i="18"/>
  <c r="CO102" i="18"/>
  <c r="CP102" i="18"/>
  <c r="CQ102" i="18"/>
  <c r="CR102" i="18"/>
  <c r="CS102" i="18"/>
  <c r="CT102" i="18"/>
  <c r="CU102" i="18"/>
  <c r="CV102" i="18"/>
  <c r="CW102" i="18"/>
  <c r="CX102" i="18"/>
  <c r="CY102" i="18"/>
  <c r="CZ102" i="18"/>
  <c r="DA102" i="18"/>
  <c r="DB102" i="18"/>
  <c r="CO103" i="18"/>
  <c r="CP103" i="18"/>
  <c r="CQ103" i="18"/>
  <c r="CR103" i="18"/>
  <c r="CS103" i="18"/>
  <c r="CT103" i="18"/>
  <c r="CU103" i="18"/>
  <c r="CV103" i="18"/>
  <c r="CW103" i="18"/>
  <c r="CX103" i="18"/>
  <c r="CY103" i="18"/>
  <c r="CZ103" i="18"/>
  <c r="DA103" i="18"/>
  <c r="DB103" i="18"/>
  <c r="CO104" i="18"/>
  <c r="CP104" i="18"/>
  <c r="CQ104" i="18"/>
  <c r="CR104" i="18"/>
  <c r="CS104" i="18"/>
  <c r="CT104" i="18"/>
  <c r="CU104" i="18"/>
  <c r="CV104" i="18"/>
  <c r="CW104" i="18"/>
  <c r="CX104" i="18"/>
  <c r="CY104" i="18"/>
  <c r="CZ104" i="18"/>
  <c r="DA104" i="18"/>
  <c r="DB104" i="18"/>
  <c r="CO105" i="18"/>
  <c r="CP105" i="18"/>
  <c r="CQ105" i="18"/>
  <c r="CR105" i="18"/>
  <c r="CS105" i="18"/>
  <c r="CT105" i="18"/>
  <c r="CU105" i="18"/>
  <c r="CV105" i="18"/>
  <c r="CW105" i="18"/>
  <c r="CX105" i="18"/>
  <c r="CY105" i="18"/>
  <c r="CZ105" i="18"/>
  <c r="DA105" i="18"/>
  <c r="DB105" i="18"/>
  <c r="CO106" i="18"/>
  <c r="CP106" i="18"/>
  <c r="CQ106" i="18"/>
  <c r="CR106" i="18"/>
  <c r="CS106" i="18"/>
  <c r="CT106" i="18"/>
  <c r="CU106" i="18"/>
  <c r="CV106" i="18"/>
  <c r="CW106" i="18"/>
  <c r="CX106" i="18"/>
  <c r="CY106" i="18"/>
  <c r="CZ106" i="18"/>
  <c r="DA106" i="18"/>
  <c r="DB106" i="18"/>
  <c r="CO107" i="18"/>
  <c r="CP107" i="18"/>
  <c r="CQ107" i="18"/>
  <c r="CR107" i="18"/>
  <c r="CS107" i="18"/>
  <c r="CT107" i="18"/>
  <c r="CU107" i="18"/>
  <c r="CV107" i="18"/>
  <c r="CW107" i="18"/>
  <c r="CX107" i="18"/>
  <c r="CY107" i="18"/>
  <c r="CZ107" i="18"/>
  <c r="DA107" i="18"/>
  <c r="DB107" i="18"/>
  <c r="CO108" i="18"/>
  <c r="CP108" i="18"/>
  <c r="CQ108" i="18"/>
  <c r="CR108" i="18"/>
  <c r="CS108" i="18"/>
  <c r="CT108" i="18"/>
  <c r="CU108" i="18"/>
  <c r="CV108" i="18"/>
  <c r="CW108" i="18"/>
  <c r="CX108" i="18"/>
  <c r="CY108" i="18"/>
  <c r="CZ108" i="18"/>
  <c r="DA108" i="18"/>
  <c r="DB108" i="18"/>
  <c r="CO109" i="18"/>
  <c r="CP109" i="18"/>
  <c r="CQ109" i="18"/>
  <c r="CR109" i="18"/>
  <c r="CS109" i="18"/>
  <c r="CT109" i="18"/>
  <c r="CU109" i="18"/>
  <c r="CV109" i="18"/>
  <c r="CW109" i="18"/>
  <c r="CX109" i="18"/>
  <c r="CY109" i="18"/>
  <c r="CZ109" i="18"/>
  <c r="DA109" i="18"/>
  <c r="DB109" i="18"/>
  <c r="CO110" i="18"/>
  <c r="CP110" i="18"/>
  <c r="CQ110" i="18"/>
  <c r="CR110" i="18"/>
  <c r="CS110" i="18"/>
  <c r="CT110" i="18"/>
  <c r="CU110" i="18"/>
  <c r="CV110" i="18"/>
  <c r="CW110" i="18"/>
  <c r="CX110" i="18"/>
  <c r="CY110" i="18"/>
  <c r="CZ110" i="18"/>
  <c r="DA110" i="18"/>
  <c r="DB110" i="18"/>
  <c r="CN101" i="18"/>
  <c r="CN102" i="18"/>
  <c r="CN103" i="18"/>
  <c r="CN104" i="18"/>
  <c r="CN105" i="18"/>
  <c r="CN106" i="18"/>
  <c r="CN107" i="18"/>
  <c r="CN108" i="18"/>
  <c r="CN109" i="18"/>
  <c r="CN110" i="18"/>
  <c r="CN100" i="18"/>
  <c r="CO88" i="18"/>
  <c r="CP88" i="18"/>
  <c r="CQ88" i="18"/>
  <c r="CR88" i="18"/>
  <c r="CS88" i="18"/>
  <c r="CT88" i="18"/>
  <c r="CU88" i="18"/>
  <c r="CV88" i="18"/>
  <c r="CW88" i="18"/>
  <c r="CX88" i="18"/>
  <c r="CY88" i="18"/>
  <c r="CZ88" i="18"/>
  <c r="DA88" i="18"/>
  <c r="DB88" i="18"/>
  <c r="CO89" i="18"/>
  <c r="CP89" i="18"/>
  <c r="CQ89" i="18"/>
  <c r="CR89" i="18"/>
  <c r="CS89" i="18"/>
  <c r="CT89" i="18"/>
  <c r="CU89" i="18"/>
  <c r="CV89" i="18"/>
  <c r="CW89" i="18"/>
  <c r="CX89" i="18"/>
  <c r="CY89" i="18"/>
  <c r="CZ89" i="18"/>
  <c r="DA89" i="18"/>
  <c r="DB89" i="18"/>
  <c r="CO90" i="18"/>
  <c r="CP90" i="18"/>
  <c r="CQ90" i="18"/>
  <c r="CR90" i="18"/>
  <c r="CS90" i="18"/>
  <c r="CT90" i="18"/>
  <c r="CU90" i="18"/>
  <c r="CV90" i="18"/>
  <c r="CW90" i="18"/>
  <c r="CX90" i="18"/>
  <c r="CY90" i="18"/>
  <c r="CZ90" i="18"/>
  <c r="DA90" i="18"/>
  <c r="DB90" i="18"/>
  <c r="CO91" i="18"/>
  <c r="CP91" i="18"/>
  <c r="CQ91" i="18"/>
  <c r="CR91" i="18"/>
  <c r="CS91" i="18"/>
  <c r="CT91" i="18"/>
  <c r="CU91" i="18"/>
  <c r="CV91" i="18"/>
  <c r="CW91" i="18"/>
  <c r="CX91" i="18"/>
  <c r="CY91" i="18"/>
  <c r="CZ91" i="18"/>
  <c r="DA91" i="18"/>
  <c r="DB91" i="18"/>
  <c r="CO92" i="18"/>
  <c r="CP92" i="18"/>
  <c r="CQ92" i="18"/>
  <c r="CR92" i="18"/>
  <c r="CS92" i="18"/>
  <c r="CT92" i="18"/>
  <c r="CU92" i="18"/>
  <c r="CV92" i="18"/>
  <c r="CW92" i="18"/>
  <c r="CX92" i="18"/>
  <c r="CY92" i="18"/>
  <c r="CZ92" i="18"/>
  <c r="DA92" i="18"/>
  <c r="DB92" i="18"/>
  <c r="CO93" i="18"/>
  <c r="CP93" i="18"/>
  <c r="CQ93" i="18"/>
  <c r="CR93" i="18"/>
  <c r="CS93" i="18"/>
  <c r="CT93" i="18"/>
  <c r="CU93" i="18"/>
  <c r="CV93" i="18"/>
  <c r="CW93" i="18"/>
  <c r="CX93" i="18"/>
  <c r="CY93" i="18"/>
  <c r="CZ93" i="18"/>
  <c r="DA93" i="18"/>
  <c r="DB93" i="18"/>
  <c r="CO94" i="18"/>
  <c r="CP94" i="18"/>
  <c r="CQ94" i="18"/>
  <c r="CR94" i="18"/>
  <c r="CS94" i="18"/>
  <c r="CT94" i="18"/>
  <c r="CU94" i="18"/>
  <c r="CV94" i="18"/>
  <c r="CW94" i="18"/>
  <c r="CX94" i="18"/>
  <c r="CY94" i="18"/>
  <c r="CZ94" i="18"/>
  <c r="DA94" i="18"/>
  <c r="DB94" i="18"/>
  <c r="CO95" i="18"/>
  <c r="CP95" i="18"/>
  <c r="CQ95" i="18"/>
  <c r="CR95" i="18"/>
  <c r="CS95" i="18"/>
  <c r="CT95" i="18"/>
  <c r="CU95" i="18"/>
  <c r="CV95" i="18"/>
  <c r="CW95" i="18"/>
  <c r="CX95" i="18"/>
  <c r="CY95" i="18"/>
  <c r="CZ95" i="18"/>
  <c r="DA95" i="18"/>
  <c r="DB95" i="18"/>
  <c r="CO96" i="18"/>
  <c r="CP96" i="18"/>
  <c r="CQ96" i="18"/>
  <c r="CR96" i="18"/>
  <c r="CS96" i="18"/>
  <c r="CT96" i="18"/>
  <c r="CU96" i="18"/>
  <c r="CV96" i="18"/>
  <c r="CW96" i="18"/>
  <c r="CX96" i="18"/>
  <c r="CY96" i="18"/>
  <c r="CZ96" i="18"/>
  <c r="DA96" i="18"/>
  <c r="DB96" i="18"/>
  <c r="CO97" i="18"/>
  <c r="CP97" i="18"/>
  <c r="CQ97" i="18"/>
  <c r="CR97" i="18"/>
  <c r="CS97" i="18"/>
  <c r="CT97" i="18"/>
  <c r="CU97" i="18"/>
  <c r="CV97" i="18"/>
  <c r="CW97" i="18"/>
  <c r="CX97" i="18"/>
  <c r="CY97" i="18"/>
  <c r="CZ97" i="18"/>
  <c r="DA97" i="18"/>
  <c r="DB97" i="18"/>
  <c r="CO98" i="18"/>
  <c r="CP98" i="18"/>
  <c r="CQ98" i="18"/>
  <c r="CR98" i="18"/>
  <c r="CS98" i="18"/>
  <c r="CT98" i="18"/>
  <c r="CU98" i="18"/>
  <c r="CV98" i="18"/>
  <c r="CW98" i="18"/>
  <c r="CX98" i="18"/>
  <c r="CY98" i="18"/>
  <c r="CZ98" i="18"/>
  <c r="DA98" i="18"/>
  <c r="DB98" i="18"/>
  <c r="CN89" i="18"/>
  <c r="CN90" i="18"/>
  <c r="CN91" i="18"/>
  <c r="CN92" i="18"/>
  <c r="CN93" i="18"/>
  <c r="CN94" i="18"/>
  <c r="CN95" i="18"/>
  <c r="CN96" i="18"/>
  <c r="CN97" i="18"/>
  <c r="CN98" i="18"/>
  <c r="CN88" i="18"/>
  <c r="CO76" i="18"/>
  <c r="CP76" i="18"/>
  <c r="CQ76" i="18"/>
  <c r="CR76" i="18"/>
  <c r="CS76" i="18"/>
  <c r="CT76" i="18"/>
  <c r="CU76" i="18"/>
  <c r="CV76" i="18"/>
  <c r="CW76" i="18"/>
  <c r="CX76" i="18"/>
  <c r="CY76" i="18"/>
  <c r="CZ76" i="18"/>
  <c r="DA76" i="18"/>
  <c r="DB76" i="18"/>
  <c r="CO77" i="18"/>
  <c r="CP77" i="18"/>
  <c r="CQ77" i="18"/>
  <c r="CR77" i="18"/>
  <c r="CS77" i="18"/>
  <c r="CT77" i="18"/>
  <c r="CU77" i="18"/>
  <c r="CV77" i="18"/>
  <c r="CW77" i="18"/>
  <c r="CX77" i="18"/>
  <c r="CY77" i="18"/>
  <c r="CZ77" i="18"/>
  <c r="DA77" i="18"/>
  <c r="DB77" i="18"/>
  <c r="CO78" i="18"/>
  <c r="CP78" i="18"/>
  <c r="CQ78" i="18"/>
  <c r="CR78" i="18"/>
  <c r="CS78" i="18"/>
  <c r="CT78" i="18"/>
  <c r="CU78" i="18"/>
  <c r="CV78" i="18"/>
  <c r="CW78" i="18"/>
  <c r="CX78" i="18"/>
  <c r="CY78" i="18"/>
  <c r="CZ78" i="18"/>
  <c r="DA78" i="18"/>
  <c r="DB78" i="18"/>
  <c r="CO79" i="18"/>
  <c r="CP79" i="18"/>
  <c r="CQ79" i="18"/>
  <c r="CR79" i="18"/>
  <c r="CS79" i="18"/>
  <c r="CT79" i="18"/>
  <c r="CU79" i="18"/>
  <c r="CV79" i="18"/>
  <c r="CW79" i="18"/>
  <c r="CX79" i="18"/>
  <c r="CY79" i="18"/>
  <c r="CZ79" i="18"/>
  <c r="DA79" i="18"/>
  <c r="DB79" i="18"/>
  <c r="CO80" i="18"/>
  <c r="CP80" i="18"/>
  <c r="CQ80" i="18"/>
  <c r="CR80" i="18"/>
  <c r="CS80" i="18"/>
  <c r="CT80" i="18"/>
  <c r="CU80" i="18"/>
  <c r="CV80" i="18"/>
  <c r="CW80" i="18"/>
  <c r="CX80" i="18"/>
  <c r="CY80" i="18"/>
  <c r="CZ80" i="18"/>
  <c r="DA80" i="18"/>
  <c r="DB80" i="18"/>
  <c r="CO81" i="18"/>
  <c r="CP81" i="18"/>
  <c r="CQ81" i="18"/>
  <c r="CR81" i="18"/>
  <c r="CS81" i="18"/>
  <c r="CT81" i="18"/>
  <c r="CU81" i="18"/>
  <c r="CV81" i="18"/>
  <c r="CW81" i="18"/>
  <c r="CX81" i="18"/>
  <c r="CY81" i="18"/>
  <c r="CZ81" i="18"/>
  <c r="DA81" i="18"/>
  <c r="DB81" i="18"/>
  <c r="CO82" i="18"/>
  <c r="CP82" i="18"/>
  <c r="CQ82" i="18"/>
  <c r="CR82" i="18"/>
  <c r="CS82" i="18"/>
  <c r="CT82" i="18"/>
  <c r="CU82" i="18"/>
  <c r="CV82" i="18"/>
  <c r="CW82" i="18"/>
  <c r="CX82" i="18"/>
  <c r="CY82" i="18"/>
  <c r="CZ82" i="18"/>
  <c r="DA82" i="18"/>
  <c r="DB82" i="18"/>
  <c r="CO83" i="18"/>
  <c r="CP83" i="18"/>
  <c r="CQ83" i="18"/>
  <c r="CR83" i="18"/>
  <c r="CS83" i="18"/>
  <c r="CT83" i="18"/>
  <c r="CU83" i="18"/>
  <c r="CV83" i="18"/>
  <c r="CW83" i="18"/>
  <c r="CX83" i="18"/>
  <c r="CY83" i="18"/>
  <c r="CZ83" i="18"/>
  <c r="DA83" i="18"/>
  <c r="DB83" i="18"/>
  <c r="CO84" i="18"/>
  <c r="CP84" i="18"/>
  <c r="CQ84" i="18"/>
  <c r="CR84" i="18"/>
  <c r="CS84" i="18"/>
  <c r="CT84" i="18"/>
  <c r="CU84" i="18"/>
  <c r="CV84" i="18"/>
  <c r="CW84" i="18"/>
  <c r="CX84" i="18"/>
  <c r="CY84" i="18"/>
  <c r="CZ84" i="18"/>
  <c r="DA84" i="18"/>
  <c r="DB84" i="18"/>
  <c r="CO85" i="18"/>
  <c r="CP85" i="18"/>
  <c r="CQ85" i="18"/>
  <c r="CR85" i="18"/>
  <c r="CS85" i="18"/>
  <c r="CT85" i="18"/>
  <c r="CU85" i="18"/>
  <c r="CV85" i="18"/>
  <c r="CW85" i="18"/>
  <c r="CX85" i="18"/>
  <c r="CY85" i="18"/>
  <c r="CZ85" i="18"/>
  <c r="DA85" i="18"/>
  <c r="DB85" i="18"/>
  <c r="CO86" i="18"/>
  <c r="CP86" i="18"/>
  <c r="CQ86" i="18"/>
  <c r="CR86" i="18"/>
  <c r="CS86" i="18"/>
  <c r="CT86" i="18"/>
  <c r="CU86" i="18"/>
  <c r="CV86" i="18"/>
  <c r="CW86" i="18"/>
  <c r="CX86" i="18"/>
  <c r="CY86" i="18"/>
  <c r="CZ86" i="18"/>
  <c r="DA86" i="18"/>
  <c r="DB86" i="18"/>
  <c r="CN77" i="18"/>
  <c r="CN78" i="18"/>
  <c r="CN79" i="18"/>
  <c r="CN80" i="18"/>
  <c r="CN81" i="18"/>
  <c r="CN82" i="18"/>
  <c r="CN83" i="18"/>
  <c r="CN84" i="18"/>
  <c r="CN85" i="18"/>
  <c r="CN86" i="18"/>
  <c r="CN76" i="18"/>
  <c r="CO64" i="18"/>
  <c r="CP64" i="18"/>
  <c r="CQ64" i="18"/>
  <c r="CR64" i="18"/>
  <c r="CS64" i="18"/>
  <c r="CT64" i="18"/>
  <c r="CU64" i="18"/>
  <c r="CV64" i="18"/>
  <c r="CW64" i="18"/>
  <c r="CX64" i="18"/>
  <c r="CY64" i="18"/>
  <c r="CZ64" i="18"/>
  <c r="DA64" i="18"/>
  <c r="DB64" i="18"/>
  <c r="CO65" i="18"/>
  <c r="CP65" i="18"/>
  <c r="CQ65" i="18"/>
  <c r="CR65" i="18"/>
  <c r="CS65" i="18"/>
  <c r="CT65" i="18"/>
  <c r="CU65" i="18"/>
  <c r="CV65" i="18"/>
  <c r="CW65" i="18"/>
  <c r="CX65" i="18"/>
  <c r="CY65" i="18"/>
  <c r="CZ65" i="18"/>
  <c r="DA65" i="18"/>
  <c r="DB65" i="18"/>
  <c r="CO66" i="18"/>
  <c r="CP66" i="18"/>
  <c r="CQ66" i="18"/>
  <c r="CR66" i="18"/>
  <c r="CS66" i="18"/>
  <c r="CT66" i="18"/>
  <c r="CU66" i="18"/>
  <c r="CV66" i="18"/>
  <c r="CW66" i="18"/>
  <c r="CX66" i="18"/>
  <c r="CY66" i="18"/>
  <c r="CZ66" i="18"/>
  <c r="DA66" i="18"/>
  <c r="DB66" i="18"/>
  <c r="CO67" i="18"/>
  <c r="CP67" i="18"/>
  <c r="CQ67" i="18"/>
  <c r="CR67" i="18"/>
  <c r="CS67" i="18"/>
  <c r="CT67" i="18"/>
  <c r="CU67" i="18"/>
  <c r="CV67" i="18"/>
  <c r="CW67" i="18"/>
  <c r="CX67" i="18"/>
  <c r="CY67" i="18"/>
  <c r="CZ67" i="18"/>
  <c r="DA67" i="18"/>
  <c r="DB67" i="18"/>
  <c r="CO68" i="18"/>
  <c r="CP68" i="18"/>
  <c r="CQ68" i="18"/>
  <c r="CR68" i="18"/>
  <c r="CS68" i="18"/>
  <c r="CT68" i="18"/>
  <c r="CU68" i="18"/>
  <c r="CV68" i="18"/>
  <c r="CW68" i="18"/>
  <c r="CX68" i="18"/>
  <c r="CY68" i="18"/>
  <c r="CZ68" i="18"/>
  <c r="DA68" i="18"/>
  <c r="DB68" i="18"/>
  <c r="CO69" i="18"/>
  <c r="CP69" i="18"/>
  <c r="CQ69" i="18"/>
  <c r="CR69" i="18"/>
  <c r="CS69" i="18"/>
  <c r="CT69" i="18"/>
  <c r="CU69" i="18"/>
  <c r="CV69" i="18"/>
  <c r="CW69" i="18"/>
  <c r="CX69" i="18"/>
  <c r="CY69" i="18"/>
  <c r="CZ69" i="18"/>
  <c r="DA69" i="18"/>
  <c r="DB69" i="18"/>
  <c r="CO70" i="18"/>
  <c r="CP70" i="18"/>
  <c r="CQ70" i="18"/>
  <c r="CR70" i="18"/>
  <c r="CS70" i="18"/>
  <c r="CT70" i="18"/>
  <c r="CU70" i="18"/>
  <c r="CV70" i="18"/>
  <c r="CW70" i="18"/>
  <c r="CX70" i="18"/>
  <c r="CY70" i="18"/>
  <c r="CZ70" i="18"/>
  <c r="DA70" i="18"/>
  <c r="DB70" i="18"/>
  <c r="CO71" i="18"/>
  <c r="CP71" i="18"/>
  <c r="CQ71" i="18"/>
  <c r="CR71" i="18"/>
  <c r="CS71" i="18"/>
  <c r="CT71" i="18"/>
  <c r="CU71" i="18"/>
  <c r="CV71" i="18"/>
  <c r="CW71" i="18"/>
  <c r="CX71" i="18"/>
  <c r="CY71" i="18"/>
  <c r="CZ71" i="18"/>
  <c r="DA71" i="18"/>
  <c r="DB71" i="18"/>
  <c r="CO72" i="18"/>
  <c r="CP72" i="18"/>
  <c r="CQ72" i="18"/>
  <c r="CR72" i="18"/>
  <c r="CS72" i="18"/>
  <c r="CT72" i="18"/>
  <c r="CU72" i="18"/>
  <c r="CV72" i="18"/>
  <c r="CW72" i="18"/>
  <c r="CX72" i="18"/>
  <c r="CY72" i="18"/>
  <c r="CZ72" i="18"/>
  <c r="DA72" i="18"/>
  <c r="DB72" i="18"/>
  <c r="CO73" i="18"/>
  <c r="CP73" i="18"/>
  <c r="CQ73" i="18"/>
  <c r="CR73" i="18"/>
  <c r="CS73" i="18"/>
  <c r="CT73" i="18"/>
  <c r="CU73" i="18"/>
  <c r="CV73" i="18"/>
  <c r="CW73" i="18"/>
  <c r="CX73" i="18"/>
  <c r="CY73" i="18"/>
  <c r="CZ73" i="18"/>
  <c r="DA73" i="18"/>
  <c r="DB73" i="18"/>
  <c r="CO74" i="18"/>
  <c r="CP74" i="18"/>
  <c r="CQ74" i="18"/>
  <c r="CR74" i="18"/>
  <c r="CS74" i="18"/>
  <c r="CT74" i="18"/>
  <c r="CU74" i="18"/>
  <c r="CV74" i="18"/>
  <c r="CW74" i="18"/>
  <c r="CX74" i="18"/>
  <c r="CY74" i="18"/>
  <c r="CZ74" i="18"/>
  <c r="DA74" i="18"/>
  <c r="DB74" i="18"/>
  <c r="CN65" i="18"/>
  <c r="CN66" i="18"/>
  <c r="CN67" i="18"/>
  <c r="CN68" i="18"/>
  <c r="CN69" i="18"/>
  <c r="CN70" i="18"/>
  <c r="CN71" i="18"/>
  <c r="CN72" i="18"/>
  <c r="CN73" i="18"/>
  <c r="CN74" i="18"/>
  <c r="CN64" i="18"/>
  <c r="CO52" i="18"/>
  <c r="CP52" i="18"/>
  <c r="CQ52" i="18"/>
  <c r="CR52" i="18"/>
  <c r="CS52" i="18"/>
  <c r="CT52" i="18"/>
  <c r="CU52" i="18"/>
  <c r="CV52" i="18"/>
  <c r="CW52" i="18"/>
  <c r="CX52" i="18"/>
  <c r="CY52" i="18"/>
  <c r="CZ52" i="18"/>
  <c r="DA52" i="18"/>
  <c r="DB52" i="18"/>
  <c r="CO53" i="18"/>
  <c r="CP53" i="18"/>
  <c r="CQ53" i="18"/>
  <c r="CR53" i="18"/>
  <c r="CS53" i="18"/>
  <c r="CT53" i="18"/>
  <c r="CU53" i="18"/>
  <c r="CV53" i="18"/>
  <c r="CW53" i="18"/>
  <c r="CX53" i="18"/>
  <c r="CY53" i="18"/>
  <c r="CZ53" i="18"/>
  <c r="DA53" i="18"/>
  <c r="DB53" i="18"/>
  <c r="CO54" i="18"/>
  <c r="CP54" i="18"/>
  <c r="CQ54" i="18"/>
  <c r="CR54" i="18"/>
  <c r="CS54" i="18"/>
  <c r="CT54" i="18"/>
  <c r="CU54" i="18"/>
  <c r="CV54" i="18"/>
  <c r="CW54" i="18"/>
  <c r="CX54" i="18"/>
  <c r="CY54" i="18"/>
  <c r="CZ54" i="18"/>
  <c r="DA54" i="18"/>
  <c r="DB54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CO56" i="18"/>
  <c r="CP56" i="18"/>
  <c r="CQ56" i="18"/>
  <c r="CR56" i="18"/>
  <c r="CS56" i="18"/>
  <c r="CT56" i="18"/>
  <c r="CU56" i="18"/>
  <c r="CV56" i="18"/>
  <c r="CW56" i="18"/>
  <c r="CX56" i="18"/>
  <c r="CY56" i="18"/>
  <c r="CZ56" i="18"/>
  <c r="DA56" i="18"/>
  <c r="DB56" i="18"/>
  <c r="CO57" i="18"/>
  <c r="CP57" i="18"/>
  <c r="CQ57" i="18"/>
  <c r="CR57" i="18"/>
  <c r="CS57" i="18"/>
  <c r="CT57" i="18"/>
  <c r="CU57" i="18"/>
  <c r="CV57" i="18"/>
  <c r="CW57" i="18"/>
  <c r="CX57" i="18"/>
  <c r="CY57" i="18"/>
  <c r="CZ57" i="18"/>
  <c r="DA57" i="18"/>
  <c r="DB57" i="18"/>
  <c r="CO58" i="18"/>
  <c r="CP58" i="18"/>
  <c r="CQ58" i="18"/>
  <c r="CR58" i="18"/>
  <c r="CS58" i="18"/>
  <c r="CT58" i="18"/>
  <c r="CU58" i="18"/>
  <c r="CV58" i="18"/>
  <c r="CW58" i="18"/>
  <c r="CX58" i="18"/>
  <c r="CY58" i="18"/>
  <c r="CZ58" i="18"/>
  <c r="DA58" i="18"/>
  <c r="DB58" i="18"/>
  <c r="CO59" i="18"/>
  <c r="CP59" i="18"/>
  <c r="CQ59" i="18"/>
  <c r="CR59" i="18"/>
  <c r="CS59" i="18"/>
  <c r="CT59" i="18"/>
  <c r="CU59" i="18"/>
  <c r="CV59" i="18"/>
  <c r="CW59" i="18"/>
  <c r="CX59" i="18"/>
  <c r="CY59" i="18"/>
  <c r="CZ59" i="18"/>
  <c r="DA59" i="18"/>
  <c r="DB59" i="18"/>
  <c r="CO60" i="18"/>
  <c r="CP60" i="18"/>
  <c r="CQ60" i="18"/>
  <c r="CR60" i="18"/>
  <c r="CS60" i="18"/>
  <c r="CT60" i="18"/>
  <c r="CU60" i="18"/>
  <c r="CV60" i="18"/>
  <c r="CW60" i="18"/>
  <c r="CX60" i="18"/>
  <c r="CY60" i="18"/>
  <c r="CZ60" i="18"/>
  <c r="DA60" i="18"/>
  <c r="DB60" i="18"/>
  <c r="CO61" i="18"/>
  <c r="CP61" i="18"/>
  <c r="CQ61" i="18"/>
  <c r="CR61" i="18"/>
  <c r="CS61" i="18"/>
  <c r="CT61" i="18"/>
  <c r="CU61" i="18"/>
  <c r="CV61" i="18"/>
  <c r="CW61" i="18"/>
  <c r="CX61" i="18"/>
  <c r="CY61" i="18"/>
  <c r="CZ61" i="18"/>
  <c r="DA61" i="18"/>
  <c r="DB61" i="18"/>
  <c r="CO62" i="18"/>
  <c r="CP62" i="18"/>
  <c r="CQ62" i="18"/>
  <c r="CR62" i="18"/>
  <c r="CS62" i="18"/>
  <c r="CT62" i="18"/>
  <c r="CU62" i="18"/>
  <c r="CV62" i="18"/>
  <c r="CW62" i="18"/>
  <c r="CX62" i="18"/>
  <c r="CY62" i="18"/>
  <c r="CZ62" i="18"/>
  <c r="DA62" i="18"/>
  <c r="DB62" i="18"/>
  <c r="CN53" i="18"/>
  <c r="CN54" i="18"/>
  <c r="CN55" i="18"/>
  <c r="CN56" i="18"/>
  <c r="CN57" i="18"/>
  <c r="CN58" i="18"/>
  <c r="CN59" i="18"/>
  <c r="CN60" i="18"/>
  <c r="CN61" i="18"/>
  <c r="CN62" i="18"/>
  <c r="CN52" i="18"/>
  <c r="CO40" i="18"/>
  <c r="CP40" i="18"/>
  <c r="CQ40" i="18"/>
  <c r="CR40" i="18"/>
  <c r="CS40" i="18"/>
  <c r="CT40" i="18"/>
  <c r="CU40" i="18"/>
  <c r="CV40" i="18"/>
  <c r="CW40" i="18"/>
  <c r="CX40" i="18"/>
  <c r="CY40" i="18"/>
  <c r="CZ40" i="18"/>
  <c r="DA40" i="18"/>
  <c r="DB40" i="18"/>
  <c r="CO41" i="18"/>
  <c r="CP41" i="18"/>
  <c r="CQ41" i="18"/>
  <c r="CR41" i="18"/>
  <c r="CS41" i="18"/>
  <c r="CT41" i="18"/>
  <c r="CU41" i="18"/>
  <c r="CV41" i="18"/>
  <c r="CW41" i="18"/>
  <c r="CX41" i="18"/>
  <c r="CY41" i="18"/>
  <c r="CZ41" i="18"/>
  <c r="DA41" i="18"/>
  <c r="DB41" i="18"/>
  <c r="CO42" i="18"/>
  <c r="CP42" i="18"/>
  <c r="CQ42" i="18"/>
  <c r="CR42" i="18"/>
  <c r="CS42" i="18"/>
  <c r="CT42" i="18"/>
  <c r="CU42" i="18"/>
  <c r="CV42" i="18"/>
  <c r="CW42" i="18"/>
  <c r="CX42" i="18"/>
  <c r="CY42" i="18"/>
  <c r="CZ42" i="18"/>
  <c r="DA42" i="18"/>
  <c r="DB42" i="18"/>
  <c r="CO43" i="18"/>
  <c r="CP43" i="18"/>
  <c r="CQ43" i="18"/>
  <c r="CR43" i="18"/>
  <c r="CS43" i="18"/>
  <c r="CT43" i="18"/>
  <c r="CU43" i="18"/>
  <c r="CV43" i="18"/>
  <c r="CW43" i="18"/>
  <c r="CX43" i="18"/>
  <c r="CY43" i="18"/>
  <c r="CZ43" i="18"/>
  <c r="DA43" i="18"/>
  <c r="DB43" i="18"/>
  <c r="CO44" i="18"/>
  <c r="CP44" i="18"/>
  <c r="CQ44" i="18"/>
  <c r="CR44" i="18"/>
  <c r="CS44" i="18"/>
  <c r="CT44" i="18"/>
  <c r="CU44" i="18"/>
  <c r="CV44" i="18"/>
  <c r="CW44" i="18"/>
  <c r="CX44" i="18"/>
  <c r="CY44" i="18"/>
  <c r="CZ44" i="18"/>
  <c r="DA44" i="18"/>
  <c r="DB44" i="18"/>
  <c r="CO45" i="18"/>
  <c r="CP45" i="18"/>
  <c r="CQ45" i="18"/>
  <c r="CR45" i="18"/>
  <c r="CS45" i="18"/>
  <c r="CT45" i="18"/>
  <c r="CU45" i="18"/>
  <c r="CV45" i="18"/>
  <c r="CW45" i="18"/>
  <c r="CX45" i="18"/>
  <c r="CY45" i="18"/>
  <c r="CZ45" i="18"/>
  <c r="DA45" i="18"/>
  <c r="DB45" i="18"/>
  <c r="CO46" i="18"/>
  <c r="CP46" i="18"/>
  <c r="CQ46" i="18"/>
  <c r="CR46" i="18"/>
  <c r="CS46" i="18"/>
  <c r="CT46" i="18"/>
  <c r="CU46" i="18"/>
  <c r="CV46" i="18"/>
  <c r="CW46" i="18"/>
  <c r="CX46" i="18"/>
  <c r="CY46" i="18"/>
  <c r="CZ46" i="18"/>
  <c r="DA46" i="18"/>
  <c r="DB46" i="18"/>
  <c r="CO47" i="18"/>
  <c r="CP47" i="18"/>
  <c r="CQ47" i="18"/>
  <c r="CR47" i="18"/>
  <c r="CS47" i="18"/>
  <c r="CT47" i="18"/>
  <c r="CU47" i="18"/>
  <c r="CV47" i="18"/>
  <c r="CW47" i="18"/>
  <c r="CX47" i="18"/>
  <c r="CY47" i="18"/>
  <c r="CZ47" i="18"/>
  <c r="DA47" i="18"/>
  <c r="DB47" i="18"/>
  <c r="CO48" i="18"/>
  <c r="CP48" i="18"/>
  <c r="CQ48" i="18"/>
  <c r="CR48" i="18"/>
  <c r="CS48" i="18"/>
  <c r="CT48" i="18"/>
  <c r="CU48" i="18"/>
  <c r="CV48" i="18"/>
  <c r="CW48" i="18"/>
  <c r="CX48" i="18"/>
  <c r="CY48" i="18"/>
  <c r="CZ48" i="18"/>
  <c r="DA48" i="18"/>
  <c r="DB48" i="18"/>
  <c r="CO49" i="18"/>
  <c r="CP49" i="18"/>
  <c r="CQ49" i="18"/>
  <c r="CR49" i="18"/>
  <c r="CS49" i="18"/>
  <c r="CT49" i="18"/>
  <c r="CU49" i="18"/>
  <c r="CV49" i="18"/>
  <c r="CW49" i="18"/>
  <c r="CX49" i="18"/>
  <c r="CY49" i="18"/>
  <c r="CZ49" i="18"/>
  <c r="DA49" i="18"/>
  <c r="DB49" i="18"/>
  <c r="CO50" i="18"/>
  <c r="CP50" i="18"/>
  <c r="CQ50" i="18"/>
  <c r="CR50" i="18"/>
  <c r="CS50" i="18"/>
  <c r="CT50" i="18"/>
  <c r="CU50" i="18"/>
  <c r="CV50" i="18"/>
  <c r="CW50" i="18"/>
  <c r="CX50" i="18"/>
  <c r="CY50" i="18"/>
  <c r="CZ50" i="18"/>
  <c r="DA50" i="18"/>
  <c r="DB50" i="18"/>
  <c r="CN41" i="18"/>
  <c r="CN42" i="18"/>
  <c r="CN43" i="18"/>
  <c r="CN44" i="18"/>
  <c r="CN45" i="18"/>
  <c r="CN46" i="18"/>
  <c r="CN47" i="18"/>
  <c r="CN48" i="18"/>
  <c r="CN49" i="18"/>
  <c r="CN50" i="18"/>
  <c r="CN40" i="18"/>
  <c r="CO28" i="18"/>
  <c r="CP28" i="18"/>
  <c r="CQ28" i="18"/>
  <c r="CR28" i="18"/>
  <c r="CS28" i="18"/>
  <c r="CT28" i="18"/>
  <c r="CU28" i="18"/>
  <c r="CV28" i="18"/>
  <c r="CW28" i="18"/>
  <c r="CX28" i="18"/>
  <c r="CY28" i="18"/>
  <c r="CZ28" i="18"/>
  <c r="DA28" i="18"/>
  <c r="DB28" i="18"/>
  <c r="CO29" i="18"/>
  <c r="CP29" i="18"/>
  <c r="CQ29" i="18"/>
  <c r="CR29" i="18"/>
  <c r="CS29" i="18"/>
  <c r="CT29" i="18"/>
  <c r="CU29" i="18"/>
  <c r="CV29" i="18"/>
  <c r="CW29" i="18"/>
  <c r="CX29" i="18"/>
  <c r="CY29" i="18"/>
  <c r="CZ29" i="18"/>
  <c r="DA29" i="18"/>
  <c r="DB29" i="18"/>
  <c r="CO30" i="18"/>
  <c r="CP30" i="18"/>
  <c r="CQ30" i="18"/>
  <c r="CR30" i="18"/>
  <c r="CS30" i="18"/>
  <c r="CT30" i="18"/>
  <c r="CU30" i="18"/>
  <c r="CV30" i="18"/>
  <c r="CW30" i="18"/>
  <c r="CX30" i="18"/>
  <c r="CY30" i="18"/>
  <c r="CZ30" i="18"/>
  <c r="DA30" i="18"/>
  <c r="DB30" i="18"/>
  <c r="CO31" i="18"/>
  <c r="CP31" i="18"/>
  <c r="CQ31" i="18"/>
  <c r="CR31" i="18"/>
  <c r="CS31" i="18"/>
  <c r="CT31" i="18"/>
  <c r="CU31" i="18"/>
  <c r="CV31" i="18"/>
  <c r="CW31" i="18"/>
  <c r="CX31" i="18"/>
  <c r="CY31" i="18"/>
  <c r="CZ31" i="18"/>
  <c r="DA31" i="18"/>
  <c r="DB31" i="18"/>
  <c r="CO32" i="18"/>
  <c r="CP32" i="18"/>
  <c r="CQ32" i="18"/>
  <c r="CR32" i="18"/>
  <c r="CS32" i="18"/>
  <c r="CT32" i="18"/>
  <c r="CU32" i="18"/>
  <c r="CV32" i="18"/>
  <c r="CW32" i="18"/>
  <c r="CX32" i="18"/>
  <c r="CY32" i="18"/>
  <c r="CZ32" i="18"/>
  <c r="DA32" i="18"/>
  <c r="DB32" i="18"/>
  <c r="CO33" i="18"/>
  <c r="CP33" i="18"/>
  <c r="CQ33" i="18"/>
  <c r="CR33" i="18"/>
  <c r="CS33" i="18"/>
  <c r="CT33" i="18"/>
  <c r="CU33" i="18"/>
  <c r="CV33" i="18"/>
  <c r="CW33" i="18"/>
  <c r="CX33" i="18"/>
  <c r="CY33" i="18"/>
  <c r="CZ33" i="18"/>
  <c r="DA33" i="18"/>
  <c r="DB33" i="18"/>
  <c r="CO34" i="18"/>
  <c r="CP34" i="18"/>
  <c r="CQ34" i="18"/>
  <c r="CR34" i="18"/>
  <c r="CS34" i="18"/>
  <c r="CT34" i="18"/>
  <c r="CU34" i="18"/>
  <c r="CV34" i="18"/>
  <c r="CW34" i="18"/>
  <c r="CX34" i="18"/>
  <c r="CY34" i="18"/>
  <c r="CZ34" i="18"/>
  <c r="DA34" i="18"/>
  <c r="DB34" i="18"/>
  <c r="CO35" i="18"/>
  <c r="CP35" i="18"/>
  <c r="CQ35" i="18"/>
  <c r="CR35" i="18"/>
  <c r="CS35" i="18"/>
  <c r="CT35" i="18"/>
  <c r="CU35" i="18"/>
  <c r="CV35" i="18"/>
  <c r="CW35" i="18"/>
  <c r="CX35" i="18"/>
  <c r="CY35" i="18"/>
  <c r="CZ35" i="18"/>
  <c r="DA35" i="18"/>
  <c r="DB35" i="18"/>
  <c r="CO36" i="18"/>
  <c r="CP36" i="18"/>
  <c r="CQ36" i="18"/>
  <c r="CR36" i="18"/>
  <c r="CS36" i="18"/>
  <c r="CT36" i="18"/>
  <c r="CU36" i="18"/>
  <c r="CV36" i="18"/>
  <c r="CW36" i="18"/>
  <c r="CX36" i="18"/>
  <c r="CY36" i="18"/>
  <c r="CZ36" i="18"/>
  <c r="DA36" i="18"/>
  <c r="DB36" i="18"/>
  <c r="CO37" i="18"/>
  <c r="CP37" i="18"/>
  <c r="CQ37" i="18"/>
  <c r="CR37" i="18"/>
  <c r="CS37" i="18"/>
  <c r="CT37" i="18"/>
  <c r="CU37" i="18"/>
  <c r="CV37" i="18"/>
  <c r="CW37" i="18"/>
  <c r="CX37" i="18"/>
  <c r="CY37" i="18"/>
  <c r="CZ37" i="18"/>
  <c r="DA37" i="18"/>
  <c r="DB37" i="18"/>
  <c r="CO38" i="18"/>
  <c r="CP38" i="18"/>
  <c r="CQ38" i="18"/>
  <c r="CR38" i="18"/>
  <c r="CS38" i="18"/>
  <c r="CT38" i="18"/>
  <c r="CU38" i="18"/>
  <c r="CV38" i="18"/>
  <c r="CW38" i="18"/>
  <c r="CX38" i="18"/>
  <c r="CY38" i="18"/>
  <c r="CZ38" i="18"/>
  <c r="DA38" i="18"/>
  <c r="DB38" i="18"/>
  <c r="CN38" i="18"/>
  <c r="CN29" i="18"/>
  <c r="CN30" i="18"/>
  <c r="CN31" i="18"/>
  <c r="CN32" i="18"/>
  <c r="CN33" i="18"/>
  <c r="CN34" i="18"/>
  <c r="CN35" i="18"/>
  <c r="CN36" i="18"/>
  <c r="CN37" i="18"/>
  <c r="CN28" i="18"/>
  <c r="CO16" i="18"/>
  <c r="CP16" i="18"/>
  <c r="CQ16" i="18"/>
  <c r="CR16" i="18"/>
  <c r="CS16" i="18"/>
  <c r="CT16" i="18"/>
  <c r="CU16" i="18"/>
  <c r="CV16" i="18"/>
  <c r="CW16" i="18"/>
  <c r="CX16" i="18"/>
  <c r="CY16" i="18"/>
  <c r="CZ16" i="18"/>
  <c r="DA16" i="18"/>
  <c r="DB16" i="18"/>
  <c r="CO17" i="18"/>
  <c r="CP17" i="18"/>
  <c r="CQ17" i="18"/>
  <c r="CR17" i="18"/>
  <c r="CS17" i="18"/>
  <c r="CT17" i="18"/>
  <c r="CU17" i="18"/>
  <c r="CV17" i="18"/>
  <c r="CW17" i="18"/>
  <c r="CX17" i="18"/>
  <c r="CY17" i="18"/>
  <c r="CZ17" i="18"/>
  <c r="DA17" i="18"/>
  <c r="DB17" i="18"/>
  <c r="CO18" i="18"/>
  <c r="CP18" i="18"/>
  <c r="CQ18" i="18"/>
  <c r="CR18" i="18"/>
  <c r="CS18" i="18"/>
  <c r="CT18" i="18"/>
  <c r="CU18" i="18"/>
  <c r="CV18" i="18"/>
  <c r="CW18" i="18"/>
  <c r="CX18" i="18"/>
  <c r="CY18" i="18"/>
  <c r="CZ18" i="18"/>
  <c r="DA18" i="18"/>
  <c r="DB18" i="18"/>
  <c r="CO19" i="18"/>
  <c r="CP19" i="18"/>
  <c r="CQ19" i="18"/>
  <c r="CR19" i="18"/>
  <c r="CS19" i="18"/>
  <c r="CT19" i="18"/>
  <c r="CU19" i="18"/>
  <c r="CV19" i="18"/>
  <c r="CW19" i="18"/>
  <c r="CX19" i="18"/>
  <c r="CY19" i="18"/>
  <c r="CZ19" i="18"/>
  <c r="DA19" i="18"/>
  <c r="DB19" i="18"/>
  <c r="CO20" i="18"/>
  <c r="CP20" i="18"/>
  <c r="CQ20" i="18"/>
  <c r="CR20" i="18"/>
  <c r="CS20" i="18"/>
  <c r="CT20" i="18"/>
  <c r="CU20" i="18"/>
  <c r="CV20" i="18"/>
  <c r="CW20" i="18"/>
  <c r="CX20" i="18"/>
  <c r="CY20" i="18"/>
  <c r="CZ20" i="18"/>
  <c r="DA20" i="18"/>
  <c r="DB20" i="18"/>
  <c r="CO21" i="18"/>
  <c r="CP21" i="18"/>
  <c r="CQ21" i="18"/>
  <c r="CR21" i="18"/>
  <c r="CS21" i="18"/>
  <c r="CT21" i="18"/>
  <c r="CU21" i="18"/>
  <c r="CV21" i="18"/>
  <c r="CW21" i="18"/>
  <c r="CX21" i="18"/>
  <c r="CY21" i="18"/>
  <c r="CZ21" i="18"/>
  <c r="DA21" i="18"/>
  <c r="DB21" i="18"/>
  <c r="CO22" i="18"/>
  <c r="CP22" i="18"/>
  <c r="CQ22" i="18"/>
  <c r="CR22" i="18"/>
  <c r="CS22" i="18"/>
  <c r="CT22" i="18"/>
  <c r="CU22" i="18"/>
  <c r="CV22" i="18"/>
  <c r="CW22" i="18"/>
  <c r="CX22" i="18"/>
  <c r="CY22" i="18"/>
  <c r="CZ22" i="18"/>
  <c r="DA22" i="18"/>
  <c r="DB22" i="18"/>
  <c r="CO23" i="18"/>
  <c r="CP23" i="18"/>
  <c r="CQ23" i="18"/>
  <c r="CR23" i="18"/>
  <c r="CS23" i="18"/>
  <c r="CT23" i="18"/>
  <c r="CU23" i="18"/>
  <c r="CV23" i="18"/>
  <c r="CW23" i="18"/>
  <c r="CX23" i="18"/>
  <c r="CY23" i="18"/>
  <c r="CZ23" i="18"/>
  <c r="DA23" i="18"/>
  <c r="DB23" i="18"/>
  <c r="CO24" i="18"/>
  <c r="CP24" i="18"/>
  <c r="CQ24" i="18"/>
  <c r="CR24" i="18"/>
  <c r="CS24" i="18"/>
  <c r="CT24" i="18"/>
  <c r="CU24" i="18"/>
  <c r="CV24" i="18"/>
  <c r="CW24" i="18"/>
  <c r="CX24" i="18"/>
  <c r="CY24" i="18"/>
  <c r="CZ24" i="18"/>
  <c r="DA24" i="18"/>
  <c r="DB24" i="18"/>
  <c r="CO25" i="18"/>
  <c r="CP25" i="18"/>
  <c r="CQ25" i="18"/>
  <c r="CR25" i="18"/>
  <c r="CS25" i="18"/>
  <c r="CT25" i="18"/>
  <c r="CU25" i="18"/>
  <c r="CV25" i="18"/>
  <c r="CW25" i="18"/>
  <c r="CX25" i="18"/>
  <c r="CY25" i="18"/>
  <c r="CZ25" i="18"/>
  <c r="DA25" i="18"/>
  <c r="DB25" i="18"/>
  <c r="CO26" i="18"/>
  <c r="CP26" i="18"/>
  <c r="CQ26" i="18"/>
  <c r="CR26" i="18"/>
  <c r="CS26" i="18"/>
  <c r="CT26" i="18"/>
  <c r="CU26" i="18"/>
  <c r="CV26" i="18"/>
  <c r="CW26" i="18"/>
  <c r="CX26" i="18"/>
  <c r="CY26" i="18"/>
  <c r="CZ26" i="18"/>
  <c r="DA26" i="18"/>
  <c r="DB26" i="18"/>
  <c r="CN17" i="18"/>
  <c r="CN18" i="18"/>
  <c r="CN19" i="18"/>
  <c r="CN20" i="18"/>
  <c r="CN21" i="18"/>
  <c r="CN22" i="18"/>
  <c r="CN23" i="18"/>
  <c r="CN24" i="18"/>
  <c r="CN25" i="18"/>
  <c r="CN26" i="18"/>
  <c r="CN16" i="18"/>
  <c r="CO4" i="18"/>
  <c r="CP4" i="18"/>
  <c r="CQ4" i="18"/>
  <c r="CR4" i="18"/>
  <c r="CS4" i="18"/>
  <c r="CT4" i="18"/>
  <c r="CU4" i="18"/>
  <c r="CV4" i="18"/>
  <c r="CW4" i="18"/>
  <c r="CX4" i="18"/>
  <c r="CY4" i="18"/>
  <c r="CZ4" i="18"/>
  <c r="DA4" i="18"/>
  <c r="DB4" i="18"/>
  <c r="CO5" i="18"/>
  <c r="CP5" i="18"/>
  <c r="CQ5" i="18"/>
  <c r="CR5" i="18"/>
  <c r="CS5" i="18"/>
  <c r="CT5" i="18"/>
  <c r="CU5" i="18"/>
  <c r="CV5" i="18"/>
  <c r="CW5" i="18"/>
  <c r="CX5" i="18"/>
  <c r="CY5" i="18"/>
  <c r="CZ5" i="18"/>
  <c r="DA5" i="18"/>
  <c r="DB5" i="18"/>
  <c r="CO6" i="18"/>
  <c r="CP6" i="18"/>
  <c r="CQ6" i="18"/>
  <c r="CR6" i="18"/>
  <c r="CS6" i="18"/>
  <c r="CT6" i="18"/>
  <c r="CU6" i="18"/>
  <c r="CV6" i="18"/>
  <c r="CW6" i="18"/>
  <c r="CX6" i="18"/>
  <c r="CY6" i="18"/>
  <c r="CZ6" i="18"/>
  <c r="DA6" i="18"/>
  <c r="DB6" i="18"/>
  <c r="CO7" i="18"/>
  <c r="CP7" i="18"/>
  <c r="CQ7" i="18"/>
  <c r="CR7" i="18"/>
  <c r="CS7" i="18"/>
  <c r="CT7" i="18"/>
  <c r="CU7" i="18"/>
  <c r="CV7" i="18"/>
  <c r="CW7" i="18"/>
  <c r="CX7" i="18"/>
  <c r="CY7" i="18"/>
  <c r="CZ7" i="18"/>
  <c r="DA7" i="18"/>
  <c r="DB7" i="18"/>
  <c r="CO8" i="18"/>
  <c r="CP8" i="18"/>
  <c r="CQ8" i="18"/>
  <c r="CR8" i="18"/>
  <c r="CS8" i="18"/>
  <c r="CT8" i="18"/>
  <c r="CU8" i="18"/>
  <c r="CV8" i="18"/>
  <c r="CW8" i="18"/>
  <c r="CX8" i="18"/>
  <c r="CY8" i="18"/>
  <c r="CZ8" i="18"/>
  <c r="DA8" i="18"/>
  <c r="DB8" i="18"/>
  <c r="CO9" i="18"/>
  <c r="CP9" i="18"/>
  <c r="CQ9" i="18"/>
  <c r="CR9" i="18"/>
  <c r="CS9" i="18"/>
  <c r="CT9" i="18"/>
  <c r="CU9" i="18"/>
  <c r="CV9" i="18"/>
  <c r="CW9" i="18"/>
  <c r="CX9" i="18"/>
  <c r="CY9" i="18"/>
  <c r="CZ9" i="18"/>
  <c r="DA9" i="18"/>
  <c r="DB9" i="18"/>
  <c r="CO10" i="18"/>
  <c r="CP10" i="18"/>
  <c r="CQ10" i="18"/>
  <c r="CR10" i="18"/>
  <c r="CS10" i="18"/>
  <c r="CT10" i="18"/>
  <c r="CU10" i="18"/>
  <c r="CV10" i="18"/>
  <c r="CW10" i="18"/>
  <c r="CX10" i="18"/>
  <c r="CY10" i="18"/>
  <c r="CZ10" i="18"/>
  <c r="DA10" i="18"/>
  <c r="DB10" i="18"/>
  <c r="CO11" i="18"/>
  <c r="CP11" i="18"/>
  <c r="CQ11" i="18"/>
  <c r="CR11" i="18"/>
  <c r="CS11" i="18"/>
  <c r="CT11" i="18"/>
  <c r="CU11" i="18"/>
  <c r="CV11" i="18"/>
  <c r="CW11" i="18"/>
  <c r="CX11" i="18"/>
  <c r="CY11" i="18"/>
  <c r="CZ11" i="18"/>
  <c r="DA11" i="18"/>
  <c r="DB11" i="18"/>
  <c r="CO12" i="18"/>
  <c r="CP12" i="18"/>
  <c r="CQ12" i="18"/>
  <c r="CR12" i="18"/>
  <c r="CS12" i="18"/>
  <c r="CT12" i="18"/>
  <c r="CU12" i="18"/>
  <c r="CV12" i="18"/>
  <c r="CW12" i="18"/>
  <c r="CX12" i="18"/>
  <c r="CY12" i="18"/>
  <c r="CZ12" i="18"/>
  <c r="DA12" i="18"/>
  <c r="DB12" i="18"/>
  <c r="CO13" i="18"/>
  <c r="CP13" i="18"/>
  <c r="CQ13" i="18"/>
  <c r="CR13" i="18"/>
  <c r="CS13" i="18"/>
  <c r="CT13" i="18"/>
  <c r="CU13" i="18"/>
  <c r="CV13" i="18"/>
  <c r="CW13" i="18"/>
  <c r="CX13" i="18"/>
  <c r="CY13" i="18"/>
  <c r="CZ13" i="18"/>
  <c r="DA13" i="18"/>
  <c r="DB13" i="18"/>
  <c r="CO14" i="18"/>
  <c r="CP14" i="18"/>
  <c r="CQ14" i="18"/>
  <c r="CR14" i="18"/>
  <c r="CS14" i="18"/>
  <c r="CT14" i="18"/>
  <c r="CU14" i="18"/>
  <c r="CV14" i="18"/>
  <c r="CW14" i="18"/>
  <c r="CX14" i="18"/>
  <c r="CY14" i="18"/>
  <c r="CZ14" i="18"/>
  <c r="DA14" i="18"/>
  <c r="DB14" i="18"/>
  <c r="CN5" i="18"/>
  <c r="CN6" i="18"/>
  <c r="CN7" i="18"/>
  <c r="CN8" i="18"/>
  <c r="CN9" i="18"/>
  <c r="CN10" i="18"/>
  <c r="CN11" i="18"/>
  <c r="CN12" i="18"/>
  <c r="CN13" i="18"/>
  <c r="CN14" i="18"/>
  <c r="CN4" i="18"/>
  <c r="AQ180" i="19" l="1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Y3" i="19"/>
  <c r="L3" i="19" s="1"/>
  <c r="AY3" i="19" s="1"/>
  <c r="AB4" i="18"/>
  <c r="X4" i="18"/>
  <c r="T4" i="18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BM3" i="19"/>
  <c r="AS4" i="18" s="1"/>
  <c r="BN4" i="19" s="1"/>
  <c r="AC4" i="18"/>
  <c r="U4" i="18"/>
  <c r="AA4" i="18"/>
  <c r="W4" i="18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Y4" i="18"/>
  <c r="Z4" i="18"/>
  <c r="K198" i="18" s="1"/>
  <c r="V4" i="18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S4" i="18"/>
  <c r="O3" i="18"/>
  <c r="Q4" i="18"/>
  <c r="B198" i="18" s="1"/>
  <c r="A198" i="18" s="1"/>
  <c r="O3" i="19"/>
  <c r="B3" i="19" s="1"/>
  <c r="AO3" i="19" s="1"/>
  <c r="R4" i="18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V3" i="20"/>
  <c r="AW3" i="20"/>
  <c r="AE3" i="20" s="1"/>
  <c r="M4" i="20" s="1"/>
  <c r="AX3" i="20"/>
  <c r="AY3" i="20"/>
  <c r="AZ3" i="20"/>
  <c r="BA3" i="20"/>
  <c r="AI3" i="20" s="1"/>
  <c r="BB3" i="20"/>
  <c r="BC3" i="20"/>
  <c r="AU3" i="20"/>
  <c r="AM3" i="20"/>
  <c r="AN3" i="20"/>
  <c r="AO3" i="20"/>
  <c r="AP3" i="20"/>
  <c r="AQ3" i="20"/>
  <c r="AR3" i="20"/>
  <c r="AS3" i="20"/>
  <c r="AT3" i="20"/>
  <c r="AL3" i="20"/>
  <c r="AD3" i="20"/>
  <c r="L4" i="20" s="1"/>
  <c r="AF3" i="20"/>
  <c r="N4" i="20" s="1"/>
  <c r="BY4" i="20" s="1"/>
  <c r="AH3" i="20"/>
  <c r="P4" i="20" s="1"/>
  <c r="AJ3" i="20"/>
  <c r="R4" i="20" s="1"/>
  <c r="Q4" i="20" l="1"/>
  <c r="W3" i="19"/>
  <c r="J3" i="19" s="1"/>
  <c r="AW3" i="19" s="1"/>
  <c r="BJ3" i="19"/>
  <c r="AP4" i="18" s="1"/>
  <c r="L4" i="18" s="1"/>
  <c r="AO4" i="20"/>
  <c r="AF4" i="20" s="1"/>
  <c r="AQ4" i="20"/>
  <c r="AH4" i="20" s="1"/>
  <c r="CA4" i="20"/>
  <c r="T3" i="19"/>
  <c r="G3" i="19" s="1"/>
  <c r="AT3" i="19" s="1"/>
  <c r="BK3" i="19"/>
  <c r="AQ4" i="18" s="1"/>
  <c r="BL4" i="19" s="1"/>
  <c r="AR5" i="18" s="1"/>
  <c r="S3" i="19"/>
  <c r="F3" i="19" s="1"/>
  <c r="AS3" i="19" s="1"/>
  <c r="BE3" i="19"/>
  <c r="AJ4" i="18" s="1"/>
  <c r="F4" i="18" s="1"/>
  <c r="AN4" i="20"/>
  <c r="BX4" i="20"/>
  <c r="G198" i="18"/>
  <c r="V3" i="19"/>
  <c r="I3" i="19" s="1"/>
  <c r="AV3" i="19" s="1"/>
  <c r="X3" i="19"/>
  <c r="K3" i="19" s="1"/>
  <c r="AX3" i="19" s="1"/>
  <c r="BF3" i="19"/>
  <c r="AK4" i="18" s="1"/>
  <c r="G4" i="18" s="1"/>
  <c r="I198" i="18"/>
  <c r="J198" i="18"/>
  <c r="J4" i="18"/>
  <c r="BI4" i="19" s="1"/>
  <c r="H198" i="18"/>
  <c r="L198" i="18"/>
  <c r="R3" i="19"/>
  <c r="E3" i="19" s="1"/>
  <c r="M198" i="18"/>
  <c r="AS4" i="20"/>
  <c r="CC4" i="20"/>
  <c r="AM4" i="20"/>
  <c r="BW4" i="20"/>
  <c r="BG3" i="19"/>
  <c r="AL4" i="18" s="1"/>
  <c r="H4" i="18" s="1"/>
  <c r="BI3" i="19"/>
  <c r="AO4" i="18" s="1"/>
  <c r="K4" i="18" s="1"/>
  <c r="F198" i="18"/>
  <c r="N198" i="18"/>
  <c r="BZ4" i="19"/>
  <c r="N4" i="18"/>
  <c r="E198" i="18"/>
  <c r="BR4" i="19"/>
  <c r="E4" i="18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D198" i="18"/>
  <c r="BP4" i="19"/>
  <c r="AG5" i="18" s="1"/>
  <c r="C198" i="18"/>
  <c r="C4" i="18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AD4" i="18"/>
  <c r="AE4" i="18"/>
  <c r="AA3" i="19"/>
  <c r="N3" i="19" s="1"/>
  <c r="BA3" i="19" s="1"/>
  <c r="V4" i="19"/>
  <c r="AJ4" i="20"/>
  <c r="AD4" i="20"/>
  <c r="AE4" i="20"/>
  <c r="P5" i="20"/>
  <c r="CA5" i="20" s="1"/>
  <c r="AK3" i="20"/>
  <c r="AG3" i="20"/>
  <c r="AC3" i="20"/>
  <c r="AV4" i="20" l="1"/>
  <c r="V5" i="18"/>
  <c r="W5" i="18"/>
  <c r="AW4" i="20"/>
  <c r="M4" i="18"/>
  <c r="AZ4" i="20"/>
  <c r="Z5" i="18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I4" i="19" s="1"/>
  <c r="I4" i="19" s="1"/>
  <c r="BX4" i="19" s="1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U3" i="19"/>
  <c r="H3" i="19" s="1"/>
  <c r="AU3" i="19" s="1"/>
  <c r="BH3" i="19"/>
  <c r="AM4" i="18" s="1"/>
  <c r="I4" i="18" s="1"/>
  <c r="AC5" i="18"/>
  <c r="BC4" i="20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Z3" i="19"/>
  <c r="M3" i="19" s="1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BC3" i="19"/>
  <c r="AH4" i="18" s="1"/>
  <c r="P3" i="19"/>
  <c r="C3" i="19" s="1"/>
  <c r="AU4" i="20"/>
  <c r="U5" i="18"/>
  <c r="BA4" i="20"/>
  <c r="AA5" i="18"/>
  <c r="AY4" i="20"/>
  <c r="Y5" i="18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P198" i="18"/>
  <c r="AT5" i="18"/>
  <c r="P4" i="18"/>
  <c r="O198" i="18"/>
  <c r="O4" i="18"/>
  <c r="AA4" i="19" s="1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BG4" i="19"/>
  <c r="T4" i="19"/>
  <c r="M5" i="20"/>
  <c r="BX5" i="20" s="1"/>
  <c r="BF4" i="19"/>
  <c r="S4" i="19"/>
  <c r="AF4" i="19" s="1"/>
  <c r="F4" i="19" s="1"/>
  <c r="BU4" i="19" s="1"/>
  <c r="L5" i="20"/>
  <c r="BW5" i="20" s="1"/>
  <c r="BE4" i="19"/>
  <c r="R4" i="19"/>
  <c r="AQ5" i="20"/>
  <c r="AH5" i="20" s="1"/>
  <c r="R5" i="20"/>
  <c r="CC5" i="20" s="1"/>
  <c r="BK4" i="19"/>
  <c r="X4" i="19"/>
  <c r="W4" i="19" l="1"/>
  <c r="AM5" i="20"/>
  <c r="AD5" i="20" s="1"/>
  <c r="BJ4" i="19"/>
  <c r="AJ4" i="19"/>
  <c r="J4" i="19" s="1"/>
  <c r="AE5" i="18"/>
  <c r="P5" i="18" s="1"/>
  <c r="BZ5" i="19"/>
  <c r="N5" i="18"/>
  <c r="BC5" i="20" s="1"/>
  <c r="AT4" i="20"/>
  <c r="AK4" i="20" s="1"/>
  <c r="CD4" i="20"/>
  <c r="AP4" i="20"/>
  <c r="AG4" i="20" s="1"/>
  <c r="O5" i="20" s="1"/>
  <c r="BZ5" i="20" s="1"/>
  <c r="BZ4" i="20"/>
  <c r="BD4" i="19"/>
  <c r="AI5" i="18" s="1"/>
  <c r="D4" i="18"/>
  <c r="X5" i="18"/>
  <c r="AX4" i="20"/>
  <c r="AP5" i="18"/>
  <c r="L5" i="18" s="1"/>
  <c r="BA5" i="20" s="1"/>
  <c r="AL4" i="20"/>
  <c r="AC4" i="20" s="1"/>
  <c r="P4" i="19" s="1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B5" i="18"/>
  <c r="Y4" i="19"/>
  <c r="AL4" i="19" s="1"/>
  <c r="BB4" i="20"/>
  <c r="AD5" i="18"/>
  <c r="AN4" i="19"/>
  <c r="AL5" i="18"/>
  <c r="H5" i="18" s="1"/>
  <c r="AS5" i="20"/>
  <c r="AJ5" i="20" s="1"/>
  <c r="AN5" i="20"/>
  <c r="AE5" i="20" s="1"/>
  <c r="AG4" i="19"/>
  <c r="G4" i="19" s="1"/>
  <c r="BV4" i="19" s="1"/>
  <c r="AN5" i="18" s="1"/>
  <c r="P6" i="20"/>
  <c r="CA6" i="20" s="1"/>
  <c r="AR5" i="20"/>
  <c r="AI5" i="20" s="1"/>
  <c r="L6" i="20"/>
  <c r="BW6" i="20" s="1"/>
  <c r="BC4" i="19"/>
  <c r="AK4" i="19"/>
  <c r="K4" i="19" s="1"/>
  <c r="E4" i="19"/>
  <c r="AK5" i="18" s="1"/>
  <c r="G5" i="18" s="1"/>
  <c r="S5" i="20"/>
  <c r="CD5" i="20" s="1"/>
  <c r="Z4" i="19"/>
  <c r="AO5" i="20"/>
  <c r="AF5" i="20" s="1"/>
  <c r="N4" i="19" l="1"/>
  <c r="CA4" i="19" s="1"/>
  <c r="X5" i="22"/>
  <c r="L4" i="19"/>
  <c r="BY4" i="19" s="1"/>
  <c r="AQ5" i="18" s="1"/>
  <c r="V5" i="22"/>
  <c r="U4" i="19"/>
  <c r="I3" i="12"/>
  <c r="M5" i="18"/>
  <c r="BB5" i="20" s="1"/>
  <c r="BL5" i="19"/>
  <c r="AR6" i="18" s="1"/>
  <c r="AT5" i="20"/>
  <c r="AK5" i="20" s="1"/>
  <c r="K5" i="20"/>
  <c r="BV5" i="20" s="1"/>
  <c r="BH4" i="19"/>
  <c r="AM5" i="18" s="1"/>
  <c r="I5" i="18" s="1"/>
  <c r="AX5" i="20" s="1"/>
  <c r="Q4" i="19"/>
  <c r="AD4" i="19" s="1"/>
  <c r="D4" i="19" s="1"/>
  <c r="AJ5" i="18" s="1"/>
  <c r="F5" i="18" s="1"/>
  <c r="AU5" i="20" s="1"/>
  <c r="S5" i="18"/>
  <c r="BP5" i="19" s="1"/>
  <c r="T5" i="18"/>
  <c r="BM4" i="19"/>
  <c r="AS5" i="18" s="1"/>
  <c r="BN5" i="19" s="1"/>
  <c r="AT6" i="18" s="1"/>
  <c r="AV5" i="20"/>
  <c r="J5" i="18"/>
  <c r="W6" i="18"/>
  <c r="AW5" i="20"/>
  <c r="AP5" i="20"/>
  <c r="AG5" i="20" s="1"/>
  <c r="U5" i="19" s="1"/>
  <c r="S6" i="20"/>
  <c r="CD6" i="20" s="1"/>
  <c r="Z5" i="19"/>
  <c r="M6" i="20"/>
  <c r="BX6" i="20" s="1"/>
  <c r="C4" i="19"/>
  <c r="AM6" i="20"/>
  <c r="AD6" i="20" s="1"/>
  <c r="L7" i="20" s="1"/>
  <c r="BW7" i="20" s="1"/>
  <c r="AH4" i="19"/>
  <c r="H4" i="19" s="1"/>
  <c r="BW4" i="19" s="1"/>
  <c r="AO5" i="18" s="1"/>
  <c r="K5" i="18" s="1"/>
  <c r="W5" i="19" s="1"/>
  <c r="M4" i="19"/>
  <c r="N6" i="20"/>
  <c r="BY6" i="20" s="1"/>
  <c r="BG5" i="19"/>
  <c r="T5" i="19"/>
  <c r="Q6" i="20"/>
  <c r="CB6" i="20" s="1"/>
  <c r="AQ6" i="20"/>
  <c r="AH6" i="20" s="1"/>
  <c r="P7" i="20" s="1"/>
  <c r="CA7" i="20" s="1"/>
  <c r="R6" i="20"/>
  <c r="CC6" i="20" s="1"/>
  <c r="BK5" i="19"/>
  <c r="X5" i="19"/>
  <c r="Y5" i="19" l="1"/>
  <c r="AB6" i="18"/>
  <c r="AC6" i="18"/>
  <c r="X6" i="18"/>
  <c r="BS6" i="19" s="1"/>
  <c r="BF5" i="19"/>
  <c r="BR5" i="19"/>
  <c r="E5" i="18"/>
  <c r="U6" i="18" s="1"/>
  <c r="S5" i="19"/>
  <c r="AF5" i="19" s="1"/>
  <c r="F5" i="19" s="1"/>
  <c r="BU5" i="19" s="1"/>
  <c r="AL6" i="18" s="1"/>
  <c r="AL5" i="20"/>
  <c r="BM5" i="19" s="1"/>
  <c r="V6" i="18"/>
  <c r="O5" i="18"/>
  <c r="AA5" i="19" s="1"/>
  <c r="AN5" i="19" s="1"/>
  <c r="N5" i="19" s="1"/>
  <c r="U5" i="22" s="1"/>
  <c r="CA5" i="19" s="1"/>
  <c r="AS6" i="18" s="1"/>
  <c r="BN6" i="19" s="1"/>
  <c r="BJ5" i="19"/>
  <c r="BZ6" i="19"/>
  <c r="N6" i="18"/>
  <c r="BC6" i="20" s="1"/>
  <c r="BH5" i="19"/>
  <c r="AM6" i="18" s="1"/>
  <c r="Y6" i="18"/>
  <c r="AY5" i="20"/>
  <c r="BI5" i="19"/>
  <c r="V5" i="19"/>
  <c r="AI5" i="19" s="1"/>
  <c r="I5" i="19" s="1"/>
  <c r="S5" i="22" s="1"/>
  <c r="BX5" i="19" s="1"/>
  <c r="AL5" i="19"/>
  <c r="L5" i="19" s="1"/>
  <c r="T5" i="22" s="1"/>
  <c r="BY5" i="19" s="1"/>
  <c r="AQ6" i="18" s="1"/>
  <c r="AZ5" i="20"/>
  <c r="Z6" i="18"/>
  <c r="AA6" i="18"/>
  <c r="O6" i="20"/>
  <c r="BQ4" i="19"/>
  <c r="AH5" i="18" s="1"/>
  <c r="AQ7" i="20"/>
  <c r="AH7" i="20" s="1"/>
  <c r="AH5" i="19"/>
  <c r="H5" i="19" s="1"/>
  <c r="R5" i="22" s="1"/>
  <c r="BW5" i="19" s="1"/>
  <c r="M5" i="19"/>
  <c r="AJ5" i="19"/>
  <c r="J5" i="19" s="1"/>
  <c r="AN6" i="20"/>
  <c r="AE6" i="20" s="1"/>
  <c r="AO6" i="20"/>
  <c r="AF6" i="20" s="1"/>
  <c r="AM7" i="20"/>
  <c r="AD7" i="20" s="1"/>
  <c r="AT6" i="20"/>
  <c r="AK6" i="20" s="1"/>
  <c r="AG5" i="19"/>
  <c r="G5" i="19" s="1"/>
  <c r="BV5" i="19" s="1"/>
  <c r="AN6" i="18" s="1"/>
  <c r="AS6" i="20"/>
  <c r="AJ6" i="20" s="1"/>
  <c r="AK5" i="19"/>
  <c r="K5" i="19" s="1"/>
  <c r="AR6" i="20"/>
  <c r="AI6" i="20" s="1"/>
  <c r="I6" i="18" l="1"/>
  <c r="AX6" i="20" s="1"/>
  <c r="X6" i="22"/>
  <c r="V6" i="22"/>
  <c r="AC5" i="20"/>
  <c r="K6" i="20" s="1"/>
  <c r="BV6" i="20" s="1"/>
  <c r="AE6" i="18"/>
  <c r="P6" i="18" s="1"/>
  <c r="R5" i="19"/>
  <c r="E5" i="19" s="1"/>
  <c r="O5" i="22" s="1"/>
  <c r="AK6" i="18" s="1"/>
  <c r="G6" i="18" s="1"/>
  <c r="AV6" i="20" s="1"/>
  <c r="BE5" i="19"/>
  <c r="AD6" i="18"/>
  <c r="AP6" i="20"/>
  <c r="AG6" i="20" s="1"/>
  <c r="O7" i="20" s="1"/>
  <c r="BZ7" i="20" s="1"/>
  <c r="BZ6" i="20"/>
  <c r="AP6" i="18"/>
  <c r="L6" i="18" s="1"/>
  <c r="BA6" i="20" s="1"/>
  <c r="BL6" i="19"/>
  <c r="AR7" i="18" s="1"/>
  <c r="M6" i="18"/>
  <c r="Y6" i="19" s="1"/>
  <c r="AL6" i="19" s="1"/>
  <c r="L6" i="19" s="1"/>
  <c r="T6" i="22" s="1"/>
  <c r="BY6" i="19" s="1"/>
  <c r="J6" i="18"/>
  <c r="BD5" i="19"/>
  <c r="AI6" i="18" s="1"/>
  <c r="D5" i="18"/>
  <c r="AO6" i="18"/>
  <c r="K6" i="18" s="1"/>
  <c r="H6" i="18"/>
  <c r="U6" i="19" s="1"/>
  <c r="M7" i="20"/>
  <c r="BX7" i="20" s="1"/>
  <c r="P8" i="20"/>
  <c r="CA8" i="20" s="1"/>
  <c r="S7" i="20"/>
  <c r="CD7" i="20" s="1"/>
  <c r="Z6" i="19"/>
  <c r="M6" i="19" s="1"/>
  <c r="L8" i="20"/>
  <c r="BW8" i="20" s="1"/>
  <c r="Q7" i="20"/>
  <c r="CB7" i="20" s="1"/>
  <c r="N7" i="20"/>
  <c r="BY7" i="20" s="1"/>
  <c r="R7" i="20"/>
  <c r="CC7" i="20" s="1"/>
  <c r="V7" i="22" l="1"/>
  <c r="AL6" i="20"/>
  <c r="AC6" i="20" s="1"/>
  <c r="AT7" i="18"/>
  <c r="T6" i="19"/>
  <c r="AG6" i="19" s="1"/>
  <c r="G6" i="19" s="1"/>
  <c r="BV6" i="19" s="1"/>
  <c r="AN7" i="18" s="1"/>
  <c r="O6" i="18"/>
  <c r="BG6" i="19"/>
  <c r="BB6" i="20"/>
  <c r="X6" i="19"/>
  <c r="AK6" i="19" s="1"/>
  <c r="K6" i="19" s="1"/>
  <c r="AB7" i="18"/>
  <c r="BH6" i="19"/>
  <c r="AM7" i="18" s="1"/>
  <c r="AC7" i="18"/>
  <c r="N7" i="18" s="1"/>
  <c r="BK6" i="19"/>
  <c r="AQ7" i="18" s="1"/>
  <c r="BL7" i="19" s="1"/>
  <c r="AZ6" i="20"/>
  <c r="Z7" i="18"/>
  <c r="AA7" i="18"/>
  <c r="W6" i="19"/>
  <c r="AJ6" i="19" s="1"/>
  <c r="J6" i="19" s="1"/>
  <c r="AY6" i="20"/>
  <c r="V6" i="19"/>
  <c r="AI6" i="19" s="1"/>
  <c r="I6" i="19" s="1"/>
  <c r="S6" i="22" s="1"/>
  <c r="BX6" i="19" s="1"/>
  <c r="BJ6" i="19"/>
  <c r="Q5" i="19"/>
  <c r="AD5" i="19" s="1"/>
  <c r="D5" i="19" s="1"/>
  <c r="N5" i="22" s="1"/>
  <c r="AJ6" i="18" s="1"/>
  <c r="F6" i="18" s="1"/>
  <c r="T6" i="18"/>
  <c r="Y7" i="18"/>
  <c r="BI6" i="19"/>
  <c r="W7" i="18"/>
  <c r="X7" i="18"/>
  <c r="BS7" i="19" s="1"/>
  <c r="AW6" i="20"/>
  <c r="AQ8" i="20"/>
  <c r="AH8" i="20" s="1"/>
  <c r="AN7" i="20"/>
  <c r="AE7" i="20" s="1"/>
  <c r="AM8" i="20"/>
  <c r="AD8" i="20" s="1"/>
  <c r="AH6" i="19"/>
  <c r="H6" i="19" s="1"/>
  <c r="R6" i="22" s="1"/>
  <c r="BW6" i="19" s="1"/>
  <c r="AO7" i="20"/>
  <c r="AF7" i="20" s="1"/>
  <c r="AR7" i="20"/>
  <c r="AI7" i="20" s="1"/>
  <c r="AS7" i="20"/>
  <c r="AJ7" i="20" s="1"/>
  <c r="AT7" i="20"/>
  <c r="AK7" i="20" s="1"/>
  <c r="BM6" i="19"/>
  <c r="AP7" i="20"/>
  <c r="AG7" i="20" s="1"/>
  <c r="AA6" i="19" l="1"/>
  <c r="AN6" i="19" s="1"/>
  <c r="AE7" i="18"/>
  <c r="P7" i="18" s="1"/>
  <c r="AD7" i="18"/>
  <c r="BZ7" i="19"/>
  <c r="AR8" i="18" s="1"/>
  <c r="M7" i="18"/>
  <c r="Y7" i="19" s="1"/>
  <c r="AL7" i="19" s="1"/>
  <c r="L7" i="19" s="1"/>
  <c r="T7" i="22" s="1"/>
  <c r="BY7" i="19" s="1"/>
  <c r="AO7" i="18"/>
  <c r="K7" i="18" s="1"/>
  <c r="W7" i="19" s="1"/>
  <c r="AP7" i="18"/>
  <c r="L7" i="18" s="1"/>
  <c r="BR6" i="19"/>
  <c r="E6" i="18"/>
  <c r="U7" i="18" s="1"/>
  <c r="AU6" i="20"/>
  <c r="V7" i="18"/>
  <c r="S6" i="19"/>
  <c r="AF6" i="19" s="1"/>
  <c r="F6" i="19" s="1"/>
  <c r="BU6" i="19" s="1"/>
  <c r="AL7" i="18" s="1"/>
  <c r="H7" i="18" s="1"/>
  <c r="AW7" i="20" s="1"/>
  <c r="BF6" i="19"/>
  <c r="BC7" i="20"/>
  <c r="BB7" i="20"/>
  <c r="J7" i="18"/>
  <c r="I7" i="18"/>
  <c r="AX7" i="20" s="1"/>
  <c r="M8" i="20"/>
  <c r="BX8" i="20" s="1"/>
  <c r="S8" i="20"/>
  <c r="CD8" i="20" s="1"/>
  <c r="Z7" i="19"/>
  <c r="M7" i="19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N6" i="19" l="1"/>
  <c r="U6" i="22" s="1"/>
  <c r="CA6" i="19" s="1"/>
  <c r="AS7" i="18" s="1"/>
  <c r="BN7" i="19" s="1"/>
  <c r="AT8" i="18" s="1"/>
  <c r="X7" i="22"/>
  <c r="V8" i="22"/>
  <c r="AC8" i="18"/>
  <c r="BZ8" i="19" s="1"/>
  <c r="O7" i="18"/>
  <c r="AD8" i="18" s="1"/>
  <c r="AB8" i="18"/>
  <c r="BJ7" i="19"/>
  <c r="X7" i="19"/>
  <c r="AK7" i="19" s="1"/>
  <c r="K7" i="19" s="1"/>
  <c r="R6" i="19"/>
  <c r="E6" i="19" s="1"/>
  <c r="O6" i="22" s="1"/>
  <c r="AK7" i="18" s="1"/>
  <c r="G7" i="18" s="1"/>
  <c r="BE6" i="19"/>
  <c r="BH7" i="19"/>
  <c r="AM8" i="18" s="1"/>
  <c r="BA7" i="20"/>
  <c r="BK7" i="19"/>
  <c r="AQ8" i="18" s="1"/>
  <c r="BL8" i="19" s="1"/>
  <c r="AA8" i="18"/>
  <c r="AZ7" i="20"/>
  <c r="U7" i="19"/>
  <c r="AH7" i="19" s="1"/>
  <c r="H7" i="19" s="1"/>
  <c r="R7" i="22" s="1"/>
  <c r="BW7" i="19" s="1"/>
  <c r="Y8" i="18"/>
  <c r="V7" i="19"/>
  <c r="AI7" i="19" s="1"/>
  <c r="I7" i="19" s="1"/>
  <c r="S7" i="22" s="1"/>
  <c r="BX7" i="19" s="1"/>
  <c r="Z8" i="18"/>
  <c r="AY7" i="20"/>
  <c r="BI7" i="19"/>
  <c r="X8" i="18"/>
  <c r="AR8" i="20"/>
  <c r="AI8" i="20" s="1"/>
  <c r="AO8" i="20"/>
  <c r="AF8" i="20" s="1"/>
  <c r="AJ7" i="19"/>
  <c r="J7" i="19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N8" i="18" l="1"/>
  <c r="AE8" i="18"/>
  <c r="P8" i="18" s="1"/>
  <c r="AA7" i="19"/>
  <c r="AN7" i="19" s="1"/>
  <c r="N7" i="19" s="1"/>
  <c r="U7" i="22" s="1"/>
  <c r="CA7" i="19" s="1"/>
  <c r="AP8" i="18"/>
  <c r="L8" i="18" s="1"/>
  <c r="M8" i="18"/>
  <c r="BB8" i="20" s="1"/>
  <c r="I8" i="18"/>
  <c r="AX8" i="20" s="1"/>
  <c r="AR9" i="18"/>
  <c r="AV7" i="20"/>
  <c r="T7" i="19"/>
  <c r="AG7" i="19" s="1"/>
  <c r="G7" i="19" s="1"/>
  <c r="BV7" i="19" s="1"/>
  <c r="AN8" i="18" s="1"/>
  <c r="J8" i="18" s="1"/>
  <c r="W8" i="18"/>
  <c r="BG7" i="19"/>
  <c r="BC8" i="20"/>
  <c r="AC9" i="18"/>
  <c r="AO8" i="18"/>
  <c r="K8" i="18" s="1"/>
  <c r="L10" i="20"/>
  <c r="P10" i="20"/>
  <c r="CA10" i="20" s="1"/>
  <c r="N9" i="20"/>
  <c r="BY9" i="20" s="1"/>
  <c r="Q9" i="20"/>
  <c r="CB9" i="20" s="1"/>
  <c r="S9" i="20"/>
  <c r="CD9" i="20" s="1"/>
  <c r="Z8" i="19"/>
  <c r="M8" i="19" s="1"/>
  <c r="R9" i="20"/>
  <c r="CC9" i="20" s="1"/>
  <c r="O9" i="20"/>
  <c r="BZ9" i="20" s="1"/>
  <c r="M9" i="20"/>
  <c r="BX9" i="20" s="1"/>
  <c r="AC7" i="20"/>
  <c r="K8" i="20" s="1"/>
  <c r="BV8" i="20" s="1"/>
  <c r="BM7" i="19"/>
  <c r="AS8" i="18" s="1"/>
  <c r="X8" i="22" l="1"/>
  <c r="BS8" i="19" s="1"/>
  <c r="AB9" i="18"/>
  <c r="BK8" i="19"/>
  <c r="Y8" i="19"/>
  <c r="AL8" i="19" s="1"/>
  <c r="AM10" i="20"/>
  <c r="AD10" i="20" s="1"/>
  <c r="L11" i="20" s="1"/>
  <c r="BW11" i="20" s="1"/>
  <c r="BW10" i="20"/>
  <c r="X8" i="19"/>
  <c r="AK8" i="19" s="1"/>
  <c r="K8" i="19" s="1"/>
  <c r="BA8" i="20"/>
  <c r="BN8" i="19"/>
  <c r="AT9" i="18" s="1"/>
  <c r="O8" i="18"/>
  <c r="Z9" i="18"/>
  <c r="W8" i="19"/>
  <c r="AJ8" i="19" s="1"/>
  <c r="J8" i="19" s="1"/>
  <c r="N9" i="18"/>
  <c r="BZ9" i="19"/>
  <c r="BJ8" i="19"/>
  <c r="AZ8" i="20"/>
  <c r="AA9" i="18"/>
  <c r="Y9" i="18"/>
  <c r="V8" i="19"/>
  <c r="AI8" i="19" s="1"/>
  <c r="I8" i="19" s="1"/>
  <c r="S8" i="22" s="1"/>
  <c r="BX8" i="19" s="1"/>
  <c r="AY8" i="20"/>
  <c r="BI8" i="19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L8" i="19" l="1"/>
  <c r="T8" i="22" s="1"/>
  <c r="BY8" i="19" s="1"/>
  <c r="AQ9" i="18" s="1"/>
  <c r="BL9" i="19" s="1"/>
  <c r="V9" i="22"/>
  <c r="AM11" i="20"/>
  <c r="AD11" i="20" s="1"/>
  <c r="L12" i="20" s="1"/>
  <c r="BW12" i="20" s="1"/>
  <c r="M9" i="18"/>
  <c r="BB9" i="20" s="1"/>
  <c r="AR10" i="18"/>
  <c r="AD9" i="18"/>
  <c r="AA8" i="19"/>
  <c r="AN8" i="19" s="1"/>
  <c r="AE9" i="18"/>
  <c r="P9" i="18" s="1"/>
  <c r="BC9" i="20"/>
  <c r="AP9" i="18"/>
  <c r="P11" i="20"/>
  <c r="CA11" i="20" s="1"/>
  <c r="N10" i="20"/>
  <c r="BY10" i="20" s="1"/>
  <c r="R10" i="20"/>
  <c r="CC10" i="20" s="1"/>
  <c r="S10" i="20"/>
  <c r="CD10" i="20" s="1"/>
  <c r="Z9" i="19"/>
  <c r="M9" i="19" s="1"/>
  <c r="AC8" i="20"/>
  <c r="BM8" i="19"/>
  <c r="Q10" i="20"/>
  <c r="CB10" i="20" s="1"/>
  <c r="O10" i="20"/>
  <c r="BZ10" i="20" s="1"/>
  <c r="AN10" i="20"/>
  <c r="AE10" i="20" s="1"/>
  <c r="M11" i="20" s="1"/>
  <c r="BX11" i="20" s="1"/>
  <c r="N8" i="19" l="1"/>
  <c r="U8" i="22" s="1"/>
  <c r="CA8" i="19" s="1"/>
  <c r="X9" i="22"/>
  <c r="AM12" i="20"/>
  <c r="AD12" i="20" s="1"/>
  <c r="L13" i="20" s="1"/>
  <c r="BW13" i="20" s="1"/>
  <c r="AC10" i="18"/>
  <c r="BZ10" i="19" s="1"/>
  <c r="Y9" i="19"/>
  <c r="AL9" i="19" s="1"/>
  <c r="L9" i="19" s="1"/>
  <c r="T9" i="22" s="1"/>
  <c r="BY9" i="19" s="1"/>
  <c r="AS9" i="18"/>
  <c r="BN9" i="19" s="1"/>
  <c r="AT10" i="18" s="1"/>
  <c r="L9" i="18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V10" i="22" l="1"/>
  <c r="N10" i="18"/>
  <c r="BC10" i="20" s="1"/>
  <c r="O9" i="18"/>
  <c r="AA9" i="19" s="1"/>
  <c r="AN9" i="19" s="1"/>
  <c r="N9" i="19" s="1"/>
  <c r="U9" i="22" s="1"/>
  <c r="CA9" i="19" s="1"/>
  <c r="X9" i="19"/>
  <c r="AK9" i="19" s="1"/>
  <c r="K9" i="19" s="1"/>
  <c r="BA9" i="20"/>
  <c r="AB10" i="18"/>
  <c r="BK9" i="19"/>
  <c r="AQ10" i="18" s="1"/>
  <c r="R11" i="20"/>
  <c r="CC11" i="20" s="1"/>
  <c r="S11" i="20"/>
  <c r="CD11" i="20" s="1"/>
  <c r="Z10" i="19"/>
  <c r="M10" i="19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X10" i="22" l="1"/>
  <c r="AE10" i="18"/>
  <c r="P10" i="18" s="1"/>
  <c r="AD10" i="18"/>
  <c r="BL10" i="19"/>
  <c r="AR11" i="18" s="1"/>
  <c r="M10" i="18"/>
  <c r="AO11" i="20"/>
  <c r="AF11" i="20" s="1"/>
  <c r="N12" i="20" s="1"/>
  <c r="BY12" i="20" s="1"/>
  <c r="AC9" i="20"/>
  <c r="BM9" i="19"/>
  <c r="AS10" i="18" s="1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BN10" i="19" l="1"/>
  <c r="AT11" i="18" s="1"/>
  <c r="O10" i="18"/>
  <c r="BB10" i="20"/>
  <c r="Y10" i="19"/>
  <c r="AL10" i="19" s="1"/>
  <c r="AC11" i="18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L10" i="19" l="1"/>
  <c r="T10" i="22" s="1"/>
  <c r="BY10" i="19" s="1"/>
  <c r="V11" i="22"/>
  <c r="AA10" i="19"/>
  <c r="AN10" i="19" s="1"/>
  <c r="AD11" i="18"/>
  <c r="AE11" i="18"/>
  <c r="P11" i="18" s="1"/>
  <c r="N11" i="18"/>
  <c r="BZ11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N10" i="19" l="1"/>
  <c r="U10" i="22" s="1"/>
  <c r="CA10" i="19" s="1"/>
  <c r="X11" i="22"/>
  <c r="Z11" i="19"/>
  <c r="M11" i="19" s="1"/>
  <c r="BC11" i="20"/>
  <c r="AN15" i="20"/>
  <c r="AE15" i="20" s="1"/>
  <c r="R13" i="20"/>
  <c r="CC13" i="20" s="1"/>
  <c r="AC10" i="20"/>
  <c r="BM10" i="19"/>
  <c r="AS11" i="18" s="1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BN11" i="19" l="1"/>
  <c r="AT12" i="18" s="1"/>
  <c r="O11" i="18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AN16" i="20" l="1"/>
  <c r="AE16" i="20" s="1"/>
  <c r="M17" i="20" s="1"/>
  <c r="BX17" i="20" s="1"/>
  <c r="AE12" i="18"/>
  <c r="AA11" i="19"/>
  <c r="AN11" i="19" s="1"/>
  <c r="AD12" i="18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N11" i="19" l="1"/>
  <c r="U11" i="22" s="1"/>
  <c r="CA11" i="19" s="1"/>
  <c r="X12" i="22"/>
  <c r="P12" i="18"/>
  <c r="AS14" i="20"/>
  <c r="AJ14" i="20" s="1"/>
  <c r="L17" i="20"/>
  <c r="BW17" i="20" s="1"/>
  <c r="BM11" i="19"/>
  <c r="AS12" i="18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N12" i="19" l="1"/>
  <c r="AT13" i="18" s="1"/>
  <c r="O12" i="18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AA12" i="19" l="1"/>
  <c r="AN12" i="19" s="1"/>
  <c r="AE13" i="18"/>
  <c r="P13" i="18" s="1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N12" i="19" l="1"/>
  <c r="U12" i="22" s="1"/>
  <c r="CA12" i="19" s="1"/>
  <c r="X13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O17" i="20"/>
  <c r="BZ17" i="20" s="1"/>
  <c r="AM18" i="20"/>
  <c r="AD18" i="20" s="1"/>
  <c r="L19" i="20" s="1"/>
  <c r="BW19" i="20" s="1"/>
  <c r="AO17" i="20"/>
  <c r="AF17" i="20" s="1"/>
  <c r="AQ17" i="20" l="1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AM20" i="20" l="1"/>
  <c r="AD20" i="20" s="1"/>
  <c r="O18" i="20"/>
  <c r="BZ18" i="20" s="1"/>
  <c r="R17" i="20"/>
  <c r="CC17" i="20" s="1"/>
  <c r="S17" i="20"/>
  <c r="CD17" i="20" s="1"/>
  <c r="Q17" i="20"/>
  <c r="CB17" i="20" s="1"/>
  <c r="AL13" i="20"/>
  <c r="AO18" i="20"/>
  <c r="AF18" i="20" s="1"/>
  <c r="N19" i="20" s="1"/>
  <c r="BY19" i="20" s="1"/>
  <c r="M20" i="20"/>
  <c r="BX20" i="20" s="1"/>
  <c r="P18" i="20"/>
  <c r="CA18" i="20" s="1"/>
  <c r="AO19" i="20" l="1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AQ18" i="20"/>
  <c r="AH18" i="20" s="1"/>
  <c r="AP18" i="20"/>
  <c r="AG18" i="20" s="1"/>
  <c r="Q18" i="20" l="1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AM22" i="20" l="1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AT18" i="20"/>
  <c r="AK18" i="20" s="1"/>
  <c r="AM23" i="20" l="1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AO22" i="20"/>
  <c r="AF22" i="20" s="1"/>
  <c r="R19" i="20"/>
  <c r="CC19" i="20" s="1"/>
  <c r="P20" i="20"/>
  <c r="CA20" i="20" s="1"/>
  <c r="AT19" i="20" l="1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S20" i="20" l="1"/>
  <c r="CD20" i="20" s="1"/>
  <c r="Q20" i="20"/>
  <c r="CB20" i="20" s="1"/>
  <c r="AL15" i="20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N24" i="20" l="1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AO24" i="20" l="1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N25" i="20" l="1"/>
  <c r="AE25" i="20" s="1"/>
  <c r="AL16" i="20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M26" i="20" l="1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AN26" i="20" l="1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M27" i="20" l="1"/>
  <c r="BX27" i="20" s="1"/>
  <c r="AL17" i="20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AN27" i="20" l="1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AN28" i="20" l="1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M29" i="20" l="1"/>
  <c r="BX29" i="20" s="1"/>
  <c r="N30" i="20"/>
  <c r="BY30" i="20" s="1"/>
  <c r="AP26" i="20"/>
  <c r="AG26" i="20" s="1"/>
  <c r="AL18" i="20"/>
  <c r="AQ25" i="20"/>
  <c r="AH25" i="20" s="1"/>
  <c r="AS24" i="20"/>
  <c r="AJ24" i="20" s="1"/>
  <c r="AR24" i="20"/>
  <c r="AI24" i="20" s="1"/>
  <c r="AT24" i="20"/>
  <c r="AK24" i="20" s="1"/>
  <c r="L30" i="20"/>
  <c r="BW30" i="20" s="1"/>
  <c r="AN29" i="20" l="1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30" i="20" l="1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AN30" i="20" l="1"/>
  <c r="AE30" i="20" s="1"/>
  <c r="R26" i="20"/>
  <c r="CC26" i="20" s="1"/>
  <c r="S26" i="20"/>
  <c r="CD26" i="20" s="1"/>
  <c r="P27" i="20"/>
  <c r="CA27" i="20" s="1"/>
  <c r="AL19" i="20"/>
  <c r="AO31" i="20"/>
  <c r="AF31" i="20" s="1"/>
  <c r="Q26" i="20"/>
  <c r="CB26" i="20" s="1"/>
  <c r="AP28" i="20"/>
  <c r="AG28" i="20" s="1"/>
  <c r="L32" i="20"/>
  <c r="BW32" i="20" s="1"/>
  <c r="M31" i="20" l="1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N31" i="20" l="1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AN32" i="20" l="1"/>
  <c r="AE32" i="20" s="1"/>
  <c r="AT27" i="20"/>
  <c r="AK27" i="20" s="1"/>
  <c r="AO33" i="20"/>
  <c r="AF33" i="20" s="1"/>
  <c r="O30" i="20"/>
  <c r="BZ30" i="20" s="1"/>
  <c r="AL20" i="20"/>
  <c r="AR27" i="20"/>
  <c r="AI27" i="20" s="1"/>
  <c r="AS27" i="20"/>
  <c r="AJ27" i="20" s="1"/>
  <c r="AQ28" i="20"/>
  <c r="AH28" i="20" s="1"/>
  <c r="AM33" i="20"/>
  <c r="AD33" i="20" s="1"/>
  <c r="M33" i="20" l="1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AN33" i="20" l="1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M34" i="20" l="1"/>
  <c r="BX34" i="20" s="1"/>
  <c r="AO35" i="20"/>
  <c r="AF35" i="20" s="1"/>
  <c r="N36" i="20" s="1"/>
  <c r="BY36" i="20" s="1"/>
  <c r="AL21" i="20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AN34" i="20" l="1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M35" i="20" l="1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AN35" i="20" l="1"/>
  <c r="AE35" i="20" s="1"/>
  <c r="AT30" i="20"/>
  <c r="AK30" i="20" s="1"/>
  <c r="AP33" i="20"/>
  <c r="AG33" i="20" s="1"/>
  <c r="AQ31" i="20"/>
  <c r="AH31" i="20" s="1"/>
  <c r="AS30" i="20"/>
  <c r="AJ30" i="20" s="1"/>
  <c r="AL22" i="20"/>
  <c r="AR30" i="20"/>
  <c r="AI30" i="20" s="1"/>
  <c r="N38" i="20"/>
  <c r="BY38" i="20" s="1"/>
  <c r="L37" i="20"/>
  <c r="BW37" i="20" s="1"/>
  <c r="M36" i="20" l="1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N36" i="20" l="1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AN37" i="20" l="1"/>
  <c r="AE37" i="20" s="1"/>
  <c r="P33" i="20"/>
  <c r="CA33" i="20" s="1"/>
  <c r="AL23" i="20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M38" i="20" l="1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N38" i="20" l="1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M39" i="20" l="1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AO41" i="20"/>
  <c r="AF41" i="20" s="1"/>
  <c r="AM40" i="20"/>
  <c r="AD40" i="20" s="1"/>
  <c r="AN39" i="20" l="1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N40" i="20" l="1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M41" i="20" l="1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L42" i="20"/>
  <c r="BW42" i="20" s="1"/>
  <c r="N43" i="20"/>
  <c r="BY43" i="20" s="1"/>
  <c r="AN41" i="20" l="1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M42" i="20" l="1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AN42" i="20" l="1"/>
  <c r="AE42" i="20" s="1"/>
  <c r="AP40" i="20"/>
  <c r="AG40" i="20" s="1"/>
  <c r="AT36" i="20"/>
  <c r="AK36" i="20" s="1"/>
  <c r="AR36" i="20"/>
  <c r="AI36" i="20" s="1"/>
  <c r="AL26" i="20"/>
  <c r="AS36" i="20"/>
  <c r="AJ36" i="20" s="1"/>
  <c r="AQ37" i="20"/>
  <c r="AH37" i="20" s="1"/>
  <c r="AO44" i="20"/>
  <c r="AF44" i="20" s="1"/>
  <c r="N45" i="20" s="1"/>
  <c r="BY45" i="20" s="1"/>
  <c r="L44" i="20"/>
  <c r="BW44" i="20" s="1"/>
  <c r="M43" i="20" l="1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AN43" i="20" l="1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M44" i="20" l="1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AM45" i="20"/>
  <c r="AD45" i="20" s="1"/>
  <c r="AO46" i="20"/>
  <c r="AF46" i="20" s="1"/>
  <c r="AN44" i="20" l="1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AN45" i="20" l="1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M46" i="20" l="1"/>
  <c r="BX46" i="20" s="1"/>
  <c r="AS39" i="20"/>
  <c r="AJ39" i="20" s="1"/>
  <c r="AP43" i="20"/>
  <c r="AG43" i="20" s="1"/>
  <c r="O44" i="20" s="1"/>
  <c r="BZ44" i="20" s="1"/>
  <c r="AL28" i="20"/>
  <c r="AQ40" i="20"/>
  <c r="AH40" i="20" s="1"/>
  <c r="AR39" i="20"/>
  <c r="AI39" i="20" s="1"/>
  <c r="AT39" i="20"/>
  <c r="AK39" i="20" s="1"/>
  <c r="N48" i="20"/>
  <c r="BY48" i="20" s="1"/>
  <c r="AM47" i="20"/>
  <c r="AD47" i="20" s="1"/>
  <c r="AN46" i="20" l="1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M47" i="20" l="1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AN47" i="20" l="1"/>
  <c r="AE47" i="20" s="1"/>
  <c r="M48" i="20" s="1"/>
  <c r="BX48" i="20" s="1"/>
  <c r="S41" i="20"/>
  <c r="CD41" i="20" s="1"/>
  <c r="P42" i="20"/>
  <c r="CA42" i="20" s="1"/>
  <c r="AL29" i="20"/>
  <c r="Q41" i="20"/>
  <c r="CB41" i="20" s="1"/>
  <c r="R41" i="20"/>
  <c r="CC41" i="20" s="1"/>
  <c r="AP45" i="20"/>
  <c r="AG45" i="20" s="1"/>
  <c r="L49" i="20"/>
  <c r="BW49" i="20" s="1"/>
  <c r="N50" i="20"/>
  <c r="BY50" i="20" s="1"/>
  <c r="AN48" i="20" l="1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M49" i="20" l="1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AN49" i="20" l="1"/>
  <c r="AE49" i="20" s="1"/>
  <c r="AQ43" i="20"/>
  <c r="AH43" i="20" s="1"/>
  <c r="AS42" i="20"/>
  <c r="AJ42" i="20" s="1"/>
  <c r="AR42" i="20"/>
  <c r="AI42" i="20" s="1"/>
  <c r="AL30" i="20"/>
  <c r="AT42" i="20"/>
  <c r="AK42" i="20" s="1"/>
  <c r="O47" i="20"/>
  <c r="BZ47" i="20" s="1"/>
  <c r="AO51" i="20"/>
  <c r="AF51" i="20" s="1"/>
  <c r="AM50" i="20"/>
  <c r="AD50" i="20" s="1"/>
  <c r="L51" i="20" s="1"/>
  <c r="BW51" i="20" s="1"/>
  <c r="M50" i="20" l="1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AN50" i="20" l="1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N51" i="20" l="1"/>
  <c r="AE51" i="20" s="1"/>
  <c r="O49" i="20"/>
  <c r="BZ49" i="20" s="1"/>
  <c r="R44" i="20"/>
  <c r="CC44" i="20" s="1"/>
  <c r="AL31" i="20"/>
  <c r="P45" i="20"/>
  <c r="CA45" i="20" s="1"/>
  <c r="S44" i="20"/>
  <c r="CD44" i="20" s="1"/>
  <c r="Q44" i="20"/>
  <c r="CB44" i="20" s="1"/>
  <c r="AM52" i="20"/>
  <c r="AD52" i="20" s="1"/>
  <c r="AO53" i="20"/>
  <c r="AF53" i="20" s="1"/>
  <c r="M52" i="20" l="1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AN52" i="20" l="1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M53" i="20" l="1"/>
  <c r="BX53" i="20" s="1"/>
  <c r="AQ46" i="20"/>
  <c r="AH46" i="20" s="1"/>
  <c r="AS45" i="20"/>
  <c r="AJ45" i="20" s="1"/>
  <c r="AT45" i="20"/>
  <c r="AK45" i="20" s="1"/>
  <c r="AR45" i="20"/>
  <c r="AI45" i="20" s="1"/>
  <c r="AL32" i="20"/>
  <c r="AP50" i="20"/>
  <c r="AG50" i="20" s="1"/>
  <c r="N55" i="20"/>
  <c r="BY55" i="20" s="1"/>
  <c r="L54" i="20"/>
  <c r="BW54" i="20" s="1"/>
  <c r="AN53" i="20" l="1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M54" i="20" l="1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AN54" i="20" l="1"/>
  <c r="AE54" i="20" s="1"/>
  <c r="M55" i="20" s="1"/>
  <c r="BX55" i="20" s="1"/>
  <c r="Q47" i="20"/>
  <c r="CB47" i="20" s="1"/>
  <c r="R47" i="20"/>
  <c r="CC47" i="20" s="1"/>
  <c r="AP52" i="20"/>
  <c r="AG52" i="20" s="1"/>
  <c r="AL33" i="20"/>
  <c r="S47" i="20"/>
  <c r="CD47" i="20" s="1"/>
  <c r="P48" i="20"/>
  <c r="CA48" i="20" s="1"/>
  <c r="AO56" i="20"/>
  <c r="AF56" i="20" s="1"/>
  <c r="N57" i="20" s="1"/>
  <c r="BY57" i="20" s="1"/>
  <c r="L56" i="20"/>
  <c r="BW56" i="20" s="1"/>
  <c r="AN55" i="20" l="1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M56" i="20" l="1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AN56" i="20" l="1"/>
  <c r="AE56" i="20" s="1"/>
  <c r="AL34" i="20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M57" i="20" l="1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AN57" i="20" l="1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AN58" i="20" l="1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AM59" i="20"/>
  <c r="AD59" i="20" s="1"/>
  <c r="N60" i="20"/>
  <c r="BY60" i="20" s="1"/>
  <c r="AN59" i="20" l="1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R51" i="20" l="1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AT51" i="20" l="1"/>
  <c r="AK51" i="20" s="1"/>
  <c r="AL36" i="20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P53" i="20" l="1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AR52" i="20" l="1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O59" i="20" l="1"/>
  <c r="BZ59" i="20" s="1"/>
  <c r="AL37" i="20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C37" i="20" l="1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AP60" i="20" l="1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AT54" i="20" l="1"/>
  <c r="AK54" i="20" s="1"/>
  <c r="AL38" i="20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AP61" i="20" l="1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AQ56" i="20" l="1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R56" i="20" l="1"/>
  <c r="CC56" i="20" s="1"/>
  <c r="AP62" i="20"/>
  <c r="AG62" i="20" s="1"/>
  <c r="S56" i="20"/>
  <c r="CD56" i="20" s="1"/>
  <c r="AL39" i="20"/>
  <c r="P57" i="20"/>
  <c r="CA57" i="20" s="1"/>
  <c r="Q56" i="20"/>
  <c r="CB56" i="20" s="1"/>
  <c r="AN66" i="20"/>
  <c r="AE66" i="20" s="1"/>
  <c r="N67" i="20"/>
  <c r="BY67" i="20" s="1"/>
  <c r="L66" i="20"/>
  <c r="BW66" i="20" s="1"/>
  <c r="O63" i="20" l="1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K40" i="20" l="1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AP64" i="20" l="1"/>
  <c r="AG64" i="20" s="1"/>
  <c r="AT57" i="20"/>
  <c r="AK57" i="20" s="1"/>
  <c r="AS57" i="20"/>
  <c r="AJ57" i="20" s="1"/>
  <c r="AL40" i="20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P59" i="20" l="1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AQ59" i="20" l="1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P60" i="20" l="1"/>
  <c r="CA60" i="20" s="1"/>
  <c r="Q59" i="20"/>
  <c r="CB59" i="20" s="1"/>
  <c r="O66" i="20"/>
  <c r="BZ66" i="20" s="1"/>
  <c r="AL41" i="20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Q60" i="20" l="1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R60" i="20" l="1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AL42" i="20" l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Q61" i="20" l="1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AT61" i="20" l="1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P63" i="20" l="1"/>
  <c r="CA63" i="20" s="1"/>
  <c r="AP69" i="20"/>
  <c r="AG69" i="20" s="1"/>
  <c r="AL43" i="20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AT62" i="20" l="1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AP70" i="20" l="1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O71" i="20" l="1"/>
  <c r="BZ71" i="20" s="1"/>
  <c r="AL44" i="20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AP71" i="20" l="1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AQ65" i="20" l="1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S65" i="20" l="1"/>
  <c r="CD65" i="20" s="1"/>
  <c r="Q65" i="20"/>
  <c r="CB65" i="20" s="1"/>
  <c r="P66" i="20"/>
  <c r="CA66" i="20" s="1"/>
  <c r="R65" i="20"/>
  <c r="CC65" i="20" s="1"/>
  <c r="O73" i="20"/>
  <c r="BZ73" i="20" s="1"/>
  <c r="AL45" i="20"/>
  <c r="AM76" i="20"/>
  <c r="AD76" i="20" s="1"/>
  <c r="AN76" i="20"/>
  <c r="AE76" i="20" s="1"/>
  <c r="AO77" i="20"/>
  <c r="AF77" i="20" s="1"/>
  <c r="AR65" i="20" l="1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S66" i="20" l="1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AQ67" i="20" l="1"/>
  <c r="AH67" i="20" s="1"/>
  <c r="AT66" i="20"/>
  <c r="AK66" i="20" s="1"/>
  <c r="AR66" i="20"/>
  <c r="AI66" i="20" s="1"/>
  <c r="AS66" i="20"/>
  <c r="AJ66" i="20" s="1"/>
  <c r="AL46" i="20"/>
  <c r="AP74" i="20"/>
  <c r="AG74" i="20" s="1"/>
  <c r="AN78" i="20"/>
  <c r="AE78" i="20" s="1"/>
  <c r="L78" i="20"/>
  <c r="BW78" i="20" s="1"/>
  <c r="N79" i="20"/>
  <c r="BY79" i="20" s="1"/>
  <c r="P68" i="20" l="1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AT67" i="20" l="1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R68" i="20" l="1"/>
  <c r="CC68" i="20" s="1"/>
  <c r="AP76" i="20"/>
  <c r="AG76" i="20" s="1"/>
  <c r="S68" i="20"/>
  <c r="CD68" i="20" s="1"/>
  <c r="AL47" i="20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AC47" i="20" l="1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R69" i="20" l="1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O78" i="20" l="1"/>
  <c r="BZ78" i="20" s="1"/>
  <c r="AQ70" i="20"/>
  <c r="AH70" i="20" s="1"/>
  <c r="AS69" i="20"/>
  <c r="AJ69" i="20" s="1"/>
  <c r="AL48" i="20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AC48" i="20" l="1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T70" i="20" l="1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AL49" i="20" l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AP80" i="20" l="1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O81" i="20" l="1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AS72" i="20" l="1"/>
  <c r="AJ72" i="20" s="1"/>
  <c r="AQ73" i="20"/>
  <c r="AH73" i="20" s="1"/>
  <c r="AT72" i="20"/>
  <c r="AK72" i="20" s="1"/>
  <c r="AP81" i="20"/>
  <c r="AG81" i="20" s="1"/>
  <c r="AL50" i="20"/>
  <c r="AR72" i="20"/>
  <c r="AI72" i="20" s="1"/>
  <c r="L85" i="20"/>
  <c r="BW85" i="20" s="1"/>
  <c r="M85" i="20"/>
  <c r="BX85" i="20" s="1"/>
  <c r="N86" i="20"/>
  <c r="BY86" i="20" s="1"/>
  <c r="O82" i="20" l="1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AQ74" i="20" l="1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R74" i="20" l="1"/>
  <c r="CC74" i="20" s="1"/>
  <c r="P75" i="20"/>
  <c r="CA75" i="20" s="1"/>
  <c r="O83" i="20"/>
  <c r="BZ83" i="20" s="1"/>
  <c r="AL51" i="20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AP83" i="20" l="1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Q75" i="20" l="1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AL52" i="20" l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Q76" i="20" l="1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T76" i="20" l="1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S77" i="20" l="1"/>
  <c r="CD77" i="20" s="1"/>
  <c r="P78" i="20"/>
  <c r="CA78" i="20" s="1"/>
  <c r="AL53" i="20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AQ78" i="20" l="1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AP87" i="20" l="1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AQ79" i="20" l="1"/>
  <c r="AH79" i="20" s="1"/>
  <c r="AL54" i="20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AC54" i="20" l="1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AT79" i="20" l="1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Q80" i="20" l="1"/>
  <c r="CB80" i="20" s="1"/>
  <c r="O90" i="20"/>
  <c r="BZ90" i="20" s="1"/>
  <c r="P81" i="20"/>
  <c r="CA81" i="20" s="1"/>
  <c r="R80" i="20"/>
  <c r="CC80" i="20" s="1"/>
  <c r="AL55" i="20"/>
  <c r="S80" i="20"/>
  <c r="CD80" i="20" s="1"/>
  <c r="AM93" i="20"/>
  <c r="AD93" i="20" s="1"/>
  <c r="AO94" i="20"/>
  <c r="AF94" i="20" s="1"/>
  <c r="AN93" i="20"/>
  <c r="AE93" i="20" s="1"/>
  <c r="M94" i="20" s="1"/>
  <c r="BX94" i="20" s="1"/>
  <c r="AQ81" i="20" l="1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S81" i="20" l="1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P91" i="20" l="1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AM95" i="20"/>
  <c r="AD95" i="20" s="1"/>
  <c r="N96" i="20"/>
  <c r="BY96" i="20" s="1"/>
  <c r="AN95" i="20"/>
  <c r="AE95" i="20" s="1"/>
  <c r="P83" i="20" l="1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AR82" i="20" l="1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AL57" i="20" l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AS83" i="20" l="1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K58" i="20" l="1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AS84" i="20" l="1"/>
  <c r="AJ84" i="20" s="1"/>
  <c r="AT84" i="20"/>
  <c r="AK84" i="20" s="1"/>
  <c r="AR84" i="20"/>
  <c r="AI84" i="20" s="1"/>
  <c r="O95" i="20"/>
  <c r="BZ95" i="20" s="1"/>
  <c r="AQ85" i="20"/>
  <c r="AH85" i="20" s="1"/>
  <c r="AL58" i="20"/>
  <c r="AO99" i="20"/>
  <c r="AF99" i="20" s="1"/>
  <c r="M99" i="20"/>
  <c r="BX99" i="20" s="1"/>
  <c r="AM98" i="20"/>
  <c r="AD98" i="20" s="1"/>
  <c r="L99" i="20" s="1"/>
  <c r="BW99" i="20" s="1"/>
  <c r="AP95" i="20" l="1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P96" i="20" l="1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S86" i="20" l="1"/>
  <c r="CD86" i="20" s="1"/>
  <c r="P87" i="20"/>
  <c r="CA87" i="20" s="1"/>
  <c r="R86" i="20"/>
  <c r="CC86" i="20" s="1"/>
  <c r="O97" i="20"/>
  <c r="BZ97" i="20" s="1"/>
  <c r="AL59" i="20"/>
  <c r="Q86" i="20"/>
  <c r="CB86" i="20" s="1"/>
  <c r="AM100" i="20"/>
  <c r="AD100" i="20" s="1"/>
  <c r="AO101" i="20"/>
  <c r="AF101" i="20" s="1"/>
  <c r="AN100" i="20"/>
  <c r="AE100" i="20" s="1"/>
  <c r="AR86" i="20" l="1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Q87" i="20" l="1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AQ88" i="20" l="1"/>
  <c r="AH88" i="20" s="1"/>
  <c r="AP98" i="20"/>
  <c r="AG98" i="20" s="1"/>
  <c r="AL60" i="20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R88" i="20" l="1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AQ89" i="20" l="1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P90" i="20" l="1"/>
  <c r="CA90" i="20" s="1"/>
  <c r="AL61" i="20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AT89" i="20" l="1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R90" i="20" l="1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AQ91" i="20" l="1"/>
  <c r="AH91" i="20" s="1"/>
  <c r="O102" i="20"/>
  <c r="BZ102" i="20" s="1"/>
  <c r="AT90" i="20"/>
  <c r="AK90" i="20" s="1"/>
  <c r="AL62" i="20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R91" i="20" l="1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O103" i="20" l="1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92" i="20" l="1"/>
  <c r="CB92" i="20" s="1"/>
  <c r="R92" i="20"/>
  <c r="CC92" i="20" s="1"/>
  <c r="S92" i="20"/>
  <c r="CD92" i="20" s="1"/>
  <c r="AL63" i="20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AT92" i="20" l="1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Q93" i="20" l="1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AP105" i="20" l="1"/>
  <c r="AG105" i="20" s="1"/>
  <c r="AQ94" i="20"/>
  <c r="AH94" i="20" s="1"/>
  <c r="AS93" i="20"/>
  <c r="AJ93" i="20" s="1"/>
  <c r="AL64" i="20"/>
  <c r="AT93" i="20"/>
  <c r="AK93" i="20" s="1"/>
  <c r="AR93" i="20"/>
  <c r="AI93" i="20" s="1"/>
  <c r="M109" i="20"/>
  <c r="BX109" i="20" s="1"/>
  <c r="L109" i="20"/>
  <c r="BW109" i="20" s="1"/>
  <c r="N110" i="20"/>
  <c r="BY110" i="20" s="1"/>
  <c r="S94" i="20" l="1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B4" i="18"/>
  <c r="O4" i="19" s="1"/>
  <c r="AB4" i="19" s="1"/>
  <c r="AQ95" i="20" l="1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R5" i="18"/>
  <c r="Q5" i="18"/>
  <c r="Q95" i="20" l="1"/>
  <c r="CB95" i="20" s="1"/>
  <c r="O107" i="20"/>
  <c r="BZ107" i="20" s="1"/>
  <c r="S95" i="20"/>
  <c r="CD95" i="20" s="1"/>
  <c r="R95" i="20"/>
  <c r="CC95" i="20" s="1"/>
  <c r="P96" i="20"/>
  <c r="CA96" i="20" s="1"/>
  <c r="AL65" i="20"/>
  <c r="AM110" i="20"/>
  <c r="AD110" i="20" s="1"/>
  <c r="L111" i="20" s="1"/>
  <c r="BW111" i="20" s="1"/>
  <c r="AO111" i="20"/>
  <c r="AF111" i="20" s="1"/>
  <c r="M111" i="20"/>
  <c r="BX111" i="20" s="1"/>
  <c r="C5" i="18"/>
  <c r="AQ96" i="20" l="1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S6" i="18"/>
  <c r="BC5" i="19"/>
  <c r="P5" i="19"/>
  <c r="AM111" i="20"/>
  <c r="AD111" i="20" s="1"/>
  <c r="K66" i="20" l="1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BP6" i="19"/>
  <c r="C5" i="19"/>
  <c r="L112" i="20"/>
  <c r="BW112" i="20" s="1"/>
  <c r="M112" i="20"/>
  <c r="BX112" i="20" s="1"/>
  <c r="AO112" i="20"/>
  <c r="AF112" i="20" s="1"/>
  <c r="N113" i="20" s="1"/>
  <c r="BY113" i="20" s="1"/>
  <c r="AL66" i="20" l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Q5" i="19"/>
  <c r="AH6" i="18" s="1"/>
  <c r="BD6" i="19" l="1"/>
  <c r="AI7" i="18" s="1"/>
  <c r="D6" i="18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T7" i="18" l="1"/>
  <c r="Q6" i="19"/>
  <c r="AD6" i="19" s="1"/>
  <c r="D6" i="19" s="1"/>
  <c r="N6" i="22" s="1"/>
  <c r="AJ7" i="18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F7" i="18" l="1"/>
  <c r="E7" i="18"/>
  <c r="BR7" i="19"/>
  <c r="AP110" i="20"/>
  <c r="AG110" i="20" s="1"/>
  <c r="S98" i="20"/>
  <c r="CD98" i="20" s="1"/>
  <c r="Q98" i="20"/>
  <c r="CB98" i="20" s="1"/>
  <c r="R98" i="20"/>
  <c r="CC98" i="20" s="1"/>
  <c r="AL67" i="20"/>
  <c r="P99" i="20"/>
  <c r="CA99" i="20" s="1"/>
  <c r="N115" i="20"/>
  <c r="BY115" i="20" s="1"/>
  <c r="AN114" i="20"/>
  <c r="AE114" i="20" s="1"/>
  <c r="L114" i="20"/>
  <c r="BW114" i="20" s="1"/>
  <c r="BE7" i="19" l="1"/>
  <c r="R7" i="19"/>
  <c r="E7" i="19" s="1"/>
  <c r="O7" i="22" s="1"/>
  <c r="V8" i="18"/>
  <c r="AU7" i="20"/>
  <c r="S7" i="19"/>
  <c r="AF7" i="19" s="1"/>
  <c r="F7" i="19" s="1"/>
  <c r="BU7" i="19" s="1"/>
  <c r="AL8" i="18" s="1"/>
  <c r="BF7" i="19"/>
  <c r="AK8" i="18" s="1"/>
  <c r="U8" i="18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H8" i="18" l="1"/>
  <c r="G8" i="18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BG8" i="19" l="1"/>
  <c r="T8" i="19"/>
  <c r="AG8" i="19" s="1"/>
  <c r="G8" i="19" s="1"/>
  <c r="BV8" i="19" s="1"/>
  <c r="AN9" i="18" s="1"/>
  <c r="AW8" i="20"/>
  <c r="X9" i="18"/>
  <c r="BS9" i="19" s="1"/>
  <c r="U8" i="19"/>
  <c r="AH8" i="19" s="1"/>
  <c r="H8" i="19" s="1"/>
  <c r="R8" i="22" s="1"/>
  <c r="BW8" i="19" s="1"/>
  <c r="AO9" i="18" s="1"/>
  <c r="BH8" i="19"/>
  <c r="AM9" i="18" s="1"/>
  <c r="AV8" i="20"/>
  <c r="W9" i="18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M116" i="20"/>
  <c r="BX116" i="20" s="1"/>
  <c r="AO116" i="20"/>
  <c r="AF116" i="20" s="1"/>
  <c r="N117" i="20" s="1"/>
  <c r="BY117" i="20" s="1"/>
  <c r="L116" i="20"/>
  <c r="BW116" i="20" s="1"/>
  <c r="K9" i="18" l="1"/>
  <c r="J9" i="18"/>
  <c r="I9" i="18"/>
  <c r="AX9" i="20" s="1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AZ9" i="20" l="1"/>
  <c r="BJ9" i="19"/>
  <c r="AA10" i="18"/>
  <c r="W9" i="19"/>
  <c r="AJ9" i="19" s="1"/>
  <c r="J9" i="19" s="1"/>
  <c r="Y10" i="18"/>
  <c r="AY9" i="20"/>
  <c r="V9" i="19"/>
  <c r="AI9" i="19" s="1"/>
  <c r="I9" i="19" s="1"/>
  <c r="S9" i="22" s="1"/>
  <c r="BX9" i="19" s="1"/>
  <c r="BI9" i="19"/>
  <c r="Z10" i="18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AP10" i="18" l="1"/>
  <c r="L10" i="18" s="1"/>
  <c r="R101" i="20"/>
  <c r="CC101" i="20" s="1"/>
  <c r="AL69" i="20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BK10" i="19" l="1"/>
  <c r="AQ11" i="18" s="1"/>
  <c r="BA10" i="20"/>
  <c r="AB11" i="18"/>
  <c r="X10" i="19"/>
  <c r="AK10" i="19" s="1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M11" i="18" l="1"/>
  <c r="BL11" i="19"/>
  <c r="AR12" i="18" s="1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AC12" i="18" l="1"/>
  <c r="Y11" i="19"/>
  <c r="AL11" i="19" s="1"/>
  <c r="BB11" i="20"/>
  <c r="AL70" i="20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L11" i="19" l="1"/>
  <c r="T11" i="22" s="1"/>
  <c r="BY11" i="19" s="1"/>
  <c r="V12" i="22"/>
  <c r="BZ12" i="19"/>
  <c r="N12" i="18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D13" i="18" l="1"/>
  <c r="Z12" i="19"/>
  <c r="M12" i="19" s="1"/>
  <c r="BM12" i="19"/>
  <c r="AS13" i="18" s="1"/>
  <c r="BN13" i="19" s="1"/>
  <c r="AT14" i="18" s="1"/>
  <c r="BC12" i="20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O13" i="18" l="1"/>
  <c r="AA13" i="19" s="1"/>
  <c r="AN13" i="19" s="1"/>
  <c r="AP117" i="20"/>
  <c r="AG117" i="20" s="1"/>
  <c r="AL71" i="20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N13" i="19" l="1"/>
  <c r="U13" i="22" s="1"/>
  <c r="CA13" i="19" s="1"/>
  <c r="X14" i="22"/>
  <c r="AE14" i="18"/>
  <c r="P14" i="18" s="1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K72" i="20" l="1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AS105" i="20" l="1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L122" i="20"/>
  <c r="BW122" i="20" s="1"/>
  <c r="N123" i="20"/>
  <c r="BY123" i="20" s="1"/>
  <c r="AN122" i="20"/>
  <c r="AE122" i="20" s="1"/>
  <c r="AP119" i="20" l="1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O120" i="20" l="1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R107" i="20" l="1"/>
  <c r="CC107" i="20" s="1"/>
  <c r="Q107" i="20"/>
  <c r="CB107" i="20" s="1"/>
  <c r="AL73" i="20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AC73" i="20" l="1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P109" i="20" l="1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AL74" i="20" l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R109" i="20" l="1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AS109" i="20" l="1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AP123" i="20" l="1"/>
  <c r="AG123" i="20" s="1"/>
  <c r="Q110" i="20"/>
  <c r="CB110" i="20" s="1"/>
  <c r="S110" i="20"/>
  <c r="CD110" i="20" s="1"/>
  <c r="P111" i="20"/>
  <c r="CA111" i="20" s="1"/>
  <c r="R110" i="20"/>
  <c r="CC110" i="20" s="1"/>
  <c r="AL75" i="20"/>
  <c r="AM126" i="20"/>
  <c r="AD126" i="20" s="1"/>
  <c r="AO127" i="20"/>
  <c r="AF127" i="20" s="1"/>
  <c r="M127" i="20"/>
  <c r="BX127" i="20" s="1"/>
  <c r="AQ111" i="20" l="1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R111" i="20" l="1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AL76" i="20" l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P113" i="20" l="1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K77" i="20" l="1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Q113" i="20" l="1"/>
  <c r="CB113" i="20" s="1"/>
  <c r="P114" i="20"/>
  <c r="CA114" i="20" s="1"/>
  <c r="AL77" i="20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O127" i="20" l="1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Q114" i="20" l="1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AT114" i="20" l="1"/>
  <c r="AK114" i="20" s="1"/>
  <c r="AQ115" i="20"/>
  <c r="AH115" i="20" s="1"/>
  <c r="AS114" i="20"/>
  <c r="AJ114" i="20" s="1"/>
  <c r="AL78" i="20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C78" i="20" l="1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AT115" i="20" l="1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S116" i="20" l="1"/>
  <c r="CD116" i="20" s="1"/>
  <c r="AL79" i="20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O130" i="20" l="1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S117" i="20" l="1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O131" i="20" l="1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L134" i="20"/>
  <c r="BW134" i="20" s="1"/>
  <c r="N135" i="20"/>
  <c r="BY135" i="20" s="1"/>
  <c r="AN134" i="20"/>
  <c r="AE134" i="20" s="1"/>
  <c r="S118" i="20" l="1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AT118" i="20" l="1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Q119" i="20" l="1"/>
  <c r="CB119" i="20" s="1"/>
  <c r="AP132" i="20"/>
  <c r="AG132" i="20" s="1"/>
  <c r="S119" i="20"/>
  <c r="CD119" i="20" s="1"/>
  <c r="AL81" i="20"/>
  <c r="P120" i="20"/>
  <c r="CA120" i="20" s="1"/>
  <c r="R119" i="20"/>
  <c r="CC119" i="20" s="1"/>
  <c r="AM135" i="20"/>
  <c r="AD135" i="20" s="1"/>
  <c r="M136" i="20"/>
  <c r="BX136" i="20" s="1"/>
  <c r="AO136" i="20"/>
  <c r="AF136" i="20" s="1"/>
  <c r="AR119" i="20" l="1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S120" i="20" l="1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AQ121" i="20" l="1"/>
  <c r="AH121" i="20" s="1"/>
  <c r="AS120" i="20"/>
  <c r="AJ120" i="20" s="1"/>
  <c r="O134" i="20"/>
  <c r="BZ134" i="20" s="1"/>
  <c r="AL82" i="20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AP134" i="20" l="1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AR121" i="20" l="1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AP135" i="20" l="1"/>
  <c r="AG135" i="20" s="1"/>
  <c r="R122" i="20"/>
  <c r="CC122" i="20" s="1"/>
  <c r="P123" i="20"/>
  <c r="CA123" i="20" s="1"/>
  <c r="Q122" i="20"/>
  <c r="CB122" i="20" s="1"/>
  <c r="S122" i="20"/>
  <c r="CD122" i="20" s="1"/>
  <c r="AL83" i="20"/>
  <c r="AO139" i="20"/>
  <c r="AF139" i="20" s="1"/>
  <c r="AM138" i="20"/>
  <c r="AD138" i="20" s="1"/>
  <c r="M139" i="20"/>
  <c r="BX139" i="20" s="1"/>
  <c r="AR122" i="20" l="1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R123" i="20" l="1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AL84" i="20" l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AP137" i="20" l="1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AR124" i="20" l="1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P126" i="20" l="1"/>
  <c r="CA126" i="20" s="1"/>
  <c r="AL85" i="20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O139" i="20" l="1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P127" i="20" l="1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O140" i="20" l="1"/>
  <c r="BZ140" i="20" s="1"/>
  <c r="AL86" i="20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S127" i="20" l="1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K87" i="20" l="1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129" i="20" l="1"/>
  <c r="CA129" i="20" s="1"/>
  <c r="R128" i="20"/>
  <c r="CC128" i="20" s="1"/>
  <c r="Q128" i="20"/>
  <c r="CB128" i="20" s="1"/>
  <c r="AP141" i="20"/>
  <c r="AG141" i="20" s="1"/>
  <c r="AL87" i="20"/>
  <c r="S128" i="20"/>
  <c r="CD128" i="20" s="1"/>
  <c r="M145" i="20"/>
  <c r="BX145" i="20" s="1"/>
  <c r="AO145" i="20"/>
  <c r="AF145" i="20" s="1"/>
  <c r="AM144" i="20"/>
  <c r="AD144" i="20" s="1"/>
  <c r="O142" i="20" l="1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Q129" i="20" l="1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AQ130" i="20" l="1"/>
  <c r="AH130" i="20" s="1"/>
  <c r="O143" i="20"/>
  <c r="BZ143" i="20" s="1"/>
  <c r="AR129" i="20"/>
  <c r="AI129" i="20" s="1"/>
  <c r="AL88" i="20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AP143" i="20" l="1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K89" i="20" l="1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AP144" i="20" l="1"/>
  <c r="AG144" i="20" s="1"/>
  <c r="R131" i="20"/>
  <c r="CC131" i="20" s="1"/>
  <c r="Q131" i="20"/>
  <c r="CB131" i="20" s="1"/>
  <c r="AL89" i="20"/>
  <c r="S131" i="20"/>
  <c r="CD131" i="20" s="1"/>
  <c r="P132" i="20"/>
  <c r="CA132" i="20" s="1"/>
  <c r="AO148" i="20"/>
  <c r="AF148" i="20" s="1"/>
  <c r="M148" i="20"/>
  <c r="BX148" i="20" s="1"/>
  <c r="AM147" i="20"/>
  <c r="AD147" i="20" s="1"/>
  <c r="AS131" i="20" l="1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K90" i="20" l="1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AR132" i="20" l="1"/>
  <c r="AI132" i="20" s="1"/>
  <c r="AQ133" i="20"/>
  <c r="AH133" i="20" s="1"/>
  <c r="AT132" i="20"/>
  <c r="AK132" i="20" s="1"/>
  <c r="AL90" i="20"/>
  <c r="AS132" i="20"/>
  <c r="AJ132" i="20" s="1"/>
  <c r="O146" i="20"/>
  <c r="BZ146" i="20" s="1"/>
  <c r="N150" i="20"/>
  <c r="BY150" i="20" s="1"/>
  <c r="AN149" i="20"/>
  <c r="AE149" i="20" s="1"/>
  <c r="L149" i="20"/>
  <c r="BW149" i="20" s="1"/>
  <c r="AP146" i="20" l="1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AQ134" i="20" l="1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AP147" i="20" l="1"/>
  <c r="AG147" i="20" s="1"/>
  <c r="S134" i="20"/>
  <c r="CD134" i="20" s="1"/>
  <c r="P135" i="20"/>
  <c r="CA135" i="20" s="1"/>
  <c r="R134" i="20"/>
  <c r="CC134" i="20" s="1"/>
  <c r="Q134" i="20"/>
  <c r="CB134" i="20" s="1"/>
  <c r="AL91" i="20"/>
  <c r="AM150" i="20"/>
  <c r="AD150" i="20" s="1"/>
  <c r="AO151" i="20"/>
  <c r="AF151" i="20" s="1"/>
  <c r="M151" i="20"/>
  <c r="BX151" i="20" s="1"/>
  <c r="AT134" i="20" l="1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P148" i="20" l="1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AS135" i="20" l="1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L152" i="20"/>
  <c r="BW152" i="20" s="1"/>
  <c r="N153" i="20"/>
  <c r="BY153" i="20" s="1"/>
  <c r="AN152" i="20"/>
  <c r="AE152" i="20" s="1"/>
  <c r="AP149" i="20" l="1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AT136" i="20" l="1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AL93" i="20" l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AS137" i="20" l="1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S138" i="20" l="1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L94" i="20" l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S139" i="20" l="1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AT139" i="20" l="1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AP153" i="20" l="1"/>
  <c r="AG153" i="20" s="1"/>
  <c r="R140" i="20"/>
  <c r="CC140" i="20" s="1"/>
  <c r="AL95" i="20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AT140" i="20" l="1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Q141" i="20" l="1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155" i="20" l="1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L158" i="20"/>
  <c r="BW158" i="20" s="1"/>
  <c r="AN158" i="20"/>
  <c r="AE158" i="20" s="1"/>
  <c r="N159" i="20"/>
  <c r="BY159" i="20" s="1"/>
  <c r="AP155" i="20" l="1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AT142" i="20" l="1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Q143" i="20" l="1"/>
  <c r="CB143" i="20" s="1"/>
  <c r="AP156" i="20"/>
  <c r="AG156" i="20" s="1"/>
  <c r="S143" i="20"/>
  <c r="CD143" i="20" s="1"/>
  <c r="AL97" i="20"/>
  <c r="R143" i="20"/>
  <c r="CC143" i="20" s="1"/>
  <c r="P144" i="20"/>
  <c r="CA144" i="20" s="1"/>
  <c r="M160" i="20"/>
  <c r="BX160" i="20" s="1"/>
  <c r="AO160" i="20"/>
  <c r="AF160" i="20" s="1"/>
  <c r="AM159" i="20"/>
  <c r="AD159" i="20" s="1"/>
  <c r="AS143" i="20" l="1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K98" i="20" l="1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AR144" i="20" l="1"/>
  <c r="AI144" i="20" s="1"/>
  <c r="AT144" i="20"/>
  <c r="AK144" i="20" s="1"/>
  <c r="AL98" i="20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AC98" i="20" l="1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AR145" i="20" l="1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S146" i="20" l="1"/>
  <c r="CD146" i="20" s="1"/>
  <c r="Q146" i="20"/>
  <c r="CB146" i="20" s="1"/>
  <c r="P147" i="20"/>
  <c r="CA147" i="20" s="1"/>
  <c r="AL99" i="20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O160" i="20" l="1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R147" i="20" l="1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AQ148" i="20" l="1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L164" i="20"/>
  <c r="BW164" i="20" s="1"/>
  <c r="N165" i="20"/>
  <c r="BY165" i="20" s="1"/>
  <c r="AN164" i="20"/>
  <c r="AE164" i="20" s="1"/>
  <c r="AC100" i="20" l="1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O162" i="20" l="1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R149" i="20" l="1"/>
  <c r="CC149" i="20" s="1"/>
  <c r="Q149" i="20"/>
  <c r="CB149" i="20" s="1"/>
  <c r="S149" i="20"/>
  <c r="CD149" i="20" s="1"/>
  <c r="P150" i="20"/>
  <c r="CA150" i="20" s="1"/>
  <c r="AP162" i="20"/>
  <c r="AG162" i="20" s="1"/>
  <c r="AL101" i="20"/>
  <c r="M166" i="20"/>
  <c r="BX166" i="20" s="1"/>
  <c r="AM165" i="20"/>
  <c r="AD165" i="20" s="1"/>
  <c r="AO166" i="20"/>
  <c r="AF166" i="20" s="1"/>
  <c r="O163" i="20" l="1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R150" i="20" l="1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Q151" i="20" l="1"/>
  <c r="AH151" i="20" s="1"/>
  <c r="O164" i="20"/>
  <c r="BZ164" i="20" s="1"/>
  <c r="AS150" i="20"/>
  <c r="AJ150" i="20" s="1"/>
  <c r="AL102" i="20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AC102" i="20" l="1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AS151" i="20" l="1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S152" i="20" l="1"/>
  <c r="CD152" i="20" s="1"/>
  <c r="Q152" i="20"/>
  <c r="CB152" i="20" s="1"/>
  <c r="R152" i="20"/>
  <c r="CC152" i="20" s="1"/>
  <c r="AL103" i="20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O166" i="20" l="1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54" i="20" l="1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S153" i="20" l="1"/>
  <c r="AJ153" i="20" s="1"/>
  <c r="AL104" i="20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Q154" i="20" l="1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K105" i="20" l="1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S155" i="20" l="1"/>
  <c r="CD155" i="20" s="1"/>
  <c r="AP168" i="20"/>
  <c r="AG168" i="20" s="1"/>
  <c r="R155" i="20"/>
  <c r="CC155" i="20" s="1"/>
  <c r="AL105" i="20"/>
  <c r="Q155" i="20"/>
  <c r="CB155" i="20" s="1"/>
  <c r="P156" i="20"/>
  <c r="CA156" i="20" s="1"/>
  <c r="AO172" i="20"/>
  <c r="AF172" i="20" s="1"/>
  <c r="AM171" i="20"/>
  <c r="AD171" i="20" s="1"/>
  <c r="M172" i="20"/>
  <c r="BX172" i="20" s="1"/>
  <c r="AC105" i="20" l="1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S156" i="20" l="1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AL106" i="20" l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AP170" i="20" l="1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AT157" i="20" l="1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AP171" i="20" l="1"/>
  <c r="AG171" i="20" s="1"/>
  <c r="R158" i="20"/>
  <c r="CC158" i="20" s="1"/>
  <c r="Q158" i="20"/>
  <c r="CB158" i="20" s="1"/>
  <c r="AL107" i="20"/>
  <c r="P159" i="20"/>
  <c r="CA159" i="20" s="1"/>
  <c r="S158" i="20"/>
  <c r="CD158" i="20" s="1"/>
  <c r="AO175" i="20"/>
  <c r="AF175" i="20" s="1"/>
  <c r="M175" i="20"/>
  <c r="BX175" i="20" s="1"/>
  <c r="AM174" i="20"/>
  <c r="AD174" i="20" s="1"/>
  <c r="AC107" i="20" l="1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P160" i="20" l="1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O173" i="20" l="1"/>
  <c r="BZ173" i="20" s="1"/>
  <c r="AR159" i="20"/>
  <c r="AI159" i="20" s="1"/>
  <c r="AT159" i="20"/>
  <c r="AK159" i="20" s="1"/>
  <c r="AL108" i="20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R160" i="20" l="1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AQ161" i="20" l="1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61" i="20" l="1"/>
  <c r="CC161" i="20" s="1"/>
  <c r="Q161" i="20"/>
  <c r="CB161" i="20" s="1"/>
  <c r="S161" i="20"/>
  <c r="CD161" i="20" s="1"/>
  <c r="AP174" i="20"/>
  <c r="AG174" i="20" s="1"/>
  <c r="AL109" i="20"/>
  <c r="P162" i="20"/>
  <c r="CA162" i="20" s="1"/>
  <c r="M178" i="20"/>
  <c r="BX178" i="20" s="1"/>
  <c r="AM177" i="20"/>
  <c r="AD177" i="20" s="1"/>
  <c r="AO178" i="20"/>
  <c r="AF178" i="20" s="1"/>
  <c r="AC109" i="20" l="1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R162" i="20" l="1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O176" i="20" l="1"/>
  <c r="BZ176" i="20" s="1"/>
  <c r="AQ163" i="20"/>
  <c r="AH163" i="20" s="1"/>
  <c r="AR162" i="20"/>
  <c r="AI162" i="20" s="1"/>
  <c r="AL110" i="20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P164" i="20" l="1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O177" i="20" l="1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AL111" i="20" l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T164" i="20" l="1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K112" i="20" l="1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O179" i="20" l="1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L182" i="20"/>
  <c r="BW182" i="20" s="1"/>
  <c r="AN182" i="20"/>
  <c r="AE182" i="20" s="1"/>
  <c r="R166" i="20" l="1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K113" i="20" l="1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AP180" i="20" l="1"/>
  <c r="AG180" i="20" s="1"/>
  <c r="P168" i="20"/>
  <c r="CA168" i="20" s="1"/>
  <c r="AL113" i="20"/>
  <c r="R167" i="20"/>
  <c r="CC167" i="20" s="1"/>
  <c r="Q167" i="20"/>
  <c r="CB167" i="20" s="1"/>
  <c r="S167" i="20"/>
  <c r="CD167" i="20" s="1"/>
  <c r="AT167" i="20" l="1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K114" i="20" l="1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O182" i="20" l="1"/>
  <c r="BZ182" i="20" s="1"/>
  <c r="AR168" i="20"/>
  <c r="AI168" i="20" s="1"/>
  <c r="AL114" i="20"/>
  <c r="AT168" i="20"/>
  <c r="AK168" i="20" s="1"/>
  <c r="AS168" i="20"/>
  <c r="AJ168" i="20" s="1"/>
  <c r="AQ169" i="20"/>
  <c r="AH169" i="20" s="1"/>
  <c r="AP182" i="20" l="1"/>
  <c r="AG182" i="20" s="1"/>
  <c r="P170" i="20"/>
  <c r="CA170" i="20" s="1"/>
  <c r="R169" i="20"/>
  <c r="CC169" i="20" s="1"/>
  <c r="S169" i="20"/>
  <c r="CD169" i="20" s="1"/>
  <c r="AC114" i="20"/>
  <c r="Q169" i="20"/>
  <c r="CB169" i="20" s="1"/>
  <c r="AS169" i="20" l="1"/>
  <c r="AJ169" i="20" s="1"/>
  <c r="K115" i="20"/>
  <c r="BV115" i="20" s="1"/>
  <c r="AT169" i="20"/>
  <c r="AK169" i="20" s="1"/>
  <c r="AQ170" i="20"/>
  <c r="AH170" i="20" s="1"/>
  <c r="AR169" i="20"/>
  <c r="AI169" i="20" s="1"/>
  <c r="P171" i="20" l="1"/>
  <c r="CA171" i="20" s="1"/>
  <c r="R170" i="20"/>
  <c r="CC170" i="20" s="1"/>
  <c r="AL115" i="20"/>
  <c r="Q170" i="20"/>
  <c r="CB170" i="20" s="1"/>
  <c r="S170" i="20"/>
  <c r="CD170" i="20" s="1"/>
  <c r="AT170" i="20" l="1"/>
  <c r="AK170" i="20" s="1"/>
  <c r="AR170" i="20"/>
  <c r="AI170" i="20" s="1"/>
  <c r="AC115" i="20"/>
  <c r="AS170" i="20"/>
  <c r="AJ170" i="20" s="1"/>
  <c r="AQ171" i="20"/>
  <c r="AH171" i="20" s="1"/>
  <c r="P172" i="20" l="1"/>
  <c r="CA172" i="20" s="1"/>
  <c r="S171" i="20"/>
  <c r="CD171" i="20" s="1"/>
  <c r="K116" i="20"/>
  <c r="BV116" i="20" s="1"/>
  <c r="R171" i="20"/>
  <c r="CC171" i="20" s="1"/>
  <c r="Q171" i="20"/>
  <c r="CB171" i="20" s="1"/>
  <c r="AL116" i="20" l="1"/>
  <c r="AR171" i="20"/>
  <c r="AI171" i="20" s="1"/>
  <c r="AS171" i="20"/>
  <c r="AJ171" i="20" s="1"/>
  <c r="AT171" i="20"/>
  <c r="AK171" i="20" s="1"/>
  <c r="AQ172" i="20"/>
  <c r="AH172" i="20" s="1"/>
  <c r="P173" i="20" l="1"/>
  <c r="CA173" i="20" s="1"/>
  <c r="S172" i="20"/>
  <c r="CD172" i="20" s="1"/>
  <c r="R172" i="20"/>
  <c r="CC172" i="20" s="1"/>
  <c r="Q172" i="20"/>
  <c r="CB172" i="20" s="1"/>
  <c r="AC116" i="20"/>
  <c r="AR172" i="20" l="1"/>
  <c r="AI172" i="20" s="1"/>
  <c r="AS172" i="20"/>
  <c r="AJ172" i="20" s="1"/>
  <c r="K117" i="20"/>
  <c r="BV117" i="20" s="1"/>
  <c r="AT172" i="20"/>
  <c r="AK172" i="20" s="1"/>
  <c r="AQ173" i="20"/>
  <c r="AH173" i="20" s="1"/>
  <c r="S173" i="20" l="1"/>
  <c r="CD173" i="20" s="1"/>
  <c r="R173" i="20"/>
  <c r="CC173" i="20" s="1"/>
  <c r="AL117" i="20"/>
  <c r="P174" i="20"/>
  <c r="CA174" i="20" s="1"/>
  <c r="Q173" i="20"/>
  <c r="CB173" i="20" s="1"/>
  <c r="AR173" i="20" l="1"/>
  <c r="AI173" i="20" s="1"/>
  <c r="AQ174" i="20"/>
  <c r="AH174" i="20" s="1"/>
  <c r="AS173" i="20"/>
  <c r="AJ173" i="20" s="1"/>
  <c r="AC117" i="20"/>
  <c r="AT173" i="20"/>
  <c r="AK173" i="20" s="1"/>
  <c r="R174" i="20" l="1"/>
  <c r="CC174" i="20" s="1"/>
  <c r="P175" i="20"/>
  <c r="CA175" i="20" s="1"/>
  <c r="K118" i="20"/>
  <c r="BV118" i="20" s="1"/>
  <c r="S174" i="20"/>
  <c r="CD174" i="20" s="1"/>
  <c r="Q174" i="20"/>
  <c r="CB174" i="20" s="1"/>
  <c r="AT174" i="20" l="1"/>
  <c r="AK174" i="20" s="1"/>
  <c r="AR174" i="20"/>
  <c r="AI174" i="20" s="1"/>
  <c r="AL118" i="20"/>
  <c r="AQ175" i="20"/>
  <c r="AH175" i="20" s="1"/>
  <c r="AS174" i="20"/>
  <c r="AJ174" i="20" s="1"/>
  <c r="R175" i="20" l="1"/>
  <c r="CC175" i="20" s="1"/>
  <c r="P176" i="20"/>
  <c r="CA176" i="20" s="1"/>
  <c r="AC118" i="20"/>
  <c r="Q175" i="20"/>
  <c r="CB175" i="20" s="1"/>
  <c r="S175" i="20"/>
  <c r="CD175" i="20" s="1"/>
  <c r="AT175" i="20" l="1"/>
  <c r="AK175" i="20" s="1"/>
  <c r="AR175" i="20"/>
  <c r="AI175" i="20" s="1"/>
  <c r="K119" i="20"/>
  <c r="BV119" i="20" s="1"/>
  <c r="AQ176" i="20"/>
  <c r="AH176" i="20" s="1"/>
  <c r="AS175" i="20"/>
  <c r="AJ175" i="20" s="1"/>
  <c r="R176" i="20" l="1"/>
  <c r="CC176" i="20" s="1"/>
  <c r="Q176" i="20"/>
  <c r="CB176" i="20" s="1"/>
  <c r="AL119" i="20"/>
  <c r="P177" i="20"/>
  <c r="CA177" i="20" s="1"/>
  <c r="S176" i="20"/>
  <c r="CD176" i="20" s="1"/>
  <c r="AQ177" i="20" l="1"/>
  <c r="AH177" i="20" s="1"/>
  <c r="AT176" i="20"/>
  <c r="AK176" i="20" s="1"/>
  <c r="AC119" i="20"/>
  <c r="AR176" i="20"/>
  <c r="AI176" i="20" s="1"/>
  <c r="AS176" i="20"/>
  <c r="AJ176" i="20" s="1"/>
  <c r="Q177" i="20" l="1"/>
  <c r="CB177" i="20" s="1"/>
  <c r="R177" i="20"/>
  <c r="CC177" i="20" s="1"/>
  <c r="K120" i="20"/>
  <c r="BV120" i="20" s="1"/>
  <c r="S177" i="20"/>
  <c r="CD177" i="20" s="1"/>
  <c r="P178" i="20"/>
  <c r="CA178" i="20" s="1"/>
  <c r="AT177" i="20" l="1"/>
  <c r="AK177" i="20" s="1"/>
  <c r="AQ178" i="20"/>
  <c r="AH178" i="20" s="1"/>
  <c r="AL120" i="20"/>
  <c r="AS177" i="20"/>
  <c r="AJ177" i="20" s="1"/>
  <c r="AR177" i="20"/>
  <c r="AI177" i="20" s="1"/>
  <c r="R178" i="20" l="1"/>
  <c r="CC178" i="20" s="1"/>
  <c r="AC120" i="20"/>
  <c r="Q178" i="20"/>
  <c r="CB178" i="20" s="1"/>
  <c r="S178" i="20"/>
  <c r="CD178" i="20" s="1"/>
  <c r="P179" i="20"/>
  <c r="CA179" i="20" s="1"/>
  <c r="AT178" i="20" l="1"/>
  <c r="AK178" i="20" s="1"/>
  <c r="AQ179" i="20"/>
  <c r="AH179" i="20" s="1"/>
  <c r="AR178" i="20"/>
  <c r="AI178" i="20" s="1"/>
  <c r="K121" i="20"/>
  <c r="BV121" i="20" s="1"/>
  <c r="AS178" i="20"/>
  <c r="AJ178" i="20" s="1"/>
  <c r="R179" i="20" l="1"/>
  <c r="CC179" i="20" s="1"/>
  <c r="Q179" i="20"/>
  <c r="CB179" i="20" s="1"/>
  <c r="P180" i="20"/>
  <c r="CA180" i="20" s="1"/>
  <c r="AL121" i="20"/>
  <c r="S179" i="20"/>
  <c r="CD179" i="20" s="1"/>
  <c r="AT179" i="20" l="1"/>
  <c r="AK179" i="20" s="1"/>
  <c r="AC121" i="20"/>
  <c r="AQ180" i="20"/>
  <c r="AH180" i="20" s="1"/>
  <c r="AR179" i="20"/>
  <c r="AI179" i="20" s="1"/>
  <c r="AS179" i="20"/>
  <c r="AJ179" i="20" s="1"/>
  <c r="R180" i="20" l="1"/>
  <c r="CC180" i="20" s="1"/>
  <c r="P181" i="20"/>
  <c r="CA181" i="20" s="1"/>
  <c r="Q180" i="20"/>
  <c r="CB180" i="20" s="1"/>
  <c r="K122" i="20"/>
  <c r="BV122" i="20" s="1"/>
  <c r="S180" i="20"/>
  <c r="CD180" i="20" s="1"/>
  <c r="AT180" i="20" l="1"/>
  <c r="AK180" i="20" s="1"/>
  <c r="AL122" i="20"/>
  <c r="AR180" i="20"/>
  <c r="AI180" i="20" s="1"/>
  <c r="AQ181" i="20"/>
  <c r="AH181" i="20" s="1"/>
  <c r="AS180" i="20"/>
  <c r="AJ180" i="20" s="1"/>
  <c r="R181" i="20" l="1"/>
  <c r="CC181" i="20" s="1"/>
  <c r="Q181" i="20"/>
  <c r="CB181" i="20" s="1"/>
  <c r="AC122" i="20"/>
  <c r="P182" i="20"/>
  <c r="CA182" i="20" s="1"/>
  <c r="S181" i="20"/>
  <c r="CD181" i="20" s="1"/>
  <c r="AT181" i="20" l="1"/>
  <c r="AK181" i="20" s="1"/>
  <c r="AQ182" i="20"/>
  <c r="AH182" i="20" s="1"/>
  <c r="K123" i="20"/>
  <c r="BV123" i="20" s="1"/>
  <c r="AR181" i="20"/>
  <c r="AI181" i="20" s="1"/>
  <c r="AS181" i="20"/>
  <c r="AJ181" i="20" s="1"/>
  <c r="Q182" i="20" l="1"/>
  <c r="CB182" i="20" s="1"/>
  <c r="S182" i="20"/>
  <c r="CD182" i="20" s="1"/>
  <c r="AL123" i="20"/>
  <c r="R182" i="20"/>
  <c r="CC182" i="20" s="1"/>
  <c r="AC123" i="20" l="1"/>
  <c r="AT182" i="20"/>
  <c r="AK182" i="20" s="1"/>
  <c r="AS182" i="20"/>
  <c r="AJ182" i="20" s="1"/>
  <c r="AR182" i="20"/>
  <c r="AI182" i="20" s="1"/>
  <c r="K124" i="20" l="1"/>
  <c r="BV124" i="20" s="1"/>
  <c r="AL124" i="20" l="1"/>
  <c r="AC124" i="20" l="1"/>
  <c r="K125" i="20" l="1"/>
  <c r="BV125" i="20" s="1"/>
  <c r="AL125" i="20" l="1"/>
  <c r="AC125" i="20" l="1"/>
  <c r="K126" i="20" l="1"/>
  <c r="BV126" i="20" s="1"/>
  <c r="AL126" i="20" l="1"/>
  <c r="AC126" i="20" l="1"/>
  <c r="K127" i="20" l="1"/>
  <c r="BV127" i="20" s="1"/>
  <c r="AL127" i="20" l="1"/>
  <c r="AC127" i="20" l="1"/>
  <c r="K128" i="20" l="1"/>
  <c r="BV128" i="20" s="1"/>
  <c r="AL128" i="20" l="1"/>
  <c r="AC128" i="20" l="1"/>
  <c r="K129" i="20" l="1"/>
  <c r="BV129" i="20" s="1"/>
  <c r="AL129" i="20" l="1"/>
  <c r="AC129" i="20" l="1"/>
  <c r="K130" i="20" l="1"/>
  <c r="BV130" i="20" s="1"/>
  <c r="AL130" i="20" l="1"/>
  <c r="AC130" i="20" l="1"/>
  <c r="K131" i="20" l="1"/>
  <c r="BV131" i="20" s="1"/>
  <c r="AL131" i="20" l="1"/>
  <c r="AC131" i="20" l="1"/>
  <c r="K132" i="20" l="1"/>
  <c r="BV132" i="20" s="1"/>
  <c r="AL132" i="20" l="1"/>
  <c r="AC132" i="20" l="1"/>
  <c r="K133" i="20" l="1"/>
  <c r="BV133" i="20" s="1"/>
  <c r="AL133" i="20" l="1"/>
  <c r="AC133" i="20" l="1"/>
  <c r="K134" i="20" l="1"/>
  <c r="BV134" i="20" s="1"/>
  <c r="AL134" i="20" l="1"/>
  <c r="AC134" i="20" l="1"/>
  <c r="K135" i="20" l="1"/>
  <c r="BV135" i="20" s="1"/>
  <c r="AL135" i="20" l="1"/>
  <c r="AC135" i="20" l="1"/>
  <c r="K136" i="20" l="1"/>
  <c r="BV136" i="20" s="1"/>
  <c r="AL136" i="20" l="1"/>
  <c r="AC136" i="20" l="1"/>
  <c r="K137" i="20" l="1"/>
  <c r="BV137" i="20" s="1"/>
  <c r="AL137" i="20" l="1"/>
  <c r="AC137" i="20" l="1"/>
  <c r="K138" i="20" l="1"/>
  <c r="BV138" i="20" s="1"/>
  <c r="AL138" i="20" l="1"/>
  <c r="AC138" i="20" l="1"/>
  <c r="K139" i="20" l="1"/>
  <c r="BV139" i="20" s="1"/>
  <c r="AL139" i="20" l="1"/>
  <c r="AC139" i="20" l="1"/>
  <c r="K140" i="20" l="1"/>
  <c r="BV140" i="20" s="1"/>
  <c r="AL140" i="20" l="1"/>
  <c r="AC140" i="20" l="1"/>
  <c r="K141" i="20" l="1"/>
  <c r="BV141" i="20" s="1"/>
  <c r="AL141" i="20" l="1"/>
  <c r="AC141" i="20" l="1"/>
  <c r="K142" i="20" l="1"/>
  <c r="BV142" i="20" s="1"/>
  <c r="AL142" i="20" l="1"/>
  <c r="AC142" i="20" l="1"/>
  <c r="K143" i="20" l="1"/>
  <c r="BV143" i="20" s="1"/>
  <c r="AL143" i="20" l="1"/>
  <c r="AC143" i="20" l="1"/>
  <c r="K144" i="20" l="1"/>
  <c r="BV144" i="20" s="1"/>
  <c r="AL144" i="20" l="1"/>
  <c r="AC144" i="20" l="1"/>
  <c r="K145" i="20" l="1"/>
  <c r="BV145" i="20" s="1"/>
  <c r="AL145" i="20" l="1"/>
  <c r="AC145" i="20" l="1"/>
  <c r="K146" i="20" l="1"/>
  <c r="BV146" i="20" s="1"/>
  <c r="AL146" i="20" l="1"/>
  <c r="AC146" i="20" l="1"/>
  <c r="K147" i="20" l="1"/>
  <c r="BV147" i="20" s="1"/>
  <c r="AL147" i="20" l="1"/>
  <c r="AC147" i="20" l="1"/>
  <c r="K148" i="20" l="1"/>
  <c r="BV148" i="20" s="1"/>
  <c r="AL148" i="20" l="1"/>
  <c r="AC148" i="20" l="1"/>
  <c r="K149" i="20" l="1"/>
  <c r="BV149" i="20" s="1"/>
  <c r="AL149" i="20" l="1"/>
  <c r="AC149" i="20" l="1"/>
  <c r="K150" i="20" l="1"/>
  <c r="BV150" i="20" s="1"/>
  <c r="AL150" i="20" l="1"/>
  <c r="AC150" i="20" l="1"/>
  <c r="K151" i="20" l="1"/>
  <c r="BV151" i="20" s="1"/>
  <c r="B4" i="19"/>
  <c r="BO4" i="19" s="1"/>
  <c r="AF5" i="18" s="1"/>
  <c r="BB5" i="19" l="1"/>
  <c r="AG6" i="18" s="1"/>
  <c r="B5" i="18"/>
  <c r="AL151" i="20"/>
  <c r="O5" i="19" l="1"/>
  <c r="AB5" i="19" s="1"/>
  <c r="B5" i="19" s="1"/>
  <c r="L5" i="22" s="1"/>
  <c r="BO5" i="19" s="1"/>
  <c r="AF6" i="18" s="1"/>
  <c r="BB6" i="19" s="1"/>
  <c r="AG7" i="18" s="1"/>
  <c r="Q6" i="18"/>
  <c r="R6" i="18"/>
  <c r="AC151" i="20"/>
  <c r="C6" i="18" l="1"/>
  <c r="B6" i="18"/>
  <c r="O6" i="19" s="1"/>
  <c r="AB6" i="19" s="1"/>
  <c r="B6" i="19" s="1"/>
  <c r="L6" i="22" s="1"/>
  <c r="BO6" i="19" s="1"/>
  <c r="AF7" i="18" s="1"/>
  <c r="BB7" i="19" s="1"/>
  <c r="K152" i="20"/>
  <c r="BV152" i="20" s="1"/>
  <c r="Q7" i="18" l="1"/>
  <c r="R7" i="18"/>
  <c r="C7" i="18" s="1"/>
  <c r="P6" i="19"/>
  <c r="C6" i="19" s="1"/>
  <c r="S7" i="18"/>
  <c r="BC6" i="19"/>
  <c r="B7" i="18"/>
  <c r="O7" i="19" s="1"/>
  <c r="AB7" i="19" s="1"/>
  <c r="B7" i="19" s="1"/>
  <c r="L7" i="22" s="1"/>
  <c r="AL152" i="20"/>
  <c r="BO7" i="19" l="1"/>
  <c r="AF8" i="18" s="1"/>
  <c r="BB8" i="19" s="1"/>
  <c r="Q8" i="18"/>
  <c r="R8" i="18"/>
  <c r="BP7" i="19"/>
  <c r="AG8" i="18" s="1"/>
  <c r="BQ6" i="19"/>
  <c r="AH7" i="18" s="1"/>
  <c r="BD7" i="19" s="1"/>
  <c r="AI8" i="18" s="1"/>
  <c r="M6" i="22"/>
  <c r="P7" i="19"/>
  <c r="C7" i="19" s="1"/>
  <c r="M7" i="22" s="1"/>
  <c r="BC7" i="19"/>
  <c r="AC152" i="20"/>
  <c r="B8" i="18" l="1"/>
  <c r="O8" i="19" s="1"/>
  <c r="AB8" i="19" s="1"/>
  <c r="B8" i="19" s="1"/>
  <c r="L8" i="22" s="1"/>
  <c r="BO8" i="19"/>
  <c r="AF9" i="18" s="1"/>
  <c r="BB9" i="19" s="1"/>
  <c r="D7" i="18"/>
  <c r="S8" i="18" s="1"/>
  <c r="BQ7" i="19"/>
  <c r="AH8" i="18" s="1"/>
  <c r="BD8" i="19" s="1"/>
  <c r="C8" i="18"/>
  <c r="BC8" i="19" s="1"/>
  <c r="K153" i="20"/>
  <c r="BV153" i="20" s="1"/>
  <c r="T8" i="18" l="1"/>
  <c r="Q9" i="18"/>
  <c r="Q7" i="19"/>
  <c r="AD7" i="19" s="1"/>
  <c r="D7" i="19" s="1"/>
  <c r="N7" i="22" s="1"/>
  <c r="AJ8" i="18" s="1"/>
  <c r="F8" i="18" s="1"/>
  <c r="BF8" i="19" s="1"/>
  <c r="B9" i="18"/>
  <c r="O9" i="19" s="1"/>
  <c r="AB9" i="19" s="1"/>
  <c r="B9" i="19" s="1"/>
  <c r="L9" i="22" s="1"/>
  <c r="D8" i="18"/>
  <c r="Q8" i="19" s="1"/>
  <c r="AD8" i="19" s="1"/>
  <c r="D8" i="19" s="1"/>
  <c r="N8" i="22" s="1"/>
  <c r="BP8" i="19"/>
  <c r="AG9" i="18" s="1"/>
  <c r="P8" i="19"/>
  <c r="C8" i="19" s="1"/>
  <c r="M8" i="22" s="1"/>
  <c r="R9" i="18"/>
  <c r="E8" i="18"/>
  <c r="T9" i="18" s="1"/>
  <c r="BR8" i="19"/>
  <c r="AI9" i="18" s="1"/>
  <c r="AL153" i="20"/>
  <c r="AU8" i="20" l="1"/>
  <c r="S8" i="19"/>
  <c r="AF8" i="19" s="1"/>
  <c r="F8" i="19" s="1"/>
  <c r="BU8" i="19" s="1"/>
  <c r="AL9" i="18" s="1"/>
  <c r="H9" i="18" s="1"/>
  <c r="X10" i="18" s="1"/>
  <c r="BS10" i="19" s="1"/>
  <c r="Q10" i="18"/>
  <c r="V9" i="18"/>
  <c r="U9" i="18"/>
  <c r="S9" i="18"/>
  <c r="R8" i="19"/>
  <c r="E8" i="19" s="1"/>
  <c r="O8" i="22" s="1"/>
  <c r="AK9" i="18" s="1"/>
  <c r="BE8" i="19"/>
  <c r="AJ9" i="18" s="1"/>
  <c r="BQ8" i="19"/>
  <c r="AH9" i="18" s="1"/>
  <c r="BD9" i="19" s="1"/>
  <c r="BR9" i="19"/>
  <c r="E9" i="18"/>
  <c r="R9" i="19" s="1"/>
  <c r="E9" i="19" s="1"/>
  <c r="O9" i="22" s="1"/>
  <c r="BO9" i="19"/>
  <c r="AF10" i="18" s="1"/>
  <c r="BB10" i="19" s="1"/>
  <c r="C9" i="18"/>
  <c r="P9" i="19" s="1"/>
  <c r="C9" i="19" s="1"/>
  <c r="M9" i="22" s="1"/>
  <c r="AC153" i="20"/>
  <c r="F9" i="18" l="1"/>
  <c r="G9" i="18"/>
  <c r="U9" i="19"/>
  <c r="AH9" i="19" s="1"/>
  <c r="H9" i="19" s="1"/>
  <c r="R9" i="22" s="1"/>
  <c r="BW9" i="19" s="1"/>
  <c r="AO10" i="18" s="1"/>
  <c r="K10" i="18" s="1"/>
  <c r="AZ10" i="20" s="1"/>
  <c r="AW9" i="20"/>
  <c r="BH9" i="19"/>
  <c r="AM10" i="18" s="1"/>
  <c r="BC9" i="19"/>
  <c r="R10" i="18"/>
  <c r="AI10" i="18"/>
  <c r="T9" i="19"/>
  <c r="AG9" i="19" s="1"/>
  <c r="G9" i="19" s="1"/>
  <c r="BV9" i="19" s="1"/>
  <c r="AN10" i="18" s="1"/>
  <c r="J10" i="18" s="1"/>
  <c r="AV9" i="20"/>
  <c r="BG9" i="19"/>
  <c r="W10" i="18"/>
  <c r="BF9" i="19"/>
  <c r="AK10" i="18" s="1"/>
  <c r="S9" i="19"/>
  <c r="AF9" i="19" s="1"/>
  <c r="F9" i="19" s="1"/>
  <c r="BU9" i="19" s="1"/>
  <c r="D9" i="18"/>
  <c r="Q9" i="19" s="1"/>
  <c r="AD9" i="19" s="1"/>
  <c r="D9" i="19" s="1"/>
  <c r="N9" i="22" s="1"/>
  <c r="BP9" i="19"/>
  <c r="AG10" i="18" s="1"/>
  <c r="BQ9" i="19"/>
  <c r="AH10" i="18" s="1"/>
  <c r="BD10" i="19" s="1"/>
  <c r="I10" i="18"/>
  <c r="AX10" i="20" s="1"/>
  <c r="BE9" i="19"/>
  <c r="B10" i="18"/>
  <c r="K154" i="20"/>
  <c r="BV154" i="20" s="1"/>
  <c r="V10" i="18" l="1"/>
  <c r="AU9" i="20"/>
  <c r="U10" i="18"/>
  <c r="BJ10" i="19"/>
  <c r="AA11" i="18"/>
  <c r="W10" i="19"/>
  <c r="AJ10" i="19" s="1"/>
  <c r="J10" i="19" s="1"/>
  <c r="AJ10" i="18"/>
  <c r="F10" i="18" s="1"/>
  <c r="Z11" i="18"/>
  <c r="BI10" i="19"/>
  <c r="Y11" i="18"/>
  <c r="V10" i="19"/>
  <c r="AI10" i="19" s="1"/>
  <c r="I10" i="19" s="1"/>
  <c r="S10" i="22" s="1"/>
  <c r="BX10" i="19" s="1"/>
  <c r="AY10" i="20"/>
  <c r="T10" i="18"/>
  <c r="S10" i="18"/>
  <c r="AL10" i="18"/>
  <c r="H10" i="18" s="1"/>
  <c r="O10" i="19"/>
  <c r="AB10" i="19" s="1"/>
  <c r="B10" i="19" s="1"/>
  <c r="L10" i="22" s="1"/>
  <c r="BO10" i="19" s="1"/>
  <c r="AF11" i="18" s="1"/>
  <c r="BB11" i="19" s="1"/>
  <c r="Q11" i="18"/>
  <c r="G10" i="18"/>
  <c r="C10" i="18"/>
  <c r="AL154" i="20"/>
  <c r="AP11" i="18" l="1"/>
  <c r="L11" i="18" s="1"/>
  <c r="X11" i="19" s="1"/>
  <c r="AK11" i="19" s="1"/>
  <c r="K11" i="19" s="1"/>
  <c r="AW10" i="20"/>
  <c r="U10" i="19"/>
  <c r="AH10" i="19" s="1"/>
  <c r="H10" i="19" s="1"/>
  <c r="R10" i="22" s="1"/>
  <c r="BW10" i="19" s="1"/>
  <c r="AO11" i="18" s="1"/>
  <c r="K11" i="18" s="1"/>
  <c r="BH10" i="19"/>
  <c r="AM11" i="18" s="1"/>
  <c r="W11" i="18"/>
  <c r="X11" i="18"/>
  <c r="BS11" i="19" s="1"/>
  <c r="BA11" i="20"/>
  <c r="E10" i="18"/>
  <c r="BR10" i="19"/>
  <c r="AI11" i="18" s="1"/>
  <c r="P10" i="19"/>
  <c r="C10" i="19" s="1"/>
  <c r="M10" i="22" s="1"/>
  <c r="R11" i="18"/>
  <c r="B11" i="18"/>
  <c r="O11" i="19" s="1"/>
  <c r="AB11" i="19" s="1"/>
  <c r="B11" i="19" s="1"/>
  <c r="L11" i="22" s="1"/>
  <c r="BG10" i="19"/>
  <c r="T10" i="19"/>
  <c r="AG10" i="19" s="1"/>
  <c r="G10" i="19" s="1"/>
  <c r="BV10" i="19" s="1"/>
  <c r="AN11" i="18" s="1"/>
  <c r="J11" i="18" s="1"/>
  <c r="AV10" i="20"/>
  <c r="D10" i="18"/>
  <c r="Q10" i="19" s="1"/>
  <c r="AD10" i="19" s="1"/>
  <c r="D10" i="19" s="1"/>
  <c r="N10" i="22" s="1"/>
  <c r="BP10" i="19"/>
  <c r="AG11" i="18" s="1"/>
  <c r="BC10" i="19"/>
  <c r="V11" i="18"/>
  <c r="U11" i="18"/>
  <c r="BF10" i="19"/>
  <c r="S10" i="19"/>
  <c r="AF10" i="19" s="1"/>
  <c r="F10" i="19" s="1"/>
  <c r="BU10" i="19" s="1"/>
  <c r="AU10" i="20"/>
  <c r="AC154" i="20"/>
  <c r="BK11" i="19" l="1"/>
  <c r="AQ12" i="18" s="1"/>
  <c r="AB12" i="18"/>
  <c r="AL11" i="18"/>
  <c r="H11" i="18" s="1"/>
  <c r="Q12" i="18"/>
  <c r="S11" i="18"/>
  <c r="BP11" i="19" s="1"/>
  <c r="AG12" i="18" s="1"/>
  <c r="Z12" i="18"/>
  <c r="AZ11" i="20"/>
  <c r="W11" i="19"/>
  <c r="AJ11" i="19" s="1"/>
  <c r="J11" i="19" s="1"/>
  <c r="BJ11" i="19"/>
  <c r="R10" i="19"/>
  <c r="E10" i="19" s="1"/>
  <c r="O10" i="22" s="1"/>
  <c r="AK11" i="18" s="1"/>
  <c r="G11" i="18" s="1"/>
  <c r="BE10" i="19"/>
  <c r="AJ11" i="18" s="1"/>
  <c r="BQ10" i="19"/>
  <c r="AH11" i="18" s="1"/>
  <c r="BD11" i="19" s="1"/>
  <c r="AY11" i="20"/>
  <c r="V11" i="19"/>
  <c r="AI11" i="19" s="1"/>
  <c r="I11" i="19" s="1"/>
  <c r="S11" i="22" s="1"/>
  <c r="BX11" i="19" s="1"/>
  <c r="BI11" i="19"/>
  <c r="C11" i="18"/>
  <c r="P11" i="19" s="1"/>
  <c r="C11" i="19" s="1"/>
  <c r="M11" i="22" s="1"/>
  <c r="AA12" i="18"/>
  <c r="Y12" i="18"/>
  <c r="BO11" i="19"/>
  <c r="AF12" i="18" s="1"/>
  <c r="BB12" i="19" s="1"/>
  <c r="T11" i="18"/>
  <c r="M12" i="18"/>
  <c r="BL12" i="19"/>
  <c r="AR13" i="18" s="1"/>
  <c r="I11" i="18"/>
  <c r="AX11" i="20" s="1"/>
  <c r="K155" i="20"/>
  <c r="BV155" i="20" s="1"/>
  <c r="R12" i="18" l="1"/>
  <c r="C12" i="18" s="1"/>
  <c r="BC11" i="19"/>
  <c r="BG11" i="19"/>
  <c r="T11" i="19"/>
  <c r="AG11" i="19" s="1"/>
  <c r="G11" i="19" s="1"/>
  <c r="BV11" i="19" s="1"/>
  <c r="AN12" i="18" s="1"/>
  <c r="AV11" i="20"/>
  <c r="W12" i="18"/>
  <c r="U11" i="19"/>
  <c r="AH11" i="19" s="1"/>
  <c r="H11" i="19" s="1"/>
  <c r="R11" i="22" s="1"/>
  <c r="BW11" i="19" s="1"/>
  <c r="AO12" i="18" s="1"/>
  <c r="K12" i="18" s="1"/>
  <c r="BH11" i="19"/>
  <c r="AM12" i="18" s="1"/>
  <c r="AW11" i="20"/>
  <c r="AP12" i="18"/>
  <c r="BB12" i="20"/>
  <c r="Y12" i="19"/>
  <c r="AL12" i="19" s="1"/>
  <c r="AC13" i="18"/>
  <c r="D11" i="18"/>
  <c r="B12" i="18"/>
  <c r="X12" i="18"/>
  <c r="BS12" i="19" s="1"/>
  <c r="BR11" i="19"/>
  <c r="AI12" i="18" s="1"/>
  <c r="E11" i="18"/>
  <c r="BQ11" i="19"/>
  <c r="AH12" i="18" s="1"/>
  <c r="BD12" i="19" s="1"/>
  <c r="F11" i="18"/>
  <c r="AL155" i="20"/>
  <c r="L12" i="19" l="1"/>
  <c r="T12" i="22" s="1"/>
  <c r="BY12" i="19" s="1"/>
  <c r="V13" i="22"/>
  <c r="T12" i="18"/>
  <c r="BR12" i="19" s="1"/>
  <c r="AI13" i="18" s="1"/>
  <c r="P12" i="19"/>
  <c r="C12" i="19" s="1"/>
  <c r="M12" i="22" s="1"/>
  <c r="BC12" i="19"/>
  <c r="R13" i="18"/>
  <c r="BJ12" i="19"/>
  <c r="W12" i="19"/>
  <c r="AJ12" i="19" s="1"/>
  <c r="J12" i="19" s="1"/>
  <c r="AZ12" i="20"/>
  <c r="R11" i="19"/>
  <c r="E11" i="19" s="1"/>
  <c r="O11" i="22" s="1"/>
  <c r="BE11" i="19"/>
  <c r="AU11" i="20"/>
  <c r="S11" i="19"/>
  <c r="AF11" i="19" s="1"/>
  <c r="F11" i="19" s="1"/>
  <c r="BU11" i="19" s="1"/>
  <c r="AL12" i="18" s="1"/>
  <c r="H12" i="18" s="1"/>
  <c r="BF11" i="19"/>
  <c r="U12" i="18"/>
  <c r="O12" i="19"/>
  <c r="AB12" i="19" s="1"/>
  <c r="B12" i="19" s="1"/>
  <c r="L12" i="22" s="1"/>
  <c r="BO12" i="19" s="1"/>
  <c r="AF13" i="18" s="1"/>
  <c r="BB13" i="19" s="1"/>
  <c r="Q13" i="18"/>
  <c r="N13" i="18"/>
  <c r="BZ13" i="19"/>
  <c r="Q11" i="19"/>
  <c r="AD11" i="19" s="1"/>
  <c r="D11" i="19" s="1"/>
  <c r="N11" i="22" s="1"/>
  <c r="S12" i="18"/>
  <c r="L12" i="18"/>
  <c r="I12" i="18"/>
  <c r="AX12" i="20" s="1"/>
  <c r="J12" i="18"/>
  <c r="V12" i="18"/>
  <c r="AC155" i="20"/>
  <c r="E12" i="18" l="1"/>
  <c r="R12" i="19" s="1"/>
  <c r="E12" i="19" s="1"/>
  <c r="O12" i="22" s="1"/>
  <c r="AK12" i="18"/>
  <c r="AW12" i="20"/>
  <c r="BH12" i="19"/>
  <c r="AM13" i="18" s="1"/>
  <c r="U12" i="19"/>
  <c r="AH12" i="19" s="1"/>
  <c r="H12" i="19" s="1"/>
  <c r="R12" i="22" s="1"/>
  <c r="BW12" i="19" s="1"/>
  <c r="X13" i="18"/>
  <c r="BS13" i="19" s="1"/>
  <c r="V12" i="19"/>
  <c r="AI12" i="19" s="1"/>
  <c r="I12" i="19" s="1"/>
  <c r="S12" i="22" s="1"/>
  <c r="BX12" i="19" s="1"/>
  <c r="AP13" i="18" s="1"/>
  <c r="AY12" i="20"/>
  <c r="BI12" i="19"/>
  <c r="Y13" i="18"/>
  <c r="D12" i="18"/>
  <c r="Q12" i="19" s="1"/>
  <c r="AD12" i="19" s="1"/>
  <c r="D12" i="19" s="1"/>
  <c r="N12" i="22" s="1"/>
  <c r="BP12" i="19"/>
  <c r="AG13" i="18" s="1"/>
  <c r="BQ12" i="19"/>
  <c r="AH13" i="18" s="1"/>
  <c r="BD13" i="19" s="1"/>
  <c r="B13" i="18"/>
  <c r="O13" i="19" s="1"/>
  <c r="AB13" i="19" s="1"/>
  <c r="B13" i="19" s="1"/>
  <c r="L13" i="22" s="1"/>
  <c r="BO13" i="19" s="1"/>
  <c r="AF14" i="18" s="1"/>
  <c r="BB14" i="19" s="1"/>
  <c r="Z13" i="18"/>
  <c r="BA12" i="20"/>
  <c r="X12" i="19"/>
  <c r="AK12" i="19" s="1"/>
  <c r="K12" i="19" s="1"/>
  <c r="BK12" i="19"/>
  <c r="AQ13" i="18" s="1"/>
  <c r="BL13" i="19" s="1"/>
  <c r="AR14" i="18" s="1"/>
  <c r="AB13" i="18"/>
  <c r="AA13" i="18"/>
  <c r="AD14" i="18"/>
  <c r="Z13" i="19"/>
  <c r="M13" i="19" s="1"/>
  <c r="BM13" i="19"/>
  <c r="AS14" i="18" s="1"/>
  <c r="BN14" i="19" s="1"/>
  <c r="AT15" i="18" s="1"/>
  <c r="BC13" i="20"/>
  <c r="G12" i="18"/>
  <c r="AJ12" i="18"/>
  <c r="K156" i="20"/>
  <c r="BV156" i="20" s="1"/>
  <c r="BE12" i="19" l="1"/>
  <c r="T12" i="19"/>
  <c r="AG12" i="19" s="1"/>
  <c r="G12" i="19" s="1"/>
  <c r="BV12" i="19" s="1"/>
  <c r="AN13" i="18" s="1"/>
  <c r="J13" i="18" s="1"/>
  <c r="AV12" i="20"/>
  <c r="BG12" i="19"/>
  <c r="W13" i="18"/>
  <c r="M13" i="18"/>
  <c r="AJ13" i="18"/>
  <c r="O14" i="18"/>
  <c r="T13" i="18"/>
  <c r="F12" i="18"/>
  <c r="S13" i="18"/>
  <c r="AO13" i="18"/>
  <c r="I13" i="18"/>
  <c r="AX13" i="20" s="1"/>
  <c r="L13" i="18"/>
  <c r="Q14" i="18"/>
  <c r="C13" i="18"/>
  <c r="BC13" i="19" s="1"/>
  <c r="AL156" i="20"/>
  <c r="BA13" i="20" l="1"/>
  <c r="BK13" i="19"/>
  <c r="X13" i="19"/>
  <c r="AK13" i="19" s="1"/>
  <c r="K13" i="19" s="1"/>
  <c r="E13" i="18"/>
  <c r="BR13" i="19"/>
  <c r="AI14" i="18" s="1"/>
  <c r="AB14" i="18"/>
  <c r="P13" i="19"/>
  <c r="C13" i="19" s="1"/>
  <c r="M13" i="22" s="1"/>
  <c r="R14" i="18"/>
  <c r="BB13" i="20"/>
  <c r="Y13" i="19"/>
  <c r="AL13" i="19" s="1"/>
  <c r="AC14" i="18"/>
  <c r="V13" i="19"/>
  <c r="AI13" i="19" s="1"/>
  <c r="I13" i="19" s="1"/>
  <c r="S13" i="22" s="1"/>
  <c r="BX13" i="19" s="1"/>
  <c r="BI13" i="19"/>
  <c r="AY13" i="20"/>
  <c r="B14" i="18"/>
  <c r="O14" i="19" s="1"/>
  <c r="AB14" i="19" s="1"/>
  <c r="B14" i="19" s="1"/>
  <c r="L14" i="22" s="1"/>
  <c r="K13" i="18"/>
  <c r="AA14" i="18" s="1"/>
  <c r="BP13" i="19"/>
  <c r="AG14" i="18" s="1"/>
  <c r="D13" i="18"/>
  <c r="Q13" i="19" s="1"/>
  <c r="AD13" i="19" s="1"/>
  <c r="D13" i="19" s="1"/>
  <c r="N13" i="22" s="1"/>
  <c r="AA14" i="19"/>
  <c r="AN14" i="19" s="1"/>
  <c r="AE15" i="18"/>
  <c r="U13" i="18"/>
  <c r="S12" i="19"/>
  <c r="AF12" i="19" s="1"/>
  <c r="F12" i="19" s="1"/>
  <c r="BU12" i="19" s="1"/>
  <c r="AL13" i="18" s="1"/>
  <c r="H13" i="18" s="1"/>
  <c r="X14" i="18" s="1"/>
  <c r="BS14" i="19" s="1"/>
  <c r="AU12" i="20"/>
  <c r="BF12" i="19"/>
  <c r="AK13" i="18" s="1"/>
  <c r="V13" i="18"/>
  <c r="Y14" i="18"/>
  <c r="AC156" i="20"/>
  <c r="N14" i="19" l="1"/>
  <c r="U14" i="22" s="1"/>
  <c r="CA14" i="19" s="1"/>
  <c r="X15" i="22"/>
  <c r="L13" i="19"/>
  <c r="T13" i="22" s="1"/>
  <c r="BY13" i="19" s="1"/>
  <c r="V14" i="22"/>
  <c r="BQ13" i="19"/>
  <c r="AH14" i="18" s="1"/>
  <c r="BD14" i="19" s="1"/>
  <c r="S14" i="18"/>
  <c r="Q15" i="18"/>
  <c r="F13" i="18"/>
  <c r="U14" i="18" s="1"/>
  <c r="P15" i="18"/>
  <c r="N14" i="18"/>
  <c r="BZ14" i="19"/>
  <c r="BO14" i="19"/>
  <c r="AF15" i="18" s="1"/>
  <c r="BB15" i="19" s="1"/>
  <c r="T14" i="18"/>
  <c r="AQ14" i="18"/>
  <c r="BL14" i="19" s="1"/>
  <c r="C14" i="18"/>
  <c r="P14" i="19" s="1"/>
  <c r="C14" i="19" s="1"/>
  <c r="M14" i="22" s="1"/>
  <c r="G13" i="18"/>
  <c r="U13" i="19"/>
  <c r="AH13" i="19" s="1"/>
  <c r="H13" i="19" s="1"/>
  <c r="R13" i="22" s="1"/>
  <c r="BW13" i="19" s="1"/>
  <c r="AO14" i="18" s="1"/>
  <c r="BH13" i="19"/>
  <c r="AM14" i="18" s="1"/>
  <c r="I14" i="18" s="1"/>
  <c r="AW13" i="20"/>
  <c r="D14" i="18"/>
  <c r="Q14" i="19" s="1"/>
  <c r="AD14" i="19" s="1"/>
  <c r="D14" i="19" s="1"/>
  <c r="N14" i="22" s="1"/>
  <c r="BP14" i="19"/>
  <c r="AG15" i="18" s="1"/>
  <c r="W13" i="19"/>
  <c r="AJ13" i="19" s="1"/>
  <c r="J13" i="19" s="1"/>
  <c r="AZ13" i="20"/>
  <c r="BJ13" i="19"/>
  <c r="AP14" i="18" s="1"/>
  <c r="L14" i="18" s="1"/>
  <c r="Z14" i="18"/>
  <c r="R13" i="19"/>
  <c r="E13" i="19" s="1"/>
  <c r="O13" i="22" s="1"/>
  <c r="BE13" i="19"/>
  <c r="AJ14" i="18" s="1"/>
  <c r="K157" i="20"/>
  <c r="BV157" i="20" s="1"/>
  <c r="B15" i="18" l="1"/>
  <c r="O15" i="19" s="1"/>
  <c r="AB15" i="19" s="1"/>
  <c r="B15" i="19" s="1"/>
  <c r="L15" i="22" s="1"/>
  <c r="BQ14" i="19"/>
  <c r="M14" i="18"/>
  <c r="Y14" i="19" s="1"/>
  <c r="AL14" i="19" s="1"/>
  <c r="L14" i="19" s="1"/>
  <c r="T14" i="22" s="1"/>
  <c r="BY14" i="19" s="1"/>
  <c r="AR15" i="18"/>
  <c r="BK14" i="19"/>
  <c r="X14" i="19"/>
  <c r="AK14" i="19" s="1"/>
  <c r="K14" i="19" s="1"/>
  <c r="BA14" i="20"/>
  <c r="AX14" i="20"/>
  <c r="BG13" i="19"/>
  <c r="AV13" i="20"/>
  <c r="T13" i="19"/>
  <c r="AG13" i="19" s="1"/>
  <c r="G13" i="19" s="1"/>
  <c r="BV13" i="19" s="1"/>
  <c r="AN14" i="18" s="1"/>
  <c r="J14" i="18" s="1"/>
  <c r="E14" i="18"/>
  <c r="T15" i="18" s="1"/>
  <c r="BR14" i="19"/>
  <c r="AI15" i="18" s="1"/>
  <c r="F14" i="18"/>
  <c r="S15" i="18"/>
  <c r="BC14" i="19"/>
  <c r="R15" i="18"/>
  <c r="C15" i="18" s="1"/>
  <c r="P15" i="19" s="1"/>
  <c r="C15" i="19" s="1"/>
  <c r="M15" i="22" s="1"/>
  <c r="Z14" i="19"/>
  <c r="M14" i="19" s="1"/>
  <c r="BC14" i="20"/>
  <c r="BM14" i="19"/>
  <c r="AS15" i="18" s="1"/>
  <c r="BN15" i="19" s="1"/>
  <c r="AT16" i="18" s="1"/>
  <c r="AD15" i="18"/>
  <c r="BF13" i="19"/>
  <c r="AK14" i="18" s="1"/>
  <c r="S13" i="19"/>
  <c r="AF13" i="19" s="1"/>
  <c r="F13" i="19" s="1"/>
  <c r="BU13" i="19" s="1"/>
  <c r="AU13" i="20"/>
  <c r="K14" i="18"/>
  <c r="W14" i="18"/>
  <c r="V14" i="18"/>
  <c r="AL157" i="20"/>
  <c r="AH15" i="18" l="1"/>
  <c r="BD15" i="19" s="1"/>
  <c r="V15" i="22"/>
  <c r="Q16" i="18"/>
  <c r="AC15" i="18"/>
  <c r="N15" i="18" s="1"/>
  <c r="BB14" i="20"/>
  <c r="AB15" i="18"/>
  <c r="BC15" i="19"/>
  <c r="AQ15" i="18"/>
  <c r="BL15" i="19" s="1"/>
  <c r="BP15" i="19"/>
  <c r="AG16" i="18" s="1"/>
  <c r="BQ15" i="19"/>
  <c r="AU14" i="20"/>
  <c r="S14" i="19"/>
  <c r="AF14" i="19" s="1"/>
  <c r="F14" i="19" s="1"/>
  <c r="BU14" i="19" s="1"/>
  <c r="BF14" i="19"/>
  <c r="G14" i="18"/>
  <c r="V15" i="18" s="1"/>
  <c r="BR15" i="19"/>
  <c r="AI16" i="18" s="1"/>
  <c r="E15" i="18"/>
  <c r="R15" i="19" s="1"/>
  <c r="E15" i="19" s="1"/>
  <c r="O15" i="22" s="1"/>
  <c r="AZ14" i="20"/>
  <c r="W14" i="19"/>
  <c r="AJ14" i="19" s="1"/>
  <c r="J14" i="19" s="1"/>
  <c r="BJ14" i="19"/>
  <c r="O15" i="18"/>
  <c r="BO15" i="19"/>
  <c r="AF16" i="18" s="1"/>
  <c r="R16" i="18"/>
  <c r="AL14" i="18"/>
  <c r="AY14" i="20"/>
  <c r="V14" i="19"/>
  <c r="AI14" i="19" s="1"/>
  <c r="I14" i="19" s="1"/>
  <c r="S14" i="22" s="1"/>
  <c r="BX14" i="19" s="1"/>
  <c r="BI14" i="19"/>
  <c r="Y15" i="18"/>
  <c r="Z15" i="18"/>
  <c r="U15" i="18"/>
  <c r="R14" i="19"/>
  <c r="E14" i="19" s="1"/>
  <c r="O14" i="22" s="1"/>
  <c r="BE14" i="19"/>
  <c r="AJ15" i="18" s="1"/>
  <c r="AA15" i="18"/>
  <c r="AC157" i="20"/>
  <c r="D15" i="18" l="1"/>
  <c r="Q15" i="19" s="1"/>
  <c r="AD15" i="19" s="1"/>
  <c r="D15" i="19" s="1"/>
  <c r="N15" i="22" s="1"/>
  <c r="BZ15" i="19"/>
  <c r="AH16" i="18"/>
  <c r="BD16" i="19" s="1"/>
  <c r="BE15" i="19"/>
  <c r="AK15" i="18"/>
  <c r="G15" i="18" s="1"/>
  <c r="M15" i="18"/>
  <c r="BB15" i="20" s="1"/>
  <c r="AR16" i="18"/>
  <c r="T16" i="18"/>
  <c r="BR16" i="19" s="1"/>
  <c r="AI17" i="18" s="1"/>
  <c r="AA15" i="19"/>
  <c r="AN15" i="19" s="1"/>
  <c r="AE16" i="18"/>
  <c r="T14" i="19"/>
  <c r="AG14" i="19" s="1"/>
  <c r="G14" i="19" s="1"/>
  <c r="BV14" i="19" s="1"/>
  <c r="AN15" i="18" s="1"/>
  <c r="J15" i="18" s="1"/>
  <c r="BG14" i="19"/>
  <c r="AL15" i="18" s="1"/>
  <c r="AV14" i="20"/>
  <c r="Y15" i="19"/>
  <c r="AL15" i="19" s="1"/>
  <c r="L15" i="19" s="1"/>
  <c r="T15" i="22" s="1"/>
  <c r="BY15" i="19" s="1"/>
  <c r="AP15" i="18"/>
  <c r="L15" i="18" s="1"/>
  <c r="S16" i="18"/>
  <c r="BB16" i="19"/>
  <c r="B16" i="18"/>
  <c r="F15" i="18"/>
  <c r="H14" i="18"/>
  <c r="AD16" i="18"/>
  <c r="BM15" i="19"/>
  <c r="BC15" i="20"/>
  <c r="Z15" i="19"/>
  <c r="M15" i="19" s="1"/>
  <c r="C16" i="18"/>
  <c r="P16" i="19" s="1"/>
  <c r="C16" i="19" s="1"/>
  <c r="M16" i="22" s="1"/>
  <c r="K158" i="20"/>
  <c r="BV158" i="20" s="1"/>
  <c r="V16" i="22" l="1"/>
  <c r="N15" i="19"/>
  <c r="U15" i="22" s="1"/>
  <c r="CA15" i="19" s="1"/>
  <c r="X16" i="22"/>
  <c r="AC16" i="18"/>
  <c r="N16" i="18" s="1"/>
  <c r="BM16" i="19" s="1"/>
  <c r="E16" i="18"/>
  <c r="R16" i="19" s="1"/>
  <c r="E16" i="19" s="1"/>
  <c r="O16" i="22" s="1"/>
  <c r="Y16" i="18"/>
  <c r="V15" i="19"/>
  <c r="AI15" i="19" s="1"/>
  <c r="I15" i="19" s="1"/>
  <c r="S15" i="22" s="1"/>
  <c r="BX15" i="19" s="1"/>
  <c r="BI15" i="19"/>
  <c r="AY15" i="20"/>
  <c r="P16" i="18"/>
  <c r="AS16" i="18"/>
  <c r="BN16" i="19" s="1"/>
  <c r="AT17" i="18" s="1"/>
  <c r="BF15" i="19"/>
  <c r="AK16" i="18" s="1"/>
  <c r="AU15" i="20"/>
  <c r="S15" i="19"/>
  <c r="AF15" i="19" s="1"/>
  <c r="F15" i="19" s="1"/>
  <c r="BC16" i="19"/>
  <c r="W15" i="18"/>
  <c r="BH14" i="19"/>
  <c r="AM15" i="18" s="1"/>
  <c r="AW14" i="20"/>
  <c r="U14" i="19"/>
  <c r="AH14" i="19" s="1"/>
  <c r="H14" i="19" s="1"/>
  <c r="R14" i="22" s="1"/>
  <c r="BW14" i="19" s="1"/>
  <c r="AO15" i="18" s="1"/>
  <c r="K15" i="18" s="1"/>
  <c r="AA16" i="18" s="1"/>
  <c r="X15" i="18"/>
  <c r="BS15" i="19" s="1"/>
  <c r="AJ16" i="18" s="1"/>
  <c r="O16" i="19"/>
  <c r="AB16" i="19" s="1"/>
  <c r="B16" i="19" s="1"/>
  <c r="L16" i="22" s="1"/>
  <c r="BO16" i="19" s="1"/>
  <c r="AF17" i="18" s="1"/>
  <c r="BB17" i="19" s="1"/>
  <c r="Q17" i="18"/>
  <c r="U16" i="18"/>
  <c r="R17" i="18"/>
  <c r="BA15" i="20"/>
  <c r="BK15" i="19"/>
  <c r="AQ16" i="18" s="1"/>
  <c r="X15" i="19"/>
  <c r="AK15" i="19" s="1"/>
  <c r="K15" i="19" s="1"/>
  <c r="AB16" i="18"/>
  <c r="BG15" i="19"/>
  <c r="T15" i="19"/>
  <c r="AG15" i="19" s="1"/>
  <c r="G15" i="19" s="1"/>
  <c r="BV15" i="19" s="1"/>
  <c r="AN16" i="18" s="1"/>
  <c r="AV15" i="20"/>
  <c r="BP16" i="19"/>
  <c r="AG17" i="18" s="1"/>
  <c r="D16" i="18"/>
  <c r="S17" i="18" s="1"/>
  <c r="BQ16" i="19"/>
  <c r="V16" i="18"/>
  <c r="AL158" i="20"/>
  <c r="BZ16" i="19" l="1"/>
  <c r="BE16" i="19"/>
  <c r="Z16" i="19"/>
  <c r="M16" i="19" s="1"/>
  <c r="BC16" i="20"/>
  <c r="AH17" i="18"/>
  <c r="BD17" i="19" s="1"/>
  <c r="O16" i="18"/>
  <c r="AA16" i="19" s="1"/>
  <c r="AN16" i="19" s="1"/>
  <c r="N16" i="19" s="1"/>
  <c r="U16" i="22" s="1"/>
  <c r="CA16" i="19" s="1"/>
  <c r="AS17" i="18" s="1"/>
  <c r="BN17" i="19" s="1"/>
  <c r="BL16" i="19"/>
  <c r="AR17" i="18" s="1"/>
  <c r="Z16" i="18"/>
  <c r="BJ15" i="19"/>
  <c r="AP16" i="18" s="1"/>
  <c r="L16" i="18" s="1"/>
  <c r="AZ15" i="20"/>
  <c r="W15" i="19"/>
  <c r="AJ15" i="19" s="1"/>
  <c r="J15" i="19" s="1"/>
  <c r="BP17" i="19"/>
  <c r="AG18" i="18" s="1"/>
  <c r="M16" i="18"/>
  <c r="G16" i="18"/>
  <c r="Q16" i="19"/>
  <c r="AD16" i="19" s="1"/>
  <c r="D16" i="19" s="1"/>
  <c r="N16" i="22" s="1"/>
  <c r="T17" i="18"/>
  <c r="H15" i="18"/>
  <c r="W16" i="18" s="1"/>
  <c r="B17" i="18"/>
  <c r="O17" i="19" s="1"/>
  <c r="AB17" i="19" s="1"/>
  <c r="B17" i="19" s="1"/>
  <c r="L17" i="22" s="1"/>
  <c r="BO17" i="19" s="1"/>
  <c r="AF18" i="18" s="1"/>
  <c r="BB18" i="19" s="1"/>
  <c r="J16" i="18"/>
  <c r="Y17" i="18" s="1"/>
  <c r="I15" i="18"/>
  <c r="AX15" i="20" s="1"/>
  <c r="C17" i="18"/>
  <c r="P17" i="19" s="1"/>
  <c r="C17" i="19" s="1"/>
  <c r="M17" i="22" s="1"/>
  <c r="BU15" i="19"/>
  <c r="AL16" i="18" s="1"/>
  <c r="F16" i="18"/>
  <c r="AC158" i="20"/>
  <c r="X17" i="22" l="1"/>
  <c r="AE17" i="18"/>
  <c r="P17" i="18" s="1"/>
  <c r="D17" i="18"/>
  <c r="Q17" i="19" s="1"/>
  <c r="AD17" i="19" s="1"/>
  <c r="D17" i="19" s="1"/>
  <c r="N17" i="22" s="1"/>
  <c r="AD17" i="18"/>
  <c r="O17" i="18" s="1"/>
  <c r="AE18" i="18" s="1"/>
  <c r="H16" i="18"/>
  <c r="AW16" i="20" s="1"/>
  <c r="X16" i="19"/>
  <c r="AK16" i="19" s="1"/>
  <c r="K16" i="19" s="1"/>
  <c r="BA16" i="20"/>
  <c r="BK16" i="19"/>
  <c r="S16" i="19"/>
  <c r="AF16" i="19" s="1"/>
  <c r="F16" i="19" s="1"/>
  <c r="BU16" i="19" s="1"/>
  <c r="BF16" i="19"/>
  <c r="AK17" i="18" s="1"/>
  <c r="AU16" i="20"/>
  <c r="BB16" i="20"/>
  <c r="Y16" i="19"/>
  <c r="AL16" i="19" s="1"/>
  <c r="AC17" i="18"/>
  <c r="S18" i="18"/>
  <c r="AW15" i="20"/>
  <c r="U15" i="19"/>
  <c r="AH15" i="19" s="1"/>
  <c r="H15" i="19" s="1"/>
  <c r="R15" i="22" s="1"/>
  <c r="BW15" i="19" s="1"/>
  <c r="AO16" i="18" s="1"/>
  <c r="K16" i="18" s="1"/>
  <c r="AA17" i="18" s="1"/>
  <c r="BH15" i="19"/>
  <c r="AM16" i="18" s="1"/>
  <c r="BG16" i="19"/>
  <c r="AV16" i="20"/>
  <c r="T16" i="19"/>
  <c r="AG16" i="19" s="1"/>
  <c r="G16" i="19" s="1"/>
  <c r="BV16" i="19" s="1"/>
  <c r="AN17" i="18" s="1"/>
  <c r="J17" i="18" s="1"/>
  <c r="V16" i="19"/>
  <c r="AI16" i="19" s="1"/>
  <c r="I16" i="19" s="1"/>
  <c r="S16" i="22" s="1"/>
  <c r="BX16" i="19" s="1"/>
  <c r="BI16" i="19"/>
  <c r="AY16" i="20"/>
  <c r="V17" i="18"/>
  <c r="E17" i="18"/>
  <c r="BR17" i="19"/>
  <c r="AI18" i="18" s="1"/>
  <c r="U17" i="18"/>
  <c r="BC17" i="19"/>
  <c r="X16" i="18"/>
  <c r="BS16" i="19" s="1"/>
  <c r="AJ17" i="18" s="1"/>
  <c r="Q18" i="18"/>
  <c r="AB17" i="18"/>
  <c r="BQ17" i="19"/>
  <c r="AH18" i="18" s="1"/>
  <c r="BD18" i="19" s="1"/>
  <c r="R18" i="18"/>
  <c r="K159" i="20"/>
  <c r="BV159" i="20" s="1"/>
  <c r="T18" i="18" l="1"/>
  <c r="L16" i="19"/>
  <c r="T16" i="22" s="1"/>
  <c r="BY16" i="19" s="1"/>
  <c r="V17" i="22"/>
  <c r="W17" i="18"/>
  <c r="AT18" i="18"/>
  <c r="P18" i="18" s="1"/>
  <c r="U16" i="19"/>
  <c r="AH16" i="19" s="1"/>
  <c r="H16" i="19" s="1"/>
  <c r="R16" i="22" s="1"/>
  <c r="BW16" i="19" s="1"/>
  <c r="AO17" i="18" s="1"/>
  <c r="BH16" i="19"/>
  <c r="AM17" i="18" s="1"/>
  <c r="AL17" i="18"/>
  <c r="H17" i="18" s="1"/>
  <c r="AY17" i="20"/>
  <c r="V17" i="19"/>
  <c r="AI17" i="19" s="1"/>
  <c r="I17" i="19" s="1"/>
  <c r="S17" i="22" s="1"/>
  <c r="BX17" i="19" s="1"/>
  <c r="BI17" i="19"/>
  <c r="Y18" i="18"/>
  <c r="Z17" i="18"/>
  <c r="B18" i="18"/>
  <c r="O18" i="19" s="1"/>
  <c r="AB18" i="19" s="1"/>
  <c r="B18" i="19" s="1"/>
  <c r="L18" i="22" s="1"/>
  <c r="BO18" i="19" s="1"/>
  <c r="AF19" i="18" s="1"/>
  <c r="BB19" i="19" s="1"/>
  <c r="F17" i="18"/>
  <c r="U18" i="18" s="1"/>
  <c r="R17" i="19"/>
  <c r="E17" i="19" s="1"/>
  <c r="O17" i="22" s="1"/>
  <c r="BE17" i="19"/>
  <c r="BP18" i="19"/>
  <c r="AG19" i="18" s="1"/>
  <c r="D18" i="18"/>
  <c r="Q18" i="19" s="1"/>
  <c r="AD18" i="19" s="1"/>
  <c r="D18" i="19" s="1"/>
  <c r="N18" i="22" s="1"/>
  <c r="AZ16" i="20"/>
  <c r="W16" i="19"/>
  <c r="AJ16" i="19" s="1"/>
  <c r="J16" i="19" s="1"/>
  <c r="BJ16" i="19"/>
  <c r="AP17" i="18" s="1"/>
  <c r="L17" i="18" s="1"/>
  <c r="I16" i="18"/>
  <c r="AX16" i="20" s="1"/>
  <c r="C18" i="18"/>
  <c r="BZ17" i="19"/>
  <c r="N17" i="18"/>
  <c r="AD18" i="18" s="1"/>
  <c r="G17" i="18"/>
  <c r="AQ17" i="18"/>
  <c r="BL17" i="19" s="1"/>
  <c r="BR18" i="19"/>
  <c r="AI19" i="18" s="1"/>
  <c r="E18" i="18"/>
  <c r="R18" i="19" s="1"/>
  <c r="E18" i="19" s="1"/>
  <c r="O18" i="22" s="1"/>
  <c r="AA17" i="19"/>
  <c r="AN17" i="19" s="1"/>
  <c r="N17" i="19" s="1"/>
  <c r="U17" i="22" s="1"/>
  <c r="CA17" i="19" s="1"/>
  <c r="AL159" i="20"/>
  <c r="K17" i="18" l="1"/>
  <c r="X18" i="22"/>
  <c r="X17" i="18"/>
  <c r="U17" i="19"/>
  <c r="AH17" i="19" s="1"/>
  <c r="H17" i="19" s="1"/>
  <c r="R17" i="22" s="1"/>
  <c r="BW17" i="19" s="1"/>
  <c r="BH17" i="19"/>
  <c r="AW17" i="20"/>
  <c r="BE18" i="19"/>
  <c r="T19" i="18"/>
  <c r="BR19" i="19" s="1"/>
  <c r="R19" i="18"/>
  <c r="C19" i="18" s="1"/>
  <c r="P19" i="19" s="1"/>
  <c r="C19" i="19" s="1"/>
  <c r="M19" i="22" s="1"/>
  <c r="Q19" i="18"/>
  <c r="B19" i="18" s="1"/>
  <c r="W18" i="18"/>
  <c r="M17" i="18"/>
  <c r="AC18" i="18" s="1"/>
  <c r="BK17" i="19"/>
  <c r="X17" i="19"/>
  <c r="AK17" i="19" s="1"/>
  <c r="K17" i="19" s="1"/>
  <c r="BA17" i="20"/>
  <c r="AA18" i="18"/>
  <c r="W17" i="19"/>
  <c r="AJ17" i="19" s="1"/>
  <c r="J17" i="19" s="1"/>
  <c r="AZ17" i="20"/>
  <c r="BJ17" i="19"/>
  <c r="AP18" i="18" s="1"/>
  <c r="P18" i="19"/>
  <c r="C18" i="19" s="1"/>
  <c r="BC18" i="19"/>
  <c r="S19" i="18"/>
  <c r="Z18" i="18"/>
  <c r="Z17" i="19"/>
  <c r="M17" i="19" s="1"/>
  <c r="BM17" i="19"/>
  <c r="AS18" i="18" s="1"/>
  <c r="BC17" i="20"/>
  <c r="AR18" i="18"/>
  <c r="T17" i="19"/>
  <c r="AG17" i="19" s="1"/>
  <c r="G17" i="19" s="1"/>
  <c r="BV17" i="19" s="1"/>
  <c r="AN18" i="18" s="1"/>
  <c r="J18" i="18" s="1"/>
  <c r="AV17" i="20"/>
  <c r="BG17" i="19"/>
  <c r="V18" i="18"/>
  <c r="AU17" i="20"/>
  <c r="S17" i="19"/>
  <c r="AF17" i="19" s="1"/>
  <c r="F17" i="19" s="1"/>
  <c r="BU17" i="19" s="1"/>
  <c r="BF17" i="19"/>
  <c r="AK18" i="18" s="1"/>
  <c r="AO18" i="18"/>
  <c r="AC159" i="20"/>
  <c r="I17" i="18" l="1"/>
  <c r="AX17" i="20" s="1"/>
  <c r="BS17" i="19"/>
  <c r="AJ18" i="18" s="1"/>
  <c r="F18" i="18" s="1"/>
  <c r="S18" i="19" s="1"/>
  <c r="AF18" i="19" s="1"/>
  <c r="F18" i="19" s="1"/>
  <c r="AM18" i="18"/>
  <c r="AB18" i="18"/>
  <c r="BB17" i="20"/>
  <c r="Y17" i="19"/>
  <c r="AL17" i="19" s="1"/>
  <c r="E19" i="18"/>
  <c r="R19" i="19" s="1"/>
  <c r="E19" i="19" s="1"/>
  <c r="O19" i="22" s="1"/>
  <c r="O19" i="19"/>
  <c r="AB19" i="19" s="1"/>
  <c r="B19" i="19" s="1"/>
  <c r="L19" i="22" s="1"/>
  <c r="BO19" i="19" s="1"/>
  <c r="AF20" i="18" s="1"/>
  <c r="BB20" i="19" s="1"/>
  <c r="Q20" i="18"/>
  <c r="AL18" i="18"/>
  <c r="H18" i="18" s="1"/>
  <c r="BU18" i="19"/>
  <c r="BI18" i="19"/>
  <c r="AY18" i="20"/>
  <c r="V18" i="19"/>
  <c r="AI18" i="19" s="1"/>
  <c r="I18" i="19" s="1"/>
  <c r="S18" i="22" s="1"/>
  <c r="BX18" i="19" s="1"/>
  <c r="Y19" i="18"/>
  <c r="BN18" i="19"/>
  <c r="AT19" i="18" s="1"/>
  <c r="O18" i="18"/>
  <c r="G18" i="18"/>
  <c r="V19" i="18" s="1"/>
  <c r="BZ18" i="19"/>
  <c r="N18" i="18"/>
  <c r="R20" i="18"/>
  <c r="BP19" i="19"/>
  <c r="AG20" i="18" s="1"/>
  <c r="BQ19" i="19"/>
  <c r="M18" i="22"/>
  <c r="BQ18" i="19"/>
  <c r="AH19" i="18" s="1"/>
  <c r="BD19" i="19" s="1"/>
  <c r="AI20" i="18" s="1"/>
  <c r="K18" i="18"/>
  <c r="BC19" i="19"/>
  <c r="X18" i="18"/>
  <c r="BS18" i="19" s="1"/>
  <c r="AJ19" i="18" s="1"/>
  <c r="L18" i="18"/>
  <c r="K160" i="20"/>
  <c r="BV160" i="20" s="1"/>
  <c r="AU18" i="20" l="1"/>
  <c r="U19" i="18"/>
  <c r="F19" i="18" s="1"/>
  <c r="U20" i="18" s="1"/>
  <c r="BF18" i="19"/>
  <c r="AK19" i="18" s="1"/>
  <c r="L17" i="19"/>
  <c r="T17" i="22" s="1"/>
  <c r="BY17" i="19" s="1"/>
  <c r="AQ18" i="18" s="1"/>
  <c r="BL18" i="19" s="1"/>
  <c r="V18" i="22"/>
  <c r="B20" i="18"/>
  <c r="O20" i="19" s="1"/>
  <c r="AB20" i="19" s="1"/>
  <c r="B20" i="19" s="1"/>
  <c r="L20" i="22" s="1"/>
  <c r="BE19" i="19"/>
  <c r="AR19" i="18"/>
  <c r="AA19" i="18"/>
  <c r="G19" i="18"/>
  <c r="Z19" i="18"/>
  <c r="BJ18" i="19"/>
  <c r="AP19" i="18" s="1"/>
  <c r="AZ18" i="20"/>
  <c r="W18" i="19"/>
  <c r="AJ18" i="19" s="1"/>
  <c r="J18" i="19" s="1"/>
  <c r="BO20" i="19"/>
  <c r="AF21" i="18" s="1"/>
  <c r="BB21" i="19" s="1"/>
  <c r="BG18" i="19"/>
  <c r="AL19" i="18" s="1"/>
  <c r="AV18" i="20"/>
  <c r="T18" i="19"/>
  <c r="AG18" i="19" s="1"/>
  <c r="G18" i="19" s="1"/>
  <c r="BV18" i="19" s="1"/>
  <c r="AN19" i="18" s="1"/>
  <c r="J19" i="18" s="1"/>
  <c r="AH20" i="18"/>
  <c r="BD20" i="19" s="1"/>
  <c r="C20" i="18"/>
  <c r="P20" i="19" s="1"/>
  <c r="C20" i="19" s="1"/>
  <c r="M20" i="22" s="1"/>
  <c r="Z18" i="19"/>
  <c r="M18" i="19" s="1"/>
  <c r="BC18" i="20"/>
  <c r="BM18" i="19"/>
  <c r="AA18" i="19"/>
  <c r="AN18" i="19" s="1"/>
  <c r="AE19" i="18"/>
  <c r="AD19" i="18"/>
  <c r="X18" i="19"/>
  <c r="AK18" i="19" s="1"/>
  <c r="K18" i="19" s="1"/>
  <c r="BA18" i="20"/>
  <c r="BK18" i="19"/>
  <c r="I18" i="18"/>
  <c r="AX18" i="20" s="1"/>
  <c r="AW18" i="20"/>
  <c r="U18" i="19"/>
  <c r="AH18" i="19" s="1"/>
  <c r="H18" i="19" s="1"/>
  <c r="R18" i="22" s="1"/>
  <c r="BW18" i="19" s="1"/>
  <c r="AO19" i="18" s="1"/>
  <c r="BH18" i="19"/>
  <c r="AM19" i="18" s="1"/>
  <c r="W19" i="18"/>
  <c r="D19" i="18"/>
  <c r="Q21" i="18"/>
  <c r="AL160" i="20"/>
  <c r="S19" i="19" l="1"/>
  <c r="AF19" i="19" s="1"/>
  <c r="F19" i="19" s="1"/>
  <c r="M18" i="18"/>
  <c r="N18" i="19"/>
  <c r="U18" i="22" s="1"/>
  <c r="CA18" i="19" s="1"/>
  <c r="X19" i="22"/>
  <c r="AC19" i="18"/>
  <c r="BZ19" i="19" s="1"/>
  <c r="AU19" i="20"/>
  <c r="BF19" i="19"/>
  <c r="AK20" i="18" s="1"/>
  <c r="AB19" i="18"/>
  <c r="L19" i="18"/>
  <c r="BK19" i="19" s="1"/>
  <c r="H19" i="18"/>
  <c r="W20" i="18" s="1"/>
  <c r="BI19" i="19"/>
  <c r="V19" i="19"/>
  <c r="AI19" i="19" s="1"/>
  <c r="I19" i="19" s="1"/>
  <c r="S19" i="22" s="1"/>
  <c r="BX19" i="19" s="1"/>
  <c r="AY19" i="20"/>
  <c r="Y20" i="18"/>
  <c r="B21" i="18"/>
  <c r="O21" i="19" s="1"/>
  <c r="AB21" i="19" s="1"/>
  <c r="B21" i="19" s="1"/>
  <c r="L21" i="22" s="1"/>
  <c r="K19" i="18"/>
  <c r="AV19" i="20"/>
  <c r="BG19" i="19"/>
  <c r="T19" i="19"/>
  <c r="AG19" i="19" s="1"/>
  <c r="G19" i="19" s="1"/>
  <c r="BV19" i="19" s="1"/>
  <c r="AN20" i="18" s="1"/>
  <c r="Q19" i="19"/>
  <c r="AD19" i="19" s="1"/>
  <c r="D19" i="19" s="1"/>
  <c r="N19" i="22" s="1"/>
  <c r="T20" i="18"/>
  <c r="S20" i="18"/>
  <c r="BU19" i="19"/>
  <c r="V20" i="18"/>
  <c r="P19" i="18"/>
  <c r="R21" i="18"/>
  <c r="X19" i="18"/>
  <c r="AS19" i="18"/>
  <c r="BN19" i="19" s="1"/>
  <c r="AT20" i="18" s="1"/>
  <c r="BC20" i="19"/>
  <c r="AC160" i="20"/>
  <c r="BS19" i="19" l="1"/>
  <c r="AJ20" i="18" s="1"/>
  <c r="F20" i="18" s="1"/>
  <c r="N19" i="18"/>
  <c r="Y18" i="19"/>
  <c r="AL18" i="19" s="1"/>
  <c r="BB18" i="20"/>
  <c r="X19" i="19"/>
  <c r="AK19" i="19" s="1"/>
  <c r="K19" i="19" s="1"/>
  <c r="AW19" i="20"/>
  <c r="AA20" i="18"/>
  <c r="BA19" i="20"/>
  <c r="BH19" i="19"/>
  <c r="AM20" i="18" s="1"/>
  <c r="U19" i="19"/>
  <c r="AH19" i="19" s="1"/>
  <c r="H19" i="19" s="1"/>
  <c r="R19" i="22" s="1"/>
  <c r="BW19" i="19" s="1"/>
  <c r="AO20" i="18" s="1"/>
  <c r="AL20" i="18"/>
  <c r="H20" i="18" s="1"/>
  <c r="Z19" i="19"/>
  <c r="M19" i="19" s="1"/>
  <c r="BM19" i="19"/>
  <c r="BC19" i="20"/>
  <c r="O19" i="18"/>
  <c r="Q22" i="18"/>
  <c r="Z20" i="18"/>
  <c r="BJ19" i="19"/>
  <c r="AP20" i="18" s="1"/>
  <c r="AZ19" i="20"/>
  <c r="W19" i="19"/>
  <c r="AJ19" i="19" s="1"/>
  <c r="J19" i="19" s="1"/>
  <c r="G20" i="18"/>
  <c r="J20" i="18"/>
  <c r="Y21" i="18" s="1"/>
  <c r="I19" i="18"/>
  <c r="AX19" i="20" s="1"/>
  <c r="BP20" i="19"/>
  <c r="AG21" i="18" s="1"/>
  <c r="D20" i="18"/>
  <c r="Q20" i="19" s="1"/>
  <c r="AD20" i="19" s="1"/>
  <c r="D20" i="19" s="1"/>
  <c r="N20" i="22" s="1"/>
  <c r="BQ20" i="19"/>
  <c r="AH21" i="18" s="1"/>
  <c r="BD21" i="19" s="1"/>
  <c r="BO21" i="19"/>
  <c r="AF22" i="18" s="1"/>
  <c r="BB22" i="19" s="1"/>
  <c r="E20" i="18"/>
  <c r="BR20" i="19"/>
  <c r="AI21" i="18" s="1"/>
  <c r="K161" i="20"/>
  <c r="BV161" i="20" s="1"/>
  <c r="L18" i="19" l="1"/>
  <c r="T18" i="22" s="1"/>
  <c r="BY18" i="19" s="1"/>
  <c r="AQ19" i="18" s="1"/>
  <c r="V19" i="22"/>
  <c r="W21" i="18"/>
  <c r="S21" i="18"/>
  <c r="D21" i="18" s="1"/>
  <c r="Q21" i="19" s="1"/>
  <c r="AD21" i="19" s="1"/>
  <c r="D21" i="19" s="1"/>
  <c r="N21" i="22" s="1"/>
  <c r="X20" i="18"/>
  <c r="T21" i="18"/>
  <c r="BR21" i="19" s="1"/>
  <c r="BG20" i="19"/>
  <c r="T20" i="19"/>
  <c r="AG20" i="19" s="1"/>
  <c r="G20" i="19" s="1"/>
  <c r="BV20" i="19" s="1"/>
  <c r="AN21" i="18" s="1"/>
  <c r="J21" i="18" s="1"/>
  <c r="AV20" i="20"/>
  <c r="K20" i="18"/>
  <c r="Z21" i="18" s="1"/>
  <c r="AW20" i="20"/>
  <c r="BH20" i="19"/>
  <c r="U20" i="19"/>
  <c r="AH20" i="19" s="1"/>
  <c r="H20" i="19" s="1"/>
  <c r="R20" i="22" s="1"/>
  <c r="BW20" i="19" s="1"/>
  <c r="B22" i="18"/>
  <c r="O22" i="19" s="1"/>
  <c r="AB22" i="19" s="1"/>
  <c r="B22" i="19" s="1"/>
  <c r="L22" i="22" s="1"/>
  <c r="BF20" i="19"/>
  <c r="AU20" i="20"/>
  <c r="S20" i="19"/>
  <c r="AF20" i="19" s="1"/>
  <c r="F20" i="19" s="1"/>
  <c r="BU20" i="19" s="1"/>
  <c r="U21" i="18"/>
  <c r="AA19" i="19"/>
  <c r="AN19" i="19" s="1"/>
  <c r="AE20" i="18"/>
  <c r="AD20" i="18"/>
  <c r="R20" i="19"/>
  <c r="E20" i="19" s="1"/>
  <c r="O20" i="22" s="1"/>
  <c r="BE20" i="19"/>
  <c r="C21" i="18"/>
  <c r="BC21" i="19" s="1"/>
  <c r="AY20" i="20"/>
  <c r="BI20" i="19"/>
  <c r="V20" i="19"/>
  <c r="AI20" i="19" s="1"/>
  <c r="I20" i="19" s="1"/>
  <c r="S20" i="22" s="1"/>
  <c r="BX20" i="19" s="1"/>
  <c r="V21" i="18"/>
  <c r="L20" i="18"/>
  <c r="AL161" i="20"/>
  <c r="I20" i="18" l="1"/>
  <c r="N19" i="19"/>
  <c r="U19" i="22" s="1"/>
  <c r="CA19" i="19" s="1"/>
  <c r="AS20" i="18" s="1"/>
  <c r="BN20" i="19" s="1"/>
  <c r="AT21" i="18" s="1"/>
  <c r="X20" i="22"/>
  <c r="BS20" i="19" s="1"/>
  <c r="AJ21" i="18" s="1"/>
  <c r="F21" i="18" s="1"/>
  <c r="BF21" i="19" s="1"/>
  <c r="BL19" i="19"/>
  <c r="AR20" i="18" s="1"/>
  <c r="M19" i="18"/>
  <c r="AO21" i="18"/>
  <c r="K21" i="18" s="1"/>
  <c r="W21" i="19" s="1"/>
  <c r="AJ21" i="19" s="1"/>
  <c r="J21" i="19" s="1"/>
  <c r="BP21" i="19"/>
  <c r="AG22" i="18" s="1"/>
  <c r="Q23" i="18"/>
  <c r="AX20" i="20"/>
  <c r="X21" i="18"/>
  <c r="AI22" i="18"/>
  <c r="S22" i="18"/>
  <c r="BP22" i="19" s="1"/>
  <c r="AM21" i="18"/>
  <c r="E21" i="18"/>
  <c r="R21" i="19" s="1"/>
  <c r="E21" i="19" s="1"/>
  <c r="O21" i="22" s="1"/>
  <c r="Z22" i="18"/>
  <c r="BI21" i="19"/>
  <c r="AY21" i="20"/>
  <c r="V21" i="19"/>
  <c r="AI21" i="19" s="1"/>
  <c r="I21" i="19" s="1"/>
  <c r="S21" i="22" s="1"/>
  <c r="Y22" i="18"/>
  <c r="P20" i="18"/>
  <c r="AK21" i="18"/>
  <c r="AL21" i="18"/>
  <c r="BK20" i="19"/>
  <c r="BA20" i="20"/>
  <c r="X20" i="19"/>
  <c r="AK20" i="19" s="1"/>
  <c r="K20" i="19" s="1"/>
  <c r="AA21" i="18"/>
  <c r="W20" i="19"/>
  <c r="AJ20" i="19" s="1"/>
  <c r="J20" i="19" s="1"/>
  <c r="BJ20" i="19"/>
  <c r="AP21" i="18" s="1"/>
  <c r="AZ20" i="20"/>
  <c r="P21" i="19"/>
  <c r="C21" i="19" s="1"/>
  <c r="R22" i="18"/>
  <c r="O20" i="18"/>
  <c r="AA20" i="19" s="1"/>
  <c r="AN20" i="19" s="1"/>
  <c r="N20" i="19" s="1"/>
  <c r="U20" i="22" s="1"/>
  <c r="CA20" i="19" s="1"/>
  <c r="AC161" i="20"/>
  <c r="AZ21" i="20" l="1"/>
  <c r="BJ21" i="19"/>
  <c r="X21" i="22"/>
  <c r="BS21" i="19" s="1"/>
  <c r="AC20" i="18"/>
  <c r="AB20" i="18"/>
  <c r="BB19" i="20"/>
  <c r="Y19" i="19"/>
  <c r="AL19" i="19" s="1"/>
  <c r="AU21" i="20"/>
  <c r="S21" i="19"/>
  <c r="AF21" i="19" s="1"/>
  <c r="F21" i="19" s="1"/>
  <c r="BU21" i="19" s="1"/>
  <c r="C22" i="18"/>
  <c r="P22" i="19" s="1"/>
  <c r="C22" i="19" s="1"/>
  <c r="M22" i="22" s="1"/>
  <c r="I21" i="18"/>
  <c r="AX21" i="20" s="1"/>
  <c r="T22" i="18"/>
  <c r="BR22" i="19" s="1"/>
  <c r="U22" i="18"/>
  <c r="BE21" i="19"/>
  <c r="BQ22" i="19"/>
  <c r="AE21" i="18"/>
  <c r="P21" i="18" s="1"/>
  <c r="L21" i="18"/>
  <c r="BX21" i="19"/>
  <c r="AP22" i="18" s="1"/>
  <c r="BO22" i="19"/>
  <c r="AF23" i="18" s="1"/>
  <c r="R23" i="18"/>
  <c r="H21" i="18"/>
  <c r="M21" i="22"/>
  <c r="BQ21" i="19"/>
  <c r="AH22" i="18" s="1"/>
  <c r="G21" i="18"/>
  <c r="AK22" i="18"/>
  <c r="AG23" i="18"/>
  <c r="K162" i="20"/>
  <c r="BV162" i="20" s="1"/>
  <c r="AJ22" i="18" l="1"/>
  <c r="F22" i="18" s="1"/>
  <c r="N20" i="18"/>
  <c r="BZ20" i="19"/>
  <c r="L19" i="19"/>
  <c r="T19" i="22" s="1"/>
  <c r="BY19" i="19" s="1"/>
  <c r="AQ20" i="18" s="1"/>
  <c r="V20" i="22"/>
  <c r="BC22" i="19"/>
  <c r="AH23" i="18" s="1"/>
  <c r="BD23" i="19" s="1"/>
  <c r="E22" i="18"/>
  <c r="BE22" i="19" s="1"/>
  <c r="X21" i="19"/>
  <c r="AK21" i="19" s="1"/>
  <c r="K21" i="19" s="1"/>
  <c r="BA21" i="20"/>
  <c r="BK21" i="19"/>
  <c r="BB23" i="19"/>
  <c r="B23" i="18"/>
  <c r="AA22" i="18"/>
  <c r="BG21" i="19"/>
  <c r="AL22" i="18" s="1"/>
  <c r="T21" i="19"/>
  <c r="AG21" i="19" s="1"/>
  <c r="G21" i="19" s="1"/>
  <c r="BV21" i="19" s="1"/>
  <c r="AN22" i="18" s="1"/>
  <c r="J22" i="18" s="1"/>
  <c r="AV21" i="20"/>
  <c r="V22" i="18"/>
  <c r="C23" i="18"/>
  <c r="P23" i="19" s="1"/>
  <c r="C23" i="19" s="1"/>
  <c r="M23" i="22" s="1"/>
  <c r="U21" i="19"/>
  <c r="AH21" i="19" s="1"/>
  <c r="H21" i="19" s="1"/>
  <c r="R21" i="22" s="1"/>
  <c r="BW21" i="19" s="1"/>
  <c r="AO22" i="18" s="1"/>
  <c r="K22" i="18" s="1"/>
  <c r="AW21" i="20"/>
  <c r="BH21" i="19"/>
  <c r="AM22" i="18" s="1"/>
  <c r="W22" i="18"/>
  <c r="X22" i="18"/>
  <c r="BD22" i="19"/>
  <c r="AI23" i="18" s="1"/>
  <c r="D22" i="18"/>
  <c r="AL162" i="20"/>
  <c r="S22" i="19" l="1"/>
  <c r="AF22" i="19" s="1"/>
  <c r="F22" i="19" s="1"/>
  <c r="BF22" i="19"/>
  <c r="BL20" i="19"/>
  <c r="AR21" i="18" s="1"/>
  <c r="AU22" i="20"/>
  <c r="M20" i="18"/>
  <c r="Z20" i="19"/>
  <c r="M20" i="19" s="1"/>
  <c r="BM20" i="19"/>
  <c r="AS21" i="18" s="1"/>
  <c r="BN21" i="19" s="1"/>
  <c r="AT22" i="18" s="1"/>
  <c r="BC20" i="20"/>
  <c r="AD21" i="18"/>
  <c r="U23" i="18"/>
  <c r="R22" i="19"/>
  <c r="E22" i="19" s="1"/>
  <c r="O22" i="22" s="1"/>
  <c r="BU22" i="19"/>
  <c r="BC23" i="19"/>
  <c r="W22" i="19"/>
  <c r="AJ22" i="19" s="1"/>
  <c r="J22" i="19" s="1"/>
  <c r="BJ22" i="19"/>
  <c r="AZ22" i="20"/>
  <c r="Z23" i="18"/>
  <c r="G22" i="18"/>
  <c r="Q22" i="19"/>
  <c r="AD22" i="19" s="1"/>
  <c r="D22" i="19" s="1"/>
  <c r="N22" i="22" s="1"/>
  <c r="S23" i="18"/>
  <c r="T23" i="18"/>
  <c r="R24" i="18"/>
  <c r="L22" i="18"/>
  <c r="AA23" i="18" s="1"/>
  <c r="I22" i="18"/>
  <c r="AX22" i="20" s="1"/>
  <c r="AK23" i="18"/>
  <c r="AY22" i="20"/>
  <c r="V22" i="19"/>
  <c r="AI22" i="19" s="1"/>
  <c r="I22" i="19" s="1"/>
  <c r="S22" i="22" s="1"/>
  <c r="BX22" i="19" s="1"/>
  <c r="BI22" i="19"/>
  <c r="Y23" i="18"/>
  <c r="O23" i="19"/>
  <c r="AB23" i="19" s="1"/>
  <c r="B23" i="19" s="1"/>
  <c r="L23" i="22" s="1"/>
  <c r="BO23" i="19" s="1"/>
  <c r="AF24" i="18" s="1"/>
  <c r="BB24" i="19" s="1"/>
  <c r="Q24" i="18"/>
  <c r="H22" i="18"/>
  <c r="AC162" i="20"/>
  <c r="BB20" i="20" l="1"/>
  <c r="Y20" i="19"/>
  <c r="AL20" i="19" s="1"/>
  <c r="AC21" i="18"/>
  <c r="AB21" i="18"/>
  <c r="O21" i="18"/>
  <c r="W23" i="18"/>
  <c r="AP23" i="18"/>
  <c r="L23" i="18" s="1"/>
  <c r="BP23" i="19"/>
  <c r="AG24" i="18" s="1"/>
  <c r="D23" i="18"/>
  <c r="BQ23" i="19"/>
  <c r="AH24" i="18" s="1"/>
  <c r="BD24" i="19" s="1"/>
  <c r="X23" i="18"/>
  <c r="BG22" i="19"/>
  <c r="AL23" i="18" s="1"/>
  <c r="T22" i="19"/>
  <c r="AG22" i="19" s="1"/>
  <c r="G22" i="19" s="1"/>
  <c r="BV22" i="19" s="1"/>
  <c r="AN23" i="18" s="1"/>
  <c r="J23" i="18" s="1"/>
  <c r="Y24" i="18" s="1"/>
  <c r="AV22" i="20"/>
  <c r="B24" i="18"/>
  <c r="O24" i="19" s="1"/>
  <c r="AB24" i="19" s="1"/>
  <c r="B24" i="19" s="1"/>
  <c r="L24" i="22" s="1"/>
  <c r="BO24" i="19" s="1"/>
  <c r="AF25" i="18" s="1"/>
  <c r="BB25" i="19" s="1"/>
  <c r="AW22" i="20"/>
  <c r="BH22" i="19"/>
  <c r="AM23" i="18" s="1"/>
  <c r="U22" i="19"/>
  <c r="AH22" i="19" s="1"/>
  <c r="H22" i="19" s="1"/>
  <c r="R22" i="22" s="1"/>
  <c r="BW22" i="19" s="1"/>
  <c r="AO23" i="18" s="1"/>
  <c r="K23" i="18" s="1"/>
  <c r="BA22" i="20"/>
  <c r="X22" i="19"/>
  <c r="AK22" i="19" s="1"/>
  <c r="K22" i="19" s="1"/>
  <c r="BK22" i="19"/>
  <c r="E23" i="18"/>
  <c r="BR23" i="19"/>
  <c r="AI24" i="18" s="1"/>
  <c r="V23" i="18"/>
  <c r="K163" i="20"/>
  <c r="BV163" i="20" s="1"/>
  <c r="L20" i="19" l="1"/>
  <c r="T20" i="22" s="1"/>
  <c r="BY20" i="19" s="1"/>
  <c r="AQ21" i="18" s="1"/>
  <c r="BL21" i="19" s="1"/>
  <c r="AR22" i="18" s="1"/>
  <c r="V21" i="22"/>
  <c r="BZ21" i="19"/>
  <c r="N21" i="18"/>
  <c r="AA21" i="19"/>
  <c r="AN21" i="19" s="1"/>
  <c r="AE22" i="18"/>
  <c r="Q25" i="18"/>
  <c r="B25" i="18" s="1"/>
  <c r="O25" i="19" s="1"/>
  <c r="AB25" i="19" s="1"/>
  <c r="B25" i="19" s="1"/>
  <c r="L25" i="22" s="1"/>
  <c r="BK23" i="19"/>
  <c r="X23" i="19"/>
  <c r="AK23" i="19" s="1"/>
  <c r="K23" i="19" s="1"/>
  <c r="BA23" i="20"/>
  <c r="Z24" i="18"/>
  <c r="AZ23" i="20"/>
  <c r="W23" i="19"/>
  <c r="AJ23" i="19" s="1"/>
  <c r="J23" i="19" s="1"/>
  <c r="BJ23" i="19"/>
  <c r="AA24" i="18"/>
  <c r="S24" i="18"/>
  <c r="Q23" i="19"/>
  <c r="AD23" i="19" s="1"/>
  <c r="D23" i="19" s="1"/>
  <c r="N23" i="22" s="1"/>
  <c r="G23" i="18"/>
  <c r="I23" i="18"/>
  <c r="AX23" i="20" s="1"/>
  <c r="C24" i="18"/>
  <c r="BC24" i="19" s="1"/>
  <c r="R23" i="19"/>
  <c r="E23" i="19" s="1"/>
  <c r="O23" i="22" s="1"/>
  <c r="BE23" i="19"/>
  <c r="T24" i="18"/>
  <c r="BI23" i="19"/>
  <c r="V23" i="19"/>
  <c r="AI23" i="19" s="1"/>
  <c r="I23" i="19" s="1"/>
  <c r="S23" i="22" s="1"/>
  <c r="BX23" i="19" s="1"/>
  <c r="AY23" i="20"/>
  <c r="H23" i="18"/>
  <c r="AL163" i="20"/>
  <c r="P22" i="18" l="1"/>
  <c r="N21" i="19"/>
  <c r="U21" i="22" s="1"/>
  <c r="CA21" i="19" s="1"/>
  <c r="X22" i="22"/>
  <c r="BS22" i="19" s="1"/>
  <c r="AJ23" i="18" s="1"/>
  <c r="F23" i="18" s="1"/>
  <c r="M21" i="18"/>
  <c r="Z21" i="19"/>
  <c r="M21" i="19" s="1"/>
  <c r="BM21" i="19"/>
  <c r="AS22" i="18" s="1"/>
  <c r="BN22" i="19" s="1"/>
  <c r="AT23" i="18" s="1"/>
  <c r="BC21" i="20"/>
  <c r="AD22" i="18"/>
  <c r="Q26" i="18"/>
  <c r="AP24" i="18"/>
  <c r="L24" i="18" s="1"/>
  <c r="BP24" i="19"/>
  <c r="AG25" i="18" s="1"/>
  <c r="D24" i="18"/>
  <c r="Q24" i="19" s="1"/>
  <c r="AD24" i="19" s="1"/>
  <c r="D24" i="19" s="1"/>
  <c r="N24" i="22" s="1"/>
  <c r="BR24" i="19"/>
  <c r="AI25" i="18" s="1"/>
  <c r="E24" i="18"/>
  <c r="AW23" i="20"/>
  <c r="BH23" i="19"/>
  <c r="AM24" i="18" s="1"/>
  <c r="U23" i="19"/>
  <c r="AH23" i="19" s="1"/>
  <c r="H23" i="19" s="1"/>
  <c r="R23" i="22" s="1"/>
  <c r="BW23" i="19" s="1"/>
  <c r="AO24" i="18" s="1"/>
  <c r="W24" i="18"/>
  <c r="X24" i="18"/>
  <c r="P24" i="19"/>
  <c r="C24" i="19" s="1"/>
  <c r="M24" i="22" s="1"/>
  <c r="R25" i="18"/>
  <c r="T23" i="19"/>
  <c r="AG23" i="19" s="1"/>
  <c r="G23" i="19" s="1"/>
  <c r="BV23" i="19" s="1"/>
  <c r="AN24" i="18" s="1"/>
  <c r="J24" i="18" s="1"/>
  <c r="BG23" i="19"/>
  <c r="AV23" i="20"/>
  <c r="AC163" i="20"/>
  <c r="AU23" i="20" l="1"/>
  <c r="U24" i="18"/>
  <c r="BF23" i="19"/>
  <c r="AK24" i="18" s="1"/>
  <c r="S23" i="19"/>
  <c r="AF23" i="19" s="1"/>
  <c r="F23" i="19" s="1"/>
  <c r="BU23" i="19" s="1"/>
  <c r="AL24" i="18" s="1"/>
  <c r="H24" i="18" s="1"/>
  <c r="V24" i="18"/>
  <c r="O22" i="18"/>
  <c r="AB22" i="18"/>
  <c r="Y21" i="19"/>
  <c r="AL21" i="19" s="1"/>
  <c r="BB21" i="20"/>
  <c r="AC22" i="18"/>
  <c r="T25" i="18"/>
  <c r="E25" i="18" s="1"/>
  <c r="R25" i="19" s="1"/>
  <c r="E25" i="19" s="1"/>
  <c r="O25" i="22" s="1"/>
  <c r="K24" i="18"/>
  <c r="BK24" i="19"/>
  <c r="X24" i="19"/>
  <c r="AK24" i="19" s="1"/>
  <c r="K24" i="19" s="1"/>
  <c r="BA24" i="20"/>
  <c r="AY24" i="20"/>
  <c r="V24" i="19"/>
  <c r="AI24" i="19" s="1"/>
  <c r="I24" i="19" s="1"/>
  <c r="S24" i="22" s="1"/>
  <c r="BX24" i="19" s="1"/>
  <c r="BI24" i="19"/>
  <c r="Y25" i="18"/>
  <c r="R24" i="19"/>
  <c r="E24" i="19" s="1"/>
  <c r="O24" i="22" s="1"/>
  <c r="BE24" i="19"/>
  <c r="S25" i="18"/>
  <c r="I24" i="18"/>
  <c r="AX24" i="20" s="1"/>
  <c r="BQ24" i="19"/>
  <c r="AH25" i="18" s="1"/>
  <c r="BD25" i="19" s="1"/>
  <c r="C25" i="18"/>
  <c r="P25" i="19" s="1"/>
  <c r="C25" i="19" s="1"/>
  <c r="M25" i="22" s="1"/>
  <c r="BO25" i="19"/>
  <c r="AF26" i="18" s="1"/>
  <c r="K164" i="20"/>
  <c r="BV164" i="20" s="1"/>
  <c r="BH24" i="19" l="1"/>
  <c r="AM25" i="18" s="1"/>
  <c r="G24" i="18"/>
  <c r="AW24" i="20"/>
  <c r="U24" i="19"/>
  <c r="AH24" i="19" s="1"/>
  <c r="H24" i="19" s="1"/>
  <c r="R24" i="22" s="1"/>
  <c r="BW24" i="19" s="1"/>
  <c r="L21" i="19"/>
  <c r="T21" i="22" s="1"/>
  <c r="BY21" i="19" s="1"/>
  <c r="AQ22" i="18" s="1"/>
  <c r="M22" i="18" s="1"/>
  <c r="V22" i="22"/>
  <c r="BZ22" i="19"/>
  <c r="N22" i="18"/>
  <c r="AA22" i="19"/>
  <c r="AN22" i="19" s="1"/>
  <c r="AE23" i="18"/>
  <c r="P23" i="18" s="1"/>
  <c r="AO25" i="18"/>
  <c r="X25" i="18"/>
  <c r="BR25" i="19"/>
  <c r="AI26" i="18" s="1"/>
  <c r="BE25" i="19"/>
  <c r="BC25" i="19"/>
  <c r="J25" i="18"/>
  <c r="Y26" i="18" s="1"/>
  <c r="R26" i="18"/>
  <c r="BP25" i="19"/>
  <c r="AG26" i="18" s="1"/>
  <c r="D25" i="18"/>
  <c r="S26" i="18" s="1"/>
  <c r="BQ25" i="19"/>
  <c r="BB26" i="19"/>
  <c r="B26" i="18"/>
  <c r="W24" i="19"/>
  <c r="AJ24" i="19" s="1"/>
  <c r="J24" i="19" s="1"/>
  <c r="BJ24" i="19"/>
  <c r="AP25" i="18" s="1"/>
  <c r="AZ24" i="20"/>
  <c r="Z25" i="18"/>
  <c r="K25" i="18" s="1"/>
  <c r="AA25" i="18"/>
  <c r="AL164" i="20"/>
  <c r="T24" i="19" l="1"/>
  <c r="AG24" i="19" s="1"/>
  <c r="G24" i="19" s="1"/>
  <c r="BV24" i="19" s="1"/>
  <c r="AN25" i="18" s="1"/>
  <c r="AV24" i="20"/>
  <c r="BG24" i="19"/>
  <c r="I25" i="18"/>
  <c r="AX25" i="20" s="1"/>
  <c r="W25" i="18"/>
  <c r="BB22" i="20"/>
  <c r="Y22" i="19"/>
  <c r="AL22" i="19" s="1"/>
  <c r="L22" i="19" s="1"/>
  <c r="T22" i="22" s="1"/>
  <c r="BY22" i="19" s="1"/>
  <c r="AB23" i="18"/>
  <c r="N22" i="19"/>
  <c r="U22" i="22" s="1"/>
  <c r="CA22" i="19" s="1"/>
  <c r="X23" i="22"/>
  <c r="BS23" i="19" s="1"/>
  <c r="AJ24" i="18" s="1"/>
  <c r="AC23" i="18"/>
  <c r="BC22" i="20"/>
  <c r="BM22" i="19"/>
  <c r="AS23" i="18" s="1"/>
  <c r="Z22" i="19"/>
  <c r="M22" i="19" s="1"/>
  <c r="AD23" i="18"/>
  <c r="V23" i="22"/>
  <c r="BL22" i="19"/>
  <c r="AR23" i="18" s="1"/>
  <c r="AQ23" i="18"/>
  <c r="BL23" i="19" s="1"/>
  <c r="AH26" i="18"/>
  <c r="BD26" i="19" s="1"/>
  <c r="W25" i="19"/>
  <c r="AJ25" i="19" s="1"/>
  <c r="J25" i="19" s="1"/>
  <c r="BJ25" i="19"/>
  <c r="AZ25" i="20"/>
  <c r="L25" i="18"/>
  <c r="AA26" i="18" s="1"/>
  <c r="O26" i="19"/>
  <c r="AB26" i="19" s="1"/>
  <c r="B26" i="19" s="1"/>
  <c r="L26" i="22" s="1"/>
  <c r="BO26" i="19" s="1"/>
  <c r="AF27" i="18" s="1"/>
  <c r="BB27" i="19" s="1"/>
  <c r="Q27" i="18"/>
  <c r="Z26" i="18"/>
  <c r="Q25" i="19"/>
  <c r="AD25" i="19" s="1"/>
  <c r="D25" i="19" s="1"/>
  <c r="N25" i="22" s="1"/>
  <c r="T26" i="18"/>
  <c r="BP26" i="19"/>
  <c r="AG27" i="18" s="1"/>
  <c r="C26" i="18"/>
  <c r="P26" i="19" s="1"/>
  <c r="C26" i="19" s="1"/>
  <c r="M26" i="22" s="1"/>
  <c r="AY25" i="20"/>
  <c r="V25" i="19"/>
  <c r="AI25" i="19" s="1"/>
  <c r="I25" i="19" s="1"/>
  <c r="S25" i="22" s="1"/>
  <c r="BX25" i="19" s="1"/>
  <c r="BI25" i="19"/>
  <c r="AC164" i="20"/>
  <c r="F24" i="18" l="1"/>
  <c r="BN23" i="19"/>
  <c r="AT24" i="18" s="1"/>
  <c r="M23" i="18"/>
  <c r="AB24" i="18" s="1"/>
  <c r="O23" i="18"/>
  <c r="AD24" i="18" s="1"/>
  <c r="BZ23" i="19"/>
  <c r="AR24" i="18" s="1"/>
  <c r="N23" i="18"/>
  <c r="AC24" i="18" s="1"/>
  <c r="D26" i="18"/>
  <c r="Q26" i="19" s="1"/>
  <c r="AD26" i="19" s="1"/>
  <c r="D26" i="19" s="1"/>
  <c r="N26" i="22" s="1"/>
  <c r="AY26" i="20"/>
  <c r="BI26" i="19"/>
  <c r="V26" i="19"/>
  <c r="AI26" i="19" s="1"/>
  <c r="I26" i="19" s="1"/>
  <c r="S26" i="22" s="1"/>
  <c r="BX26" i="19" s="1"/>
  <c r="Y27" i="18"/>
  <c r="B27" i="18"/>
  <c r="O27" i="19" s="1"/>
  <c r="AB27" i="19" s="1"/>
  <c r="B27" i="19" s="1"/>
  <c r="L27" i="22" s="1"/>
  <c r="BA25" i="20"/>
  <c r="X25" i="19"/>
  <c r="AK25" i="19" s="1"/>
  <c r="K25" i="19" s="1"/>
  <c r="BK25" i="19"/>
  <c r="BR26" i="19"/>
  <c r="AI27" i="18" s="1"/>
  <c r="E26" i="18"/>
  <c r="BC26" i="19"/>
  <c r="BQ26" i="19"/>
  <c r="R27" i="18"/>
  <c r="AO26" i="18"/>
  <c r="K26" i="18" s="1"/>
  <c r="AP26" i="18"/>
  <c r="L26" i="18" s="1"/>
  <c r="K165" i="20"/>
  <c r="BV165" i="20" s="1"/>
  <c r="U25" i="18" l="1"/>
  <c r="BF24" i="19"/>
  <c r="AK25" i="18" s="1"/>
  <c r="G25" i="18" s="1"/>
  <c r="S24" i="19"/>
  <c r="AF24" i="19" s="1"/>
  <c r="F24" i="19" s="1"/>
  <c r="BU24" i="19" s="1"/>
  <c r="AL25" i="18" s="1"/>
  <c r="AU24" i="20"/>
  <c r="V25" i="18"/>
  <c r="N24" i="18"/>
  <c r="BZ24" i="19"/>
  <c r="AE24" i="18"/>
  <c r="AA23" i="19"/>
  <c r="AN23" i="19" s="1"/>
  <c r="BC23" i="20"/>
  <c r="Z23" i="19"/>
  <c r="M23" i="19" s="1"/>
  <c r="BM23" i="19"/>
  <c r="Y23" i="19"/>
  <c r="AL23" i="19" s="1"/>
  <c r="BB23" i="20"/>
  <c r="S27" i="18"/>
  <c r="Q28" i="18"/>
  <c r="AA27" i="18"/>
  <c r="BJ26" i="19"/>
  <c r="AP27" i="18" s="1"/>
  <c r="AZ26" i="20"/>
  <c r="W26" i="19"/>
  <c r="AJ26" i="19" s="1"/>
  <c r="J26" i="19" s="1"/>
  <c r="Z27" i="18"/>
  <c r="BA26" i="20"/>
  <c r="X26" i="19"/>
  <c r="AK26" i="19" s="1"/>
  <c r="K26" i="19" s="1"/>
  <c r="BK26" i="19"/>
  <c r="BO27" i="19"/>
  <c r="AF28" i="18" s="1"/>
  <c r="BB28" i="19" s="1"/>
  <c r="R26" i="19"/>
  <c r="E26" i="19" s="1"/>
  <c r="O26" i="22" s="1"/>
  <c r="BE26" i="19"/>
  <c r="BP27" i="19"/>
  <c r="AG28" i="18" s="1"/>
  <c r="AH27" i="18"/>
  <c r="BD27" i="19" s="1"/>
  <c r="T27" i="18"/>
  <c r="C27" i="18"/>
  <c r="AL165" i="20"/>
  <c r="H25" i="18" l="1"/>
  <c r="T25" i="19"/>
  <c r="AG25" i="19" s="1"/>
  <c r="G25" i="19" s="1"/>
  <c r="BV25" i="19" s="1"/>
  <c r="AN26" i="18" s="1"/>
  <c r="J26" i="18" s="1"/>
  <c r="AV25" i="20"/>
  <c r="BG25" i="19"/>
  <c r="N23" i="19"/>
  <c r="U23" i="22" s="1"/>
  <c r="CA23" i="19" s="1"/>
  <c r="AS24" i="18" s="1"/>
  <c r="X24" i="22"/>
  <c r="BS24" i="19" s="1"/>
  <c r="AJ25" i="18" s="1"/>
  <c r="F25" i="18" s="1"/>
  <c r="Z24" i="19"/>
  <c r="M24" i="19" s="1"/>
  <c r="BC24" i="20"/>
  <c r="BM24" i="19"/>
  <c r="L23" i="19"/>
  <c r="T23" i="22" s="1"/>
  <c r="BY23" i="19" s="1"/>
  <c r="AQ24" i="18" s="1"/>
  <c r="V24" i="22"/>
  <c r="P24" i="18"/>
  <c r="V27" i="19"/>
  <c r="AI27" i="19" s="1"/>
  <c r="I27" i="19" s="1"/>
  <c r="S27" i="22" s="1"/>
  <c r="BX27" i="19" s="1"/>
  <c r="BI27" i="19"/>
  <c r="AY27" i="20"/>
  <c r="Y28" i="18"/>
  <c r="P27" i="19"/>
  <c r="C27" i="19" s="1"/>
  <c r="BC27" i="19"/>
  <c r="E27" i="18"/>
  <c r="BR27" i="19"/>
  <c r="AI28" i="18" s="1"/>
  <c r="D27" i="18"/>
  <c r="B28" i="18"/>
  <c r="R28" i="18"/>
  <c r="C28" i="18" s="1"/>
  <c r="P28" i="19" s="1"/>
  <c r="C28" i="19" s="1"/>
  <c r="M28" i="22" s="1"/>
  <c r="K27" i="18"/>
  <c r="L27" i="18"/>
  <c r="AC165" i="20"/>
  <c r="S25" i="19" l="1"/>
  <c r="AF25" i="19" s="1"/>
  <c r="F25" i="19" s="1"/>
  <c r="BU25" i="19" s="1"/>
  <c r="AL26" i="18" s="1"/>
  <c r="AU25" i="20"/>
  <c r="BF25" i="19"/>
  <c r="AK26" i="18" s="1"/>
  <c r="V26" i="18"/>
  <c r="U26" i="18"/>
  <c r="BH25" i="19"/>
  <c r="AM26" i="18" s="1"/>
  <c r="W26" i="18"/>
  <c r="AW25" i="20"/>
  <c r="U25" i="19"/>
  <c r="AH25" i="19" s="1"/>
  <c r="H25" i="19" s="1"/>
  <c r="R25" i="22" s="1"/>
  <c r="BW25" i="19" s="1"/>
  <c r="X26" i="18"/>
  <c r="BN24" i="19"/>
  <c r="AT25" i="18" s="1"/>
  <c r="O24" i="18"/>
  <c r="BL24" i="19"/>
  <c r="AR25" i="18" s="1"/>
  <c r="M24" i="18"/>
  <c r="T28" i="18"/>
  <c r="E28" i="18" s="1"/>
  <c r="R28" i="19" s="1"/>
  <c r="E28" i="19" s="1"/>
  <c r="O28" i="22" s="1"/>
  <c r="AA28" i="18"/>
  <c r="Q27" i="19"/>
  <c r="AD27" i="19" s="1"/>
  <c r="D27" i="19" s="1"/>
  <c r="N27" i="22" s="1"/>
  <c r="S28" i="18"/>
  <c r="Z28" i="18"/>
  <c r="AZ27" i="20"/>
  <c r="W27" i="19"/>
  <c r="AJ27" i="19" s="1"/>
  <c r="J27" i="19" s="1"/>
  <c r="BJ27" i="19"/>
  <c r="AP28" i="18" s="1"/>
  <c r="L28" i="18" s="1"/>
  <c r="R29" i="18"/>
  <c r="R27" i="19"/>
  <c r="E27" i="19" s="1"/>
  <c r="O27" i="22" s="1"/>
  <c r="BE27" i="19"/>
  <c r="M27" i="22"/>
  <c r="BQ27" i="19"/>
  <c r="AH28" i="18" s="1"/>
  <c r="BD28" i="19" s="1"/>
  <c r="BR28" i="19"/>
  <c r="BK27" i="19"/>
  <c r="X27" i="19"/>
  <c r="AK27" i="19" s="1"/>
  <c r="K27" i="19" s="1"/>
  <c r="BA27" i="20"/>
  <c r="O28" i="19"/>
  <c r="AB28" i="19" s="1"/>
  <c r="B28" i="19" s="1"/>
  <c r="L28" i="22" s="1"/>
  <c r="BO28" i="19" s="1"/>
  <c r="AF29" i="18" s="1"/>
  <c r="BB29" i="19" s="1"/>
  <c r="Q29" i="18"/>
  <c r="BC28" i="19"/>
  <c r="K166" i="20"/>
  <c r="BV166" i="20" s="1"/>
  <c r="H26" i="18" l="1"/>
  <c r="I26" i="18"/>
  <c r="AX26" i="20" s="1"/>
  <c r="G26" i="18"/>
  <c r="AC25" i="18"/>
  <c r="Y24" i="19"/>
  <c r="AL24" i="19" s="1"/>
  <c r="BB24" i="20"/>
  <c r="AB25" i="18"/>
  <c r="AA24" i="19"/>
  <c r="AN24" i="19" s="1"/>
  <c r="AD25" i="18"/>
  <c r="AE25" i="18"/>
  <c r="P25" i="18" s="1"/>
  <c r="AI29" i="18"/>
  <c r="BA28" i="20"/>
  <c r="BK28" i="19"/>
  <c r="X28" i="19"/>
  <c r="AK28" i="19" s="1"/>
  <c r="K28" i="19" s="1"/>
  <c r="D28" i="18"/>
  <c r="S29" i="18" s="1"/>
  <c r="BP28" i="19"/>
  <c r="AG29" i="18" s="1"/>
  <c r="BQ28" i="19"/>
  <c r="AH29" i="18" s="1"/>
  <c r="BD29" i="19" s="1"/>
  <c r="BI28" i="19"/>
  <c r="AY28" i="20"/>
  <c r="V28" i="19"/>
  <c r="AI28" i="19" s="1"/>
  <c r="I28" i="19" s="1"/>
  <c r="S28" i="22" s="1"/>
  <c r="BX28" i="19" s="1"/>
  <c r="K28" i="18"/>
  <c r="Z29" i="18" s="1"/>
  <c r="B29" i="18"/>
  <c r="O29" i="19" s="1"/>
  <c r="AB29" i="19" s="1"/>
  <c r="B29" i="19" s="1"/>
  <c r="L29" i="22" s="1"/>
  <c r="BO29" i="19" s="1"/>
  <c r="AF30" i="18" s="1"/>
  <c r="BB30" i="19" s="1"/>
  <c r="BE28" i="19"/>
  <c r="AL166" i="20"/>
  <c r="X27" i="18" l="1"/>
  <c r="BG26" i="19"/>
  <c r="AV26" i="20"/>
  <c r="T26" i="19"/>
  <c r="AG26" i="19" s="1"/>
  <c r="G26" i="19" s="1"/>
  <c r="BV26" i="19" s="1"/>
  <c r="AN27" i="18" s="1"/>
  <c r="J27" i="18" s="1"/>
  <c r="W27" i="18"/>
  <c r="AW26" i="20"/>
  <c r="U26" i="19"/>
  <c r="AH26" i="19" s="1"/>
  <c r="H26" i="19" s="1"/>
  <c r="R26" i="22" s="1"/>
  <c r="BW26" i="19" s="1"/>
  <c r="AO27" i="18" s="1"/>
  <c r="BH26" i="19"/>
  <c r="AM27" i="18" s="1"/>
  <c r="I27" i="18" s="1"/>
  <c r="L24" i="19"/>
  <c r="T24" i="22" s="1"/>
  <c r="BY24" i="19" s="1"/>
  <c r="AQ25" i="18" s="1"/>
  <c r="BL25" i="19" s="1"/>
  <c r="AR26" i="18" s="1"/>
  <c r="V25" i="22"/>
  <c r="N24" i="19"/>
  <c r="U24" i="22" s="1"/>
  <c r="CA24" i="19" s="1"/>
  <c r="AS25" i="18" s="1"/>
  <c r="BN25" i="19" s="1"/>
  <c r="AT26" i="18" s="1"/>
  <c r="X25" i="22"/>
  <c r="BS25" i="19" s="1"/>
  <c r="AJ26" i="18" s="1"/>
  <c r="N25" i="18"/>
  <c r="BZ25" i="19"/>
  <c r="W28" i="19"/>
  <c r="AJ28" i="19" s="1"/>
  <c r="J28" i="19" s="1"/>
  <c r="BJ28" i="19"/>
  <c r="AP29" i="18" s="1"/>
  <c r="AZ28" i="20"/>
  <c r="AA29" i="18"/>
  <c r="D29" i="18"/>
  <c r="Q29" i="19" s="1"/>
  <c r="AD29" i="19" s="1"/>
  <c r="D29" i="19" s="1"/>
  <c r="N29" i="22" s="1"/>
  <c r="BP29" i="19"/>
  <c r="AG30" i="18" s="1"/>
  <c r="C29" i="18"/>
  <c r="BC29" i="19" s="1"/>
  <c r="Q30" i="18"/>
  <c r="Q28" i="19"/>
  <c r="AD28" i="19" s="1"/>
  <c r="D28" i="19" s="1"/>
  <c r="N28" i="22" s="1"/>
  <c r="T29" i="18"/>
  <c r="AC166" i="20"/>
  <c r="AX27" i="20" l="1"/>
  <c r="F26" i="18"/>
  <c r="O25" i="18"/>
  <c r="BC25" i="20"/>
  <c r="Z25" i="19"/>
  <c r="M25" i="19" s="1"/>
  <c r="BM25" i="19"/>
  <c r="M25" i="18"/>
  <c r="AZ29" i="20"/>
  <c r="W29" i="19"/>
  <c r="AJ29" i="19" s="1"/>
  <c r="J29" i="19" s="1"/>
  <c r="BJ29" i="19"/>
  <c r="Z30" i="18"/>
  <c r="L29" i="18"/>
  <c r="BR29" i="19"/>
  <c r="AI30" i="18" s="1"/>
  <c r="E29" i="18"/>
  <c r="S30" i="18"/>
  <c r="B30" i="18"/>
  <c r="O30" i="19" s="1"/>
  <c r="AB30" i="19" s="1"/>
  <c r="B30" i="19" s="1"/>
  <c r="L30" i="22" s="1"/>
  <c r="BI29" i="19"/>
  <c r="AY29" i="20"/>
  <c r="V29" i="19"/>
  <c r="AI29" i="19" s="1"/>
  <c r="I29" i="19" s="1"/>
  <c r="S29" i="22" s="1"/>
  <c r="BX29" i="19" s="1"/>
  <c r="Y30" i="18"/>
  <c r="P29" i="19"/>
  <c r="C29" i="19" s="1"/>
  <c r="R30" i="18"/>
  <c r="C30" i="18" s="1"/>
  <c r="P30" i="19" s="1"/>
  <c r="C30" i="19" s="1"/>
  <c r="M30" i="22" s="1"/>
  <c r="K167" i="20"/>
  <c r="BV167" i="20" s="1"/>
  <c r="S26" i="19" l="1"/>
  <c r="AF26" i="19" s="1"/>
  <c r="F26" i="19" s="1"/>
  <c r="BU26" i="19" s="1"/>
  <c r="AL27" i="18" s="1"/>
  <c r="BF26" i="19"/>
  <c r="AK27" i="18" s="1"/>
  <c r="AU26" i="20"/>
  <c r="U27" i="18"/>
  <c r="V27" i="18"/>
  <c r="AC26" i="18"/>
  <c r="BB25" i="20"/>
  <c r="Y25" i="19"/>
  <c r="AL25" i="19" s="1"/>
  <c r="AB26" i="18"/>
  <c r="AE26" i="18"/>
  <c r="AA25" i="19"/>
  <c r="AN25" i="19" s="1"/>
  <c r="AD26" i="18"/>
  <c r="Q31" i="18"/>
  <c r="BO30" i="19"/>
  <c r="AF31" i="18" s="1"/>
  <c r="BB31" i="19" s="1"/>
  <c r="R31" i="18"/>
  <c r="BP30" i="19"/>
  <c r="AG31" i="18" s="1"/>
  <c r="BQ30" i="19"/>
  <c r="AP30" i="18"/>
  <c r="R29" i="19"/>
  <c r="E29" i="19" s="1"/>
  <c r="O29" i="22" s="1"/>
  <c r="BE29" i="19"/>
  <c r="M29" i="22"/>
  <c r="BQ29" i="19"/>
  <c r="AH30" i="18" s="1"/>
  <c r="BD30" i="19" s="1"/>
  <c r="BA29" i="20"/>
  <c r="X29" i="19"/>
  <c r="AK29" i="19" s="1"/>
  <c r="K29" i="19" s="1"/>
  <c r="BK29" i="19"/>
  <c r="BC30" i="19"/>
  <c r="T30" i="18"/>
  <c r="AA30" i="18"/>
  <c r="AL167" i="20"/>
  <c r="G27" i="18" l="1"/>
  <c r="H27" i="18"/>
  <c r="L25" i="19"/>
  <c r="T25" i="22" s="1"/>
  <c r="BY25" i="19" s="1"/>
  <c r="AQ26" i="18" s="1"/>
  <c r="BL26" i="19" s="1"/>
  <c r="V26" i="22"/>
  <c r="N25" i="19"/>
  <c r="U25" i="22" s="1"/>
  <c r="CA25" i="19" s="1"/>
  <c r="AS26" i="18" s="1"/>
  <c r="BN26" i="19" s="1"/>
  <c r="AT27" i="18" s="1"/>
  <c r="X26" i="22"/>
  <c r="BS26" i="19" s="1"/>
  <c r="AJ27" i="18" s="1"/>
  <c r="P26" i="18"/>
  <c r="BZ26" i="19"/>
  <c r="N26" i="18"/>
  <c r="B31" i="18"/>
  <c r="O31" i="19" s="1"/>
  <c r="AB31" i="19" s="1"/>
  <c r="B31" i="19" s="1"/>
  <c r="L31" i="22" s="1"/>
  <c r="Z31" i="18"/>
  <c r="W30" i="19"/>
  <c r="AJ30" i="19" s="1"/>
  <c r="J30" i="19" s="1"/>
  <c r="BJ30" i="19"/>
  <c r="AZ30" i="20"/>
  <c r="AY30" i="20"/>
  <c r="V30" i="19"/>
  <c r="AI30" i="19" s="1"/>
  <c r="I30" i="19" s="1"/>
  <c r="S30" i="22" s="1"/>
  <c r="BX30" i="19" s="1"/>
  <c r="BI30" i="19"/>
  <c r="Y31" i="18"/>
  <c r="D30" i="18"/>
  <c r="BO31" i="19"/>
  <c r="AF32" i="18" s="1"/>
  <c r="BB32" i="19" s="1"/>
  <c r="L30" i="18"/>
  <c r="AH31" i="18"/>
  <c r="BD31" i="19" s="1"/>
  <c r="E30" i="18"/>
  <c r="BR30" i="19"/>
  <c r="AI31" i="18" s="1"/>
  <c r="C31" i="18"/>
  <c r="P31" i="19" s="1"/>
  <c r="C31" i="19" s="1"/>
  <c r="M31" i="22" s="1"/>
  <c r="AC167" i="20"/>
  <c r="F27" i="18" l="1"/>
  <c r="Q32" i="18"/>
  <c r="U27" i="19"/>
  <c r="AH27" i="19" s="1"/>
  <c r="H27" i="19" s="1"/>
  <c r="R27" i="22" s="1"/>
  <c r="BW27" i="19" s="1"/>
  <c r="AO28" i="18" s="1"/>
  <c r="BH27" i="19"/>
  <c r="AM28" i="18" s="1"/>
  <c r="AW27" i="20"/>
  <c r="X28" i="18"/>
  <c r="W28" i="18"/>
  <c r="T27" i="19"/>
  <c r="AG27" i="19" s="1"/>
  <c r="G27" i="19" s="1"/>
  <c r="BV27" i="19" s="1"/>
  <c r="AN28" i="18" s="1"/>
  <c r="J28" i="18" s="1"/>
  <c r="Y29" i="18" s="1"/>
  <c r="BG27" i="19"/>
  <c r="AV27" i="20"/>
  <c r="BM26" i="19"/>
  <c r="BC26" i="20"/>
  <c r="Z26" i="19"/>
  <c r="M26" i="19" s="1"/>
  <c r="O26" i="18"/>
  <c r="AR27" i="18"/>
  <c r="M26" i="18"/>
  <c r="T31" i="18"/>
  <c r="E31" i="18" s="1"/>
  <c r="R31" i="19" s="1"/>
  <c r="E31" i="19" s="1"/>
  <c r="O31" i="22" s="1"/>
  <c r="BC31" i="19"/>
  <c r="R32" i="18"/>
  <c r="AA31" i="18"/>
  <c r="X30" i="19"/>
  <c r="AK30" i="19" s="1"/>
  <c r="K30" i="19" s="1"/>
  <c r="BK30" i="19"/>
  <c r="BA30" i="20"/>
  <c r="Q30" i="19"/>
  <c r="AD30" i="19" s="1"/>
  <c r="D30" i="19" s="1"/>
  <c r="N30" i="22" s="1"/>
  <c r="S31" i="18"/>
  <c r="AP31" i="18"/>
  <c r="R30" i="19"/>
  <c r="E30" i="19" s="1"/>
  <c r="O30" i="22" s="1"/>
  <c r="BE30" i="19"/>
  <c r="B32" i="18"/>
  <c r="K168" i="20"/>
  <c r="BV168" i="20" s="1"/>
  <c r="I28" i="18" l="1"/>
  <c r="AX28" i="20" s="1"/>
  <c r="S27" i="19"/>
  <c r="AF27" i="19" s="1"/>
  <c r="F27" i="19" s="1"/>
  <c r="BU27" i="19" s="1"/>
  <c r="AL28" i="18" s="1"/>
  <c r="AU27" i="20"/>
  <c r="BF27" i="19"/>
  <c r="AK28" i="18" s="1"/>
  <c r="G28" i="18" s="1"/>
  <c r="U28" i="18"/>
  <c r="V28" i="18"/>
  <c r="AA26" i="19"/>
  <c r="AN26" i="19" s="1"/>
  <c r="AD27" i="18"/>
  <c r="BB26" i="20"/>
  <c r="Y26" i="19"/>
  <c r="AL26" i="19" s="1"/>
  <c r="AC27" i="18"/>
  <c r="AB27" i="18"/>
  <c r="AE27" i="18"/>
  <c r="BR31" i="19"/>
  <c r="AI32" i="18" s="1"/>
  <c r="BE31" i="19"/>
  <c r="O32" i="19"/>
  <c r="AB32" i="19" s="1"/>
  <c r="B32" i="19" s="1"/>
  <c r="L32" i="22" s="1"/>
  <c r="BO32" i="19" s="1"/>
  <c r="AF33" i="18" s="1"/>
  <c r="BB33" i="19" s="1"/>
  <c r="Q33" i="18"/>
  <c r="BI31" i="19"/>
  <c r="V31" i="19"/>
  <c r="AI31" i="19" s="1"/>
  <c r="I31" i="19" s="1"/>
  <c r="S31" i="22" s="1"/>
  <c r="BX31" i="19" s="1"/>
  <c r="AY31" i="20"/>
  <c r="L31" i="18"/>
  <c r="AA32" i="18" s="1"/>
  <c r="Z32" i="18"/>
  <c r="AZ31" i="20"/>
  <c r="BJ31" i="19"/>
  <c r="W31" i="19"/>
  <c r="AJ31" i="19" s="1"/>
  <c r="J31" i="19" s="1"/>
  <c r="D31" i="18"/>
  <c r="S32" i="18" s="1"/>
  <c r="BP31" i="19"/>
  <c r="AG32" i="18" s="1"/>
  <c r="BQ31" i="19"/>
  <c r="AH32" i="18" s="1"/>
  <c r="BD32" i="19" s="1"/>
  <c r="Y32" i="18"/>
  <c r="AL168" i="20"/>
  <c r="H28" i="18" l="1"/>
  <c r="T28" i="19"/>
  <c r="AG28" i="19" s="1"/>
  <c r="G28" i="19" s="1"/>
  <c r="BV28" i="19" s="1"/>
  <c r="AN29" i="18" s="1"/>
  <c r="J29" i="18" s="1"/>
  <c r="AV28" i="20"/>
  <c r="BG28" i="19"/>
  <c r="P27" i="18"/>
  <c r="L26" i="19"/>
  <c r="T26" i="22" s="1"/>
  <c r="BY26" i="19" s="1"/>
  <c r="AQ27" i="18" s="1"/>
  <c r="BL27" i="19" s="1"/>
  <c r="AR28" i="18" s="1"/>
  <c r="V27" i="22"/>
  <c r="N27" i="18"/>
  <c r="BZ27" i="19"/>
  <c r="N26" i="19"/>
  <c r="U26" i="22" s="1"/>
  <c r="CA26" i="19" s="1"/>
  <c r="AS27" i="18" s="1"/>
  <c r="BN27" i="19" s="1"/>
  <c r="AT28" i="18" s="1"/>
  <c r="X27" i="22"/>
  <c r="BS27" i="19" s="1"/>
  <c r="AJ28" i="18" s="1"/>
  <c r="AP32" i="18"/>
  <c r="L32" i="18" s="1"/>
  <c r="B33" i="18"/>
  <c r="O33" i="19" s="1"/>
  <c r="AB33" i="19" s="1"/>
  <c r="B33" i="19" s="1"/>
  <c r="L33" i="22" s="1"/>
  <c r="C32" i="18"/>
  <c r="BA31" i="20"/>
  <c r="BK31" i="19"/>
  <c r="X31" i="19"/>
  <c r="AK31" i="19" s="1"/>
  <c r="K31" i="19" s="1"/>
  <c r="D32" i="18"/>
  <c r="Q32" i="19" s="1"/>
  <c r="AD32" i="19" s="1"/>
  <c r="D32" i="19" s="1"/>
  <c r="N32" i="22" s="1"/>
  <c r="BP32" i="19"/>
  <c r="AG33" i="18" s="1"/>
  <c r="Q31" i="19"/>
  <c r="AD31" i="19" s="1"/>
  <c r="D31" i="19" s="1"/>
  <c r="N31" i="22" s="1"/>
  <c r="T32" i="18"/>
  <c r="AC168" i="20"/>
  <c r="F28" i="18" l="1"/>
  <c r="U28" i="19"/>
  <c r="AH28" i="19" s="1"/>
  <c r="H28" i="19" s="1"/>
  <c r="R28" i="22" s="1"/>
  <c r="BW28" i="19" s="1"/>
  <c r="AO29" i="18" s="1"/>
  <c r="K29" i="18" s="1"/>
  <c r="AW28" i="20"/>
  <c r="BH28" i="19"/>
  <c r="AM29" i="18" s="1"/>
  <c r="W29" i="18"/>
  <c r="X29" i="18"/>
  <c r="M27" i="18"/>
  <c r="BC27" i="20"/>
  <c r="BM27" i="19"/>
  <c r="Z27" i="19"/>
  <c r="M27" i="19" s="1"/>
  <c r="O27" i="18"/>
  <c r="W32" i="19"/>
  <c r="AJ32" i="19" s="1"/>
  <c r="J32" i="19" s="1"/>
  <c r="AZ32" i="20"/>
  <c r="BJ32" i="19"/>
  <c r="AA33" i="18"/>
  <c r="Z33" i="18"/>
  <c r="AY32" i="20"/>
  <c r="V32" i="19"/>
  <c r="AI32" i="19" s="1"/>
  <c r="I32" i="19" s="1"/>
  <c r="S32" i="22" s="1"/>
  <c r="BX32" i="19" s="1"/>
  <c r="BI32" i="19"/>
  <c r="P32" i="19"/>
  <c r="C32" i="19" s="1"/>
  <c r="R33" i="18"/>
  <c r="C33" i="18" s="1"/>
  <c r="P33" i="19" s="1"/>
  <c r="C33" i="19" s="1"/>
  <c r="M33" i="22" s="1"/>
  <c r="S33" i="18"/>
  <c r="Q34" i="18"/>
  <c r="BR32" i="19"/>
  <c r="AI33" i="18" s="1"/>
  <c r="E32" i="18"/>
  <c r="BA32" i="20"/>
  <c r="X32" i="19"/>
  <c r="AK32" i="19" s="1"/>
  <c r="K32" i="19" s="1"/>
  <c r="BK32" i="19"/>
  <c r="Y33" i="18"/>
  <c r="BC32" i="19"/>
  <c r="K169" i="20"/>
  <c r="BV169" i="20" s="1"/>
  <c r="U29" i="18" l="1"/>
  <c r="AU28" i="20"/>
  <c r="BF28" i="19"/>
  <c r="AK29" i="18" s="1"/>
  <c r="S28" i="19"/>
  <c r="AF28" i="19" s="1"/>
  <c r="F28" i="19" s="1"/>
  <c r="BU28" i="19" s="1"/>
  <c r="AL29" i="18" s="1"/>
  <c r="V29" i="18"/>
  <c r="I29" i="18"/>
  <c r="AX29" i="20" s="1"/>
  <c r="AA27" i="19"/>
  <c r="AN27" i="19" s="1"/>
  <c r="AE28" i="18"/>
  <c r="AD28" i="18"/>
  <c r="AC28" i="18"/>
  <c r="BB27" i="20"/>
  <c r="Y27" i="19"/>
  <c r="AL27" i="19" s="1"/>
  <c r="AB28" i="18"/>
  <c r="R32" i="19"/>
  <c r="E32" i="19" s="1"/>
  <c r="O32" i="22" s="1"/>
  <c r="BE32" i="19"/>
  <c r="BP33" i="19"/>
  <c r="AG34" i="18" s="1"/>
  <c r="BQ33" i="19"/>
  <c r="BO33" i="19"/>
  <c r="AF34" i="18" s="1"/>
  <c r="BB34" i="19" s="1"/>
  <c r="R34" i="18"/>
  <c r="M32" i="22"/>
  <c r="BQ32" i="19"/>
  <c r="AH33" i="18" s="1"/>
  <c r="BD33" i="19" s="1"/>
  <c r="AP33" i="18"/>
  <c r="L33" i="18" s="1"/>
  <c r="BC33" i="19"/>
  <c r="T33" i="18"/>
  <c r="AL169" i="20"/>
  <c r="G29" i="18" l="1"/>
  <c r="H29" i="18"/>
  <c r="BZ28" i="19"/>
  <c r="N28" i="18"/>
  <c r="L27" i="19"/>
  <c r="T27" i="22" s="1"/>
  <c r="BY27" i="19" s="1"/>
  <c r="AQ28" i="18" s="1"/>
  <c r="BL28" i="19" s="1"/>
  <c r="AR29" i="18" s="1"/>
  <c r="V28" i="22"/>
  <c r="P28" i="18"/>
  <c r="N27" i="19"/>
  <c r="U27" i="22" s="1"/>
  <c r="CA27" i="19" s="1"/>
  <c r="AS28" i="18" s="1"/>
  <c r="BN28" i="19" s="1"/>
  <c r="AT29" i="18" s="1"/>
  <c r="X28" i="22"/>
  <c r="BS28" i="19" s="1"/>
  <c r="AJ29" i="18" s="1"/>
  <c r="B34" i="18"/>
  <c r="O34" i="19" s="1"/>
  <c r="AB34" i="19" s="1"/>
  <c r="B34" i="19" s="1"/>
  <c r="L34" i="22" s="1"/>
  <c r="D33" i="18"/>
  <c r="Q33" i="19" s="1"/>
  <c r="AD33" i="19" s="1"/>
  <c r="D33" i="19" s="1"/>
  <c r="N33" i="22" s="1"/>
  <c r="BA33" i="20"/>
  <c r="X33" i="19"/>
  <c r="AK33" i="19" s="1"/>
  <c r="K33" i="19" s="1"/>
  <c r="BK33" i="19"/>
  <c r="AA34" i="18"/>
  <c r="BI33" i="19"/>
  <c r="AY33" i="20"/>
  <c r="V33" i="19"/>
  <c r="AI33" i="19" s="1"/>
  <c r="I33" i="19" s="1"/>
  <c r="S33" i="22" s="1"/>
  <c r="BX33" i="19" s="1"/>
  <c r="Y34" i="18"/>
  <c r="W33" i="19"/>
  <c r="AJ33" i="19" s="1"/>
  <c r="J33" i="19" s="1"/>
  <c r="BJ33" i="19"/>
  <c r="AZ33" i="20"/>
  <c r="Z34" i="18"/>
  <c r="BR33" i="19"/>
  <c r="AI34" i="18" s="1"/>
  <c r="E33" i="18"/>
  <c r="BO34" i="19"/>
  <c r="AF35" i="18" s="1"/>
  <c r="BB35" i="19" s="1"/>
  <c r="C34" i="18"/>
  <c r="P34" i="19" s="1"/>
  <c r="C34" i="19" s="1"/>
  <c r="M34" i="22" s="1"/>
  <c r="AH34" i="18"/>
  <c r="BD34" i="19" s="1"/>
  <c r="AC169" i="20"/>
  <c r="AV29" i="20" l="1"/>
  <c r="T29" i="19"/>
  <c r="AG29" i="19" s="1"/>
  <c r="G29" i="19" s="1"/>
  <c r="BV29" i="19" s="1"/>
  <c r="AN30" i="18" s="1"/>
  <c r="J30" i="18" s="1"/>
  <c r="BG29" i="19"/>
  <c r="BH29" i="19"/>
  <c r="AM30" i="18" s="1"/>
  <c r="U29" i="19"/>
  <c r="AH29" i="19" s="1"/>
  <c r="H29" i="19" s="1"/>
  <c r="R29" i="22" s="1"/>
  <c r="BW29" i="19" s="1"/>
  <c r="AO30" i="18" s="1"/>
  <c r="K30" i="18" s="1"/>
  <c r="AW29" i="20"/>
  <c r="W30" i="18"/>
  <c r="F29" i="18"/>
  <c r="X30" i="18"/>
  <c r="S34" i="18"/>
  <c r="D34" i="18" s="1"/>
  <c r="Q34" i="19" s="1"/>
  <c r="AD34" i="19" s="1"/>
  <c r="D34" i="19" s="1"/>
  <c r="N34" i="22" s="1"/>
  <c r="M28" i="18"/>
  <c r="BC28" i="20"/>
  <c r="BM28" i="19"/>
  <c r="Z28" i="19"/>
  <c r="M28" i="19" s="1"/>
  <c r="O28" i="18"/>
  <c r="Q35" i="18"/>
  <c r="B35" i="18" s="1"/>
  <c r="O35" i="19" s="1"/>
  <c r="AB35" i="19" s="1"/>
  <c r="B35" i="19" s="1"/>
  <c r="L35" i="22" s="1"/>
  <c r="AP34" i="18"/>
  <c r="L34" i="18" s="1"/>
  <c r="R33" i="19"/>
  <c r="E33" i="19" s="1"/>
  <c r="O33" i="22" s="1"/>
  <c r="BE33" i="19"/>
  <c r="R35" i="18"/>
  <c r="BQ34" i="19"/>
  <c r="BC34" i="19"/>
  <c r="T34" i="18"/>
  <c r="K170" i="20"/>
  <c r="BV170" i="20" s="1"/>
  <c r="BP34" i="19" l="1"/>
  <c r="AG35" i="18" s="1"/>
  <c r="I30" i="18"/>
  <c r="AX30" i="20" s="1"/>
  <c r="BF29" i="19"/>
  <c r="AK30" i="18" s="1"/>
  <c r="S29" i="19"/>
  <c r="AF29" i="19" s="1"/>
  <c r="F29" i="19" s="1"/>
  <c r="BU29" i="19" s="1"/>
  <c r="AL30" i="18" s="1"/>
  <c r="AU29" i="20"/>
  <c r="U30" i="18"/>
  <c r="V30" i="18"/>
  <c r="AD29" i="18"/>
  <c r="AA28" i="19"/>
  <c r="AN28" i="19" s="1"/>
  <c r="AC29" i="18"/>
  <c r="Y28" i="19"/>
  <c r="AL28" i="19" s="1"/>
  <c r="BB28" i="20"/>
  <c r="AB29" i="18"/>
  <c r="AE29" i="18"/>
  <c r="AA35" i="18"/>
  <c r="Q36" i="18"/>
  <c r="BI34" i="19"/>
  <c r="AY34" i="20"/>
  <c r="V34" i="19"/>
  <c r="AI34" i="19" s="1"/>
  <c r="I34" i="19" s="1"/>
  <c r="S34" i="22" s="1"/>
  <c r="BX34" i="19" s="1"/>
  <c r="Y35" i="18"/>
  <c r="Z35" i="18"/>
  <c r="AH35" i="18"/>
  <c r="BD35" i="19" s="1"/>
  <c r="X34" i="19"/>
  <c r="AK34" i="19" s="1"/>
  <c r="K34" i="19" s="1"/>
  <c r="BA34" i="20"/>
  <c r="BK34" i="19"/>
  <c r="AZ34" i="20"/>
  <c r="W34" i="19"/>
  <c r="AJ34" i="19" s="1"/>
  <c r="J34" i="19" s="1"/>
  <c r="BJ34" i="19"/>
  <c r="BR34" i="19"/>
  <c r="AI35" i="18" s="1"/>
  <c r="E34" i="18"/>
  <c r="T35" i="18" s="1"/>
  <c r="S35" i="18"/>
  <c r="BO35" i="19"/>
  <c r="AF36" i="18" s="1"/>
  <c r="BB36" i="19" s="1"/>
  <c r="C35" i="18"/>
  <c r="P35" i="19" s="1"/>
  <c r="C35" i="19" s="1"/>
  <c r="M35" i="22" s="1"/>
  <c r="AL170" i="20"/>
  <c r="H30" i="18" l="1"/>
  <c r="G30" i="18"/>
  <c r="L28" i="19"/>
  <c r="T28" i="22" s="1"/>
  <c r="BY28" i="19" s="1"/>
  <c r="AQ29" i="18" s="1"/>
  <c r="BL29" i="19" s="1"/>
  <c r="V29" i="22"/>
  <c r="P29" i="18"/>
  <c r="BZ29" i="19"/>
  <c r="N29" i="18"/>
  <c r="N28" i="19"/>
  <c r="U28" i="22" s="1"/>
  <c r="CA28" i="19" s="1"/>
  <c r="AS29" i="18" s="1"/>
  <c r="BN29" i="19" s="1"/>
  <c r="AT30" i="18" s="1"/>
  <c r="X29" i="22"/>
  <c r="BS29" i="19" s="1"/>
  <c r="AJ30" i="18" s="1"/>
  <c r="B36" i="18"/>
  <c r="D35" i="18"/>
  <c r="Q35" i="19" s="1"/>
  <c r="AD35" i="19" s="1"/>
  <c r="D35" i="19" s="1"/>
  <c r="N35" i="22" s="1"/>
  <c r="BP35" i="19"/>
  <c r="AG36" i="18" s="1"/>
  <c r="BQ35" i="19"/>
  <c r="E35" i="18"/>
  <c r="R35" i="19" s="1"/>
  <c r="E35" i="19" s="1"/>
  <c r="O35" i="22" s="1"/>
  <c r="BR35" i="19"/>
  <c r="AI36" i="18" s="1"/>
  <c r="AP35" i="18"/>
  <c r="L35" i="18" s="1"/>
  <c r="R36" i="18"/>
  <c r="R34" i="19"/>
  <c r="E34" i="19" s="1"/>
  <c r="O34" i="22" s="1"/>
  <c r="BE34" i="19"/>
  <c r="BC35" i="19"/>
  <c r="AC170" i="20"/>
  <c r="F30" i="18" l="1"/>
  <c r="AV30" i="20"/>
  <c r="T30" i="19"/>
  <c r="AG30" i="19" s="1"/>
  <c r="G30" i="19" s="1"/>
  <c r="BV30" i="19" s="1"/>
  <c r="AN31" i="18" s="1"/>
  <c r="J31" i="18" s="1"/>
  <c r="BG30" i="19"/>
  <c r="X31" i="18"/>
  <c r="BH30" i="19"/>
  <c r="AM31" i="18" s="1"/>
  <c r="AW30" i="20"/>
  <c r="U30" i="19"/>
  <c r="AH30" i="19" s="1"/>
  <c r="H30" i="19" s="1"/>
  <c r="R30" i="22" s="1"/>
  <c r="BW30" i="19" s="1"/>
  <c r="AO31" i="18" s="1"/>
  <c r="K31" i="18" s="1"/>
  <c r="W31" i="18"/>
  <c r="AR30" i="18"/>
  <c r="M29" i="18"/>
  <c r="AC30" i="18" s="1"/>
  <c r="N30" i="18" s="1"/>
  <c r="O29" i="18"/>
  <c r="AA29" i="19" s="1"/>
  <c r="AN29" i="19" s="1"/>
  <c r="N29" i="19" s="1"/>
  <c r="U29" i="22" s="1"/>
  <c r="CA29" i="19" s="1"/>
  <c r="BC29" i="20"/>
  <c r="Z29" i="19"/>
  <c r="M29" i="19" s="1"/>
  <c r="BM29" i="19"/>
  <c r="AB30" i="18"/>
  <c r="Y29" i="19"/>
  <c r="AL29" i="19" s="1"/>
  <c r="L29" i="19" s="1"/>
  <c r="T29" i="22" s="1"/>
  <c r="BY29" i="19" s="1"/>
  <c r="AQ30" i="18" s="1"/>
  <c r="BL30" i="19" s="1"/>
  <c r="BB29" i="20"/>
  <c r="BE35" i="19"/>
  <c r="BA35" i="20"/>
  <c r="BK35" i="19"/>
  <c r="X35" i="19"/>
  <c r="AK35" i="19" s="1"/>
  <c r="K35" i="19" s="1"/>
  <c r="AA36" i="18"/>
  <c r="AH36" i="18"/>
  <c r="BD36" i="19" s="1"/>
  <c r="O36" i="19"/>
  <c r="AB36" i="19" s="1"/>
  <c r="B36" i="19" s="1"/>
  <c r="L36" i="22" s="1"/>
  <c r="BO36" i="19" s="1"/>
  <c r="AF37" i="18" s="1"/>
  <c r="BB37" i="19" s="1"/>
  <c r="Q37" i="18"/>
  <c r="Z36" i="18"/>
  <c r="W35" i="19"/>
  <c r="AJ35" i="19" s="1"/>
  <c r="J35" i="19" s="1"/>
  <c r="AZ35" i="20"/>
  <c r="BJ35" i="19"/>
  <c r="T36" i="18"/>
  <c r="S36" i="18"/>
  <c r="AY35" i="20"/>
  <c r="V35" i="19"/>
  <c r="AI35" i="19" s="1"/>
  <c r="I35" i="19" s="1"/>
  <c r="S35" i="22" s="1"/>
  <c r="BX35" i="19" s="1"/>
  <c r="BI35" i="19"/>
  <c r="C36" i="18"/>
  <c r="P36" i="19" s="1"/>
  <c r="C36" i="19" s="1"/>
  <c r="M36" i="22" s="1"/>
  <c r="K171" i="20"/>
  <c r="BV171" i="20" s="1"/>
  <c r="AD30" i="18" l="1"/>
  <c r="AE30" i="18"/>
  <c r="P30" i="18" s="1"/>
  <c r="S30" i="19"/>
  <c r="AF30" i="19" s="1"/>
  <c r="F30" i="19" s="1"/>
  <c r="BU30" i="19" s="1"/>
  <c r="AL31" i="18" s="1"/>
  <c r="AU30" i="20"/>
  <c r="BF30" i="19"/>
  <c r="AK31" i="18" s="1"/>
  <c r="G31" i="18" s="1"/>
  <c r="V31" i="18"/>
  <c r="U31" i="18"/>
  <c r="I31" i="18"/>
  <c r="AX31" i="20" s="1"/>
  <c r="AS30" i="18"/>
  <c r="BN30" i="19" s="1"/>
  <c r="AT31" i="18" s="1"/>
  <c r="X30" i="22"/>
  <c r="BS30" i="19" s="1"/>
  <c r="AJ31" i="18" s="1"/>
  <c r="BZ30" i="19"/>
  <c r="V30" i="22"/>
  <c r="BC30" i="20"/>
  <c r="Z30" i="19"/>
  <c r="M30" i="19" s="1"/>
  <c r="BM30" i="19"/>
  <c r="M30" i="18"/>
  <c r="AB31" i="18" s="1"/>
  <c r="AR31" i="18"/>
  <c r="AP36" i="18"/>
  <c r="L36" i="18" s="1"/>
  <c r="BP36" i="19"/>
  <c r="AG37" i="18" s="1"/>
  <c r="D36" i="18"/>
  <c r="Q36" i="19" s="1"/>
  <c r="AD36" i="19" s="1"/>
  <c r="D36" i="19" s="1"/>
  <c r="N36" i="22" s="1"/>
  <c r="BQ36" i="19"/>
  <c r="B37" i="18"/>
  <c r="O37" i="19" s="1"/>
  <c r="AB37" i="19" s="1"/>
  <c r="B37" i="19" s="1"/>
  <c r="L37" i="22" s="1"/>
  <c r="V36" i="19"/>
  <c r="AI36" i="19" s="1"/>
  <c r="I36" i="19" s="1"/>
  <c r="S36" i="22" s="1"/>
  <c r="BX36" i="19" s="1"/>
  <c r="BI36" i="19"/>
  <c r="AY36" i="20"/>
  <c r="BR36" i="19"/>
  <c r="AI37" i="18" s="1"/>
  <c r="E36" i="18"/>
  <c r="R37" i="18"/>
  <c r="BC36" i="19"/>
  <c r="Y37" i="18"/>
  <c r="AL171" i="20"/>
  <c r="H31" i="18" l="1"/>
  <c r="F31" i="18"/>
  <c r="V32" i="18" s="1"/>
  <c r="O30" i="18"/>
  <c r="AA30" i="19" s="1"/>
  <c r="AN30" i="19" s="1"/>
  <c r="N30" i="19" s="1"/>
  <c r="U30" i="22" s="1"/>
  <c r="CA30" i="19" s="1"/>
  <c r="X32" i="18"/>
  <c r="T31" i="19"/>
  <c r="AG31" i="19" s="1"/>
  <c r="G31" i="19" s="1"/>
  <c r="BV31" i="19" s="1"/>
  <c r="AN32" i="18" s="1"/>
  <c r="J32" i="18" s="1"/>
  <c r="AV31" i="20"/>
  <c r="BG31" i="19"/>
  <c r="AS31" i="18"/>
  <c r="BN31" i="19" s="1"/>
  <c r="AE31" i="18"/>
  <c r="AT32" i="18" s="1"/>
  <c r="Y30" i="19"/>
  <c r="AL30" i="19" s="1"/>
  <c r="L30" i="19" s="1"/>
  <c r="T30" i="22" s="1"/>
  <c r="BY30" i="19" s="1"/>
  <c r="AQ31" i="18" s="1"/>
  <c r="BL31" i="19" s="1"/>
  <c r="BB30" i="20"/>
  <c r="AC31" i="18"/>
  <c r="AH37" i="18"/>
  <c r="BD37" i="19" s="1"/>
  <c r="Z37" i="18"/>
  <c r="BJ36" i="19"/>
  <c r="AP37" i="18" s="1"/>
  <c r="AZ36" i="20"/>
  <c r="W36" i="19"/>
  <c r="AJ36" i="19" s="1"/>
  <c r="J36" i="19" s="1"/>
  <c r="BO37" i="19"/>
  <c r="AF38" i="18" s="1"/>
  <c r="BB38" i="19" s="1"/>
  <c r="Q38" i="18"/>
  <c r="S37" i="18"/>
  <c r="R36" i="19"/>
  <c r="E36" i="19" s="1"/>
  <c r="O36" i="22" s="1"/>
  <c r="BE36" i="19"/>
  <c r="AA37" i="18"/>
  <c r="T37" i="18"/>
  <c r="BK36" i="19"/>
  <c r="X36" i="19"/>
  <c r="AK36" i="19" s="1"/>
  <c r="K36" i="19" s="1"/>
  <c r="BA36" i="20"/>
  <c r="C37" i="18"/>
  <c r="P37" i="19" s="1"/>
  <c r="C37" i="19" s="1"/>
  <c r="M37" i="22" s="1"/>
  <c r="AC171" i="20"/>
  <c r="X31" i="22" l="1"/>
  <c r="BS31" i="19" s="1"/>
  <c r="AJ32" i="18" s="1"/>
  <c r="AD31" i="18"/>
  <c r="U32" i="18"/>
  <c r="AU31" i="20"/>
  <c r="BF31" i="19"/>
  <c r="AK32" i="18" s="1"/>
  <c r="G32" i="18" s="1"/>
  <c r="S31" i="19"/>
  <c r="AF31" i="19" s="1"/>
  <c r="F31" i="19" s="1"/>
  <c r="BU31" i="19" s="1"/>
  <c r="AL32" i="18" s="1"/>
  <c r="H32" i="18" s="1"/>
  <c r="P31" i="18"/>
  <c r="AW31" i="20"/>
  <c r="BH31" i="19"/>
  <c r="AM32" i="18" s="1"/>
  <c r="I32" i="18" s="1"/>
  <c r="U31" i="19"/>
  <c r="AH31" i="19" s="1"/>
  <c r="H31" i="19" s="1"/>
  <c r="R31" i="22" s="1"/>
  <c r="BW31" i="19" s="1"/>
  <c r="AO32" i="18" s="1"/>
  <c r="K32" i="18" s="1"/>
  <c r="W32" i="18"/>
  <c r="O31" i="18"/>
  <c r="BZ31" i="19"/>
  <c r="N31" i="18"/>
  <c r="M31" i="18"/>
  <c r="AR32" i="18"/>
  <c r="V31" i="22"/>
  <c r="AA31" i="19"/>
  <c r="AN31" i="19" s="1"/>
  <c r="L37" i="18"/>
  <c r="BK37" i="19" s="1"/>
  <c r="BR37" i="19"/>
  <c r="AI38" i="18" s="1"/>
  <c r="E37" i="18"/>
  <c r="K37" i="18"/>
  <c r="BC37" i="19"/>
  <c r="R38" i="18"/>
  <c r="BP37" i="19"/>
  <c r="AG38" i="18" s="1"/>
  <c r="D37" i="18"/>
  <c r="Q37" i="19" s="1"/>
  <c r="AD37" i="19" s="1"/>
  <c r="D37" i="19" s="1"/>
  <c r="N37" i="22" s="1"/>
  <c r="BQ37" i="19"/>
  <c r="B38" i="18"/>
  <c r="O38" i="19" s="1"/>
  <c r="AB38" i="19" s="1"/>
  <c r="B38" i="19" s="1"/>
  <c r="L38" i="22" s="1"/>
  <c r="K172" i="20"/>
  <c r="BV172" i="20" s="1"/>
  <c r="AE32" i="18" l="1"/>
  <c r="P32" i="18" s="1"/>
  <c r="AW32" i="20"/>
  <c r="BH32" i="19"/>
  <c r="AM33" i="18" s="1"/>
  <c r="U32" i="19"/>
  <c r="AH32" i="19" s="1"/>
  <c r="H32" i="19" s="1"/>
  <c r="R32" i="22" s="1"/>
  <c r="BW32" i="19" s="1"/>
  <c r="AO33" i="18" s="1"/>
  <c r="K33" i="18" s="1"/>
  <c r="AX32" i="20"/>
  <c r="X33" i="18"/>
  <c r="AV32" i="20"/>
  <c r="T32" i="19"/>
  <c r="AG32" i="19" s="1"/>
  <c r="G32" i="19" s="1"/>
  <c r="BV32" i="19" s="1"/>
  <c r="AN33" i="18" s="1"/>
  <c r="J33" i="18" s="1"/>
  <c r="BG32" i="19"/>
  <c r="W33" i="18"/>
  <c r="F32" i="18"/>
  <c r="N31" i="19"/>
  <c r="U31" i="22" s="1"/>
  <c r="CA31" i="19" s="1"/>
  <c r="X32" i="22"/>
  <c r="BS32" i="19" s="1"/>
  <c r="AJ33" i="18" s="1"/>
  <c r="BC31" i="20"/>
  <c r="Z31" i="19"/>
  <c r="M31" i="19" s="1"/>
  <c r="BM31" i="19"/>
  <c r="AD32" i="18"/>
  <c r="Y31" i="19"/>
  <c r="AL31" i="19" s="1"/>
  <c r="L31" i="19" s="1"/>
  <c r="T31" i="22" s="1"/>
  <c r="BY31" i="19" s="1"/>
  <c r="AQ32" i="18" s="1"/>
  <c r="BL32" i="19" s="1"/>
  <c r="BB31" i="20"/>
  <c r="AB32" i="18"/>
  <c r="AC32" i="18"/>
  <c r="Z38" i="18"/>
  <c r="X37" i="19"/>
  <c r="AK37" i="19" s="1"/>
  <c r="K37" i="19" s="1"/>
  <c r="BA37" i="20"/>
  <c r="AH38" i="18"/>
  <c r="BD38" i="19" s="1"/>
  <c r="Q39" i="18"/>
  <c r="C38" i="18"/>
  <c r="P38" i="19" s="1"/>
  <c r="C38" i="19" s="1"/>
  <c r="M38" i="22" s="1"/>
  <c r="T38" i="18"/>
  <c r="BO38" i="19"/>
  <c r="AF39" i="18" s="1"/>
  <c r="BB39" i="19" s="1"/>
  <c r="AA38" i="18"/>
  <c r="W37" i="19"/>
  <c r="AJ37" i="19" s="1"/>
  <c r="J37" i="19" s="1"/>
  <c r="BJ37" i="19"/>
  <c r="AZ37" i="20"/>
  <c r="R37" i="19"/>
  <c r="E37" i="19" s="1"/>
  <c r="O37" i="22" s="1"/>
  <c r="BE37" i="19"/>
  <c r="AY37" i="20"/>
  <c r="V37" i="19"/>
  <c r="AI37" i="19" s="1"/>
  <c r="I37" i="19" s="1"/>
  <c r="S37" i="22" s="1"/>
  <c r="BX37" i="19" s="1"/>
  <c r="BI37" i="19"/>
  <c r="Y38" i="18"/>
  <c r="S38" i="18"/>
  <c r="AL172" i="20"/>
  <c r="S32" i="19" l="1"/>
  <c r="AF32" i="19" s="1"/>
  <c r="F32" i="19" s="1"/>
  <c r="BU32" i="19" s="1"/>
  <c r="BF32" i="19"/>
  <c r="AK33" i="18" s="1"/>
  <c r="AU32" i="20"/>
  <c r="U33" i="18"/>
  <c r="AL33" i="18"/>
  <c r="V33" i="18"/>
  <c r="I33" i="18"/>
  <c r="AX33" i="20" s="1"/>
  <c r="AS32" i="18"/>
  <c r="O32" i="18" s="1"/>
  <c r="AD33" i="18" s="1"/>
  <c r="BZ32" i="19"/>
  <c r="AR33" i="18" s="1"/>
  <c r="N32" i="18"/>
  <c r="V32" i="22"/>
  <c r="M32" i="18"/>
  <c r="BP38" i="19"/>
  <c r="AG39" i="18" s="1"/>
  <c r="D38" i="18"/>
  <c r="Q38" i="19" s="1"/>
  <c r="AD38" i="19" s="1"/>
  <c r="D38" i="19" s="1"/>
  <c r="N38" i="22" s="1"/>
  <c r="BQ38" i="19"/>
  <c r="R39" i="18"/>
  <c r="AP38" i="18"/>
  <c r="BR38" i="19"/>
  <c r="AI39" i="18" s="1"/>
  <c r="E38" i="18"/>
  <c r="BC38" i="19"/>
  <c r="B39" i="18"/>
  <c r="AC172" i="20"/>
  <c r="H33" i="18" l="1"/>
  <c r="G33" i="18"/>
  <c r="F33" i="18"/>
  <c r="U34" i="18" s="1"/>
  <c r="BN32" i="19"/>
  <c r="AT33" i="18" s="1"/>
  <c r="AA32" i="19"/>
  <c r="AN32" i="19" s="1"/>
  <c r="AE33" i="18"/>
  <c r="AB33" i="18"/>
  <c r="Y32" i="19"/>
  <c r="AL32" i="19" s="1"/>
  <c r="L32" i="19" s="1"/>
  <c r="T32" i="22" s="1"/>
  <c r="BY32" i="19" s="1"/>
  <c r="AQ33" i="18" s="1"/>
  <c r="BL33" i="19" s="1"/>
  <c r="BB32" i="20"/>
  <c r="AC33" i="18"/>
  <c r="BC32" i="20"/>
  <c r="Z32" i="19"/>
  <c r="M32" i="19" s="1"/>
  <c r="BM32" i="19"/>
  <c r="T39" i="18"/>
  <c r="E39" i="18" s="1"/>
  <c r="R39" i="19" s="1"/>
  <c r="E39" i="19" s="1"/>
  <c r="O39" i="22" s="1"/>
  <c r="S39" i="18"/>
  <c r="BP39" i="19" s="1"/>
  <c r="AG40" i="18" s="1"/>
  <c r="Y39" i="18"/>
  <c r="BI38" i="19"/>
  <c r="AY38" i="20"/>
  <c r="V38" i="19"/>
  <c r="AI38" i="19" s="1"/>
  <c r="I38" i="19" s="1"/>
  <c r="S38" i="22" s="1"/>
  <c r="BX38" i="19" s="1"/>
  <c r="R38" i="19"/>
  <c r="E38" i="19" s="1"/>
  <c r="O38" i="22" s="1"/>
  <c r="BE38" i="19"/>
  <c r="C39" i="18"/>
  <c r="P39" i="19" s="1"/>
  <c r="C39" i="19" s="1"/>
  <c r="M39" i="22" s="1"/>
  <c r="O39" i="19"/>
  <c r="AB39" i="19" s="1"/>
  <c r="B39" i="19" s="1"/>
  <c r="L39" i="22" s="1"/>
  <c r="BO39" i="19" s="1"/>
  <c r="AF40" i="18" s="1"/>
  <c r="BB40" i="19" s="1"/>
  <c r="Q40" i="18"/>
  <c r="L38" i="18"/>
  <c r="AH39" i="18"/>
  <c r="BD39" i="19" s="1"/>
  <c r="K173" i="20"/>
  <c r="BV173" i="20" s="1"/>
  <c r="BF33" i="19" l="1"/>
  <c r="AK34" i="18" s="1"/>
  <c r="S33" i="19"/>
  <c r="AF33" i="19" s="1"/>
  <c r="F33" i="19" s="1"/>
  <c r="BU33" i="19" s="1"/>
  <c r="AU33" i="20"/>
  <c r="U33" i="19"/>
  <c r="AH33" i="19" s="1"/>
  <c r="H33" i="19" s="1"/>
  <c r="R33" i="22" s="1"/>
  <c r="BW33" i="19" s="1"/>
  <c r="AO34" i="18" s="1"/>
  <c r="K34" i="18" s="1"/>
  <c r="AW33" i="20"/>
  <c r="BH33" i="19"/>
  <c r="AM34" i="18" s="1"/>
  <c r="X34" i="18"/>
  <c r="W34" i="18"/>
  <c r="AV33" i="20"/>
  <c r="BG33" i="19"/>
  <c r="AL34" i="18" s="1"/>
  <c r="T33" i="19"/>
  <c r="AG33" i="19" s="1"/>
  <c r="G33" i="19" s="1"/>
  <c r="BV33" i="19" s="1"/>
  <c r="AN34" i="18" s="1"/>
  <c r="J34" i="18" s="1"/>
  <c r="V34" i="18"/>
  <c r="P33" i="18"/>
  <c r="V33" i="22"/>
  <c r="M33" i="18"/>
  <c r="AS33" i="18"/>
  <c r="N33" i="18"/>
  <c r="BZ33" i="19"/>
  <c r="AR34" i="18" s="1"/>
  <c r="N32" i="19"/>
  <c r="U32" i="22" s="1"/>
  <c r="CA32" i="19" s="1"/>
  <c r="X33" i="22"/>
  <c r="BS33" i="19" s="1"/>
  <c r="AJ34" i="18" s="1"/>
  <c r="F34" i="18" s="1"/>
  <c r="BR39" i="19"/>
  <c r="R40" i="18"/>
  <c r="C40" i="18" s="1"/>
  <c r="P40" i="19" s="1"/>
  <c r="C40" i="19" s="1"/>
  <c r="M40" i="22" s="1"/>
  <c r="BC39" i="19"/>
  <c r="D39" i="18"/>
  <c r="J39" i="18"/>
  <c r="Y40" i="18" s="1"/>
  <c r="B40" i="18"/>
  <c r="O40" i="19" s="1"/>
  <c r="AB40" i="19" s="1"/>
  <c r="B40" i="19" s="1"/>
  <c r="L40" i="22" s="1"/>
  <c r="AI40" i="18"/>
  <c r="X38" i="19"/>
  <c r="AK38" i="19" s="1"/>
  <c r="K38" i="19" s="1"/>
  <c r="BK38" i="19"/>
  <c r="BA38" i="20"/>
  <c r="AA39" i="18"/>
  <c r="W38" i="19"/>
  <c r="AJ38" i="19" s="1"/>
  <c r="J38" i="19" s="1"/>
  <c r="AZ38" i="20"/>
  <c r="BJ38" i="19"/>
  <c r="AP39" i="18" s="1"/>
  <c r="Z39" i="18"/>
  <c r="BQ39" i="19"/>
  <c r="BE39" i="19"/>
  <c r="AL173" i="20"/>
  <c r="S34" i="19" l="1"/>
  <c r="AF34" i="19" s="1"/>
  <c r="F34" i="19" s="1"/>
  <c r="BU34" i="19" s="1"/>
  <c r="BF34" i="19"/>
  <c r="AU34" i="20"/>
  <c r="U35" i="18"/>
  <c r="I34" i="18"/>
  <c r="AX34" i="20" s="1"/>
  <c r="H34" i="18"/>
  <c r="G34" i="18"/>
  <c r="AC34" i="18"/>
  <c r="Z33" i="19"/>
  <c r="M33" i="19" s="1"/>
  <c r="BM33" i="19"/>
  <c r="BC33" i="20"/>
  <c r="BN33" i="19"/>
  <c r="AT34" i="18" s="1"/>
  <c r="O33" i="18"/>
  <c r="AB34" i="18"/>
  <c r="BB33" i="20"/>
  <c r="Y33" i="19"/>
  <c r="AL33" i="19" s="1"/>
  <c r="L33" i="19" s="1"/>
  <c r="T33" i="22" s="1"/>
  <c r="BY33" i="19" s="1"/>
  <c r="AQ34" i="18" s="1"/>
  <c r="BL34" i="19" s="1"/>
  <c r="AH40" i="18"/>
  <c r="BD40" i="19" s="1"/>
  <c r="BO40" i="19"/>
  <c r="AF41" i="18" s="1"/>
  <c r="BB41" i="19" s="1"/>
  <c r="R41" i="18"/>
  <c r="K39" i="18"/>
  <c r="L39" i="18"/>
  <c r="BC40" i="19"/>
  <c r="Q39" i="19"/>
  <c r="AD39" i="19" s="1"/>
  <c r="D39" i="19" s="1"/>
  <c r="N39" i="22" s="1"/>
  <c r="S40" i="18"/>
  <c r="BI39" i="19"/>
  <c r="V39" i="19"/>
  <c r="AI39" i="19" s="1"/>
  <c r="I39" i="19" s="1"/>
  <c r="S39" i="22" s="1"/>
  <c r="BX39" i="19" s="1"/>
  <c r="AY39" i="20"/>
  <c r="T40" i="18"/>
  <c r="Q41" i="18"/>
  <c r="AC173" i="20"/>
  <c r="BH34" i="19" l="1"/>
  <c r="AM35" i="18" s="1"/>
  <c r="U34" i="19"/>
  <c r="AH34" i="19" s="1"/>
  <c r="H34" i="19" s="1"/>
  <c r="R34" i="22" s="1"/>
  <c r="BW34" i="19" s="1"/>
  <c r="AO35" i="18" s="1"/>
  <c r="K35" i="18" s="1"/>
  <c r="AW34" i="20"/>
  <c r="AV34" i="20"/>
  <c r="BG34" i="19"/>
  <c r="AL35" i="18" s="1"/>
  <c r="T34" i="19"/>
  <c r="AG34" i="19" s="1"/>
  <c r="G34" i="19" s="1"/>
  <c r="BV34" i="19" s="1"/>
  <c r="AN35" i="18" s="1"/>
  <c r="J35" i="18" s="1"/>
  <c r="Y36" i="18" s="1"/>
  <c r="X35" i="18"/>
  <c r="V35" i="18"/>
  <c r="AK35" i="18"/>
  <c r="W35" i="18"/>
  <c r="AE34" i="18"/>
  <c r="P34" i="18" s="1"/>
  <c r="AA33" i="19"/>
  <c r="AN33" i="19" s="1"/>
  <c r="AD34" i="18"/>
  <c r="BZ34" i="19"/>
  <c r="AR35" i="18" s="1"/>
  <c r="N34" i="18"/>
  <c r="V34" i="22"/>
  <c r="M34" i="18"/>
  <c r="AC35" i="18" s="1"/>
  <c r="BI40" i="19"/>
  <c r="AY40" i="20"/>
  <c r="V40" i="19"/>
  <c r="AI40" i="19" s="1"/>
  <c r="I40" i="19" s="1"/>
  <c r="S40" i="22" s="1"/>
  <c r="Z40" i="18"/>
  <c r="W39" i="19"/>
  <c r="AJ39" i="19" s="1"/>
  <c r="J39" i="19" s="1"/>
  <c r="AZ39" i="20"/>
  <c r="BJ39" i="19"/>
  <c r="AP40" i="18" s="1"/>
  <c r="B41" i="18"/>
  <c r="O41" i="19" s="1"/>
  <c r="AB41" i="19" s="1"/>
  <c r="B41" i="19" s="1"/>
  <c r="L41" i="22" s="1"/>
  <c r="BO41" i="19" s="1"/>
  <c r="AF42" i="18" s="1"/>
  <c r="BB42" i="19" s="1"/>
  <c r="BR40" i="19"/>
  <c r="AI41" i="18" s="1"/>
  <c r="E40" i="18"/>
  <c r="BP40" i="19"/>
  <c r="AG41" i="18" s="1"/>
  <c r="D40" i="18"/>
  <c r="Q40" i="19" s="1"/>
  <c r="AD40" i="19" s="1"/>
  <c r="D40" i="19" s="1"/>
  <c r="N40" i="22" s="1"/>
  <c r="BQ40" i="19"/>
  <c r="AH41" i="18" s="1"/>
  <c r="BD41" i="19" s="1"/>
  <c r="X39" i="19"/>
  <c r="AK39" i="19" s="1"/>
  <c r="K39" i="19" s="1"/>
  <c r="BK39" i="19"/>
  <c r="BA39" i="20"/>
  <c r="AA40" i="18"/>
  <c r="K174" i="20"/>
  <c r="BV174" i="20" s="1"/>
  <c r="G35" i="18" l="1"/>
  <c r="I35" i="18"/>
  <c r="AX35" i="20" s="1"/>
  <c r="H35" i="18"/>
  <c r="W36" i="18" s="1"/>
  <c r="N35" i="18"/>
  <c r="BZ35" i="19"/>
  <c r="N33" i="19"/>
  <c r="U33" i="22" s="1"/>
  <c r="CA33" i="19" s="1"/>
  <c r="AS34" i="18" s="1"/>
  <c r="BN34" i="19" s="1"/>
  <c r="AT35" i="18" s="1"/>
  <c r="X34" i="22"/>
  <c r="BS34" i="19" s="1"/>
  <c r="AJ35" i="18" s="1"/>
  <c r="Y34" i="19"/>
  <c r="AL34" i="19" s="1"/>
  <c r="L34" i="19" s="1"/>
  <c r="T34" i="22" s="1"/>
  <c r="BY34" i="19" s="1"/>
  <c r="AQ35" i="18" s="1"/>
  <c r="BL35" i="19" s="1"/>
  <c r="BB34" i="20"/>
  <c r="AB35" i="18"/>
  <c r="BM34" i="19"/>
  <c r="BC34" i="20"/>
  <c r="Z34" i="19"/>
  <c r="M34" i="19" s="1"/>
  <c r="T41" i="18"/>
  <c r="BR41" i="19" s="1"/>
  <c r="AI42" i="18" s="1"/>
  <c r="AY41" i="20"/>
  <c r="V41" i="19"/>
  <c r="AI41" i="19" s="1"/>
  <c r="I41" i="19" s="1"/>
  <c r="S41" i="22" s="1"/>
  <c r="BI41" i="19"/>
  <c r="Y42" i="18"/>
  <c r="L40" i="18"/>
  <c r="S41" i="18"/>
  <c r="R40" i="19"/>
  <c r="E40" i="19" s="1"/>
  <c r="O40" i="22" s="1"/>
  <c r="BE40" i="19"/>
  <c r="K40" i="18"/>
  <c r="Z41" i="18" s="1"/>
  <c r="C41" i="18"/>
  <c r="BC41" i="19" s="1"/>
  <c r="Q42" i="18"/>
  <c r="BX40" i="19"/>
  <c r="AL174" i="20"/>
  <c r="F35" i="18" l="1"/>
  <c r="BH35" i="19"/>
  <c r="AM36" i="18" s="1"/>
  <c r="AW35" i="20"/>
  <c r="U35" i="19"/>
  <c r="AH35" i="19" s="1"/>
  <c r="H35" i="19" s="1"/>
  <c r="R35" i="22" s="1"/>
  <c r="BW35" i="19" s="1"/>
  <c r="AO36" i="18" s="1"/>
  <c r="K36" i="18" s="1"/>
  <c r="X36" i="18"/>
  <c r="T35" i="19"/>
  <c r="AG35" i="19" s="1"/>
  <c r="G35" i="19" s="1"/>
  <c r="BV35" i="19" s="1"/>
  <c r="AN36" i="18" s="1"/>
  <c r="J36" i="18" s="1"/>
  <c r="AV35" i="20"/>
  <c r="BG35" i="19"/>
  <c r="V35" i="22"/>
  <c r="M35" i="18"/>
  <c r="AB36" i="18" s="1"/>
  <c r="AR36" i="18"/>
  <c r="O34" i="18"/>
  <c r="BM35" i="19"/>
  <c r="BC35" i="20"/>
  <c r="Z35" i="19"/>
  <c r="M35" i="19" s="1"/>
  <c r="E41" i="18"/>
  <c r="R41" i="19" s="1"/>
  <c r="E41" i="19" s="1"/>
  <c r="O41" i="22" s="1"/>
  <c r="AA41" i="18"/>
  <c r="BX41" i="19" s="1"/>
  <c r="B42" i="18"/>
  <c r="O42" i="19" s="1"/>
  <c r="AB42" i="19" s="1"/>
  <c r="B42" i="19" s="1"/>
  <c r="L42" i="22" s="1"/>
  <c r="BP41" i="19"/>
  <c r="AG42" i="18" s="1"/>
  <c r="D41" i="18"/>
  <c r="Q41" i="19" s="1"/>
  <c r="AD41" i="19" s="1"/>
  <c r="D41" i="19" s="1"/>
  <c r="N41" i="22" s="1"/>
  <c r="BA40" i="20"/>
  <c r="X40" i="19"/>
  <c r="AK40" i="19" s="1"/>
  <c r="K40" i="19" s="1"/>
  <c r="BK40" i="19"/>
  <c r="W40" i="19"/>
  <c r="AJ40" i="19" s="1"/>
  <c r="J40" i="19" s="1"/>
  <c r="AZ40" i="20"/>
  <c r="BJ40" i="19"/>
  <c r="AP41" i="18" s="1"/>
  <c r="P41" i="19"/>
  <c r="C41" i="19" s="1"/>
  <c r="M41" i="22" s="1"/>
  <c r="R42" i="18"/>
  <c r="AC174" i="20"/>
  <c r="I36" i="18" l="1"/>
  <c r="AX36" i="20" s="1"/>
  <c r="V36" i="18"/>
  <c r="AU35" i="20"/>
  <c r="S35" i="19"/>
  <c r="AF35" i="19" s="1"/>
  <c r="F35" i="19" s="1"/>
  <c r="BU35" i="19" s="1"/>
  <c r="AL36" i="18" s="1"/>
  <c r="BF35" i="19"/>
  <c r="AK36" i="18" s="1"/>
  <c r="U36" i="18"/>
  <c r="Y35" i="19"/>
  <c r="AL35" i="19" s="1"/>
  <c r="BB35" i="20"/>
  <c r="AC36" i="18"/>
  <c r="AE35" i="18"/>
  <c r="AA34" i="19"/>
  <c r="AN34" i="19" s="1"/>
  <c r="AD35" i="18"/>
  <c r="BE41" i="19"/>
  <c r="S42" i="18"/>
  <c r="BP42" i="19" s="1"/>
  <c r="AG43" i="18" s="1"/>
  <c r="Q43" i="18"/>
  <c r="BQ41" i="19"/>
  <c r="AH42" i="18" s="1"/>
  <c r="BD42" i="19" s="1"/>
  <c r="T42" i="18"/>
  <c r="L41" i="18"/>
  <c r="BO42" i="19"/>
  <c r="AF43" i="18" s="1"/>
  <c r="BB43" i="19" s="1"/>
  <c r="C42" i="18"/>
  <c r="P42" i="19" s="1"/>
  <c r="C42" i="19" s="1"/>
  <c r="M42" i="22" s="1"/>
  <c r="K41" i="18"/>
  <c r="K175" i="20"/>
  <c r="BV175" i="20" s="1"/>
  <c r="H36" i="18" l="1"/>
  <c r="G36" i="18"/>
  <c r="N34" i="19"/>
  <c r="U34" i="22" s="1"/>
  <c r="CA34" i="19" s="1"/>
  <c r="AS35" i="18" s="1"/>
  <c r="BN35" i="19" s="1"/>
  <c r="AT36" i="18" s="1"/>
  <c r="X35" i="22"/>
  <c r="BS35" i="19" s="1"/>
  <c r="AJ36" i="18" s="1"/>
  <c r="F36" i="18" s="1"/>
  <c r="L35" i="19"/>
  <c r="T35" i="22" s="1"/>
  <c r="BY35" i="19" s="1"/>
  <c r="AQ36" i="18" s="1"/>
  <c r="V36" i="22"/>
  <c r="P35" i="18"/>
  <c r="BZ36" i="19"/>
  <c r="N36" i="18"/>
  <c r="AA42" i="18"/>
  <c r="E42" i="18"/>
  <c r="BR42" i="19"/>
  <c r="AI43" i="18" s="1"/>
  <c r="BQ42" i="19"/>
  <c r="BI42" i="19"/>
  <c r="V42" i="19"/>
  <c r="AI42" i="19" s="1"/>
  <c r="I42" i="19" s="1"/>
  <c r="S42" i="22" s="1"/>
  <c r="AY42" i="20"/>
  <c r="Y43" i="18"/>
  <c r="R43" i="18"/>
  <c r="C43" i="18" s="1"/>
  <c r="B43" i="18"/>
  <c r="D42" i="18"/>
  <c r="AZ41" i="20"/>
  <c r="W41" i="19"/>
  <c r="AJ41" i="19" s="1"/>
  <c r="J41" i="19" s="1"/>
  <c r="BJ41" i="19"/>
  <c r="AP42" i="18" s="1"/>
  <c r="Z42" i="18"/>
  <c r="BC42" i="19"/>
  <c r="X41" i="19"/>
  <c r="AK41" i="19" s="1"/>
  <c r="K41" i="19" s="1"/>
  <c r="BA41" i="20"/>
  <c r="BK41" i="19"/>
  <c r="AL175" i="20"/>
  <c r="V37" i="18" l="1"/>
  <c r="U37" i="18"/>
  <c r="BF36" i="19"/>
  <c r="AK37" i="18" s="1"/>
  <c r="AU36" i="20"/>
  <c r="S36" i="19"/>
  <c r="AF36" i="19" s="1"/>
  <c r="F36" i="19" s="1"/>
  <c r="BU36" i="19" s="1"/>
  <c r="U36" i="19"/>
  <c r="AH36" i="19" s="1"/>
  <c r="H36" i="19" s="1"/>
  <c r="R36" i="22" s="1"/>
  <c r="BW36" i="19" s="1"/>
  <c r="AO37" i="18" s="1"/>
  <c r="BH36" i="19"/>
  <c r="AM37" i="18" s="1"/>
  <c r="AW36" i="20"/>
  <c r="W37" i="18"/>
  <c r="X37" i="18"/>
  <c r="T36" i="19"/>
  <c r="AG36" i="19" s="1"/>
  <c r="G36" i="19" s="1"/>
  <c r="BV36" i="19" s="1"/>
  <c r="AN37" i="18" s="1"/>
  <c r="J37" i="18" s="1"/>
  <c r="BG36" i="19"/>
  <c r="AL37" i="18" s="1"/>
  <c r="AV36" i="20"/>
  <c r="BC36" i="20"/>
  <c r="Z36" i="19"/>
  <c r="M36" i="19" s="1"/>
  <c r="BM36" i="19"/>
  <c r="BL36" i="19"/>
  <c r="AR37" i="18" s="1"/>
  <c r="M36" i="18"/>
  <c r="O35" i="18"/>
  <c r="BX42" i="19"/>
  <c r="P43" i="19"/>
  <c r="C43" i="19" s="1"/>
  <c r="M43" i="22" s="1"/>
  <c r="BC43" i="19"/>
  <c r="O43" i="19"/>
  <c r="AB43" i="19" s="1"/>
  <c r="B43" i="19" s="1"/>
  <c r="L43" i="22" s="1"/>
  <c r="Q44" i="18"/>
  <c r="R42" i="19"/>
  <c r="E42" i="19" s="1"/>
  <c r="O42" i="22" s="1"/>
  <c r="BE42" i="19"/>
  <c r="BO43" i="19"/>
  <c r="AF44" i="18" s="1"/>
  <c r="BB44" i="19" s="1"/>
  <c r="R44" i="18"/>
  <c r="AH43" i="18"/>
  <c r="BD43" i="19" s="1"/>
  <c r="L42" i="18"/>
  <c r="T43" i="18"/>
  <c r="J43" i="18"/>
  <c r="Y44" i="18" s="1"/>
  <c r="K42" i="18"/>
  <c r="Z43" i="18" s="1"/>
  <c r="Q42" i="19"/>
  <c r="AD42" i="19" s="1"/>
  <c r="D42" i="19" s="1"/>
  <c r="N42" i="22" s="1"/>
  <c r="S43" i="18"/>
  <c r="AC175" i="20"/>
  <c r="H37" i="18" l="1"/>
  <c r="I37" i="18"/>
  <c r="AX37" i="20" s="1"/>
  <c r="X38" i="18"/>
  <c r="G37" i="18"/>
  <c r="W38" i="18" s="1"/>
  <c r="AA35" i="19"/>
  <c r="AN35" i="19" s="1"/>
  <c r="AD36" i="18"/>
  <c r="AE36" i="18"/>
  <c r="BB36" i="20"/>
  <c r="Y36" i="19"/>
  <c r="AL36" i="19" s="1"/>
  <c r="AB37" i="18"/>
  <c r="AC37" i="18"/>
  <c r="X42" i="19"/>
  <c r="AK42" i="19" s="1"/>
  <c r="K42" i="19" s="1"/>
  <c r="BA42" i="20"/>
  <c r="BK42" i="19"/>
  <c r="AA43" i="18"/>
  <c r="E43" i="18"/>
  <c r="BR43" i="19"/>
  <c r="AI44" i="18" s="1"/>
  <c r="AZ42" i="20"/>
  <c r="W42" i="19"/>
  <c r="AJ42" i="19" s="1"/>
  <c r="J42" i="19" s="1"/>
  <c r="BJ42" i="19"/>
  <c r="AP43" i="18" s="1"/>
  <c r="B44" i="18"/>
  <c r="O44" i="19" s="1"/>
  <c r="AB44" i="19" s="1"/>
  <c r="B44" i="19" s="1"/>
  <c r="L44" i="22" s="1"/>
  <c r="BO44" i="19" s="1"/>
  <c r="AF45" i="18" s="1"/>
  <c r="BB45" i="19" s="1"/>
  <c r="BP43" i="19"/>
  <c r="AG44" i="18" s="1"/>
  <c r="C44" i="18" s="1"/>
  <c r="D43" i="18"/>
  <c r="Q43" i="19" s="1"/>
  <c r="AD43" i="19" s="1"/>
  <c r="D43" i="19" s="1"/>
  <c r="N43" i="22" s="1"/>
  <c r="BQ43" i="19"/>
  <c r="AH44" i="18" s="1"/>
  <c r="BD44" i="19" s="1"/>
  <c r="BI43" i="19"/>
  <c r="AY43" i="20"/>
  <c r="V43" i="19"/>
  <c r="AI43" i="19" s="1"/>
  <c r="I43" i="19" s="1"/>
  <c r="S43" i="22" s="1"/>
  <c r="K176" i="20"/>
  <c r="BV176" i="20" s="1"/>
  <c r="BU38" i="19" l="1"/>
  <c r="BH37" i="19"/>
  <c r="AM38" i="18" s="1"/>
  <c r="I38" i="18" s="1"/>
  <c r="U37" i="19"/>
  <c r="AH37" i="19" s="1"/>
  <c r="H37" i="19" s="1"/>
  <c r="R37" i="22" s="1"/>
  <c r="BW37" i="19" s="1"/>
  <c r="AO38" i="18" s="1"/>
  <c r="K38" i="18" s="1"/>
  <c r="AW37" i="20"/>
  <c r="BG37" i="19"/>
  <c r="T37" i="19"/>
  <c r="AG37" i="19" s="1"/>
  <c r="G37" i="19" s="1"/>
  <c r="BV37" i="19" s="1"/>
  <c r="AN38" i="18" s="1"/>
  <c r="J38" i="18" s="1"/>
  <c r="AV37" i="20"/>
  <c r="N37" i="18"/>
  <c r="BZ37" i="19"/>
  <c r="P36" i="18"/>
  <c r="L36" i="19"/>
  <c r="T36" i="22" s="1"/>
  <c r="BY36" i="19" s="1"/>
  <c r="AQ37" i="18" s="1"/>
  <c r="BL37" i="19" s="1"/>
  <c r="AR38" i="18" s="1"/>
  <c r="V37" i="22"/>
  <c r="N35" i="19"/>
  <c r="U35" i="22" s="1"/>
  <c r="CA35" i="19" s="1"/>
  <c r="AS36" i="18" s="1"/>
  <c r="BN36" i="19" s="1"/>
  <c r="AT37" i="18" s="1"/>
  <c r="X36" i="22"/>
  <c r="BS36" i="19" s="1"/>
  <c r="AJ37" i="18" s="1"/>
  <c r="Q45" i="18"/>
  <c r="B45" i="18" s="1"/>
  <c r="O45" i="19" s="1"/>
  <c r="AB45" i="19" s="1"/>
  <c r="B45" i="19" s="1"/>
  <c r="L45" i="22" s="1"/>
  <c r="BX43" i="19"/>
  <c r="P44" i="19"/>
  <c r="C44" i="19" s="1"/>
  <c r="M44" i="22" s="1"/>
  <c r="R45" i="18"/>
  <c r="W43" i="19"/>
  <c r="AJ43" i="19" s="1"/>
  <c r="J43" i="19" s="1"/>
  <c r="BJ43" i="19"/>
  <c r="AZ43" i="20"/>
  <c r="Z44" i="18"/>
  <c r="R43" i="19"/>
  <c r="E43" i="19" s="1"/>
  <c r="O43" i="22" s="1"/>
  <c r="BE43" i="19"/>
  <c r="BC44" i="19"/>
  <c r="L43" i="18"/>
  <c r="AA44" i="18" s="1"/>
  <c r="S44" i="18"/>
  <c r="AY44" i="20"/>
  <c r="V44" i="19"/>
  <c r="AI44" i="19" s="1"/>
  <c r="I44" i="19" s="1"/>
  <c r="S44" i="22" s="1"/>
  <c r="BI44" i="19"/>
  <c r="T44" i="18"/>
  <c r="AL176" i="20"/>
  <c r="AX38" i="20" l="1"/>
  <c r="F37" i="18"/>
  <c r="AP44" i="18"/>
  <c r="O36" i="18"/>
  <c r="AE37" i="18" s="1"/>
  <c r="P37" i="18" s="1"/>
  <c r="M37" i="18"/>
  <c r="Z37" i="19"/>
  <c r="M37" i="19" s="1"/>
  <c r="BC37" i="20"/>
  <c r="BM37" i="19"/>
  <c r="Q46" i="18"/>
  <c r="L44" i="18"/>
  <c r="BO45" i="19"/>
  <c r="AF46" i="18" s="1"/>
  <c r="BB46" i="19" s="1"/>
  <c r="D44" i="18"/>
  <c r="Q44" i="19" s="1"/>
  <c r="AD44" i="19" s="1"/>
  <c r="D44" i="19" s="1"/>
  <c r="N44" i="22" s="1"/>
  <c r="BP44" i="19"/>
  <c r="AG45" i="18" s="1"/>
  <c r="BQ44" i="19"/>
  <c r="AH45" i="18" s="1"/>
  <c r="BD45" i="19" s="1"/>
  <c r="X43" i="19"/>
  <c r="AK43" i="19" s="1"/>
  <c r="K43" i="19" s="1"/>
  <c r="BK43" i="19"/>
  <c r="BA43" i="20"/>
  <c r="E44" i="18"/>
  <c r="BR44" i="19"/>
  <c r="AI45" i="18" s="1"/>
  <c r="K44" i="18"/>
  <c r="BX44" i="19"/>
  <c r="AC176" i="20"/>
  <c r="S37" i="19" l="1"/>
  <c r="AF37" i="19" s="1"/>
  <c r="F37" i="19" s="1"/>
  <c r="BU37" i="19" s="1"/>
  <c r="AL38" i="18" s="1"/>
  <c r="AU37" i="20"/>
  <c r="BF37" i="19"/>
  <c r="AK38" i="18" s="1"/>
  <c r="U38" i="18"/>
  <c r="V38" i="18"/>
  <c r="AA45" i="18"/>
  <c r="AB38" i="18"/>
  <c r="Y37" i="19"/>
  <c r="AL37" i="19" s="1"/>
  <c r="BB37" i="20"/>
  <c r="AC38" i="18"/>
  <c r="AD37" i="18"/>
  <c r="AA36" i="19"/>
  <c r="AN36" i="19" s="1"/>
  <c r="R44" i="19"/>
  <c r="E44" i="19" s="1"/>
  <c r="O44" i="22" s="1"/>
  <c r="BE44" i="19"/>
  <c r="BK44" i="19"/>
  <c r="BA44" i="20"/>
  <c r="X44" i="19"/>
  <c r="AK44" i="19" s="1"/>
  <c r="K44" i="19" s="1"/>
  <c r="Z45" i="18"/>
  <c r="AZ44" i="20"/>
  <c r="W44" i="19"/>
  <c r="AJ44" i="19" s="1"/>
  <c r="J44" i="19" s="1"/>
  <c r="BJ44" i="19"/>
  <c r="AP45" i="18" s="1"/>
  <c r="L45" i="18" s="1"/>
  <c r="B46" i="18"/>
  <c r="T45" i="18"/>
  <c r="S45" i="18"/>
  <c r="C45" i="18"/>
  <c r="K177" i="20"/>
  <c r="BV177" i="20" s="1"/>
  <c r="G38" i="18" l="1"/>
  <c r="H38" i="18"/>
  <c r="L37" i="19"/>
  <c r="T37" i="22" s="1"/>
  <c r="BY37" i="19" s="1"/>
  <c r="AQ38" i="18" s="1"/>
  <c r="V38" i="22"/>
  <c r="N36" i="19"/>
  <c r="U36" i="22" s="1"/>
  <c r="CA36" i="19" s="1"/>
  <c r="AS37" i="18" s="1"/>
  <c r="BN37" i="19" s="1"/>
  <c r="AT38" i="18" s="1"/>
  <c r="X37" i="22"/>
  <c r="BS37" i="19" s="1"/>
  <c r="AJ38" i="18" s="1"/>
  <c r="F38" i="18" s="1"/>
  <c r="U39" i="18" s="1"/>
  <c r="N38" i="18"/>
  <c r="BZ38" i="19"/>
  <c r="O46" i="19"/>
  <c r="AB46" i="19" s="1"/>
  <c r="B46" i="19" s="1"/>
  <c r="L46" i="22" s="1"/>
  <c r="Q47" i="18"/>
  <c r="BC45" i="19"/>
  <c r="P45" i="19"/>
  <c r="C45" i="19" s="1"/>
  <c r="M45" i="22" s="1"/>
  <c r="R46" i="18"/>
  <c r="BA45" i="20"/>
  <c r="X45" i="19"/>
  <c r="AK45" i="19" s="1"/>
  <c r="K45" i="19" s="1"/>
  <c r="BK45" i="19"/>
  <c r="E45" i="18"/>
  <c r="BR45" i="19"/>
  <c r="AI46" i="18" s="1"/>
  <c r="K45" i="18"/>
  <c r="BP45" i="19"/>
  <c r="AG46" i="18" s="1"/>
  <c r="D45" i="18"/>
  <c r="Q45" i="19" s="1"/>
  <c r="AD45" i="19" s="1"/>
  <c r="D45" i="19" s="1"/>
  <c r="N45" i="22" s="1"/>
  <c r="BQ45" i="19"/>
  <c r="AH46" i="18" s="1"/>
  <c r="BD46" i="19" s="1"/>
  <c r="AL177" i="20"/>
  <c r="AW38" i="20" l="1"/>
  <c r="U38" i="19"/>
  <c r="AH38" i="19" s="1"/>
  <c r="H38" i="19" s="1"/>
  <c r="R38" i="22" s="1"/>
  <c r="BW38" i="19" s="1"/>
  <c r="AO39" i="18" s="1"/>
  <c r="BH38" i="19"/>
  <c r="AM39" i="18" s="1"/>
  <c r="W39" i="18"/>
  <c r="X39" i="18"/>
  <c r="S38" i="19"/>
  <c r="AF38" i="19" s="1"/>
  <c r="F38" i="19" s="1"/>
  <c r="BF38" i="19"/>
  <c r="AK39" i="18" s="1"/>
  <c r="G39" i="18" s="1"/>
  <c r="AU38" i="20"/>
  <c r="V39" i="18"/>
  <c r="T38" i="19"/>
  <c r="AG38" i="19" s="1"/>
  <c r="G38" i="19" s="1"/>
  <c r="BV38" i="19" s="1"/>
  <c r="AN39" i="18" s="1"/>
  <c r="BG38" i="19"/>
  <c r="AL39" i="18" s="1"/>
  <c r="AV38" i="20"/>
  <c r="BL38" i="19"/>
  <c r="AR39" i="18" s="1"/>
  <c r="BM38" i="19"/>
  <c r="BC38" i="20"/>
  <c r="Z38" i="19"/>
  <c r="M38" i="19" s="1"/>
  <c r="M38" i="18"/>
  <c r="O37" i="18"/>
  <c r="S46" i="18"/>
  <c r="D46" i="18" s="1"/>
  <c r="Q46" i="19" s="1"/>
  <c r="AD46" i="19" s="1"/>
  <c r="D46" i="19" s="1"/>
  <c r="N46" i="22" s="1"/>
  <c r="Z46" i="18"/>
  <c r="AA46" i="18"/>
  <c r="C46" i="18"/>
  <c r="P46" i="19" s="1"/>
  <c r="C46" i="19" s="1"/>
  <c r="M46" i="22" s="1"/>
  <c r="BO46" i="19"/>
  <c r="AF47" i="18" s="1"/>
  <c r="BB47" i="19" s="1"/>
  <c r="BI45" i="19"/>
  <c r="V45" i="19"/>
  <c r="AI45" i="19" s="1"/>
  <c r="I45" i="19" s="1"/>
  <c r="S45" i="22" s="1"/>
  <c r="BX45" i="19" s="1"/>
  <c r="AY45" i="20"/>
  <c r="Y46" i="18"/>
  <c r="T46" i="18"/>
  <c r="BJ45" i="19"/>
  <c r="W45" i="19"/>
  <c r="AJ45" i="19" s="1"/>
  <c r="J45" i="19" s="1"/>
  <c r="AZ45" i="20"/>
  <c r="R45" i="19"/>
  <c r="E45" i="19" s="1"/>
  <c r="O45" i="22" s="1"/>
  <c r="BE45" i="19"/>
  <c r="AC177" i="20"/>
  <c r="BP46" i="19" l="1"/>
  <c r="AG47" i="18" s="1"/>
  <c r="H39" i="18"/>
  <c r="W40" i="18" s="1"/>
  <c r="BG39" i="19"/>
  <c r="AV39" i="20"/>
  <c r="T39" i="19"/>
  <c r="AG39" i="19" s="1"/>
  <c r="G39" i="19" s="1"/>
  <c r="BV39" i="19" s="1"/>
  <c r="AN40" i="18" s="1"/>
  <c r="J40" i="18" s="1"/>
  <c r="Y41" i="18" s="1"/>
  <c r="I39" i="18"/>
  <c r="AX39" i="20" s="1"/>
  <c r="X40" i="18"/>
  <c r="Y38" i="19"/>
  <c r="AL38" i="19" s="1"/>
  <c r="BB38" i="20"/>
  <c r="AB39" i="18"/>
  <c r="AC39" i="18"/>
  <c r="AE38" i="18"/>
  <c r="AA37" i="19"/>
  <c r="AN37" i="19" s="1"/>
  <c r="AD38" i="18"/>
  <c r="BC46" i="19"/>
  <c r="AP46" i="18"/>
  <c r="L46" i="18" s="1"/>
  <c r="BK46" i="19" s="1"/>
  <c r="B47" i="18"/>
  <c r="BQ46" i="19"/>
  <c r="AH47" i="18" s="1"/>
  <c r="BD47" i="19" s="1"/>
  <c r="S47" i="18"/>
  <c r="J46" i="18"/>
  <c r="Y47" i="18" s="1"/>
  <c r="R47" i="18"/>
  <c r="E46" i="18"/>
  <c r="T47" i="18" s="1"/>
  <c r="BR46" i="19"/>
  <c r="AI47" i="18" s="1"/>
  <c r="K178" i="20"/>
  <c r="BV178" i="20" s="1"/>
  <c r="C47" i="18" l="1"/>
  <c r="U39" i="19"/>
  <c r="AH39" i="19" s="1"/>
  <c r="H39" i="19" s="1"/>
  <c r="R39" i="22" s="1"/>
  <c r="BW39" i="19" s="1"/>
  <c r="AO40" i="18" s="1"/>
  <c r="BH39" i="19"/>
  <c r="AM40" i="18" s="1"/>
  <c r="I40" i="18" s="1"/>
  <c r="AW39" i="20"/>
  <c r="N39" i="18"/>
  <c r="BZ39" i="19"/>
  <c r="N37" i="19"/>
  <c r="U37" i="22" s="1"/>
  <c r="CA37" i="19" s="1"/>
  <c r="AS38" i="18" s="1"/>
  <c r="BN38" i="19" s="1"/>
  <c r="AT39" i="18" s="1"/>
  <c r="X38" i="22"/>
  <c r="BS38" i="19" s="1"/>
  <c r="AJ39" i="18" s="1"/>
  <c r="P38" i="18"/>
  <c r="L38" i="19"/>
  <c r="T38" i="22" s="1"/>
  <c r="BY38" i="19" s="1"/>
  <c r="AQ39" i="18" s="1"/>
  <c r="M39" i="18" s="1"/>
  <c r="V39" i="22"/>
  <c r="BA46" i="20"/>
  <c r="X46" i="19"/>
  <c r="AK46" i="19" s="1"/>
  <c r="K46" i="19" s="1"/>
  <c r="O47" i="19"/>
  <c r="AB47" i="19" s="1"/>
  <c r="B47" i="19" s="1"/>
  <c r="L47" i="22" s="1"/>
  <c r="Q48" i="18"/>
  <c r="P47" i="19"/>
  <c r="C47" i="19" s="1"/>
  <c r="M47" i="22" s="1"/>
  <c r="BC47" i="19"/>
  <c r="BJ46" i="19"/>
  <c r="W46" i="19"/>
  <c r="AJ46" i="19" s="1"/>
  <c r="J46" i="19" s="1"/>
  <c r="AZ46" i="20"/>
  <c r="Z47" i="18"/>
  <c r="AA47" i="18"/>
  <c r="V46" i="19"/>
  <c r="AI46" i="19" s="1"/>
  <c r="I46" i="19" s="1"/>
  <c r="S46" i="22" s="1"/>
  <c r="BX46" i="19" s="1"/>
  <c r="AY46" i="20"/>
  <c r="BI46" i="19"/>
  <c r="R46" i="19"/>
  <c r="E46" i="19" s="1"/>
  <c r="O46" i="22" s="1"/>
  <c r="BE46" i="19"/>
  <c r="E47" i="18"/>
  <c r="R47" i="19" s="1"/>
  <c r="E47" i="19" s="1"/>
  <c r="O47" i="22" s="1"/>
  <c r="BR47" i="19"/>
  <c r="AI48" i="18" s="1"/>
  <c r="D47" i="18"/>
  <c r="Q47" i="19" s="1"/>
  <c r="AD47" i="19" s="1"/>
  <c r="D47" i="19" s="1"/>
  <c r="N47" i="22" s="1"/>
  <c r="BP47" i="19"/>
  <c r="AG48" i="18" s="1"/>
  <c r="BO47" i="19"/>
  <c r="AF48" i="18" s="1"/>
  <c r="R48" i="18"/>
  <c r="AL178" i="20"/>
  <c r="AX40" i="20" l="1"/>
  <c r="F39" i="18"/>
  <c r="BB39" i="20"/>
  <c r="Y39" i="19"/>
  <c r="AL39" i="19" s="1"/>
  <c r="L39" i="19" s="1"/>
  <c r="T39" i="22" s="1"/>
  <c r="BY39" i="19" s="1"/>
  <c r="AC40" i="18"/>
  <c r="AB40" i="18"/>
  <c r="O38" i="18"/>
  <c r="BL39" i="19"/>
  <c r="AR40" i="18" s="1"/>
  <c r="AQ40" i="18"/>
  <c r="BL40" i="19" s="1"/>
  <c r="Z39" i="19"/>
  <c r="M39" i="19" s="1"/>
  <c r="BC39" i="20"/>
  <c r="BM39" i="19"/>
  <c r="BQ47" i="19"/>
  <c r="AH48" i="18" s="1"/>
  <c r="BD48" i="19" s="1"/>
  <c r="AO47" i="18"/>
  <c r="K47" i="18" s="1"/>
  <c r="Z48" i="18" s="1"/>
  <c r="BI47" i="19"/>
  <c r="AY47" i="20"/>
  <c r="V47" i="19"/>
  <c r="AI47" i="19" s="1"/>
  <c r="I47" i="19" s="1"/>
  <c r="S47" i="22" s="1"/>
  <c r="BX47" i="19" s="1"/>
  <c r="Y48" i="18"/>
  <c r="T48" i="18"/>
  <c r="S48" i="18"/>
  <c r="AP47" i="18"/>
  <c r="L47" i="18" s="1"/>
  <c r="BB48" i="19"/>
  <c r="B48" i="18"/>
  <c r="C48" i="18"/>
  <c r="P48" i="19" s="1"/>
  <c r="C48" i="19" s="1"/>
  <c r="M48" i="22" s="1"/>
  <c r="BE47" i="19"/>
  <c r="AC178" i="20"/>
  <c r="BF39" i="19" l="1"/>
  <c r="AK40" i="18" s="1"/>
  <c r="AU39" i="20"/>
  <c r="S39" i="19"/>
  <c r="AF39" i="19" s="1"/>
  <c r="F39" i="19" s="1"/>
  <c r="BU39" i="19" s="1"/>
  <c r="AL40" i="18" s="1"/>
  <c r="U40" i="18"/>
  <c r="V40" i="18"/>
  <c r="N40" i="18"/>
  <c r="BZ40" i="19"/>
  <c r="AR41" i="18" s="1"/>
  <c r="M40" i="18"/>
  <c r="AB41" i="18" s="1"/>
  <c r="AA38" i="19"/>
  <c r="AN38" i="19" s="1"/>
  <c r="AD39" i="18"/>
  <c r="AE39" i="18"/>
  <c r="V40" i="22"/>
  <c r="X47" i="19"/>
  <c r="AK47" i="19" s="1"/>
  <c r="K47" i="19" s="1"/>
  <c r="BA47" i="20"/>
  <c r="BK47" i="19"/>
  <c r="AA48" i="18"/>
  <c r="BC48" i="19"/>
  <c r="R49" i="18"/>
  <c r="BR48" i="19"/>
  <c r="AI49" i="18" s="1"/>
  <c r="E48" i="18"/>
  <c r="BP48" i="19"/>
  <c r="AG49" i="18" s="1"/>
  <c r="D48" i="18"/>
  <c r="Q48" i="19" s="1"/>
  <c r="AD48" i="19" s="1"/>
  <c r="D48" i="19" s="1"/>
  <c r="N48" i="22" s="1"/>
  <c r="BQ48" i="19"/>
  <c r="O48" i="19"/>
  <c r="AB48" i="19" s="1"/>
  <c r="B48" i="19" s="1"/>
  <c r="L48" i="22" s="1"/>
  <c r="BO48" i="19" s="1"/>
  <c r="AF49" i="18" s="1"/>
  <c r="BB49" i="19" s="1"/>
  <c r="Q49" i="18"/>
  <c r="W47" i="19"/>
  <c r="AJ47" i="19" s="1"/>
  <c r="J47" i="19" s="1"/>
  <c r="BJ47" i="19"/>
  <c r="AP48" i="18" s="1"/>
  <c r="AZ47" i="20"/>
  <c r="K179" i="20"/>
  <c r="BV179" i="20" s="1"/>
  <c r="H40" i="18" l="1"/>
  <c r="G40" i="18"/>
  <c r="AC41" i="18"/>
  <c r="N41" i="18" s="1"/>
  <c r="N38" i="19"/>
  <c r="U38" i="22" s="1"/>
  <c r="CA38" i="19" s="1"/>
  <c r="AS39" i="18" s="1"/>
  <c r="BN39" i="19" s="1"/>
  <c r="AT40" i="18" s="1"/>
  <c r="X39" i="22"/>
  <c r="BS39" i="19" s="1"/>
  <c r="AJ40" i="18" s="1"/>
  <c r="BC40" i="20"/>
  <c r="Z40" i="19"/>
  <c r="M40" i="19" s="1"/>
  <c r="BM40" i="19"/>
  <c r="P39" i="18"/>
  <c r="Y40" i="19"/>
  <c r="AL40" i="19" s="1"/>
  <c r="L40" i="19" s="1"/>
  <c r="T40" i="22" s="1"/>
  <c r="BY40" i="19" s="1"/>
  <c r="AQ41" i="18" s="1"/>
  <c r="BL41" i="19" s="1"/>
  <c r="BB40" i="20"/>
  <c r="AH49" i="18"/>
  <c r="BD49" i="19" s="1"/>
  <c r="Z49" i="18"/>
  <c r="S49" i="18"/>
  <c r="BP49" i="19" s="1"/>
  <c r="AG50" i="18" s="1"/>
  <c r="V48" i="19"/>
  <c r="AI48" i="19" s="1"/>
  <c r="I48" i="19" s="1"/>
  <c r="S48" i="22" s="1"/>
  <c r="BX48" i="19" s="1"/>
  <c r="BI48" i="19"/>
  <c r="AY48" i="20"/>
  <c r="R48" i="19"/>
  <c r="E48" i="19" s="1"/>
  <c r="O48" i="22" s="1"/>
  <c r="BE48" i="19"/>
  <c r="L48" i="18"/>
  <c r="AA49" i="18" s="1"/>
  <c r="C49" i="18"/>
  <c r="P49" i="19" s="1"/>
  <c r="C49" i="19" s="1"/>
  <c r="M49" i="22" s="1"/>
  <c r="Y49" i="18"/>
  <c r="AZ48" i="20"/>
  <c r="W48" i="19"/>
  <c r="AJ48" i="19" s="1"/>
  <c r="J48" i="19" s="1"/>
  <c r="BJ48" i="19"/>
  <c r="B49" i="18"/>
  <c r="O49" i="19" s="1"/>
  <c r="AB49" i="19" s="1"/>
  <c r="B49" i="19" s="1"/>
  <c r="L49" i="22" s="1"/>
  <c r="BO49" i="19" s="1"/>
  <c r="AF50" i="18" s="1"/>
  <c r="BB50" i="19" s="1"/>
  <c r="T49" i="18"/>
  <c r="AL179" i="20"/>
  <c r="AW40" i="20" l="1"/>
  <c r="BH40" i="19"/>
  <c r="AM41" i="18" s="1"/>
  <c r="U40" i="19"/>
  <c r="AH40" i="19" s="1"/>
  <c r="H40" i="19" s="1"/>
  <c r="R40" i="22" s="1"/>
  <c r="BW40" i="19" s="1"/>
  <c r="AO41" i="18" s="1"/>
  <c r="W41" i="18"/>
  <c r="X41" i="18"/>
  <c r="T40" i="19"/>
  <c r="AG40" i="19" s="1"/>
  <c r="G40" i="19" s="1"/>
  <c r="BV40" i="19" s="1"/>
  <c r="AN41" i="18" s="1"/>
  <c r="J41" i="18" s="1"/>
  <c r="AV40" i="20"/>
  <c r="BG40" i="19"/>
  <c r="F40" i="18"/>
  <c r="BZ41" i="19"/>
  <c r="V41" i="22"/>
  <c r="BM41" i="19"/>
  <c r="BC41" i="20"/>
  <c r="Z41" i="19"/>
  <c r="M41" i="19" s="1"/>
  <c r="O39" i="18"/>
  <c r="AR42" i="18"/>
  <c r="M41" i="18"/>
  <c r="AC42" i="18" s="1"/>
  <c r="D49" i="18"/>
  <c r="Q49" i="19" s="1"/>
  <c r="AD49" i="19" s="1"/>
  <c r="D49" i="19" s="1"/>
  <c r="N49" i="22" s="1"/>
  <c r="R50" i="18"/>
  <c r="C50" i="18" s="1"/>
  <c r="P50" i="19" s="1"/>
  <c r="C50" i="19" s="1"/>
  <c r="M50" i="22" s="1"/>
  <c r="Q50" i="18"/>
  <c r="B50" i="18" s="1"/>
  <c r="BQ49" i="19"/>
  <c r="E49" i="18"/>
  <c r="BR49" i="19"/>
  <c r="AI50" i="18" s="1"/>
  <c r="AP49" i="18"/>
  <c r="L49" i="18" s="1"/>
  <c r="BC49" i="19"/>
  <c r="BA48" i="20"/>
  <c r="X48" i="19"/>
  <c r="AK48" i="19" s="1"/>
  <c r="K48" i="19" s="1"/>
  <c r="BK48" i="19"/>
  <c r="AC179" i="20"/>
  <c r="S50" i="18" l="1"/>
  <c r="I41" i="18"/>
  <c r="AX41" i="20" s="1"/>
  <c r="BF40" i="19"/>
  <c r="AK41" i="18" s="1"/>
  <c r="S40" i="19"/>
  <c r="AF40" i="19" s="1"/>
  <c r="F40" i="19" s="1"/>
  <c r="BU40" i="19" s="1"/>
  <c r="AL41" i="18" s="1"/>
  <c r="H41" i="18" s="1"/>
  <c r="AU40" i="20"/>
  <c r="U41" i="18"/>
  <c r="BU41" i="19"/>
  <c r="V41" i="18"/>
  <c r="N42" i="18"/>
  <c r="BZ42" i="19"/>
  <c r="AB42" i="18"/>
  <c r="BB41" i="20"/>
  <c r="Y41" i="19"/>
  <c r="AL41" i="19" s="1"/>
  <c r="AA39" i="19"/>
  <c r="AN39" i="19" s="1"/>
  <c r="AD40" i="18"/>
  <c r="AE40" i="18"/>
  <c r="T50" i="18"/>
  <c r="BR50" i="19" s="1"/>
  <c r="BC50" i="19"/>
  <c r="O50" i="19"/>
  <c r="AB50" i="19" s="1"/>
  <c r="B50" i="19" s="1"/>
  <c r="L50" i="22" s="1"/>
  <c r="BO50" i="19" s="1"/>
  <c r="AF51" i="18" s="1"/>
  <c r="BB51" i="19" s="1"/>
  <c r="R51" i="18"/>
  <c r="AH50" i="18"/>
  <c r="BD50" i="19" s="1"/>
  <c r="E50" i="18"/>
  <c r="R50" i="19" s="1"/>
  <c r="E50" i="19" s="1"/>
  <c r="O50" i="22" s="1"/>
  <c r="X49" i="19"/>
  <c r="AK49" i="19" s="1"/>
  <c r="K49" i="19" s="1"/>
  <c r="BK49" i="19"/>
  <c r="BA49" i="20"/>
  <c r="AA50" i="18"/>
  <c r="AZ49" i="20"/>
  <c r="BJ49" i="19"/>
  <c r="W49" i="19"/>
  <c r="AJ49" i="19" s="1"/>
  <c r="J49" i="19" s="1"/>
  <c r="Z50" i="18"/>
  <c r="BP50" i="19"/>
  <c r="AG51" i="18" s="1"/>
  <c r="BQ50" i="19"/>
  <c r="R49" i="19"/>
  <c r="E49" i="19" s="1"/>
  <c r="O49" i="22" s="1"/>
  <c r="BE49" i="19"/>
  <c r="AY49" i="20"/>
  <c r="V49" i="19"/>
  <c r="AI49" i="19" s="1"/>
  <c r="I49" i="19" s="1"/>
  <c r="S49" i="22" s="1"/>
  <c r="BX49" i="19" s="1"/>
  <c r="BI49" i="19"/>
  <c r="Q51" i="18"/>
  <c r="K180" i="20"/>
  <c r="BV180" i="20" s="1"/>
  <c r="BH41" i="19" l="1"/>
  <c r="AM42" i="18" s="1"/>
  <c r="U41" i="19"/>
  <c r="AH41" i="19" s="1"/>
  <c r="H41" i="19" s="1"/>
  <c r="R41" i="22" s="1"/>
  <c r="BW41" i="19" s="1"/>
  <c r="AO42" i="18" s="1"/>
  <c r="AW41" i="20"/>
  <c r="W42" i="18"/>
  <c r="X42" i="18"/>
  <c r="G41" i="18"/>
  <c r="N39" i="19"/>
  <c r="U39" i="22" s="1"/>
  <c r="CA39" i="19" s="1"/>
  <c r="AS40" i="18" s="1"/>
  <c r="O40" i="18" s="1"/>
  <c r="AA40" i="19" s="1"/>
  <c r="AN40" i="19" s="1"/>
  <c r="N40" i="19" s="1"/>
  <c r="U40" i="22" s="1"/>
  <c r="CA40" i="19" s="1"/>
  <c r="X40" i="22"/>
  <c r="BS40" i="19" s="1"/>
  <c r="AJ41" i="18" s="1"/>
  <c r="L41" i="19"/>
  <c r="T41" i="22" s="1"/>
  <c r="BY41" i="19" s="1"/>
  <c r="AQ42" i="18" s="1"/>
  <c r="BL42" i="19" s="1"/>
  <c r="AR43" i="18" s="1"/>
  <c r="V42" i="22"/>
  <c r="P40" i="18"/>
  <c r="BC42" i="20"/>
  <c r="BM42" i="19"/>
  <c r="Z42" i="19"/>
  <c r="M42" i="19" s="1"/>
  <c r="BE50" i="19"/>
  <c r="D50" i="18"/>
  <c r="Q50" i="19" s="1"/>
  <c r="AD50" i="19" s="1"/>
  <c r="D50" i="19" s="1"/>
  <c r="N50" i="22" s="1"/>
  <c r="AH51" i="18"/>
  <c r="BD51" i="19" s="1"/>
  <c r="AI51" i="18"/>
  <c r="V50" i="19"/>
  <c r="AI50" i="19" s="1"/>
  <c r="I50" i="19" s="1"/>
  <c r="S50" i="22" s="1"/>
  <c r="BX50" i="19" s="1"/>
  <c r="BI50" i="19"/>
  <c r="AY50" i="20"/>
  <c r="Y51" i="18"/>
  <c r="AP50" i="18"/>
  <c r="L50" i="18" s="1"/>
  <c r="B51" i="18"/>
  <c r="O51" i="19" s="1"/>
  <c r="AB51" i="19" s="1"/>
  <c r="B51" i="19" s="1"/>
  <c r="L51" i="22" s="1"/>
  <c r="BO51" i="19" s="1"/>
  <c r="AF52" i="18" s="1"/>
  <c r="BB52" i="19" s="1"/>
  <c r="C51" i="18"/>
  <c r="BC51" i="19" s="1"/>
  <c r="AL180" i="20"/>
  <c r="BU42" i="19" l="1"/>
  <c r="BG41" i="19"/>
  <c r="AL42" i="18" s="1"/>
  <c r="H42" i="18" s="1"/>
  <c r="AV41" i="20"/>
  <c r="T41" i="19"/>
  <c r="AG41" i="19" s="1"/>
  <c r="G41" i="19" s="1"/>
  <c r="BV41" i="19" s="1"/>
  <c r="AN42" i="18" s="1"/>
  <c r="J42" i="18" s="1"/>
  <c r="F41" i="18"/>
  <c r="I42" i="18"/>
  <c r="AX42" i="20" s="1"/>
  <c r="S51" i="18"/>
  <c r="BP51" i="19" s="1"/>
  <c r="AG52" i="18" s="1"/>
  <c r="AE41" i="18"/>
  <c r="T51" i="18"/>
  <c r="E51" i="18" s="1"/>
  <c r="M42" i="18"/>
  <c r="X41" i="22"/>
  <c r="BS41" i="19" s="1"/>
  <c r="AJ42" i="18" s="1"/>
  <c r="AD41" i="18"/>
  <c r="BN40" i="19"/>
  <c r="AT41" i="18" s="1"/>
  <c r="AS41" i="18"/>
  <c r="AA51" i="18"/>
  <c r="Q52" i="18"/>
  <c r="B52" i="18" s="1"/>
  <c r="O52" i="19" s="1"/>
  <c r="AB52" i="19" s="1"/>
  <c r="B52" i="19" s="1"/>
  <c r="L52" i="22" s="1"/>
  <c r="BK50" i="19"/>
  <c r="BA50" i="20"/>
  <c r="X50" i="19"/>
  <c r="AK50" i="19" s="1"/>
  <c r="K50" i="19" s="1"/>
  <c r="P51" i="19"/>
  <c r="C51" i="19" s="1"/>
  <c r="M51" i="22" s="1"/>
  <c r="R52" i="18"/>
  <c r="BJ50" i="19"/>
  <c r="AP51" i="18" s="1"/>
  <c r="L51" i="18" s="1"/>
  <c r="W50" i="19"/>
  <c r="AJ50" i="19" s="1"/>
  <c r="J50" i="19" s="1"/>
  <c r="AZ50" i="20"/>
  <c r="AC180" i="20"/>
  <c r="S41" i="19" l="1"/>
  <c r="AF41" i="19" s="1"/>
  <c r="F41" i="19" s="1"/>
  <c r="BF41" i="19"/>
  <c r="AK42" i="18" s="1"/>
  <c r="AU41" i="20"/>
  <c r="V42" i="18"/>
  <c r="U42" i="18"/>
  <c r="X43" i="18"/>
  <c r="U42" i="19"/>
  <c r="AH42" i="19" s="1"/>
  <c r="H42" i="19" s="1"/>
  <c r="R42" i="22" s="1"/>
  <c r="BW42" i="19" s="1"/>
  <c r="AO43" i="18" s="1"/>
  <c r="K43" i="18" s="1"/>
  <c r="AW42" i="20"/>
  <c r="BH42" i="19"/>
  <c r="AM43" i="18" s="1"/>
  <c r="D51" i="18"/>
  <c r="Q51" i="19" s="1"/>
  <c r="AD51" i="19" s="1"/>
  <c r="D51" i="19" s="1"/>
  <c r="N51" i="22" s="1"/>
  <c r="P41" i="18"/>
  <c r="BR51" i="19"/>
  <c r="AI52" i="18" s="1"/>
  <c r="O41" i="18"/>
  <c r="AA41" i="19" s="1"/>
  <c r="AN41" i="19" s="1"/>
  <c r="N41" i="19" s="1"/>
  <c r="U41" i="22" s="1"/>
  <c r="CA41" i="19" s="1"/>
  <c r="AS42" i="18" s="1"/>
  <c r="BN42" i="19" s="1"/>
  <c r="BN41" i="19"/>
  <c r="AT42" i="18" s="1"/>
  <c r="Y42" i="19"/>
  <c r="AL42" i="19" s="1"/>
  <c r="BB42" i="20"/>
  <c r="AC43" i="18"/>
  <c r="AB43" i="18"/>
  <c r="BQ51" i="19"/>
  <c r="AH52" i="18" s="1"/>
  <c r="BD52" i="19" s="1"/>
  <c r="X51" i="19"/>
  <c r="AK51" i="19" s="1"/>
  <c r="K51" i="19" s="1"/>
  <c r="BK51" i="19"/>
  <c r="BA51" i="20"/>
  <c r="Q53" i="18"/>
  <c r="C52" i="18"/>
  <c r="P52" i="19" s="1"/>
  <c r="C52" i="19" s="1"/>
  <c r="M52" i="22" s="1"/>
  <c r="BO52" i="19"/>
  <c r="AF53" i="18" s="1"/>
  <c r="BB53" i="19" s="1"/>
  <c r="R51" i="19"/>
  <c r="E51" i="19" s="1"/>
  <c r="O51" i="22" s="1"/>
  <c r="BE51" i="19"/>
  <c r="S52" i="18"/>
  <c r="K181" i="20"/>
  <c r="BV181" i="20" s="1"/>
  <c r="T52" i="18" l="1"/>
  <c r="I43" i="18"/>
  <c r="AX43" i="20" s="1"/>
  <c r="F42" i="18"/>
  <c r="U43" i="18"/>
  <c r="G42" i="18"/>
  <c r="L42" i="19"/>
  <c r="T42" i="22" s="1"/>
  <c r="BY42" i="19" s="1"/>
  <c r="AQ43" i="18" s="1"/>
  <c r="BL43" i="19" s="1"/>
  <c r="V43" i="22"/>
  <c r="X42" i="22"/>
  <c r="BS42" i="19" s="1"/>
  <c r="AJ43" i="18" s="1"/>
  <c r="N43" i="18"/>
  <c r="BZ43" i="19"/>
  <c r="AD42" i="18"/>
  <c r="O42" i="18" s="1"/>
  <c r="AE42" i="18"/>
  <c r="AT43" i="18" s="1"/>
  <c r="R53" i="18"/>
  <c r="BC52" i="19"/>
  <c r="BI51" i="19"/>
  <c r="AY51" i="20"/>
  <c r="V51" i="19"/>
  <c r="AI51" i="19" s="1"/>
  <c r="I51" i="19" s="1"/>
  <c r="S51" i="22" s="1"/>
  <c r="BX51" i="19" s="1"/>
  <c r="Y52" i="18"/>
  <c r="B53" i="18"/>
  <c r="O53" i="19" s="1"/>
  <c r="AB53" i="19" s="1"/>
  <c r="B53" i="19" s="1"/>
  <c r="L53" i="22" s="1"/>
  <c r="D52" i="18"/>
  <c r="Q52" i="19" s="1"/>
  <c r="AD52" i="19" s="1"/>
  <c r="D52" i="19" s="1"/>
  <c r="N52" i="22" s="1"/>
  <c r="BP52" i="19"/>
  <c r="AG53" i="18" s="1"/>
  <c r="BQ52" i="19"/>
  <c r="W51" i="19"/>
  <c r="AJ51" i="19" s="1"/>
  <c r="J51" i="19" s="1"/>
  <c r="AZ51" i="20"/>
  <c r="BJ51" i="19"/>
  <c r="Z52" i="18"/>
  <c r="E52" i="18"/>
  <c r="BR52" i="19"/>
  <c r="AI53" i="18" s="1"/>
  <c r="AL181" i="20"/>
  <c r="F43" i="18" l="1"/>
  <c r="U44" i="18" s="1"/>
  <c r="S42" i="19"/>
  <c r="AF42" i="19" s="1"/>
  <c r="F42" i="19" s="1"/>
  <c r="BF42" i="19"/>
  <c r="AU42" i="20"/>
  <c r="AK43" i="18"/>
  <c r="T42" i="19"/>
  <c r="AG42" i="19" s="1"/>
  <c r="G42" i="19" s="1"/>
  <c r="BV42" i="19" s="1"/>
  <c r="AN43" i="18" s="1"/>
  <c r="AV42" i="20"/>
  <c r="BG42" i="19"/>
  <c r="AL43" i="18" s="1"/>
  <c r="W43" i="18"/>
  <c r="V43" i="18"/>
  <c r="BO53" i="19"/>
  <c r="AF54" i="18" s="1"/>
  <c r="BB54" i="19" s="1"/>
  <c r="M43" i="18"/>
  <c r="P42" i="18"/>
  <c r="AE43" i="18" s="1"/>
  <c r="AR44" i="18"/>
  <c r="AD43" i="18"/>
  <c r="AA42" i="19"/>
  <c r="AN42" i="19" s="1"/>
  <c r="N42" i="19" s="1"/>
  <c r="U42" i="22" s="1"/>
  <c r="CA42" i="19" s="1"/>
  <c r="AS43" i="18" s="1"/>
  <c r="BC43" i="20"/>
  <c r="Z43" i="19"/>
  <c r="M43" i="19" s="1"/>
  <c r="BM43" i="19"/>
  <c r="T53" i="18"/>
  <c r="E53" i="18" s="1"/>
  <c r="R53" i="19" s="1"/>
  <c r="E53" i="19" s="1"/>
  <c r="O53" i="22" s="1"/>
  <c r="AH53" i="18"/>
  <c r="BD53" i="19" s="1"/>
  <c r="AP52" i="18"/>
  <c r="L52" i="18" s="1"/>
  <c r="BA52" i="20" s="1"/>
  <c r="Q54" i="18"/>
  <c r="B54" i="18" s="1"/>
  <c r="O54" i="19" s="1"/>
  <c r="AB54" i="19" s="1"/>
  <c r="B54" i="19" s="1"/>
  <c r="L54" i="22" s="1"/>
  <c r="C53" i="18"/>
  <c r="BC53" i="19" s="1"/>
  <c r="R52" i="19"/>
  <c r="E52" i="19" s="1"/>
  <c r="O52" i="22" s="1"/>
  <c r="BE52" i="19"/>
  <c r="S53" i="18"/>
  <c r="AC181" i="20"/>
  <c r="G43" i="18" l="1"/>
  <c r="V44" i="18" s="1"/>
  <c r="H43" i="18"/>
  <c r="AU43" i="20"/>
  <c r="BF43" i="19"/>
  <c r="AK44" i="18" s="1"/>
  <c r="S43" i="19"/>
  <c r="AF43" i="19" s="1"/>
  <c r="F43" i="19" s="1"/>
  <c r="BU43" i="19" s="1"/>
  <c r="P43" i="18"/>
  <c r="BN43" i="19"/>
  <c r="AT44" i="18" s="1"/>
  <c r="O43" i="18"/>
  <c r="AA43" i="19" s="1"/>
  <c r="AN43" i="19" s="1"/>
  <c r="N43" i="19" s="1"/>
  <c r="U43" i="22" s="1"/>
  <c r="CA43" i="19" s="1"/>
  <c r="AS44" i="18" s="1"/>
  <c r="X43" i="22"/>
  <c r="BS43" i="19" s="1"/>
  <c r="AJ44" i="18" s="1"/>
  <c r="AB44" i="18"/>
  <c r="Y43" i="19"/>
  <c r="AL43" i="19" s="1"/>
  <c r="BB43" i="20"/>
  <c r="AC44" i="18"/>
  <c r="BR53" i="19"/>
  <c r="AI54" i="18" s="1"/>
  <c r="X52" i="19"/>
  <c r="AK52" i="19" s="1"/>
  <c r="K52" i="19" s="1"/>
  <c r="BK52" i="19"/>
  <c r="Z53" i="18"/>
  <c r="AZ52" i="20"/>
  <c r="W52" i="19"/>
  <c r="AJ52" i="19" s="1"/>
  <c r="J52" i="19" s="1"/>
  <c r="BJ52" i="19"/>
  <c r="AA53" i="18"/>
  <c r="Q55" i="18"/>
  <c r="P53" i="19"/>
  <c r="C53" i="19" s="1"/>
  <c r="M53" i="22" s="1"/>
  <c r="R54" i="18"/>
  <c r="BE53" i="19"/>
  <c r="BP53" i="19"/>
  <c r="AG54" i="18" s="1"/>
  <c r="D53" i="18"/>
  <c r="S54" i="18" s="1"/>
  <c r="V52" i="19"/>
  <c r="AI52" i="19" s="1"/>
  <c r="I52" i="19" s="1"/>
  <c r="S52" i="22" s="1"/>
  <c r="BX52" i="19" s="1"/>
  <c r="BI52" i="19"/>
  <c r="AY52" i="20"/>
  <c r="K182" i="20"/>
  <c r="BV182" i="20" s="1"/>
  <c r="W44" i="18" l="1"/>
  <c r="G44" i="18"/>
  <c r="T43" i="19"/>
  <c r="AG43" i="19" s="1"/>
  <c r="G43" i="19" s="1"/>
  <c r="BV43" i="19" s="1"/>
  <c r="AN44" i="18" s="1"/>
  <c r="J44" i="18" s="1"/>
  <c r="Y45" i="18" s="1"/>
  <c r="AV43" i="20"/>
  <c r="BG43" i="19"/>
  <c r="AL44" i="18" s="1"/>
  <c r="BH43" i="19"/>
  <c r="AM44" i="18" s="1"/>
  <c r="U43" i="19"/>
  <c r="AH43" i="19" s="1"/>
  <c r="H43" i="19" s="1"/>
  <c r="R43" i="22" s="1"/>
  <c r="BW43" i="19" s="1"/>
  <c r="AO44" i="18" s="1"/>
  <c r="AW43" i="20"/>
  <c r="X44" i="18"/>
  <c r="F44" i="18"/>
  <c r="V45" i="18" s="1"/>
  <c r="X44" i="22"/>
  <c r="AD44" i="18"/>
  <c r="O44" i="18" s="1"/>
  <c r="AA44" i="19" s="1"/>
  <c r="AN44" i="19" s="1"/>
  <c r="N44" i="19" s="1"/>
  <c r="U44" i="22" s="1"/>
  <c r="CA44" i="19" s="1"/>
  <c r="BN44" i="19"/>
  <c r="L43" i="19"/>
  <c r="T43" i="22" s="1"/>
  <c r="BY43" i="19" s="1"/>
  <c r="AQ44" i="18" s="1"/>
  <c r="BL44" i="19" s="1"/>
  <c r="V44" i="22"/>
  <c r="AE44" i="18"/>
  <c r="BZ44" i="19"/>
  <c r="N44" i="18"/>
  <c r="BQ53" i="19"/>
  <c r="AH54" i="18" s="1"/>
  <c r="BD54" i="19" s="1"/>
  <c r="C54" i="18"/>
  <c r="P54" i="19" s="1"/>
  <c r="C54" i="19" s="1"/>
  <c r="M54" i="22" s="1"/>
  <c r="AP53" i="18"/>
  <c r="L53" i="18" s="1"/>
  <c r="BP54" i="19"/>
  <c r="AG55" i="18" s="1"/>
  <c r="BO54" i="19"/>
  <c r="AF55" i="18" s="1"/>
  <c r="BB55" i="19" s="1"/>
  <c r="Q53" i="19"/>
  <c r="AD53" i="19" s="1"/>
  <c r="D53" i="19" s="1"/>
  <c r="N53" i="22" s="1"/>
  <c r="T54" i="18"/>
  <c r="AL182" i="20"/>
  <c r="H44" i="18" l="1"/>
  <c r="U45" i="18"/>
  <c r="BF44" i="19"/>
  <c r="AK45" i="18" s="1"/>
  <c r="S44" i="19"/>
  <c r="AF44" i="19" s="1"/>
  <c r="F44" i="19" s="1"/>
  <c r="BU44" i="19" s="1"/>
  <c r="AU44" i="20"/>
  <c r="BG44" i="19"/>
  <c r="AV44" i="20"/>
  <c r="T44" i="19"/>
  <c r="AG44" i="19" s="1"/>
  <c r="G44" i="19" s="1"/>
  <c r="BV44" i="19" s="1"/>
  <c r="AN45" i="18" s="1"/>
  <c r="J45" i="18" s="1"/>
  <c r="BS44" i="19"/>
  <c r="AJ45" i="18" s="1"/>
  <c r="I44" i="18"/>
  <c r="AX44" i="20" s="1"/>
  <c r="AR45" i="18"/>
  <c r="X45" i="22"/>
  <c r="AD45" i="18"/>
  <c r="BM44" i="19"/>
  <c r="AS45" i="18" s="1"/>
  <c r="BC44" i="20"/>
  <c r="Z44" i="19"/>
  <c r="M44" i="19" s="1"/>
  <c r="M44" i="18"/>
  <c r="P44" i="18"/>
  <c r="AE45" i="18" s="1"/>
  <c r="AT45" i="18"/>
  <c r="D54" i="18"/>
  <c r="Q54" i="19" s="1"/>
  <c r="AD54" i="19" s="1"/>
  <c r="D54" i="19" s="1"/>
  <c r="N54" i="22" s="1"/>
  <c r="R55" i="18"/>
  <c r="C55" i="18" s="1"/>
  <c r="P55" i="19" s="1"/>
  <c r="C55" i="19" s="1"/>
  <c r="M55" i="22" s="1"/>
  <c r="BC54" i="19"/>
  <c r="B55" i="18"/>
  <c r="O55" i="19" s="1"/>
  <c r="AB55" i="19" s="1"/>
  <c r="B55" i="19" s="1"/>
  <c r="L55" i="22" s="1"/>
  <c r="AZ53" i="20"/>
  <c r="W53" i="19"/>
  <c r="AJ53" i="19" s="1"/>
  <c r="J53" i="19" s="1"/>
  <c r="BJ53" i="19"/>
  <c r="Z54" i="18"/>
  <c r="BR54" i="19"/>
  <c r="AI55" i="18" s="1"/>
  <c r="E54" i="18"/>
  <c r="AA54" i="18"/>
  <c r="BA53" i="20"/>
  <c r="X53" i="19"/>
  <c r="AK53" i="19" s="1"/>
  <c r="K53" i="19" s="1"/>
  <c r="BK53" i="19"/>
  <c r="AY53" i="20"/>
  <c r="V53" i="19"/>
  <c r="AI53" i="19" s="1"/>
  <c r="I53" i="19" s="1"/>
  <c r="S53" i="22" s="1"/>
  <c r="BX53" i="19" s="1"/>
  <c r="BI53" i="19"/>
  <c r="Y54" i="18"/>
  <c r="BQ54" i="19"/>
  <c r="AC182" i="20"/>
  <c r="X45" i="18" l="1"/>
  <c r="AL45" i="18"/>
  <c r="BS45" i="19"/>
  <c r="AJ46" i="18"/>
  <c r="F45" i="18"/>
  <c r="U46" i="18" s="1"/>
  <c r="G45" i="18"/>
  <c r="BH44" i="19"/>
  <c r="AM45" i="18" s="1"/>
  <c r="I45" i="18" s="1"/>
  <c r="AX45" i="20" s="1"/>
  <c r="U44" i="19"/>
  <c r="AH44" i="19" s="1"/>
  <c r="H44" i="19" s="1"/>
  <c r="R44" i="22" s="1"/>
  <c r="BW44" i="19" s="1"/>
  <c r="AO45" i="18" s="1"/>
  <c r="AW44" i="20"/>
  <c r="W45" i="18"/>
  <c r="BN45" i="19"/>
  <c r="AT46" i="18" s="1"/>
  <c r="P45" i="18"/>
  <c r="BB44" i="20"/>
  <c r="Y44" i="19"/>
  <c r="AL44" i="19" s="1"/>
  <c r="AB45" i="18"/>
  <c r="O45" i="18"/>
  <c r="AA45" i="19" s="1"/>
  <c r="AN45" i="19" s="1"/>
  <c r="AC45" i="18"/>
  <c r="S55" i="18"/>
  <c r="BP55" i="19" s="1"/>
  <c r="AG56" i="18" s="1"/>
  <c r="T55" i="18"/>
  <c r="BR55" i="19" s="1"/>
  <c r="Q56" i="18"/>
  <c r="AH55" i="18"/>
  <c r="BD55" i="19" s="1"/>
  <c r="BO55" i="19"/>
  <c r="AF56" i="18" s="1"/>
  <c r="BB56" i="19" s="1"/>
  <c r="R56" i="18"/>
  <c r="AP54" i="18"/>
  <c r="L54" i="18" s="1"/>
  <c r="J54" i="18"/>
  <c r="BC55" i="19"/>
  <c r="R54" i="19"/>
  <c r="E54" i="19" s="1"/>
  <c r="O54" i="22" s="1"/>
  <c r="BE54" i="19"/>
  <c r="H45" i="18" l="1"/>
  <c r="W46" i="18" s="1"/>
  <c r="BG45" i="19"/>
  <c r="AV45" i="20"/>
  <c r="T45" i="19"/>
  <c r="AG45" i="19" s="1"/>
  <c r="G45" i="19" s="1"/>
  <c r="BV45" i="19" s="1"/>
  <c r="AN46" i="18" s="1"/>
  <c r="V46" i="18"/>
  <c r="E55" i="18"/>
  <c r="R55" i="19" s="1"/>
  <c r="E55" i="19" s="1"/>
  <c r="O55" i="22" s="1"/>
  <c r="F46" i="18"/>
  <c r="S45" i="19"/>
  <c r="AF45" i="19" s="1"/>
  <c r="F45" i="19" s="1"/>
  <c r="BU45" i="19" s="1"/>
  <c r="BF45" i="19"/>
  <c r="AK46" i="18" s="1"/>
  <c r="AU45" i="20"/>
  <c r="BQ55" i="19"/>
  <c r="AH56" i="18" s="1"/>
  <c r="BD56" i="19" s="1"/>
  <c r="N45" i="19"/>
  <c r="U45" i="22" s="1"/>
  <c r="CA45" i="19" s="1"/>
  <c r="X46" i="22"/>
  <c r="N45" i="18"/>
  <c r="BZ45" i="19"/>
  <c r="L44" i="19"/>
  <c r="T44" i="22" s="1"/>
  <c r="BY44" i="19" s="1"/>
  <c r="AQ45" i="18" s="1"/>
  <c r="BL45" i="19" s="1"/>
  <c r="V45" i="22"/>
  <c r="AE46" i="18"/>
  <c r="AI56" i="18"/>
  <c r="D55" i="18"/>
  <c r="S56" i="18" s="1"/>
  <c r="C56" i="18"/>
  <c r="P56" i="19" s="1"/>
  <c r="C56" i="19" s="1"/>
  <c r="M56" i="22" s="1"/>
  <c r="B56" i="18"/>
  <c r="O56" i="19" s="1"/>
  <c r="AB56" i="19" s="1"/>
  <c r="B56" i="19" s="1"/>
  <c r="L56" i="22" s="1"/>
  <c r="X54" i="19"/>
  <c r="AK54" i="19" s="1"/>
  <c r="K54" i="19" s="1"/>
  <c r="BA54" i="20"/>
  <c r="BK54" i="19"/>
  <c r="AA55" i="18"/>
  <c r="AZ54" i="20"/>
  <c r="BJ54" i="19"/>
  <c r="W54" i="19"/>
  <c r="AJ54" i="19" s="1"/>
  <c r="J54" i="19" s="1"/>
  <c r="Z55" i="18"/>
  <c r="AY54" i="20"/>
  <c r="BI54" i="19"/>
  <c r="V54" i="19"/>
  <c r="AI54" i="19" s="1"/>
  <c r="I54" i="19" s="1"/>
  <c r="S54" i="22" s="1"/>
  <c r="BX54" i="19" s="1"/>
  <c r="Y55" i="18"/>
  <c r="BE55" i="19"/>
  <c r="BO56" i="19"/>
  <c r="AF57" i="18" s="1"/>
  <c r="BB57" i="19" s="1"/>
  <c r="AU46" i="20" l="1"/>
  <c r="S46" i="19"/>
  <c r="AF46" i="19" s="1"/>
  <c r="F46" i="19" s="1"/>
  <c r="BF46" i="19"/>
  <c r="G46" i="18"/>
  <c r="X46" i="18"/>
  <c r="AW45" i="20"/>
  <c r="U45" i="19"/>
  <c r="AH45" i="19" s="1"/>
  <c r="H45" i="19" s="1"/>
  <c r="R45" i="22" s="1"/>
  <c r="BW45" i="19" s="1"/>
  <c r="AO46" i="18" s="1"/>
  <c r="K46" i="18" s="1"/>
  <c r="BH45" i="19"/>
  <c r="AM46" i="18" s="1"/>
  <c r="I46" i="18" s="1"/>
  <c r="AX46" i="20" s="1"/>
  <c r="BU46" i="19"/>
  <c r="AL46" i="18"/>
  <c r="H46" i="18" s="1"/>
  <c r="U47" i="18"/>
  <c r="T56" i="18"/>
  <c r="BR56" i="19" s="1"/>
  <c r="AI57" i="18" s="1"/>
  <c r="Q55" i="19"/>
  <c r="AD55" i="19" s="1"/>
  <c r="D55" i="19" s="1"/>
  <c r="N55" i="22" s="1"/>
  <c r="BM45" i="19"/>
  <c r="AS46" i="18" s="1"/>
  <c r="BC45" i="20"/>
  <c r="Z45" i="19"/>
  <c r="M45" i="19" s="1"/>
  <c r="AD46" i="18"/>
  <c r="P46" i="18"/>
  <c r="AR46" i="18"/>
  <c r="M45" i="18"/>
  <c r="BC56" i="19"/>
  <c r="R57" i="18"/>
  <c r="Q57" i="18"/>
  <c r="B57" i="18" s="1"/>
  <c r="J55" i="18"/>
  <c r="Y56" i="18" s="1"/>
  <c r="BP56" i="19"/>
  <c r="AG57" i="18" s="1"/>
  <c r="D56" i="18"/>
  <c r="Q56" i="19" s="1"/>
  <c r="AD56" i="19" s="1"/>
  <c r="D56" i="19" s="1"/>
  <c r="N56" i="22" s="1"/>
  <c r="BQ56" i="19"/>
  <c r="AP55" i="18"/>
  <c r="L55" i="18" s="1"/>
  <c r="W47" i="18" l="1"/>
  <c r="AH57" i="18"/>
  <c r="BD57" i="19" s="1"/>
  <c r="T46" i="19"/>
  <c r="AG46" i="19" s="1"/>
  <c r="G46" i="19" s="1"/>
  <c r="BV46" i="19" s="1"/>
  <c r="AN47" i="18" s="1"/>
  <c r="J47" i="18" s="1"/>
  <c r="AV46" i="20"/>
  <c r="BG46" i="19"/>
  <c r="AL47" i="18" s="1"/>
  <c r="U46" i="19"/>
  <c r="AH46" i="19" s="1"/>
  <c r="H46" i="19" s="1"/>
  <c r="R46" i="22" s="1"/>
  <c r="BW46" i="19" s="1"/>
  <c r="BH46" i="19"/>
  <c r="AM47" i="18" s="1"/>
  <c r="AW46" i="20"/>
  <c r="AK47" i="18"/>
  <c r="E56" i="18"/>
  <c r="BE56" i="19" s="1"/>
  <c r="V47" i="18"/>
  <c r="BS46" i="19"/>
  <c r="AJ47" i="18" s="1"/>
  <c r="X47" i="18"/>
  <c r="AB46" i="18"/>
  <c r="Y45" i="19"/>
  <c r="AL45" i="19" s="1"/>
  <c r="BB45" i="20"/>
  <c r="AC46" i="18"/>
  <c r="O46" i="18"/>
  <c r="AA46" i="19" s="1"/>
  <c r="AN46" i="19" s="1"/>
  <c r="BN46" i="19"/>
  <c r="AT47" i="18" s="1"/>
  <c r="AA56" i="18"/>
  <c r="S57" i="18"/>
  <c r="D57" i="18" s="1"/>
  <c r="Q57" i="19" s="1"/>
  <c r="AD57" i="19" s="1"/>
  <c r="D57" i="19" s="1"/>
  <c r="N57" i="22" s="1"/>
  <c r="T57" i="18"/>
  <c r="E57" i="18" s="1"/>
  <c r="BJ55" i="19"/>
  <c r="W55" i="19"/>
  <c r="AJ55" i="19" s="1"/>
  <c r="J55" i="19" s="1"/>
  <c r="AZ55" i="20"/>
  <c r="Z56" i="18"/>
  <c r="O57" i="19"/>
  <c r="AB57" i="19" s="1"/>
  <c r="B57" i="19" s="1"/>
  <c r="L57" i="22" s="1"/>
  <c r="BO57" i="19" s="1"/>
  <c r="AF58" i="18" s="1"/>
  <c r="BB58" i="19" s="1"/>
  <c r="Q58" i="18"/>
  <c r="BK55" i="19"/>
  <c r="X55" i="19"/>
  <c r="AK55" i="19" s="1"/>
  <c r="K55" i="19" s="1"/>
  <c r="BA55" i="20"/>
  <c r="C57" i="18"/>
  <c r="AY55" i="20"/>
  <c r="V55" i="19"/>
  <c r="AI55" i="19" s="1"/>
  <c r="I55" i="19" s="1"/>
  <c r="S55" i="22" s="1"/>
  <c r="BX55" i="19" s="1"/>
  <c r="BI55" i="19"/>
  <c r="I47" i="18" l="1"/>
  <c r="AX47" i="20" s="1"/>
  <c r="R56" i="19"/>
  <c r="E56" i="19" s="1"/>
  <c r="O56" i="22" s="1"/>
  <c r="F47" i="18"/>
  <c r="G47" i="18"/>
  <c r="H47" i="18"/>
  <c r="N46" i="19"/>
  <c r="U46" i="22" s="1"/>
  <c r="CA46" i="19" s="1"/>
  <c r="X47" i="22"/>
  <c r="BS47" i="19" s="1"/>
  <c r="AJ48" i="18" s="1"/>
  <c r="L45" i="19"/>
  <c r="T45" i="22" s="1"/>
  <c r="BY45" i="19" s="1"/>
  <c r="AQ46" i="18" s="1"/>
  <c r="BL46" i="19" s="1"/>
  <c r="AR47" i="18" s="1"/>
  <c r="V46" i="22"/>
  <c r="BZ46" i="19"/>
  <c r="N46" i="18"/>
  <c r="AD47" i="18" s="1"/>
  <c r="AE47" i="18"/>
  <c r="BP57" i="19"/>
  <c r="AG58" i="18" s="1"/>
  <c r="R57" i="19"/>
  <c r="E57" i="19" s="1"/>
  <c r="O57" i="22" s="1"/>
  <c r="BE57" i="19"/>
  <c r="S58" i="18"/>
  <c r="BP58" i="19" s="1"/>
  <c r="BR57" i="19"/>
  <c r="AI58" i="18" s="1"/>
  <c r="AP56" i="18"/>
  <c r="L56" i="18" s="1"/>
  <c r="X56" i="19" s="1"/>
  <c r="AK56" i="19" s="1"/>
  <c r="K56" i="19" s="1"/>
  <c r="V56" i="19"/>
  <c r="AI56" i="19" s="1"/>
  <c r="I56" i="19" s="1"/>
  <c r="S56" i="22" s="1"/>
  <c r="BX56" i="19" s="1"/>
  <c r="BI56" i="19"/>
  <c r="AY56" i="20"/>
  <c r="Y57" i="18"/>
  <c r="T58" i="18"/>
  <c r="P57" i="19"/>
  <c r="C57" i="19" s="1"/>
  <c r="R58" i="18"/>
  <c r="B58" i="18"/>
  <c r="O58" i="19" s="1"/>
  <c r="AB58" i="19" s="1"/>
  <c r="B58" i="19" s="1"/>
  <c r="L58" i="22" s="1"/>
  <c r="BC57" i="19"/>
  <c r="AW47" i="20" l="1"/>
  <c r="BH47" i="19"/>
  <c r="AM48" i="18" s="1"/>
  <c r="U47" i="19"/>
  <c r="AH47" i="19" s="1"/>
  <c r="H47" i="19" s="1"/>
  <c r="R47" i="22" s="1"/>
  <c r="BW47" i="19" s="1"/>
  <c r="AO48" i="18" s="1"/>
  <c r="K48" i="18" s="1"/>
  <c r="W48" i="18"/>
  <c r="X48" i="18"/>
  <c r="AU47" i="20"/>
  <c r="S47" i="19"/>
  <c r="AF47" i="19" s="1"/>
  <c r="F47" i="19" s="1"/>
  <c r="BU47" i="19" s="1"/>
  <c r="BF47" i="19"/>
  <c r="AK48" i="18" s="1"/>
  <c r="U48" i="18"/>
  <c r="AV47" i="20"/>
  <c r="BG47" i="19"/>
  <c r="AL48" i="18" s="1"/>
  <c r="T47" i="19"/>
  <c r="AG47" i="19" s="1"/>
  <c r="G47" i="19" s="1"/>
  <c r="BV47" i="19" s="1"/>
  <c r="AN48" i="18" s="1"/>
  <c r="J48" i="18" s="1"/>
  <c r="V48" i="18"/>
  <c r="P47" i="18"/>
  <c r="BC46" i="20"/>
  <c r="BM46" i="19"/>
  <c r="AS47" i="18" s="1"/>
  <c r="BN47" i="19" s="1"/>
  <c r="AT48" i="18" s="1"/>
  <c r="Z46" i="19"/>
  <c r="M46" i="19" s="1"/>
  <c r="M46" i="18"/>
  <c r="C58" i="18"/>
  <c r="BC58" i="19" s="1"/>
  <c r="BA56" i="20"/>
  <c r="BK56" i="19"/>
  <c r="W56" i="19"/>
  <c r="AJ56" i="19" s="1"/>
  <c r="J56" i="19" s="1"/>
  <c r="AZ56" i="20"/>
  <c r="BJ56" i="19"/>
  <c r="AP57" i="18" s="1"/>
  <c r="Z57" i="18"/>
  <c r="AA57" i="18"/>
  <c r="BR58" i="19"/>
  <c r="E58" i="18"/>
  <c r="J57" i="18"/>
  <c r="Y58" i="18" s="1"/>
  <c r="BQ58" i="19"/>
  <c r="Q59" i="18"/>
  <c r="BO58" i="19"/>
  <c r="AF59" i="18" s="1"/>
  <c r="BB59" i="19" s="1"/>
  <c r="AG59" i="18"/>
  <c r="M57" i="22"/>
  <c r="BQ57" i="19"/>
  <c r="AH58" i="18" s="1"/>
  <c r="H48" i="18" l="1"/>
  <c r="AW48" i="20"/>
  <c r="U48" i="19"/>
  <c r="AH48" i="19" s="1"/>
  <c r="H48" i="19" s="1"/>
  <c r="R48" i="22" s="1"/>
  <c r="BW48" i="19" s="1"/>
  <c r="AO49" i="18" s="1"/>
  <c r="K49" i="18" s="1"/>
  <c r="BH48" i="19"/>
  <c r="AM49" i="18" s="1"/>
  <c r="R59" i="18"/>
  <c r="C59" i="18" s="1"/>
  <c r="P59" i="19" s="1"/>
  <c r="C59" i="19" s="1"/>
  <c r="M59" i="22" s="1"/>
  <c r="G48" i="18"/>
  <c r="F48" i="18"/>
  <c r="V49" i="18" s="1"/>
  <c r="I48" i="18"/>
  <c r="AX48" i="20" s="1"/>
  <c r="W49" i="18"/>
  <c r="P58" i="19"/>
  <c r="C58" i="19" s="1"/>
  <c r="M58" i="22" s="1"/>
  <c r="Y46" i="19"/>
  <c r="AL46" i="19" s="1"/>
  <c r="BB46" i="20"/>
  <c r="AB47" i="18"/>
  <c r="AC47" i="18"/>
  <c r="O47" i="18"/>
  <c r="K57" i="18"/>
  <c r="W57" i="19" s="1"/>
  <c r="AJ57" i="19" s="1"/>
  <c r="J57" i="19" s="1"/>
  <c r="B59" i="18"/>
  <c r="O59" i="19" s="1"/>
  <c r="AB59" i="19" s="1"/>
  <c r="B59" i="19" s="1"/>
  <c r="L59" i="22" s="1"/>
  <c r="BD58" i="19"/>
  <c r="AI59" i="18" s="1"/>
  <c r="D58" i="18"/>
  <c r="AH59" i="18"/>
  <c r="BD59" i="19" s="1"/>
  <c r="R58" i="19"/>
  <c r="E58" i="19" s="1"/>
  <c r="O58" i="22" s="1"/>
  <c r="BE58" i="19"/>
  <c r="L57" i="18"/>
  <c r="BO59" i="19"/>
  <c r="AF60" i="18" s="1"/>
  <c r="BB60" i="19" s="1"/>
  <c r="AZ57" i="20"/>
  <c r="AY57" i="20"/>
  <c r="V57" i="19"/>
  <c r="AI57" i="19" s="1"/>
  <c r="I57" i="19" s="1"/>
  <c r="S57" i="22" s="1"/>
  <c r="BX57" i="19" s="1"/>
  <c r="BI57" i="19"/>
  <c r="X49" i="18" l="1"/>
  <c r="I49" i="18" s="1"/>
  <c r="AX49" i="20" s="1"/>
  <c r="S48" i="19"/>
  <c r="AF48" i="19" s="1"/>
  <c r="F48" i="19" s="1"/>
  <c r="BU48" i="19" s="1"/>
  <c r="BF48" i="19"/>
  <c r="AK49" i="18" s="1"/>
  <c r="G49" i="18" s="1"/>
  <c r="AU48" i="20"/>
  <c r="U49" i="18"/>
  <c r="AV48" i="20"/>
  <c r="BG48" i="19"/>
  <c r="T48" i="19"/>
  <c r="AG48" i="19" s="1"/>
  <c r="G48" i="19" s="1"/>
  <c r="BV48" i="19" s="1"/>
  <c r="AN49" i="18" s="1"/>
  <c r="J49" i="18" s="1"/>
  <c r="Y50" i="18" s="1"/>
  <c r="AA58" i="18"/>
  <c r="AA47" i="19"/>
  <c r="AN47" i="19" s="1"/>
  <c r="AE48" i="18"/>
  <c r="L46" i="19"/>
  <c r="T46" i="22" s="1"/>
  <c r="BY46" i="19" s="1"/>
  <c r="AQ47" i="18" s="1"/>
  <c r="BL47" i="19" s="1"/>
  <c r="V47" i="22"/>
  <c r="Z58" i="18"/>
  <c r="BJ57" i="19"/>
  <c r="AP58" i="18" s="1"/>
  <c r="L58" i="18" s="1"/>
  <c r="N47" i="18"/>
  <c r="AD48" i="18" s="1"/>
  <c r="BZ47" i="19"/>
  <c r="R60" i="18"/>
  <c r="BC59" i="19"/>
  <c r="AY58" i="20"/>
  <c r="BI58" i="19"/>
  <c r="V58" i="19"/>
  <c r="AI58" i="19" s="1"/>
  <c r="I58" i="19" s="1"/>
  <c r="S58" i="22" s="1"/>
  <c r="BX58" i="19" s="1"/>
  <c r="Y59" i="18"/>
  <c r="BK57" i="19"/>
  <c r="BA57" i="20"/>
  <c r="X57" i="19"/>
  <c r="AK57" i="19" s="1"/>
  <c r="K57" i="19" s="1"/>
  <c r="Q60" i="18"/>
  <c r="Q58" i="19"/>
  <c r="AD58" i="19" s="1"/>
  <c r="D58" i="19" s="1"/>
  <c r="N58" i="22" s="1"/>
  <c r="S59" i="18"/>
  <c r="T59" i="18"/>
  <c r="AL49" i="18" l="1"/>
  <c r="H49" i="18" s="1"/>
  <c r="AW49" i="20" s="1"/>
  <c r="U49" i="19"/>
  <c r="AH49" i="19" s="1"/>
  <c r="H49" i="19" s="1"/>
  <c r="R49" i="22" s="1"/>
  <c r="BW49" i="19" s="1"/>
  <c r="AO50" i="18" s="1"/>
  <c r="K50" i="18" s="1"/>
  <c r="Z51" i="18" s="1"/>
  <c r="W50" i="18"/>
  <c r="AV49" i="20"/>
  <c r="BG49" i="19"/>
  <c r="T49" i="19"/>
  <c r="AG49" i="19" s="1"/>
  <c r="G49" i="19" s="1"/>
  <c r="BV49" i="19" s="1"/>
  <c r="AN50" i="18" s="1"/>
  <c r="J50" i="18" s="1"/>
  <c r="X50" i="18"/>
  <c r="P48" i="18"/>
  <c r="AR48" i="18"/>
  <c r="M47" i="18"/>
  <c r="BC47" i="20"/>
  <c r="BM47" i="19"/>
  <c r="Z47" i="19"/>
  <c r="M47" i="19" s="1"/>
  <c r="N47" i="19"/>
  <c r="U47" i="22" s="1"/>
  <c r="CA47" i="19" s="1"/>
  <c r="X48" i="22"/>
  <c r="BS48" i="19" s="1"/>
  <c r="AJ49" i="18" s="1"/>
  <c r="AZ58" i="20"/>
  <c r="BJ58" i="19"/>
  <c r="AP59" i="18" s="1"/>
  <c r="W58" i="19"/>
  <c r="AJ58" i="19" s="1"/>
  <c r="J58" i="19" s="1"/>
  <c r="Z59" i="18"/>
  <c r="AA59" i="18"/>
  <c r="BR59" i="19"/>
  <c r="AI60" i="18" s="1"/>
  <c r="E59" i="18"/>
  <c r="J59" i="18"/>
  <c r="D59" i="18"/>
  <c r="Q59" i="19" s="1"/>
  <c r="AD59" i="19" s="1"/>
  <c r="D59" i="19" s="1"/>
  <c r="N59" i="22" s="1"/>
  <c r="BP59" i="19"/>
  <c r="AG60" i="18" s="1"/>
  <c r="BQ59" i="19"/>
  <c r="AH60" i="18" s="1"/>
  <c r="BD60" i="19" s="1"/>
  <c r="BK58" i="19"/>
  <c r="BA58" i="20"/>
  <c r="X58" i="19"/>
  <c r="AK58" i="19" s="1"/>
  <c r="K58" i="19" s="1"/>
  <c r="B60" i="18"/>
  <c r="O60" i="19" s="1"/>
  <c r="AB60" i="19" s="1"/>
  <c r="B60" i="19" s="1"/>
  <c r="L60" i="22" s="1"/>
  <c r="BO60" i="19" s="1"/>
  <c r="AF61" i="18" s="1"/>
  <c r="BB61" i="19" s="1"/>
  <c r="BH49" i="19" l="1"/>
  <c r="AM50" i="18" s="1"/>
  <c r="I50" i="18" s="1"/>
  <c r="AX50" i="20" s="1"/>
  <c r="F49" i="18"/>
  <c r="AS48" i="18"/>
  <c r="O48" i="18" s="1"/>
  <c r="AB48" i="18"/>
  <c r="BB47" i="20"/>
  <c r="Y47" i="19"/>
  <c r="AL47" i="19" s="1"/>
  <c r="AC48" i="18"/>
  <c r="L59" i="18"/>
  <c r="X59" i="19" s="1"/>
  <c r="AK59" i="19" s="1"/>
  <c r="K59" i="19" s="1"/>
  <c r="S60" i="18"/>
  <c r="BP60" i="19" s="1"/>
  <c r="AG61" i="18" s="1"/>
  <c r="T60" i="18"/>
  <c r="E60" i="18" s="1"/>
  <c r="K59" i="18"/>
  <c r="Z60" i="18" s="1"/>
  <c r="Q61" i="18"/>
  <c r="C60" i="18"/>
  <c r="BC60" i="19" s="1"/>
  <c r="R59" i="19"/>
  <c r="E59" i="19" s="1"/>
  <c r="O59" i="22" s="1"/>
  <c r="BE59" i="19"/>
  <c r="AY59" i="20"/>
  <c r="BI59" i="19"/>
  <c r="V59" i="19"/>
  <c r="AI59" i="19" s="1"/>
  <c r="I59" i="19" s="1"/>
  <c r="S59" i="22" s="1"/>
  <c r="BX59" i="19" s="1"/>
  <c r="Y60" i="18"/>
  <c r="BN48" i="19" l="1"/>
  <c r="AT49" i="18" s="1"/>
  <c r="S49" i="19"/>
  <c r="AF49" i="19" s="1"/>
  <c r="F49" i="19" s="1"/>
  <c r="BU49" i="19" s="1"/>
  <c r="AL50" i="18" s="1"/>
  <c r="AU49" i="20"/>
  <c r="BF49" i="19"/>
  <c r="AK50" i="18" s="1"/>
  <c r="U50" i="18"/>
  <c r="V50" i="18"/>
  <c r="L47" i="19"/>
  <c r="T47" i="22" s="1"/>
  <c r="BY47" i="19" s="1"/>
  <c r="AQ48" i="18" s="1"/>
  <c r="BL48" i="19" s="1"/>
  <c r="V48" i="22"/>
  <c r="AA48" i="19"/>
  <c r="AN48" i="19" s="1"/>
  <c r="BA59" i="20"/>
  <c r="N48" i="18"/>
  <c r="BZ48" i="19"/>
  <c r="AE49" i="18"/>
  <c r="D60" i="18"/>
  <c r="Q60" i="19" s="1"/>
  <c r="AD60" i="19" s="1"/>
  <c r="D60" i="19" s="1"/>
  <c r="N60" i="22" s="1"/>
  <c r="BK59" i="19"/>
  <c r="AO60" i="18"/>
  <c r="K60" i="18" s="1"/>
  <c r="BR60" i="19"/>
  <c r="AI61" i="18" s="1"/>
  <c r="R60" i="19"/>
  <c r="E60" i="19" s="1"/>
  <c r="O60" i="22" s="1"/>
  <c r="BE60" i="19"/>
  <c r="AA60" i="18"/>
  <c r="B61" i="18"/>
  <c r="O61" i="19" s="1"/>
  <c r="AB61" i="19" s="1"/>
  <c r="B61" i="19" s="1"/>
  <c r="L61" i="22" s="1"/>
  <c r="P60" i="19"/>
  <c r="C60" i="19" s="1"/>
  <c r="R61" i="18"/>
  <c r="C61" i="18" s="1"/>
  <c r="P61" i="19" s="1"/>
  <c r="C61" i="19" s="1"/>
  <c r="M61" i="22" s="1"/>
  <c r="J60" i="18"/>
  <c r="Y61" i="18" s="1"/>
  <c r="W59" i="19"/>
  <c r="AJ59" i="19" s="1"/>
  <c r="J59" i="19" s="1"/>
  <c r="AZ59" i="20"/>
  <c r="BJ59" i="19"/>
  <c r="AP60" i="18" s="1"/>
  <c r="H50" i="18" l="1"/>
  <c r="G50" i="18"/>
  <c r="S61" i="18"/>
  <c r="BP61" i="19" s="1"/>
  <c r="AG62" i="18" s="1"/>
  <c r="M48" i="18"/>
  <c r="AB49" i="18" s="1"/>
  <c r="N48" i="19"/>
  <c r="U48" i="22" s="1"/>
  <c r="CA48" i="19" s="1"/>
  <c r="X49" i="22"/>
  <c r="BS49" i="19" s="1"/>
  <c r="AJ50" i="18" s="1"/>
  <c r="Z48" i="19"/>
  <c r="M48" i="19" s="1"/>
  <c r="BM48" i="19"/>
  <c r="AS49" i="18" s="1"/>
  <c r="BN49" i="19" s="1"/>
  <c r="AT50" i="18" s="1"/>
  <c r="BC48" i="20"/>
  <c r="AD49" i="18"/>
  <c r="P49" i="18"/>
  <c r="AC49" i="18"/>
  <c r="Y48" i="19"/>
  <c r="AL48" i="19" s="1"/>
  <c r="L48" i="19" s="1"/>
  <c r="T48" i="22" s="1"/>
  <c r="BY48" i="19" s="1"/>
  <c r="AQ49" i="18" s="1"/>
  <c r="BL49" i="19" s="1"/>
  <c r="BB48" i="20"/>
  <c r="AR49" i="18"/>
  <c r="L60" i="18"/>
  <c r="X60" i="19" s="1"/>
  <c r="AK60" i="19" s="1"/>
  <c r="K60" i="19" s="1"/>
  <c r="T61" i="18"/>
  <c r="E61" i="18" s="1"/>
  <c r="Q62" i="18"/>
  <c r="Z61" i="18"/>
  <c r="BK60" i="19"/>
  <c r="BA60" i="20"/>
  <c r="AY60" i="20"/>
  <c r="V60" i="19"/>
  <c r="AI60" i="19" s="1"/>
  <c r="I60" i="19" s="1"/>
  <c r="S60" i="22" s="1"/>
  <c r="BX60" i="19" s="1"/>
  <c r="BI60" i="19"/>
  <c r="AZ60" i="20"/>
  <c r="BJ60" i="19"/>
  <c r="W60" i="19"/>
  <c r="AJ60" i="19" s="1"/>
  <c r="J60" i="19" s="1"/>
  <c r="BO61" i="19"/>
  <c r="AF62" i="18" s="1"/>
  <c r="BB62" i="19" s="1"/>
  <c r="R62" i="18"/>
  <c r="M60" i="22"/>
  <c r="BQ60" i="19"/>
  <c r="AH61" i="18" s="1"/>
  <c r="BD61" i="19" s="1"/>
  <c r="BC61" i="19"/>
  <c r="F50" i="18" l="1"/>
  <c r="BQ61" i="19"/>
  <c r="AH62" i="18" s="1"/>
  <c r="BD62" i="19" s="1"/>
  <c r="X51" i="18"/>
  <c r="BH50" i="19"/>
  <c r="AM51" i="18" s="1"/>
  <c r="I51" i="18" s="1"/>
  <c r="AX51" i="20" s="1"/>
  <c r="AW50" i="20"/>
  <c r="U50" i="19"/>
  <c r="AH50" i="19" s="1"/>
  <c r="H50" i="19" s="1"/>
  <c r="R50" i="22" s="1"/>
  <c r="BW50" i="19" s="1"/>
  <c r="AO51" i="18" s="1"/>
  <c r="K51" i="18" s="1"/>
  <c r="AA52" i="18" s="1"/>
  <c r="W51" i="18"/>
  <c r="T50" i="19"/>
  <c r="AG50" i="19" s="1"/>
  <c r="G50" i="19" s="1"/>
  <c r="BV50" i="19" s="1"/>
  <c r="AN51" i="18" s="1"/>
  <c r="J51" i="18" s="1"/>
  <c r="BG50" i="19"/>
  <c r="AV50" i="20"/>
  <c r="AA61" i="18"/>
  <c r="V49" i="22"/>
  <c r="O49" i="18"/>
  <c r="AA49" i="19" s="1"/>
  <c r="AN49" i="19" s="1"/>
  <c r="N49" i="19" s="1"/>
  <c r="U49" i="22" s="1"/>
  <c r="CA49" i="19" s="1"/>
  <c r="BZ49" i="19"/>
  <c r="AR50" i="18" s="1"/>
  <c r="N49" i="18"/>
  <c r="M49" i="18"/>
  <c r="BR61" i="19"/>
  <c r="AI62" i="18" s="1"/>
  <c r="AO61" i="18"/>
  <c r="K61" i="18" s="1"/>
  <c r="AZ61" i="20" s="1"/>
  <c r="AP61" i="18"/>
  <c r="L61" i="18" s="1"/>
  <c r="D61" i="18"/>
  <c r="R61" i="19"/>
  <c r="E61" i="19" s="1"/>
  <c r="O61" i="22" s="1"/>
  <c r="BE61" i="19"/>
  <c r="B62" i="18"/>
  <c r="C62" i="18"/>
  <c r="P62" i="19" s="1"/>
  <c r="C62" i="19" s="1"/>
  <c r="M62" i="22" s="1"/>
  <c r="U51" i="18" l="1"/>
  <c r="AU50" i="20"/>
  <c r="BF50" i="19"/>
  <c r="AK51" i="18" s="1"/>
  <c r="S50" i="19"/>
  <c r="AF50" i="19" s="1"/>
  <c r="F50" i="19" s="1"/>
  <c r="BU50" i="19" s="1"/>
  <c r="AL51" i="18" s="1"/>
  <c r="H51" i="18" s="1"/>
  <c r="BU51" i="19"/>
  <c r="V51" i="18"/>
  <c r="Z49" i="19"/>
  <c r="M49" i="19" s="1"/>
  <c r="BC49" i="20"/>
  <c r="BM49" i="19"/>
  <c r="AS50" i="18" s="1"/>
  <c r="AB50" i="18"/>
  <c r="BB49" i="20"/>
  <c r="Y49" i="19"/>
  <c r="AL49" i="19" s="1"/>
  <c r="L49" i="19" s="1"/>
  <c r="T49" i="22" s="1"/>
  <c r="BY49" i="19" s="1"/>
  <c r="AQ50" i="18" s="1"/>
  <c r="BL50" i="19" s="1"/>
  <c r="X50" i="22"/>
  <c r="BS50" i="19" s="1"/>
  <c r="AJ51" i="18" s="1"/>
  <c r="AC50" i="18"/>
  <c r="AD50" i="18"/>
  <c r="AE50" i="18"/>
  <c r="AA62" i="18"/>
  <c r="BJ61" i="19"/>
  <c r="W61" i="19"/>
  <c r="AJ61" i="19" s="1"/>
  <c r="J61" i="19" s="1"/>
  <c r="BC62" i="19"/>
  <c r="O62" i="19"/>
  <c r="AB62" i="19" s="1"/>
  <c r="B62" i="19" s="1"/>
  <c r="L62" i="22" s="1"/>
  <c r="BO62" i="19" s="1"/>
  <c r="AF63" i="18" s="1"/>
  <c r="BB63" i="19" s="1"/>
  <c r="Q63" i="18"/>
  <c r="R63" i="18"/>
  <c r="BI61" i="19"/>
  <c r="V61" i="19"/>
  <c r="AI61" i="19" s="1"/>
  <c r="I61" i="19" s="1"/>
  <c r="S61" i="22" s="1"/>
  <c r="BX61" i="19" s="1"/>
  <c r="AP62" i="18" s="1"/>
  <c r="L62" i="18" s="1"/>
  <c r="AY61" i="20"/>
  <c r="Y62" i="18"/>
  <c r="Z62" i="18"/>
  <c r="BA61" i="20"/>
  <c r="X61" i="19"/>
  <c r="AK61" i="19" s="1"/>
  <c r="K61" i="19" s="1"/>
  <c r="BK61" i="19"/>
  <c r="Q61" i="19"/>
  <c r="AD61" i="19" s="1"/>
  <c r="D61" i="19" s="1"/>
  <c r="N61" i="22" s="1"/>
  <c r="T62" i="18"/>
  <c r="S62" i="18"/>
  <c r="BH51" i="19" l="1"/>
  <c r="AM52" i="18" s="1"/>
  <c r="AW51" i="20"/>
  <c r="U51" i="19"/>
  <c r="AH51" i="19" s="1"/>
  <c r="H51" i="19" s="1"/>
  <c r="R51" i="22" s="1"/>
  <c r="BW51" i="19" s="1"/>
  <c r="AO52" i="18" s="1"/>
  <c r="K52" i="18" s="1"/>
  <c r="X52" i="18"/>
  <c r="G51" i="18"/>
  <c r="F51" i="18"/>
  <c r="U52" i="18" s="1"/>
  <c r="BN50" i="19"/>
  <c r="AT51" i="18" s="1"/>
  <c r="P50" i="18"/>
  <c r="O50" i="18"/>
  <c r="AA50" i="19" s="1"/>
  <c r="AN50" i="19" s="1"/>
  <c r="N50" i="19" s="1"/>
  <c r="U50" i="22" s="1"/>
  <c r="CA50" i="19" s="1"/>
  <c r="N50" i="18"/>
  <c r="BZ50" i="19"/>
  <c r="AR51" i="18" s="1"/>
  <c r="M50" i="18"/>
  <c r="AB51" i="18" s="1"/>
  <c r="V50" i="22"/>
  <c r="BA62" i="20"/>
  <c r="X62" i="19"/>
  <c r="AK62" i="19" s="1"/>
  <c r="K62" i="19" s="1"/>
  <c r="BK62" i="19"/>
  <c r="B63" i="18"/>
  <c r="O63" i="19" s="1"/>
  <c r="AB63" i="19" s="1"/>
  <c r="B63" i="19" s="1"/>
  <c r="L63" i="22" s="1"/>
  <c r="D62" i="18"/>
  <c r="BP62" i="19"/>
  <c r="AG63" i="18" s="1"/>
  <c r="BQ62" i="19"/>
  <c r="AH63" i="18" s="1"/>
  <c r="BD63" i="19" s="1"/>
  <c r="BR62" i="19"/>
  <c r="AI63" i="18" s="1"/>
  <c r="E62" i="18"/>
  <c r="T63" i="18" s="1"/>
  <c r="J62" i="18"/>
  <c r="BO63" i="19"/>
  <c r="AF64" i="18" s="1"/>
  <c r="BB64" i="19" s="1"/>
  <c r="BF51" i="19" l="1"/>
  <c r="S51" i="19"/>
  <c r="AF51" i="19" s="1"/>
  <c r="F51" i="19" s="1"/>
  <c r="AU51" i="20"/>
  <c r="AK52" i="18"/>
  <c r="I52" i="18"/>
  <c r="AX52" i="20" s="1"/>
  <c r="AV51" i="20"/>
  <c r="BG51" i="19"/>
  <c r="AL52" i="18" s="1"/>
  <c r="T51" i="19"/>
  <c r="AG51" i="19" s="1"/>
  <c r="G51" i="19" s="1"/>
  <c r="BV51" i="19" s="1"/>
  <c r="AN52" i="18" s="1"/>
  <c r="J52" i="18" s="1"/>
  <c r="Y53" i="18" s="1"/>
  <c r="V52" i="18"/>
  <c r="W52" i="18"/>
  <c r="AE51" i="18"/>
  <c r="P51" i="18"/>
  <c r="BM50" i="19"/>
  <c r="AS51" i="18" s="1"/>
  <c r="BN51" i="19" s="1"/>
  <c r="BC50" i="20"/>
  <c r="Z50" i="19"/>
  <c r="M50" i="19" s="1"/>
  <c r="BB50" i="20"/>
  <c r="Y50" i="19"/>
  <c r="AL50" i="19" s="1"/>
  <c r="L50" i="19" s="1"/>
  <c r="T50" i="22" s="1"/>
  <c r="BY50" i="19" s="1"/>
  <c r="AQ51" i="18" s="1"/>
  <c r="BL51" i="19" s="1"/>
  <c r="AD51" i="18"/>
  <c r="AC51" i="18"/>
  <c r="X51" i="22"/>
  <c r="BS51" i="19" s="1"/>
  <c r="AJ52" i="18" s="1"/>
  <c r="W62" i="19"/>
  <c r="AJ62" i="19" s="1"/>
  <c r="J62" i="19" s="1"/>
  <c r="BJ62" i="19"/>
  <c r="AZ62" i="20"/>
  <c r="AA63" i="18"/>
  <c r="Z63" i="18"/>
  <c r="AY62" i="20"/>
  <c r="V62" i="19"/>
  <c r="AI62" i="19" s="1"/>
  <c r="I62" i="19" s="1"/>
  <c r="S62" i="22" s="1"/>
  <c r="BX62" i="19" s="1"/>
  <c r="BI62" i="19"/>
  <c r="E63" i="18"/>
  <c r="R63" i="19" s="1"/>
  <c r="E63" i="19" s="1"/>
  <c r="O63" i="22" s="1"/>
  <c r="BR63" i="19"/>
  <c r="AI64" i="18" s="1"/>
  <c r="S63" i="18"/>
  <c r="Q62" i="19"/>
  <c r="AD62" i="19" s="1"/>
  <c r="D62" i="19" s="1"/>
  <c r="N62" i="22" s="1"/>
  <c r="R62" i="19"/>
  <c r="E62" i="19" s="1"/>
  <c r="O62" i="22" s="1"/>
  <c r="BE62" i="19"/>
  <c r="Q64" i="18"/>
  <c r="Y63" i="18"/>
  <c r="C63" i="18"/>
  <c r="F52" i="18" l="1"/>
  <c r="H52" i="18"/>
  <c r="BU52" i="19"/>
  <c r="AT52" i="18"/>
  <c r="G52" i="18"/>
  <c r="V51" i="22"/>
  <c r="M51" i="18"/>
  <c r="AB52" i="18" s="1"/>
  <c r="N51" i="18"/>
  <c r="BZ51" i="19"/>
  <c r="AR52" i="18" s="1"/>
  <c r="O51" i="18"/>
  <c r="AP63" i="18"/>
  <c r="L63" i="18" s="1"/>
  <c r="AO63" i="18"/>
  <c r="K63" i="18" s="1"/>
  <c r="P63" i="19"/>
  <c r="C63" i="19" s="1"/>
  <c r="M63" i="22" s="1"/>
  <c r="R64" i="18"/>
  <c r="BP63" i="19"/>
  <c r="AG64" i="18" s="1"/>
  <c r="D63" i="18"/>
  <c r="BC63" i="19"/>
  <c r="B64" i="18"/>
  <c r="O64" i="19" s="1"/>
  <c r="AB64" i="19" s="1"/>
  <c r="B64" i="19" s="1"/>
  <c r="L64" i="22" s="1"/>
  <c r="J63" i="18"/>
  <c r="BE63" i="19"/>
  <c r="AW52" i="20" l="1"/>
  <c r="BH52" i="19"/>
  <c r="AM53" i="18" s="1"/>
  <c r="U52" i="19"/>
  <c r="AH52" i="19" s="1"/>
  <c r="H52" i="19" s="1"/>
  <c r="R52" i="22" s="1"/>
  <c r="BW52" i="19" s="1"/>
  <c r="AO53" i="18" s="1"/>
  <c r="K53" i="18" s="1"/>
  <c r="X53" i="18"/>
  <c r="AU52" i="20"/>
  <c r="BF52" i="19"/>
  <c r="AK53" i="18" s="1"/>
  <c r="S52" i="19"/>
  <c r="AF52" i="19" s="1"/>
  <c r="F52" i="19" s="1"/>
  <c r="U53" i="18"/>
  <c r="V53" i="18"/>
  <c r="AV52" i="20"/>
  <c r="T52" i="19"/>
  <c r="AG52" i="19" s="1"/>
  <c r="G52" i="19" s="1"/>
  <c r="BV52" i="19" s="1"/>
  <c r="AN53" i="18" s="1"/>
  <c r="J53" i="18" s="1"/>
  <c r="BG52" i="19"/>
  <c r="AL53" i="18" s="1"/>
  <c r="W53" i="18"/>
  <c r="BB51" i="20"/>
  <c r="AC52" i="18"/>
  <c r="Y51" i="19"/>
  <c r="AL51" i="19" s="1"/>
  <c r="L51" i="19" s="1"/>
  <c r="T51" i="22" s="1"/>
  <c r="BY51" i="19" s="1"/>
  <c r="AQ52" i="18" s="1"/>
  <c r="BL52" i="19" s="1"/>
  <c r="AA51" i="19"/>
  <c r="AN51" i="19" s="1"/>
  <c r="AE52" i="18"/>
  <c r="N52" i="18"/>
  <c r="BZ52" i="19"/>
  <c r="AR53" i="18" s="1"/>
  <c r="AD52" i="18"/>
  <c r="Z51" i="19"/>
  <c r="M51" i="19" s="1"/>
  <c r="BM51" i="19"/>
  <c r="BC51" i="20"/>
  <c r="AA64" i="18"/>
  <c r="BQ63" i="19"/>
  <c r="AH64" i="18" s="1"/>
  <c r="BD64" i="19" s="1"/>
  <c r="Z64" i="18"/>
  <c r="Q65" i="18"/>
  <c r="BA63" i="20"/>
  <c r="X63" i="19"/>
  <c r="AK63" i="19" s="1"/>
  <c r="K63" i="19" s="1"/>
  <c r="BK63" i="19"/>
  <c r="Q63" i="19"/>
  <c r="AD63" i="19" s="1"/>
  <c r="D63" i="19" s="1"/>
  <c r="N63" i="22" s="1"/>
  <c r="T64" i="18"/>
  <c r="Y64" i="18"/>
  <c r="BI63" i="19"/>
  <c r="AY63" i="20"/>
  <c r="V63" i="19"/>
  <c r="AI63" i="19" s="1"/>
  <c r="I63" i="19" s="1"/>
  <c r="S63" i="22" s="1"/>
  <c r="BX63" i="19" s="1"/>
  <c r="AZ63" i="20"/>
  <c r="BJ63" i="19"/>
  <c r="W63" i="19"/>
  <c r="S64" i="18"/>
  <c r="C64" i="18"/>
  <c r="P64" i="19" s="1"/>
  <c r="C64" i="19" s="1"/>
  <c r="M64" i="22" s="1"/>
  <c r="BO64" i="19"/>
  <c r="AF65" i="18" s="1"/>
  <c r="BB65" i="19" s="1"/>
  <c r="H53" i="18" l="1"/>
  <c r="BU53" i="19"/>
  <c r="G53" i="18"/>
  <c r="I53" i="18"/>
  <c r="AX53" i="20" s="1"/>
  <c r="V52" i="22"/>
  <c r="M52" i="18"/>
  <c r="BC52" i="20"/>
  <c r="Z52" i="19"/>
  <c r="M52" i="19" s="1"/>
  <c r="BM52" i="19"/>
  <c r="AB53" i="18"/>
  <c r="Y52" i="19"/>
  <c r="AL52" i="19" s="1"/>
  <c r="L52" i="19" s="1"/>
  <c r="T52" i="22" s="1"/>
  <c r="BY52" i="19" s="1"/>
  <c r="AQ53" i="18" s="1"/>
  <c r="BL53" i="19" s="1"/>
  <c r="BB52" i="20"/>
  <c r="P52" i="18"/>
  <c r="AC53" i="18"/>
  <c r="N51" i="19"/>
  <c r="U51" i="22" s="1"/>
  <c r="CA51" i="19" s="1"/>
  <c r="AS52" i="18" s="1"/>
  <c r="BN52" i="19" s="1"/>
  <c r="AT53" i="18" s="1"/>
  <c r="X52" i="22"/>
  <c r="BS52" i="19" s="1"/>
  <c r="AJ53" i="18" s="1"/>
  <c r="R65" i="18"/>
  <c r="D64" i="18"/>
  <c r="Q64" i="19" s="1"/>
  <c r="AD64" i="19" s="1"/>
  <c r="D64" i="19" s="1"/>
  <c r="N64" i="22" s="1"/>
  <c r="BP64" i="19"/>
  <c r="AG65" i="18" s="1"/>
  <c r="BQ64" i="19"/>
  <c r="AO64" i="18"/>
  <c r="BR64" i="19"/>
  <c r="AI65" i="18" s="1"/>
  <c r="E64" i="18"/>
  <c r="BC64" i="19"/>
  <c r="J64" i="18"/>
  <c r="AJ63" i="19"/>
  <c r="J63" i="19" s="1"/>
  <c r="AP64" i="18"/>
  <c r="L64" i="18" s="1"/>
  <c r="B65" i="18"/>
  <c r="W54" i="18" l="1"/>
  <c r="X54" i="18"/>
  <c r="F53" i="18"/>
  <c r="BU54" i="19"/>
  <c r="BG53" i="19"/>
  <c r="AL54" i="18" s="1"/>
  <c r="H54" i="18" s="1"/>
  <c r="T53" i="19"/>
  <c r="AG53" i="19" s="1"/>
  <c r="G53" i="19" s="1"/>
  <c r="BV53" i="19" s="1"/>
  <c r="AN54" i="18" s="1"/>
  <c r="AV53" i="20"/>
  <c r="AW53" i="20"/>
  <c r="BH53" i="19"/>
  <c r="AM54" i="18" s="1"/>
  <c r="I54" i="18" s="1"/>
  <c r="U53" i="19"/>
  <c r="AH53" i="19" s="1"/>
  <c r="H53" i="19" s="1"/>
  <c r="R53" i="22" s="1"/>
  <c r="BW53" i="19" s="1"/>
  <c r="AO54" i="18" s="1"/>
  <c r="K54" i="18" s="1"/>
  <c r="M53" i="18"/>
  <c r="AB54" i="18" s="1"/>
  <c r="V53" i="22"/>
  <c r="N53" i="18"/>
  <c r="AC54" i="18" s="1"/>
  <c r="BZ53" i="19"/>
  <c r="AR54" i="18" s="1"/>
  <c r="O52" i="18"/>
  <c r="AY64" i="20"/>
  <c r="V64" i="19"/>
  <c r="AI64" i="19" s="1"/>
  <c r="I64" i="19" s="1"/>
  <c r="S64" i="22" s="1"/>
  <c r="BX64" i="19" s="1"/>
  <c r="BI64" i="19"/>
  <c r="C65" i="18"/>
  <c r="BC65" i="19" s="1"/>
  <c r="K64" i="18"/>
  <c r="AA65" i="18" s="1"/>
  <c r="AH65" i="18"/>
  <c r="BD65" i="19" s="1"/>
  <c r="R64" i="19"/>
  <c r="E64" i="19" s="1"/>
  <c r="O64" i="22" s="1"/>
  <c r="BE64" i="19"/>
  <c r="X64" i="19"/>
  <c r="AK64" i="19" s="1"/>
  <c r="K64" i="19" s="1"/>
  <c r="BK64" i="19"/>
  <c r="BA64" i="20"/>
  <c r="O65" i="19"/>
  <c r="AB65" i="19" s="1"/>
  <c r="B65" i="19" s="1"/>
  <c r="L65" i="22" s="1"/>
  <c r="BO65" i="19" s="1"/>
  <c r="AF66" i="18" s="1"/>
  <c r="BB66" i="19" s="1"/>
  <c r="Q66" i="18"/>
  <c r="Y65" i="18"/>
  <c r="T65" i="18"/>
  <c r="S65" i="18"/>
  <c r="AX54" i="20" l="1"/>
  <c r="X55" i="18"/>
  <c r="AW54" i="20"/>
  <c r="U54" i="19"/>
  <c r="AH54" i="19" s="1"/>
  <c r="H54" i="19" s="1"/>
  <c r="R54" i="22" s="1"/>
  <c r="BW54" i="19" s="1"/>
  <c r="AO55" i="18" s="1"/>
  <c r="K55" i="18" s="1"/>
  <c r="BH54" i="19"/>
  <c r="AM55" i="18" s="1"/>
  <c r="AU53" i="20"/>
  <c r="BF53" i="19"/>
  <c r="AK54" i="18" s="1"/>
  <c r="S53" i="19"/>
  <c r="AF53" i="19" s="1"/>
  <c r="F53" i="19" s="1"/>
  <c r="V54" i="18"/>
  <c r="U54" i="18"/>
  <c r="N54" i="18"/>
  <c r="BZ54" i="19"/>
  <c r="Y53" i="19"/>
  <c r="AL53" i="19" s="1"/>
  <c r="L53" i="19" s="1"/>
  <c r="T53" i="22" s="1"/>
  <c r="BY53" i="19" s="1"/>
  <c r="AQ54" i="18" s="1"/>
  <c r="BL54" i="19" s="1"/>
  <c r="BB53" i="20"/>
  <c r="BM53" i="19"/>
  <c r="Z53" i="19"/>
  <c r="M53" i="19" s="1"/>
  <c r="BC53" i="20"/>
  <c r="AA52" i="19"/>
  <c r="AN52" i="19" s="1"/>
  <c r="AD53" i="18"/>
  <c r="AE53" i="18"/>
  <c r="V54" i="22"/>
  <c r="AO65" i="18"/>
  <c r="E65" i="18"/>
  <c r="BR65" i="19"/>
  <c r="AI66" i="18" s="1"/>
  <c r="J65" i="18"/>
  <c r="Y66" i="18" s="1"/>
  <c r="AZ64" i="20"/>
  <c r="W64" i="19"/>
  <c r="AJ64" i="19" s="1"/>
  <c r="J64" i="19" s="1"/>
  <c r="BJ64" i="19"/>
  <c r="AP65" i="18" s="1"/>
  <c r="L65" i="18" s="1"/>
  <c r="B66" i="18"/>
  <c r="O66" i="19" s="1"/>
  <c r="AB66" i="19" s="1"/>
  <c r="B66" i="19" s="1"/>
  <c r="L66" i="22" s="1"/>
  <c r="BP65" i="19"/>
  <c r="AG66" i="18" s="1"/>
  <c r="D65" i="18"/>
  <c r="Q65" i="19" s="1"/>
  <c r="AD65" i="19" s="1"/>
  <c r="D65" i="19" s="1"/>
  <c r="N65" i="22" s="1"/>
  <c r="P65" i="19"/>
  <c r="C65" i="19" s="1"/>
  <c r="M65" i="22" s="1"/>
  <c r="R66" i="18"/>
  <c r="Z65" i="18"/>
  <c r="I55" i="18" l="1"/>
  <c r="AX55" i="20" s="1"/>
  <c r="G54" i="18"/>
  <c r="P53" i="18"/>
  <c r="AR55" i="18"/>
  <c r="N52" i="19"/>
  <c r="U52" i="22" s="1"/>
  <c r="CA52" i="19" s="1"/>
  <c r="AS53" i="18" s="1"/>
  <c r="BN53" i="19" s="1"/>
  <c r="AT54" i="18" s="1"/>
  <c r="X53" i="22"/>
  <c r="BS53" i="19" s="1"/>
  <c r="AJ54" i="18" s="1"/>
  <c r="F54" i="18" s="1"/>
  <c r="M54" i="18"/>
  <c r="AC55" i="18"/>
  <c r="BC54" i="20"/>
  <c r="Z54" i="19"/>
  <c r="M54" i="19" s="1"/>
  <c r="BM54" i="19"/>
  <c r="BA65" i="20"/>
  <c r="X65" i="19"/>
  <c r="AK65" i="19" s="1"/>
  <c r="K65" i="19" s="1"/>
  <c r="BK65" i="19"/>
  <c r="BQ65" i="19"/>
  <c r="AH66" i="18" s="1"/>
  <c r="BD66" i="19" s="1"/>
  <c r="Q67" i="18"/>
  <c r="AY65" i="20"/>
  <c r="BI65" i="19"/>
  <c r="V65" i="19"/>
  <c r="AI65" i="19" s="1"/>
  <c r="I65" i="19" s="1"/>
  <c r="S65" i="22" s="1"/>
  <c r="BX65" i="19" s="1"/>
  <c r="R65" i="19"/>
  <c r="E65" i="19" s="1"/>
  <c r="O65" i="22" s="1"/>
  <c r="BE65" i="19"/>
  <c r="K65" i="18"/>
  <c r="AA66" i="18" s="1"/>
  <c r="BO66" i="19"/>
  <c r="AF67" i="18" s="1"/>
  <c r="BB67" i="19" s="1"/>
  <c r="C66" i="18"/>
  <c r="P66" i="19" s="1"/>
  <c r="C66" i="19" s="1"/>
  <c r="M66" i="22" s="1"/>
  <c r="S66" i="18"/>
  <c r="T66" i="18"/>
  <c r="BF54" i="19" l="1"/>
  <c r="AK55" i="18" s="1"/>
  <c r="AU54" i="20"/>
  <c r="S54" i="19"/>
  <c r="AF54" i="19" s="1"/>
  <c r="F54" i="19" s="1"/>
  <c r="U55" i="18"/>
  <c r="T54" i="19"/>
  <c r="AG54" i="19" s="1"/>
  <c r="G54" i="19" s="1"/>
  <c r="BV54" i="19" s="1"/>
  <c r="AN55" i="18" s="1"/>
  <c r="BG54" i="19"/>
  <c r="AL55" i="18" s="1"/>
  <c r="AV54" i="20"/>
  <c r="W55" i="18"/>
  <c r="V55" i="18"/>
  <c r="N55" i="18"/>
  <c r="BZ55" i="19"/>
  <c r="AB55" i="18"/>
  <c r="Y54" i="19"/>
  <c r="AL54" i="19" s="1"/>
  <c r="BB54" i="20"/>
  <c r="O53" i="18"/>
  <c r="R67" i="18"/>
  <c r="AO66" i="18"/>
  <c r="Y67" i="18"/>
  <c r="V66" i="19"/>
  <c r="AI66" i="19" s="1"/>
  <c r="I66" i="19" s="1"/>
  <c r="S66" i="22" s="1"/>
  <c r="BX66" i="19" s="1"/>
  <c r="AY66" i="20"/>
  <c r="BI66" i="19"/>
  <c r="E66" i="18"/>
  <c r="BR66" i="19"/>
  <c r="AI67" i="18" s="1"/>
  <c r="B67" i="18"/>
  <c r="O67" i="19" s="1"/>
  <c r="AB67" i="19" s="1"/>
  <c r="B67" i="19" s="1"/>
  <c r="L67" i="22" s="1"/>
  <c r="BO67" i="19" s="1"/>
  <c r="AF68" i="18" s="1"/>
  <c r="BB68" i="19" s="1"/>
  <c r="W65" i="19"/>
  <c r="AJ65" i="19" s="1"/>
  <c r="J65" i="19" s="1"/>
  <c r="AZ65" i="20"/>
  <c r="BJ65" i="19"/>
  <c r="AP66" i="18" s="1"/>
  <c r="L66" i="18" s="1"/>
  <c r="BP66" i="19"/>
  <c r="AG67" i="18" s="1"/>
  <c r="D66" i="18"/>
  <c r="Q66" i="19" s="1"/>
  <c r="AD66" i="19" s="1"/>
  <c r="D66" i="19" s="1"/>
  <c r="N66" i="22" s="1"/>
  <c r="BQ66" i="19"/>
  <c r="Z66" i="18"/>
  <c r="BC66" i="19"/>
  <c r="BU55" i="19" l="1"/>
  <c r="H55" i="18"/>
  <c r="C67" i="18"/>
  <c r="G55" i="18"/>
  <c r="K66" i="18"/>
  <c r="W66" i="19" s="1"/>
  <c r="AJ66" i="19" s="1"/>
  <c r="J66" i="19" s="1"/>
  <c r="L54" i="19"/>
  <c r="T54" i="22" s="1"/>
  <c r="BY54" i="19" s="1"/>
  <c r="AQ55" i="18" s="1"/>
  <c r="BL55" i="19" s="1"/>
  <c r="AR56" i="18" s="1"/>
  <c r="V55" i="22"/>
  <c r="Z55" i="19"/>
  <c r="M55" i="19" s="1"/>
  <c r="BM55" i="19"/>
  <c r="BC55" i="20"/>
  <c r="AA53" i="19"/>
  <c r="AN53" i="19" s="1"/>
  <c r="AE54" i="18"/>
  <c r="AD54" i="18"/>
  <c r="M55" i="18"/>
  <c r="AB56" i="18" s="1"/>
  <c r="P67" i="19"/>
  <c r="C67" i="19" s="1"/>
  <c r="M67" i="22" s="1"/>
  <c r="R68" i="18"/>
  <c r="T67" i="18"/>
  <c r="BR67" i="19" s="1"/>
  <c r="X66" i="19"/>
  <c r="AK66" i="19" s="1"/>
  <c r="K66" i="19" s="1"/>
  <c r="BK66" i="19"/>
  <c r="BA66" i="20"/>
  <c r="AA67" i="18"/>
  <c r="BC67" i="19"/>
  <c r="AH67" i="18"/>
  <c r="BD67" i="19" s="1"/>
  <c r="R66" i="19"/>
  <c r="E66" i="19" s="1"/>
  <c r="O66" i="22" s="1"/>
  <c r="BE66" i="19"/>
  <c r="BJ66" i="19"/>
  <c r="AP67" i="18" s="1"/>
  <c r="AZ66" i="20"/>
  <c r="S67" i="18"/>
  <c r="Q68" i="18"/>
  <c r="W56" i="18" l="1"/>
  <c r="AW55" i="20"/>
  <c r="U55" i="19"/>
  <c r="AH55" i="19" s="1"/>
  <c r="H55" i="19" s="1"/>
  <c r="R55" i="22" s="1"/>
  <c r="BW55" i="19" s="1"/>
  <c r="AO56" i="18" s="1"/>
  <c r="K56" i="18" s="1"/>
  <c r="BH55" i="19"/>
  <c r="AM56" i="18" s="1"/>
  <c r="X56" i="18"/>
  <c r="AV55" i="20"/>
  <c r="BG55" i="19"/>
  <c r="AL56" i="18" s="1"/>
  <c r="T55" i="19"/>
  <c r="AG55" i="19" s="1"/>
  <c r="G55" i="19" s="1"/>
  <c r="BV55" i="19" s="1"/>
  <c r="AN56" i="18" s="1"/>
  <c r="J56" i="18" s="1"/>
  <c r="Z67" i="18"/>
  <c r="P54" i="18"/>
  <c r="N53" i="19"/>
  <c r="U53" i="22" s="1"/>
  <c r="CA53" i="19" s="1"/>
  <c r="AS54" i="18" s="1"/>
  <c r="O54" i="18" s="1"/>
  <c r="AA54" i="19" s="1"/>
  <c r="AN54" i="19" s="1"/>
  <c r="N54" i="19" s="1"/>
  <c r="U54" i="22" s="1"/>
  <c r="CA54" i="19" s="1"/>
  <c r="X54" i="22"/>
  <c r="BS54" i="19" s="1"/>
  <c r="AJ55" i="18" s="1"/>
  <c r="Y55" i="19"/>
  <c r="AL55" i="19" s="1"/>
  <c r="L55" i="19" s="1"/>
  <c r="T55" i="22" s="1"/>
  <c r="BY55" i="19" s="1"/>
  <c r="AQ56" i="18" s="1"/>
  <c r="BL56" i="19" s="1"/>
  <c r="BB55" i="20"/>
  <c r="AC56" i="18"/>
  <c r="E67" i="18"/>
  <c r="R67" i="19" s="1"/>
  <c r="E67" i="19" s="1"/>
  <c r="O67" i="22" s="1"/>
  <c r="AI68" i="18"/>
  <c r="B68" i="18"/>
  <c r="O68" i="19" s="1"/>
  <c r="AB68" i="19" s="1"/>
  <c r="B68" i="19" s="1"/>
  <c r="L68" i="22" s="1"/>
  <c r="BO68" i="19" s="1"/>
  <c r="AF69" i="18" s="1"/>
  <c r="BB69" i="19" s="1"/>
  <c r="L67" i="18"/>
  <c r="BP67" i="19"/>
  <c r="AG68" i="18" s="1"/>
  <c r="D67" i="18"/>
  <c r="BQ67" i="19"/>
  <c r="AH68" i="18" s="1"/>
  <c r="BD68" i="19" s="1"/>
  <c r="K67" i="18"/>
  <c r="J67" i="18"/>
  <c r="F55" i="18" l="1"/>
  <c r="H56" i="18"/>
  <c r="I56" i="18"/>
  <c r="AX56" i="20" s="1"/>
  <c r="X57" i="18"/>
  <c r="V56" i="22"/>
  <c r="N56" i="18"/>
  <c r="BZ56" i="19"/>
  <c r="AR57" i="18" s="1"/>
  <c r="X55" i="22"/>
  <c r="BS55" i="19" s="1"/>
  <c r="AJ56" i="18" s="1"/>
  <c r="AE55" i="18"/>
  <c r="BN54" i="19"/>
  <c r="AT55" i="18" s="1"/>
  <c r="AS55" i="18"/>
  <c r="BN55" i="19" s="1"/>
  <c r="AD55" i="18"/>
  <c r="M56" i="18"/>
  <c r="AC57" i="18" s="1"/>
  <c r="Q69" i="18"/>
  <c r="B69" i="18" s="1"/>
  <c r="O69" i="19" s="1"/>
  <c r="AB69" i="19" s="1"/>
  <c r="B69" i="19" s="1"/>
  <c r="L69" i="22" s="1"/>
  <c r="BE67" i="19"/>
  <c r="Z68" i="18"/>
  <c r="Q67" i="19"/>
  <c r="AD67" i="19" s="1"/>
  <c r="D67" i="19" s="1"/>
  <c r="N67" i="22" s="1"/>
  <c r="T68" i="18"/>
  <c r="V67" i="19"/>
  <c r="AI67" i="19" s="1"/>
  <c r="I67" i="19" s="1"/>
  <c r="S67" i="22" s="1"/>
  <c r="BX67" i="19" s="1"/>
  <c r="BI67" i="19"/>
  <c r="AY67" i="20"/>
  <c r="Y68" i="18"/>
  <c r="AZ67" i="20"/>
  <c r="W67" i="19"/>
  <c r="AJ67" i="19" s="1"/>
  <c r="J67" i="19" s="1"/>
  <c r="BJ67" i="19"/>
  <c r="C68" i="18"/>
  <c r="BC68" i="19" s="1"/>
  <c r="S68" i="18"/>
  <c r="AA68" i="18"/>
  <c r="BK67" i="19"/>
  <c r="X67" i="19"/>
  <c r="AK67" i="19" s="1"/>
  <c r="K67" i="19" s="1"/>
  <c r="BA67" i="20"/>
  <c r="BH56" i="19" l="1"/>
  <c r="AM57" i="18" s="1"/>
  <c r="I57" i="18" s="1"/>
  <c r="U56" i="19"/>
  <c r="AH56" i="19" s="1"/>
  <c r="H56" i="19" s="1"/>
  <c r="R56" i="22" s="1"/>
  <c r="BW56" i="19" s="1"/>
  <c r="AO57" i="18" s="1"/>
  <c r="AW56" i="20"/>
  <c r="BF55" i="19"/>
  <c r="AK56" i="18" s="1"/>
  <c r="S55" i="19"/>
  <c r="AF55" i="19" s="1"/>
  <c r="F55" i="19" s="1"/>
  <c r="AU55" i="20"/>
  <c r="U56" i="18"/>
  <c r="V56" i="18"/>
  <c r="BZ57" i="19"/>
  <c r="N57" i="18"/>
  <c r="AB57" i="18"/>
  <c r="Y56" i="19"/>
  <c r="AL56" i="19" s="1"/>
  <c r="BB56" i="20"/>
  <c r="AT56" i="18"/>
  <c r="O55" i="18"/>
  <c r="AA55" i="19" s="1"/>
  <c r="AN55" i="19" s="1"/>
  <c r="N55" i="19" s="1"/>
  <c r="U55" i="22" s="1"/>
  <c r="CA55" i="19" s="1"/>
  <c r="AS56" i="18" s="1"/>
  <c r="BN56" i="19" s="1"/>
  <c r="P55" i="18"/>
  <c r="Z56" i="19"/>
  <c r="M56" i="19" s="1"/>
  <c r="BM56" i="19"/>
  <c r="BC56" i="20"/>
  <c r="AP68" i="18"/>
  <c r="L68" i="18" s="1"/>
  <c r="J68" i="18"/>
  <c r="Y69" i="18" s="1"/>
  <c r="E68" i="18"/>
  <c r="BR68" i="19"/>
  <c r="AI69" i="18" s="1"/>
  <c r="P68" i="19"/>
  <c r="C68" i="19" s="1"/>
  <c r="M68" i="22" s="1"/>
  <c r="R69" i="18"/>
  <c r="D68" i="18"/>
  <c r="Q68" i="19" s="1"/>
  <c r="AD68" i="19" s="1"/>
  <c r="D68" i="19" s="1"/>
  <c r="N68" i="22" s="1"/>
  <c r="BP68" i="19"/>
  <c r="AG69" i="18" s="1"/>
  <c r="Q70" i="18"/>
  <c r="AO68" i="18"/>
  <c r="K68" i="18" s="1"/>
  <c r="AX57" i="20" l="1"/>
  <c r="F56" i="18"/>
  <c r="G56" i="18"/>
  <c r="X56" i="22"/>
  <c r="BS56" i="19" s="1"/>
  <c r="AJ57" i="18" s="1"/>
  <c r="AE56" i="18"/>
  <c r="P56" i="18" s="1"/>
  <c r="AD56" i="18"/>
  <c r="O56" i="18" s="1"/>
  <c r="AA56" i="19" s="1"/>
  <c r="AN56" i="19" s="1"/>
  <c r="N56" i="19" s="1"/>
  <c r="U56" i="22" s="1"/>
  <c r="CA56" i="19" s="1"/>
  <c r="AS57" i="18" s="1"/>
  <c r="L56" i="19"/>
  <c r="T56" i="22" s="1"/>
  <c r="BY56" i="19" s="1"/>
  <c r="AQ57" i="18" s="1"/>
  <c r="BL57" i="19" s="1"/>
  <c r="AR58" i="18" s="1"/>
  <c r="V57" i="22"/>
  <c r="AT57" i="18"/>
  <c r="Z57" i="19"/>
  <c r="M57" i="19" s="1"/>
  <c r="BM57" i="19"/>
  <c r="BC57" i="20"/>
  <c r="BQ68" i="19"/>
  <c r="AH69" i="18" s="1"/>
  <c r="BD69" i="19" s="1"/>
  <c r="AA69" i="18"/>
  <c r="S69" i="18"/>
  <c r="BP69" i="19" s="1"/>
  <c r="AG70" i="18" s="1"/>
  <c r="BO69" i="19"/>
  <c r="AF70" i="18" s="1"/>
  <c r="BB70" i="19" s="1"/>
  <c r="BK68" i="19"/>
  <c r="BA68" i="20"/>
  <c r="X68" i="19"/>
  <c r="AK68" i="19" s="1"/>
  <c r="K68" i="19" s="1"/>
  <c r="R68" i="19"/>
  <c r="E68" i="19" s="1"/>
  <c r="O68" i="22" s="1"/>
  <c r="BE68" i="19"/>
  <c r="Z69" i="18"/>
  <c r="AZ68" i="20"/>
  <c r="W68" i="19"/>
  <c r="AJ68" i="19" s="1"/>
  <c r="J68" i="19" s="1"/>
  <c r="BJ68" i="19"/>
  <c r="C69" i="18"/>
  <c r="P69" i="19" s="1"/>
  <c r="C69" i="19" s="1"/>
  <c r="M69" i="22" s="1"/>
  <c r="T69" i="18"/>
  <c r="BI68" i="19"/>
  <c r="AY68" i="20"/>
  <c r="V68" i="19"/>
  <c r="AI68" i="19" s="1"/>
  <c r="I68" i="19" s="1"/>
  <c r="S68" i="22" s="1"/>
  <c r="BX68" i="19" s="1"/>
  <c r="BF56" i="19" l="1"/>
  <c r="AK57" i="18" s="1"/>
  <c r="AU56" i="20"/>
  <c r="S56" i="19"/>
  <c r="AF56" i="19" s="1"/>
  <c r="F56" i="19" s="1"/>
  <c r="BU56" i="19" s="1"/>
  <c r="V57" i="18"/>
  <c r="BG56" i="19"/>
  <c r="T56" i="19"/>
  <c r="AG56" i="19" s="1"/>
  <c r="G56" i="19" s="1"/>
  <c r="BV56" i="19" s="1"/>
  <c r="AN57" i="18" s="1"/>
  <c r="AV56" i="20"/>
  <c r="W57" i="18"/>
  <c r="U57" i="18"/>
  <c r="AD57" i="18"/>
  <c r="BN57" i="19"/>
  <c r="AE57" i="18"/>
  <c r="M57" i="18"/>
  <c r="O57" i="18"/>
  <c r="AA57" i="19" s="1"/>
  <c r="AN57" i="19" s="1"/>
  <c r="N57" i="19" s="1"/>
  <c r="U57" i="22" s="1"/>
  <c r="CA57" i="19" s="1"/>
  <c r="AS58" i="18" s="1"/>
  <c r="BN58" i="19" s="1"/>
  <c r="X57" i="22"/>
  <c r="BS57" i="19" s="1"/>
  <c r="B70" i="18"/>
  <c r="O70" i="19" s="1"/>
  <c r="AB70" i="19" s="1"/>
  <c r="B70" i="19" s="1"/>
  <c r="L70" i="22" s="1"/>
  <c r="D69" i="18"/>
  <c r="Q69" i="19" s="1"/>
  <c r="AD69" i="19" s="1"/>
  <c r="D69" i="19" s="1"/>
  <c r="N69" i="22" s="1"/>
  <c r="AO69" i="18"/>
  <c r="K69" i="18" s="1"/>
  <c r="BC69" i="19"/>
  <c r="V69" i="19"/>
  <c r="AI69" i="19" s="1"/>
  <c r="I69" i="19" s="1"/>
  <c r="S69" i="22" s="1"/>
  <c r="BX69" i="19" s="1"/>
  <c r="BI69" i="19"/>
  <c r="AY69" i="20"/>
  <c r="Y70" i="18"/>
  <c r="BR69" i="19"/>
  <c r="AI70" i="18" s="1"/>
  <c r="E69" i="18"/>
  <c r="AP69" i="18"/>
  <c r="L69" i="18" s="1"/>
  <c r="BQ69" i="19"/>
  <c r="R70" i="18"/>
  <c r="F57" i="18" l="1"/>
  <c r="U58" i="18" s="1"/>
  <c r="AJ58" i="18"/>
  <c r="AL57" i="18"/>
  <c r="G57" i="18"/>
  <c r="V58" i="18" s="1"/>
  <c r="AD58" i="18"/>
  <c r="BB57" i="20"/>
  <c r="Y57" i="19"/>
  <c r="AL57" i="19" s="1"/>
  <c r="AB58" i="18"/>
  <c r="AC58" i="18"/>
  <c r="X58" i="22"/>
  <c r="P57" i="18"/>
  <c r="AE58" i="18" s="1"/>
  <c r="AT58" i="18"/>
  <c r="S70" i="18"/>
  <c r="BP70" i="19" s="1"/>
  <c r="AG71" i="18" s="1"/>
  <c r="Q71" i="18"/>
  <c r="AH70" i="18"/>
  <c r="BD70" i="19" s="1"/>
  <c r="T70" i="18"/>
  <c r="E70" i="18" s="1"/>
  <c r="X69" i="19"/>
  <c r="AK69" i="19" s="1"/>
  <c r="K69" i="19" s="1"/>
  <c r="BK69" i="19"/>
  <c r="BA69" i="20"/>
  <c r="AA70" i="18"/>
  <c r="C70" i="18"/>
  <c r="R71" i="18" s="1"/>
  <c r="R69" i="19"/>
  <c r="E69" i="19" s="1"/>
  <c r="O69" i="22" s="1"/>
  <c r="BE69" i="19"/>
  <c r="AO70" i="18"/>
  <c r="Z70" i="18"/>
  <c r="AZ69" i="20"/>
  <c r="W69" i="19"/>
  <c r="AJ69" i="19" s="1"/>
  <c r="J69" i="19" s="1"/>
  <c r="BJ69" i="19"/>
  <c r="AP70" i="18" s="1"/>
  <c r="BO70" i="19"/>
  <c r="AF71" i="18" s="1"/>
  <c r="BB71" i="19" s="1"/>
  <c r="F58" i="18" l="1"/>
  <c r="U59" i="18"/>
  <c r="BG57" i="19"/>
  <c r="AV57" i="20"/>
  <c r="T57" i="19"/>
  <c r="AG57" i="19" s="1"/>
  <c r="G57" i="19" s="1"/>
  <c r="BV57" i="19" s="1"/>
  <c r="AN58" i="18" s="1"/>
  <c r="J58" i="18" s="1"/>
  <c r="H57" i="18"/>
  <c r="S57" i="19"/>
  <c r="AF57" i="19" s="1"/>
  <c r="F57" i="19" s="1"/>
  <c r="BU57" i="19" s="1"/>
  <c r="BF57" i="19"/>
  <c r="AK58" i="18" s="1"/>
  <c r="G58" i="18" s="1"/>
  <c r="AU57" i="20"/>
  <c r="P58" i="18"/>
  <c r="L57" i="19"/>
  <c r="T57" i="22" s="1"/>
  <c r="BY57" i="19" s="1"/>
  <c r="AQ58" i="18" s="1"/>
  <c r="BL58" i="19" s="1"/>
  <c r="V58" i="22"/>
  <c r="AT59" i="18"/>
  <c r="N58" i="18"/>
  <c r="BZ58" i="19"/>
  <c r="O58" i="18"/>
  <c r="AA58" i="19" s="1"/>
  <c r="AN58" i="19" s="1"/>
  <c r="N58" i="19" s="1"/>
  <c r="U58" i="22" s="1"/>
  <c r="CA58" i="19" s="1"/>
  <c r="D70" i="18"/>
  <c r="Q70" i="19" s="1"/>
  <c r="AD70" i="19" s="1"/>
  <c r="D70" i="19" s="1"/>
  <c r="N70" i="22" s="1"/>
  <c r="R70" i="19"/>
  <c r="E70" i="19" s="1"/>
  <c r="O70" i="22" s="1"/>
  <c r="BE70" i="19"/>
  <c r="BR70" i="19"/>
  <c r="AI71" i="18" s="1"/>
  <c r="BI70" i="19"/>
  <c r="AY70" i="20"/>
  <c r="V70" i="19"/>
  <c r="AI70" i="19" s="1"/>
  <c r="I70" i="19" s="1"/>
  <c r="S70" i="22" s="1"/>
  <c r="BX70" i="19" s="1"/>
  <c r="Y71" i="18"/>
  <c r="C71" i="18"/>
  <c r="P71" i="19" s="1"/>
  <c r="C71" i="19" s="1"/>
  <c r="M71" i="22" s="1"/>
  <c r="K70" i="18"/>
  <c r="P70" i="19"/>
  <c r="C70" i="19" s="1"/>
  <c r="BC70" i="19"/>
  <c r="B71" i="18"/>
  <c r="L70" i="18"/>
  <c r="AL58" i="18" l="1"/>
  <c r="AD59" i="18"/>
  <c r="AV58" i="20"/>
  <c r="T58" i="19"/>
  <c r="AG58" i="19" s="1"/>
  <c r="G58" i="19" s="1"/>
  <c r="BV58" i="19" s="1"/>
  <c r="AN59" i="18" s="1"/>
  <c r="BG58" i="19"/>
  <c r="V59" i="18"/>
  <c r="W58" i="18"/>
  <c r="H58" i="18" s="1"/>
  <c r="BH57" i="19"/>
  <c r="AM58" i="18" s="1"/>
  <c r="AW57" i="20"/>
  <c r="U57" i="19"/>
  <c r="AH57" i="19" s="1"/>
  <c r="H57" i="19" s="1"/>
  <c r="R57" i="22" s="1"/>
  <c r="BW57" i="19" s="1"/>
  <c r="AO58" i="18" s="1"/>
  <c r="K58" i="18" s="1"/>
  <c r="X58" i="18"/>
  <c r="BF58" i="19"/>
  <c r="AK59" i="18" s="1"/>
  <c r="AU58" i="20"/>
  <c r="S58" i="19"/>
  <c r="AF58" i="19" s="1"/>
  <c r="F58" i="19" s="1"/>
  <c r="BU58" i="19" s="1"/>
  <c r="BC58" i="20"/>
  <c r="BM58" i="19"/>
  <c r="AS59" i="18" s="1"/>
  <c r="Z58" i="19"/>
  <c r="M58" i="19" s="1"/>
  <c r="M58" i="18"/>
  <c r="X59" i="22"/>
  <c r="AE59" i="18"/>
  <c r="AR59" i="18"/>
  <c r="S71" i="18"/>
  <c r="BP71" i="19" s="1"/>
  <c r="AG72" i="18" s="1"/>
  <c r="T71" i="18"/>
  <c r="BR71" i="19" s="1"/>
  <c r="R72" i="18"/>
  <c r="AA71" i="18"/>
  <c r="BK70" i="19"/>
  <c r="BA70" i="20"/>
  <c r="X70" i="19"/>
  <c r="AK70" i="19" s="1"/>
  <c r="K70" i="19" s="1"/>
  <c r="M70" i="22"/>
  <c r="BQ70" i="19"/>
  <c r="AH71" i="18" s="1"/>
  <c r="Z71" i="18"/>
  <c r="AZ70" i="20"/>
  <c r="W70" i="19"/>
  <c r="AJ70" i="19" s="1"/>
  <c r="J70" i="19" s="1"/>
  <c r="BJ70" i="19"/>
  <c r="AP71" i="18" s="1"/>
  <c r="O71" i="19"/>
  <c r="AB71" i="19" s="1"/>
  <c r="B71" i="19" s="1"/>
  <c r="L71" i="22" s="1"/>
  <c r="BO71" i="19" s="1"/>
  <c r="AF72" i="18" s="1"/>
  <c r="BB72" i="19" s="1"/>
  <c r="Q72" i="18"/>
  <c r="BC71" i="19"/>
  <c r="AL59" i="18" l="1"/>
  <c r="W59" i="18"/>
  <c r="BH58" i="19"/>
  <c r="AM59" i="18" s="1"/>
  <c r="AW58" i="20"/>
  <c r="U58" i="19"/>
  <c r="AH58" i="19" s="1"/>
  <c r="H58" i="19" s="1"/>
  <c r="R58" i="22" s="1"/>
  <c r="BW58" i="19" s="1"/>
  <c r="AO59" i="18" s="1"/>
  <c r="G59" i="18"/>
  <c r="BS58" i="19"/>
  <c r="AJ59" i="18" s="1"/>
  <c r="I58" i="18"/>
  <c r="AX58" i="20" s="1"/>
  <c r="BN59" i="19"/>
  <c r="AT60" i="18" s="1"/>
  <c r="O59" i="18"/>
  <c r="P59" i="18"/>
  <c r="AB59" i="18"/>
  <c r="Y58" i="19"/>
  <c r="AL58" i="19" s="1"/>
  <c r="BB58" i="20"/>
  <c r="AC59" i="18"/>
  <c r="BQ71" i="19"/>
  <c r="AH72" i="18" s="1"/>
  <c r="BD72" i="19" s="1"/>
  <c r="C72" i="18"/>
  <c r="P72" i="19" s="1"/>
  <c r="C72" i="19" s="1"/>
  <c r="M72" i="22" s="1"/>
  <c r="E71" i="18"/>
  <c r="R71" i="19" s="1"/>
  <c r="E71" i="19" s="1"/>
  <c r="O71" i="22" s="1"/>
  <c r="AY71" i="20"/>
  <c r="BI71" i="19"/>
  <c r="V71" i="19"/>
  <c r="AI71" i="19" s="1"/>
  <c r="I71" i="19" s="1"/>
  <c r="S71" i="22" s="1"/>
  <c r="BX71" i="19" s="1"/>
  <c r="Y72" i="18"/>
  <c r="BD71" i="19"/>
  <c r="AI72" i="18" s="1"/>
  <c r="D71" i="18"/>
  <c r="B72" i="18"/>
  <c r="O72" i="19" s="1"/>
  <c r="AB72" i="19" s="1"/>
  <c r="B72" i="19" s="1"/>
  <c r="L72" i="22" s="1"/>
  <c r="BO72" i="19" s="1"/>
  <c r="AF73" i="18" s="1"/>
  <c r="BB73" i="19" s="1"/>
  <c r="K71" i="18"/>
  <c r="Z72" i="18" s="1"/>
  <c r="L71" i="18"/>
  <c r="F59" i="18" l="1"/>
  <c r="T59" i="19"/>
  <c r="AG59" i="19" s="1"/>
  <c r="G59" i="19" s="1"/>
  <c r="BV59" i="19" s="1"/>
  <c r="AN60" i="18" s="1"/>
  <c r="AV59" i="20"/>
  <c r="BG59" i="19"/>
  <c r="AE60" i="18"/>
  <c r="X59" i="18"/>
  <c r="H59" i="18"/>
  <c r="BC72" i="19"/>
  <c r="L58" i="19"/>
  <c r="T58" i="22" s="1"/>
  <c r="BY58" i="19" s="1"/>
  <c r="AQ59" i="18" s="1"/>
  <c r="BL59" i="19" s="1"/>
  <c r="V59" i="22"/>
  <c r="P60" i="18"/>
  <c r="BZ59" i="19"/>
  <c r="N59" i="18"/>
  <c r="AD60" i="18" s="1"/>
  <c r="AA59" i="19"/>
  <c r="AN59" i="19" s="1"/>
  <c r="BE71" i="19"/>
  <c r="R73" i="18"/>
  <c r="AA72" i="18"/>
  <c r="BA71" i="20"/>
  <c r="BK71" i="19"/>
  <c r="X71" i="19"/>
  <c r="AK71" i="19" s="1"/>
  <c r="K71" i="19" s="1"/>
  <c r="W71" i="19"/>
  <c r="AJ71" i="19" s="1"/>
  <c r="J71" i="19" s="1"/>
  <c r="BJ71" i="19"/>
  <c r="AP72" i="18" s="1"/>
  <c r="AZ71" i="20"/>
  <c r="Q71" i="19"/>
  <c r="AD71" i="19" s="1"/>
  <c r="D71" i="19" s="1"/>
  <c r="N71" i="22" s="1"/>
  <c r="S72" i="18"/>
  <c r="T72" i="18"/>
  <c r="Q73" i="18"/>
  <c r="U59" i="19" l="1"/>
  <c r="AH59" i="19" s="1"/>
  <c r="H59" i="19" s="1"/>
  <c r="R59" i="22" s="1"/>
  <c r="BW59" i="19" s="1"/>
  <c r="AW59" i="20"/>
  <c r="BH59" i="19"/>
  <c r="AM60" i="18" s="1"/>
  <c r="I59" i="18"/>
  <c r="AX59" i="20" s="1"/>
  <c r="BS59" i="19"/>
  <c r="AJ60" i="18" s="1"/>
  <c r="W60" i="18"/>
  <c r="BF59" i="19"/>
  <c r="AK60" i="18" s="1"/>
  <c r="AU59" i="20"/>
  <c r="S59" i="19"/>
  <c r="AF59" i="19" s="1"/>
  <c r="F59" i="19" s="1"/>
  <c r="BU59" i="19" s="1"/>
  <c r="AL60" i="18" s="1"/>
  <c r="U60" i="18"/>
  <c r="V60" i="18"/>
  <c r="AR60" i="18"/>
  <c r="M59" i="18"/>
  <c r="Z59" i="19"/>
  <c r="M59" i="19" s="1"/>
  <c r="BM59" i="19"/>
  <c r="BC59" i="20"/>
  <c r="N59" i="19"/>
  <c r="U59" i="22" s="1"/>
  <c r="CA59" i="19" s="1"/>
  <c r="X60" i="22"/>
  <c r="L72" i="18"/>
  <c r="AA73" i="18" s="1"/>
  <c r="BJ72" i="19"/>
  <c r="W72" i="19"/>
  <c r="AJ72" i="19" s="1"/>
  <c r="J72" i="19" s="1"/>
  <c r="AZ72" i="20"/>
  <c r="Z73" i="18"/>
  <c r="B73" i="18"/>
  <c r="O73" i="19" s="1"/>
  <c r="AB73" i="19" s="1"/>
  <c r="B73" i="19" s="1"/>
  <c r="L73" i="22" s="1"/>
  <c r="BO73" i="19" s="1"/>
  <c r="AF74" i="18" s="1"/>
  <c r="BB74" i="19" s="1"/>
  <c r="D72" i="18"/>
  <c r="Q72" i="19" s="1"/>
  <c r="AD72" i="19" s="1"/>
  <c r="D72" i="19" s="1"/>
  <c r="N72" i="22" s="1"/>
  <c r="BP72" i="19"/>
  <c r="AG73" i="18" s="1"/>
  <c r="BQ72" i="19"/>
  <c r="AH73" i="18" s="1"/>
  <c r="BD73" i="19" s="1"/>
  <c r="BI72" i="19"/>
  <c r="V72" i="19"/>
  <c r="AI72" i="19" s="1"/>
  <c r="I72" i="19" s="1"/>
  <c r="S72" i="22" s="1"/>
  <c r="BX72" i="19" s="1"/>
  <c r="AY72" i="20"/>
  <c r="E72" i="18"/>
  <c r="BR72" i="19"/>
  <c r="AI73" i="18" s="1"/>
  <c r="F60" i="18" l="1"/>
  <c r="U61" i="18" s="1"/>
  <c r="H60" i="18"/>
  <c r="X60" i="18"/>
  <c r="G60" i="18"/>
  <c r="X72" i="19"/>
  <c r="AK72" i="19" s="1"/>
  <c r="K72" i="19" s="1"/>
  <c r="AS60" i="18"/>
  <c r="BK72" i="19"/>
  <c r="BB59" i="20"/>
  <c r="Y59" i="19"/>
  <c r="AL59" i="19" s="1"/>
  <c r="AB60" i="18"/>
  <c r="AC60" i="18"/>
  <c r="BA72" i="20"/>
  <c r="AP73" i="18"/>
  <c r="L73" i="18" s="1"/>
  <c r="T73" i="18"/>
  <c r="BR73" i="19" s="1"/>
  <c r="AI74" i="18" s="1"/>
  <c r="S73" i="18"/>
  <c r="D73" i="18" s="1"/>
  <c r="Q73" i="19" s="1"/>
  <c r="AD73" i="19" s="1"/>
  <c r="D73" i="19" s="1"/>
  <c r="N73" i="22" s="1"/>
  <c r="AY73" i="20"/>
  <c r="V73" i="19"/>
  <c r="AI73" i="19" s="1"/>
  <c r="I73" i="19" s="1"/>
  <c r="S73" i="22" s="1"/>
  <c r="BX73" i="19" s="1"/>
  <c r="BI73" i="19"/>
  <c r="Y74" i="18"/>
  <c r="Q74" i="18"/>
  <c r="C73" i="18"/>
  <c r="BC73" i="19" s="1"/>
  <c r="R72" i="19"/>
  <c r="E72" i="19" s="1"/>
  <c r="O72" i="22" s="1"/>
  <c r="BE72" i="19"/>
  <c r="W61" i="18" l="1"/>
  <c r="BG60" i="19"/>
  <c r="AV60" i="20"/>
  <c r="T60" i="19"/>
  <c r="AG60" i="19" s="1"/>
  <c r="G60" i="19" s="1"/>
  <c r="BV60" i="19" s="1"/>
  <c r="AN61" i="18" s="1"/>
  <c r="J61" i="18" s="1"/>
  <c r="V61" i="18"/>
  <c r="S60" i="19"/>
  <c r="AF60" i="19" s="1"/>
  <c r="F60" i="19" s="1"/>
  <c r="BU60" i="19" s="1"/>
  <c r="AU60" i="20"/>
  <c r="BF60" i="19"/>
  <c r="AK61" i="18" s="1"/>
  <c r="BH60" i="19"/>
  <c r="AM61" i="18" s="1"/>
  <c r="U60" i="19"/>
  <c r="AH60" i="19" s="1"/>
  <c r="H60" i="19" s="1"/>
  <c r="R60" i="22" s="1"/>
  <c r="BW60" i="19" s="1"/>
  <c r="AW60" i="20"/>
  <c r="BS60" i="19"/>
  <c r="AJ61" i="18" s="1"/>
  <c r="I60" i="18"/>
  <c r="AX60" i="20" s="1"/>
  <c r="BZ60" i="19"/>
  <c r="N60" i="18"/>
  <c r="L59" i="19"/>
  <c r="T59" i="22" s="1"/>
  <c r="BY59" i="19" s="1"/>
  <c r="AQ60" i="18" s="1"/>
  <c r="BL60" i="19" s="1"/>
  <c r="AR61" i="18" s="1"/>
  <c r="V60" i="22"/>
  <c r="BN60" i="19"/>
  <c r="AT61" i="18" s="1"/>
  <c r="O60" i="18"/>
  <c r="E73" i="18"/>
  <c r="R73" i="19" s="1"/>
  <c r="E73" i="19" s="1"/>
  <c r="O73" i="22" s="1"/>
  <c r="BP73" i="19"/>
  <c r="AG74" i="18" s="1"/>
  <c r="BJ73" i="19"/>
  <c r="AP74" i="18" s="1"/>
  <c r="W73" i="19"/>
  <c r="AJ73" i="19" s="1"/>
  <c r="J73" i="19" s="1"/>
  <c r="AZ73" i="20"/>
  <c r="Z74" i="18"/>
  <c r="B74" i="18"/>
  <c r="O74" i="19" s="1"/>
  <c r="AB74" i="19" s="1"/>
  <c r="B74" i="19" s="1"/>
  <c r="L74" i="22" s="1"/>
  <c r="BA73" i="20"/>
  <c r="X73" i="19"/>
  <c r="AK73" i="19" s="1"/>
  <c r="K73" i="19" s="1"/>
  <c r="BK73" i="19"/>
  <c r="S74" i="18"/>
  <c r="P73" i="19"/>
  <c r="C73" i="19" s="1"/>
  <c r="R74" i="18"/>
  <c r="AA74" i="18"/>
  <c r="X61" i="18" l="1"/>
  <c r="AL61" i="18"/>
  <c r="H61" i="18" s="1"/>
  <c r="G61" i="18"/>
  <c r="V62" i="18"/>
  <c r="I61" i="18"/>
  <c r="AX61" i="20" s="1"/>
  <c r="F61" i="18"/>
  <c r="BE73" i="19"/>
  <c r="T74" i="18"/>
  <c r="E74" i="18" s="1"/>
  <c r="BM60" i="19"/>
  <c r="BC60" i="20"/>
  <c r="Z60" i="19"/>
  <c r="M60" i="19" s="1"/>
  <c r="AA60" i="19"/>
  <c r="AN60" i="19" s="1"/>
  <c r="AE61" i="18"/>
  <c r="AD61" i="18"/>
  <c r="M60" i="18"/>
  <c r="Q75" i="18"/>
  <c r="K74" i="18"/>
  <c r="L74" i="18"/>
  <c r="M73" i="22"/>
  <c r="BQ73" i="19"/>
  <c r="AH74" i="18" s="1"/>
  <c r="BD74" i="19" s="1"/>
  <c r="BO74" i="19"/>
  <c r="AF75" i="18" s="1"/>
  <c r="BB75" i="19" s="1"/>
  <c r="BP74" i="19"/>
  <c r="AG75" i="18" s="1"/>
  <c r="C74" i="18"/>
  <c r="W62" i="18" l="1"/>
  <c r="AW61" i="20"/>
  <c r="U61" i="19"/>
  <c r="AH61" i="19" s="1"/>
  <c r="H61" i="19" s="1"/>
  <c r="R61" i="22" s="1"/>
  <c r="BW61" i="19" s="1"/>
  <c r="AO62" i="18" s="1"/>
  <c r="K62" i="18" s="1"/>
  <c r="BH61" i="19"/>
  <c r="AM62" i="18" s="1"/>
  <c r="T61" i="19"/>
  <c r="AG61" i="19" s="1"/>
  <c r="G61" i="19" s="1"/>
  <c r="BV61" i="19" s="1"/>
  <c r="AN62" i="18" s="1"/>
  <c r="BG61" i="19"/>
  <c r="AV61" i="20"/>
  <c r="S61" i="19"/>
  <c r="AF61" i="19" s="1"/>
  <c r="F61" i="19" s="1"/>
  <c r="BU61" i="19" s="1"/>
  <c r="AU61" i="20"/>
  <c r="BF61" i="19"/>
  <c r="AK62" i="18" s="1"/>
  <c r="U62" i="18"/>
  <c r="X62" i="18"/>
  <c r="BR74" i="19"/>
  <c r="P61" i="18"/>
  <c r="N60" i="19"/>
  <c r="U60" i="22" s="1"/>
  <c r="CA60" i="19" s="1"/>
  <c r="AS61" i="18" s="1"/>
  <c r="BN61" i="19" s="1"/>
  <c r="AT62" i="18" s="1"/>
  <c r="X61" i="22"/>
  <c r="BS61" i="19" s="1"/>
  <c r="AJ62" i="18" s="1"/>
  <c r="AB61" i="18"/>
  <c r="Y60" i="19"/>
  <c r="AL60" i="19" s="1"/>
  <c r="BB60" i="20"/>
  <c r="AC61" i="18"/>
  <c r="AI75" i="18"/>
  <c r="Z75" i="18"/>
  <c r="BK74" i="19"/>
  <c r="X74" i="19"/>
  <c r="AK74" i="19" s="1"/>
  <c r="K74" i="19" s="1"/>
  <c r="BA74" i="20"/>
  <c r="D74" i="18"/>
  <c r="R74" i="19"/>
  <c r="E74" i="19" s="1"/>
  <c r="O74" i="22" s="1"/>
  <c r="BE74" i="19"/>
  <c r="Y75" i="18"/>
  <c r="AY74" i="20"/>
  <c r="V74" i="19"/>
  <c r="AI74" i="19" s="1"/>
  <c r="I74" i="19" s="1"/>
  <c r="S74" i="22" s="1"/>
  <c r="BX74" i="19" s="1"/>
  <c r="BI74" i="19"/>
  <c r="P74" i="19"/>
  <c r="C74" i="19" s="1"/>
  <c r="BC74" i="19"/>
  <c r="R75" i="18"/>
  <c r="AA75" i="18"/>
  <c r="B75" i="18"/>
  <c r="AZ74" i="20"/>
  <c r="BJ74" i="19"/>
  <c r="W74" i="19"/>
  <c r="AJ74" i="19" s="1"/>
  <c r="J74" i="19" s="1"/>
  <c r="AL62" i="18" l="1"/>
  <c r="H62" i="18" s="1"/>
  <c r="I62" i="18"/>
  <c r="AX62" i="20" s="1"/>
  <c r="F62" i="18"/>
  <c r="U63" i="18"/>
  <c r="G62" i="18"/>
  <c r="L60" i="19"/>
  <c r="T60" i="22" s="1"/>
  <c r="BY60" i="19" s="1"/>
  <c r="AQ61" i="18" s="1"/>
  <c r="BL61" i="19" s="1"/>
  <c r="V61" i="22"/>
  <c r="N61" i="18"/>
  <c r="BZ61" i="19"/>
  <c r="AR62" i="18" s="1"/>
  <c r="O61" i="18"/>
  <c r="AP75" i="18"/>
  <c r="L75" i="18" s="1"/>
  <c r="O75" i="19"/>
  <c r="AB75" i="19" s="1"/>
  <c r="B75" i="19" s="1"/>
  <c r="L75" i="22" s="1"/>
  <c r="BO75" i="19" s="1"/>
  <c r="AF76" i="18" s="1"/>
  <c r="BB76" i="19" s="1"/>
  <c r="Q76" i="18"/>
  <c r="M74" i="22"/>
  <c r="BQ74" i="19"/>
  <c r="AH75" i="18" s="1"/>
  <c r="BD75" i="19" s="1"/>
  <c r="Q74" i="19"/>
  <c r="AD74" i="19" s="1"/>
  <c r="D74" i="19" s="1"/>
  <c r="N74" i="22" s="1"/>
  <c r="T75" i="18"/>
  <c r="S75" i="18"/>
  <c r="C75" i="18"/>
  <c r="R76" i="18" s="1"/>
  <c r="W63" i="18" l="1"/>
  <c r="BG62" i="19"/>
  <c r="T62" i="19"/>
  <c r="AG62" i="19" s="1"/>
  <c r="G62" i="19" s="1"/>
  <c r="BV62" i="19" s="1"/>
  <c r="AN63" i="18" s="1"/>
  <c r="AV62" i="20"/>
  <c r="V63" i="18"/>
  <c r="X63" i="18"/>
  <c r="BH62" i="19"/>
  <c r="AM63" i="18" s="1"/>
  <c r="U62" i="19"/>
  <c r="AH62" i="19" s="1"/>
  <c r="H62" i="19" s="1"/>
  <c r="R62" i="22" s="1"/>
  <c r="BW62" i="19" s="1"/>
  <c r="AW62" i="20"/>
  <c r="BF62" i="19"/>
  <c r="AK63" i="18" s="1"/>
  <c r="S62" i="19"/>
  <c r="AF62" i="19" s="1"/>
  <c r="F62" i="19" s="1"/>
  <c r="BU62" i="19" s="1"/>
  <c r="AU62" i="20"/>
  <c r="BC61" i="20"/>
  <c r="Z61" i="19"/>
  <c r="M61" i="19" s="1"/>
  <c r="BM61" i="19"/>
  <c r="M61" i="18"/>
  <c r="AA61" i="19"/>
  <c r="AN61" i="19" s="1"/>
  <c r="AE62" i="18"/>
  <c r="AD62" i="18"/>
  <c r="BJ75" i="19"/>
  <c r="AZ75" i="20"/>
  <c r="W75" i="19"/>
  <c r="AJ75" i="19" s="1"/>
  <c r="J75" i="19" s="1"/>
  <c r="Z76" i="18"/>
  <c r="AY75" i="20"/>
  <c r="V75" i="19"/>
  <c r="AI75" i="19" s="1"/>
  <c r="I75" i="19" s="1"/>
  <c r="S75" i="22" s="1"/>
  <c r="BX75" i="19" s="1"/>
  <c r="BI75" i="19"/>
  <c r="BP75" i="19"/>
  <c r="AG76" i="18" s="1"/>
  <c r="D75" i="18"/>
  <c r="Q75" i="19" s="1"/>
  <c r="AD75" i="19" s="1"/>
  <c r="D75" i="19" s="1"/>
  <c r="N75" i="22" s="1"/>
  <c r="AA76" i="18"/>
  <c r="BA75" i="20"/>
  <c r="X75" i="19"/>
  <c r="AK75" i="19" s="1"/>
  <c r="K75" i="19" s="1"/>
  <c r="BK75" i="19"/>
  <c r="P75" i="19"/>
  <c r="C75" i="19" s="1"/>
  <c r="M75" i="22" s="1"/>
  <c r="BC75" i="19"/>
  <c r="Y76" i="18"/>
  <c r="E75" i="18"/>
  <c r="T76" i="18" s="1"/>
  <c r="BR75" i="19"/>
  <c r="AI76" i="18" s="1"/>
  <c r="B76" i="18"/>
  <c r="O76" i="19" s="1"/>
  <c r="AB76" i="19" s="1"/>
  <c r="B76" i="19" s="1"/>
  <c r="L76" i="22" s="1"/>
  <c r="BO76" i="19" s="1"/>
  <c r="AF77" i="18" s="1"/>
  <c r="BB77" i="19" s="1"/>
  <c r="G63" i="18" l="1"/>
  <c r="T63" i="19"/>
  <c r="AG63" i="19" s="1"/>
  <c r="G63" i="19" s="1"/>
  <c r="BV63" i="19" s="1"/>
  <c r="AN64" i="18" s="1"/>
  <c r="BG63" i="19"/>
  <c r="AV63" i="20"/>
  <c r="I63" i="18"/>
  <c r="AX63" i="20" s="1"/>
  <c r="AL63" i="18"/>
  <c r="P62" i="18"/>
  <c r="BB61" i="20"/>
  <c r="Y61" i="19"/>
  <c r="AL61" i="19" s="1"/>
  <c r="AB62" i="18"/>
  <c r="N61" i="19"/>
  <c r="U61" i="22" s="1"/>
  <c r="CA61" i="19" s="1"/>
  <c r="AS62" i="18" s="1"/>
  <c r="O62" i="18" s="1"/>
  <c r="AA62" i="19" s="1"/>
  <c r="AN62" i="19" s="1"/>
  <c r="N62" i="19" s="1"/>
  <c r="U62" i="22" s="1"/>
  <c r="CA62" i="19" s="1"/>
  <c r="X62" i="22"/>
  <c r="BS62" i="19" s="1"/>
  <c r="AJ63" i="18" s="1"/>
  <c r="AC62" i="18"/>
  <c r="Q77" i="18"/>
  <c r="B77" i="18" s="1"/>
  <c r="O77" i="19" s="1"/>
  <c r="AB77" i="19" s="1"/>
  <c r="B77" i="19" s="1"/>
  <c r="L77" i="22" s="1"/>
  <c r="AP76" i="18"/>
  <c r="L76" i="18" s="1"/>
  <c r="E76" i="18"/>
  <c r="R76" i="19" s="1"/>
  <c r="E76" i="19" s="1"/>
  <c r="O76" i="22" s="1"/>
  <c r="BR76" i="19"/>
  <c r="C76" i="18"/>
  <c r="BC76" i="19" s="1"/>
  <c r="R75" i="19"/>
  <c r="E75" i="19" s="1"/>
  <c r="O75" i="22" s="1"/>
  <c r="BE75" i="19"/>
  <c r="BQ75" i="19"/>
  <c r="AH76" i="18" s="1"/>
  <c r="BD76" i="19" s="1"/>
  <c r="J76" i="18"/>
  <c r="Y77" i="18" s="1"/>
  <c r="S76" i="18"/>
  <c r="H63" i="18" l="1"/>
  <c r="F63" i="18"/>
  <c r="L61" i="19"/>
  <c r="T61" i="22" s="1"/>
  <c r="BY61" i="19" s="1"/>
  <c r="AQ62" i="18" s="1"/>
  <c r="BL62" i="19" s="1"/>
  <c r="V62" i="22"/>
  <c r="X63" i="22"/>
  <c r="BS63" i="19" s="1"/>
  <c r="AJ64" i="18" s="1"/>
  <c r="N62" i="18"/>
  <c r="AD63" i="18" s="1"/>
  <c r="BZ62" i="19"/>
  <c r="BN62" i="19"/>
  <c r="AT63" i="18" s="1"/>
  <c r="AE63" i="18"/>
  <c r="AI77" i="18"/>
  <c r="BJ76" i="19"/>
  <c r="W76" i="19"/>
  <c r="AJ76" i="19" s="1"/>
  <c r="J76" i="19" s="1"/>
  <c r="AZ76" i="20"/>
  <c r="Z77" i="18"/>
  <c r="AY76" i="20"/>
  <c r="V76" i="19"/>
  <c r="AI76" i="19" s="1"/>
  <c r="I76" i="19" s="1"/>
  <c r="S76" i="22" s="1"/>
  <c r="BX76" i="19" s="1"/>
  <c r="BI76" i="19"/>
  <c r="BK76" i="19"/>
  <c r="BA76" i="20"/>
  <c r="X76" i="19"/>
  <c r="AK76" i="19" s="1"/>
  <c r="K76" i="19" s="1"/>
  <c r="Q78" i="18"/>
  <c r="P76" i="19"/>
  <c r="C76" i="19" s="1"/>
  <c r="M76" i="22" s="1"/>
  <c r="R77" i="18"/>
  <c r="BP76" i="19"/>
  <c r="AG77" i="18" s="1"/>
  <c r="D76" i="18"/>
  <c r="S77" i="18" s="1"/>
  <c r="BE76" i="19"/>
  <c r="AA77" i="18"/>
  <c r="AU63" i="20" l="1"/>
  <c r="BF63" i="19"/>
  <c r="AK64" i="18" s="1"/>
  <c r="S63" i="19"/>
  <c r="AF63" i="19" s="1"/>
  <c r="F63" i="19" s="1"/>
  <c r="BU63" i="19" s="1"/>
  <c r="AL64" i="18" s="1"/>
  <c r="U64" i="18"/>
  <c r="F64" i="18" s="1"/>
  <c r="V64" i="18"/>
  <c r="AW63" i="20"/>
  <c r="U63" i="19"/>
  <c r="AH63" i="19" s="1"/>
  <c r="H63" i="19" s="1"/>
  <c r="R63" i="22" s="1"/>
  <c r="BW63" i="19" s="1"/>
  <c r="BH63" i="19"/>
  <c r="AM64" i="18" s="1"/>
  <c r="W64" i="18"/>
  <c r="X64" i="18"/>
  <c r="P63" i="18"/>
  <c r="Z62" i="19"/>
  <c r="M62" i="19" s="1"/>
  <c r="BM62" i="19"/>
  <c r="AS63" i="18" s="1"/>
  <c r="BN63" i="19" s="1"/>
  <c r="AT64" i="18" s="1"/>
  <c r="BC62" i="20"/>
  <c r="AR63" i="18"/>
  <c r="AO77" i="18"/>
  <c r="M62" i="18"/>
  <c r="BP77" i="19"/>
  <c r="AG78" i="18" s="1"/>
  <c r="K77" i="18"/>
  <c r="Z78" i="18" s="1"/>
  <c r="V77" i="19"/>
  <c r="AI77" i="19" s="1"/>
  <c r="I77" i="19" s="1"/>
  <c r="S77" i="22" s="1"/>
  <c r="BX77" i="19" s="1"/>
  <c r="BI77" i="19"/>
  <c r="AY77" i="20"/>
  <c r="Q76" i="19"/>
  <c r="AD76" i="19" s="1"/>
  <c r="D76" i="19" s="1"/>
  <c r="N76" i="22" s="1"/>
  <c r="T77" i="18"/>
  <c r="BQ76" i="19"/>
  <c r="AH77" i="18" s="1"/>
  <c r="BD77" i="19" s="1"/>
  <c r="C77" i="18"/>
  <c r="P77" i="19" s="1"/>
  <c r="C77" i="19" s="1"/>
  <c r="M77" i="22" s="1"/>
  <c r="BO77" i="19"/>
  <c r="AF78" i="18" s="1"/>
  <c r="BB78" i="19" s="1"/>
  <c r="Y78" i="18"/>
  <c r="AP77" i="18"/>
  <c r="L77" i="18" s="1"/>
  <c r="I64" i="18" l="1"/>
  <c r="AX64" i="20" s="1"/>
  <c r="G64" i="18"/>
  <c r="V65" i="18" s="1"/>
  <c r="H64" i="18"/>
  <c r="U65" i="18"/>
  <c r="AU64" i="20"/>
  <c r="BF64" i="19"/>
  <c r="AK65" i="18" s="1"/>
  <c r="S64" i="19"/>
  <c r="AF64" i="19" s="1"/>
  <c r="F64" i="19" s="1"/>
  <c r="BU64" i="19" s="1"/>
  <c r="BB62" i="20"/>
  <c r="Y62" i="19"/>
  <c r="AL62" i="19" s="1"/>
  <c r="AB63" i="18"/>
  <c r="AC63" i="18"/>
  <c r="O63" i="18"/>
  <c r="AA78" i="18"/>
  <c r="BC77" i="19"/>
  <c r="D77" i="18"/>
  <c r="Q77" i="19" s="1"/>
  <c r="AD77" i="19" s="1"/>
  <c r="D77" i="19" s="1"/>
  <c r="N77" i="22" s="1"/>
  <c r="BQ77" i="19"/>
  <c r="X77" i="19"/>
  <c r="AK77" i="19" s="1"/>
  <c r="K77" i="19" s="1"/>
  <c r="BK77" i="19"/>
  <c r="BA77" i="20"/>
  <c r="BR77" i="19"/>
  <c r="AI78" i="18" s="1"/>
  <c r="E77" i="18"/>
  <c r="R78" i="18"/>
  <c r="C78" i="18" s="1"/>
  <c r="B78" i="18"/>
  <c r="AZ77" i="20"/>
  <c r="BJ77" i="19"/>
  <c r="AP78" i="18" s="1"/>
  <c r="L78" i="18" s="1"/>
  <c r="W77" i="19"/>
  <c r="AJ77" i="19" s="1"/>
  <c r="J77" i="19" s="1"/>
  <c r="X65" i="18" l="1"/>
  <c r="T64" i="19"/>
  <c r="AG64" i="19" s="1"/>
  <c r="G64" i="19" s="1"/>
  <c r="BV64" i="19" s="1"/>
  <c r="AN65" i="18" s="1"/>
  <c r="AV64" i="20"/>
  <c r="BG64" i="19"/>
  <c r="AL65" i="18" s="1"/>
  <c r="G65" i="18"/>
  <c r="U64" i="19"/>
  <c r="AH64" i="19" s="1"/>
  <c r="H64" i="19" s="1"/>
  <c r="R64" i="22" s="1"/>
  <c r="BW64" i="19" s="1"/>
  <c r="BH64" i="19"/>
  <c r="AM65" i="18" s="1"/>
  <c r="AW64" i="20"/>
  <c r="W65" i="18"/>
  <c r="AA63" i="19"/>
  <c r="AN63" i="19" s="1"/>
  <c r="BZ63" i="19"/>
  <c r="N63" i="18"/>
  <c r="L62" i="19"/>
  <c r="T62" i="22" s="1"/>
  <c r="BY62" i="19" s="1"/>
  <c r="AQ63" i="18" s="1"/>
  <c r="BL63" i="19" s="1"/>
  <c r="AR64" i="18" s="1"/>
  <c r="V63" i="22"/>
  <c r="AE64" i="18"/>
  <c r="AH78" i="18"/>
  <c r="BD78" i="19" s="1"/>
  <c r="S78" i="18"/>
  <c r="BQ78" i="19" s="1"/>
  <c r="T78" i="18"/>
  <c r="E78" i="18" s="1"/>
  <c r="R78" i="19" s="1"/>
  <c r="E78" i="19" s="1"/>
  <c r="O78" i="22" s="1"/>
  <c r="BK78" i="19"/>
  <c r="BA78" i="20"/>
  <c r="X78" i="19"/>
  <c r="AK78" i="19" s="1"/>
  <c r="K78" i="19" s="1"/>
  <c r="AA79" i="18"/>
  <c r="P78" i="19"/>
  <c r="C78" i="19" s="1"/>
  <c r="M78" i="22" s="1"/>
  <c r="BC78" i="19"/>
  <c r="AZ78" i="20"/>
  <c r="W78" i="19"/>
  <c r="AJ78" i="19" s="1"/>
  <c r="J78" i="19" s="1"/>
  <c r="BJ78" i="19"/>
  <c r="O78" i="19"/>
  <c r="AB78" i="19" s="1"/>
  <c r="B78" i="19" s="1"/>
  <c r="L78" i="22" s="1"/>
  <c r="BO78" i="19" s="1"/>
  <c r="AF79" i="18" s="1"/>
  <c r="BB79" i="19" s="1"/>
  <c r="Q79" i="18"/>
  <c r="R79" i="18"/>
  <c r="R77" i="19"/>
  <c r="E77" i="19" s="1"/>
  <c r="O77" i="22" s="1"/>
  <c r="BE77" i="19"/>
  <c r="T65" i="19" l="1"/>
  <c r="AG65" i="19" s="1"/>
  <c r="G65" i="19" s="1"/>
  <c r="BV65" i="19" s="1"/>
  <c r="AN66" i="18" s="1"/>
  <c r="J66" i="18" s="1"/>
  <c r="AV65" i="20"/>
  <c r="BG65" i="19"/>
  <c r="I65" i="18"/>
  <c r="AX65" i="20" s="1"/>
  <c r="H65" i="18"/>
  <c r="BP78" i="19"/>
  <c r="AG79" i="18" s="1"/>
  <c r="C79" i="18" s="1"/>
  <c r="P79" i="19" s="1"/>
  <c r="C79" i="19" s="1"/>
  <c r="M79" i="22" s="1"/>
  <c r="M63" i="18"/>
  <c r="BM63" i="19"/>
  <c r="Z63" i="19"/>
  <c r="M63" i="19" s="1"/>
  <c r="BC63" i="20"/>
  <c r="AB64" i="18"/>
  <c r="Y63" i="19"/>
  <c r="AL63" i="19" s="1"/>
  <c r="L63" i="19" s="1"/>
  <c r="T63" i="22" s="1"/>
  <c r="BY63" i="19" s="1"/>
  <c r="AQ64" i="18" s="1"/>
  <c r="BL64" i="19" s="1"/>
  <c r="BB63" i="20"/>
  <c r="AD64" i="18"/>
  <c r="P64" i="18"/>
  <c r="AC64" i="18"/>
  <c r="N63" i="19"/>
  <c r="U63" i="22" s="1"/>
  <c r="CA63" i="19" s="1"/>
  <c r="X64" i="22"/>
  <c r="BS64" i="19" s="1"/>
  <c r="AJ65" i="18" s="1"/>
  <c r="D78" i="18"/>
  <c r="Q78" i="19" s="1"/>
  <c r="AD78" i="19" s="1"/>
  <c r="D78" i="19" s="1"/>
  <c r="N78" i="22" s="1"/>
  <c r="BR78" i="19"/>
  <c r="AI79" i="18" s="1"/>
  <c r="AH79" i="18"/>
  <c r="BD79" i="19" s="1"/>
  <c r="S79" i="18"/>
  <c r="J78" i="18"/>
  <c r="BE78" i="19"/>
  <c r="T79" i="18"/>
  <c r="B79" i="18"/>
  <c r="O79" i="19" s="1"/>
  <c r="AB79" i="19" s="1"/>
  <c r="B79" i="19" s="1"/>
  <c r="L79" i="22" s="1"/>
  <c r="BO79" i="19" s="1"/>
  <c r="AF80" i="18" s="1"/>
  <c r="BB80" i="19" s="1"/>
  <c r="X66" i="18" l="1"/>
  <c r="U65" i="19"/>
  <c r="AH65" i="19" s="1"/>
  <c r="H65" i="19" s="1"/>
  <c r="R65" i="22" s="1"/>
  <c r="BW65" i="19" s="1"/>
  <c r="AW65" i="20"/>
  <c r="BH65" i="19"/>
  <c r="AM66" i="18" s="1"/>
  <c r="I66" i="18" s="1"/>
  <c r="F65" i="18"/>
  <c r="AS64" i="18"/>
  <c r="O64" i="18" s="1"/>
  <c r="W66" i="18"/>
  <c r="V64" i="22"/>
  <c r="N64" i="18"/>
  <c r="BZ64" i="19"/>
  <c r="AR65" i="18" s="1"/>
  <c r="M64" i="18"/>
  <c r="AC65" i="18" s="1"/>
  <c r="Q80" i="18"/>
  <c r="B80" i="18" s="1"/>
  <c r="O80" i="19" s="1"/>
  <c r="AB80" i="19" s="1"/>
  <c r="B80" i="19" s="1"/>
  <c r="L80" i="22" s="1"/>
  <c r="Y79" i="18"/>
  <c r="AY78" i="20"/>
  <c r="V78" i="19"/>
  <c r="AI78" i="19" s="1"/>
  <c r="I78" i="19" s="1"/>
  <c r="S78" i="22" s="1"/>
  <c r="BX78" i="19" s="1"/>
  <c r="AP79" i="18" s="1"/>
  <c r="BI78" i="19"/>
  <c r="Z79" i="18"/>
  <c r="E79" i="18"/>
  <c r="BR79" i="19"/>
  <c r="AI80" i="18" s="1"/>
  <c r="R80" i="18"/>
  <c r="BC79" i="19"/>
  <c r="BP79" i="19"/>
  <c r="AG80" i="18" s="1"/>
  <c r="D79" i="18"/>
  <c r="Q79" i="19" s="1"/>
  <c r="AD79" i="19" s="1"/>
  <c r="D79" i="19" s="1"/>
  <c r="N79" i="22" s="1"/>
  <c r="BQ79" i="19"/>
  <c r="BN64" i="19" l="1"/>
  <c r="AT65" i="18" s="1"/>
  <c r="AX66" i="20"/>
  <c r="BF65" i="19"/>
  <c r="AK66" i="18" s="1"/>
  <c r="S65" i="19"/>
  <c r="AF65" i="19" s="1"/>
  <c r="F65" i="19" s="1"/>
  <c r="BU65" i="19" s="1"/>
  <c r="AL66" i="18" s="1"/>
  <c r="AU65" i="20"/>
  <c r="U66" i="18"/>
  <c r="V66" i="18"/>
  <c r="BZ65" i="19"/>
  <c r="N65" i="18"/>
  <c r="AA64" i="19"/>
  <c r="AN64" i="19" s="1"/>
  <c r="AE65" i="18"/>
  <c r="AB65" i="18"/>
  <c r="Y64" i="19"/>
  <c r="AL64" i="19" s="1"/>
  <c r="BB64" i="20"/>
  <c r="AD65" i="18"/>
  <c r="Z64" i="19"/>
  <c r="M64" i="19" s="1"/>
  <c r="BC64" i="20"/>
  <c r="BM64" i="19"/>
  <c r="S80" i="18"/>
  <c r="BP80" i="19" s="1"/>
  <c r="AG81" i="18" s="1"/>
  <c r="L79" i="18"/>
  <c r="AH80" i="18"/>
  <c r="BD80" i="19" s="1"/>
  <c r="BO80" i="19"/>
  <c r="AF81" i="18" s="1"/>
  <c r="BB81" i="19" s="1"/>
  <c r="R79" i="19"/>
  <c r="E79" i="19" s="1"/>
  <c r="O79" i="22" s="1"/>
  <c r="BE79" i="19"/>
  <c r="J79" i="18"/>
  <c r="Y80" i="18" s="1"/>
  <c r="C80" i="18"/>
  <c r="P80" i="19" s="1"/>
  <c r="C80" i="19" s="1"/>
  <c r="M80" i="22" s="1"/>
  <c r="Q81" i="18"/>
  <c r="T80" i="18"/>
  <c r="G66" i="18" l="1"/>
  <c r="H66" i="18"/>
  <c r="N64" i="19"/>
  <c r="U64" i="22" s="1"/>
  <c r="CA64" i="19" s="1"/>
  <c r="AS65" i="18" s="1"/>
  <c r="O65" i="18" s="1"/>
  <c r="X65" i="22"/>
  <c r="BS65" i="19" s="1"/>
  <c r="AJ66" i="18" s="1"/>
  <c r="F66" i="18" s="1"/>
  <c r="L64" i="19"/>
  <c r="T64" i="22" s="1"/>
  <c r="BY64" i="19" s="1"/>
  <c r="AQ65" i="18" s="1"/>
  <c r="BL65" i="19" s="1"/>
  <c r="AR66" i="18" s="1"/>
  <c r="V65" i="22"/>
  <c r="Z65" i="19"/>
  <c r="M65" i="19" s="1"/>
  <c r="BM65" i="19"/>
  <c r="BC65" i="20"/>
  <c r="P65" i="18"/>
  <c r="D80" i="18"/>
  <c r="Q80" i="19" s="1"/>
  <c r="AD80" i="19" s="1"/>
  <c r="D80" i="19" s="1"/>
  <c r="N80" i="22" s="1"/>
  <c r="BJ79" i="19"/>
  <c r="W79" i="19"/>
  <c r="AJ79" i="19" s="1"/>
  <c r="J79" i="19" s="1"/>
  <c r="AZ79" i="20"/>
  <c r="Z80" i="18"/>
  <c r="AA80" i="18"/>
  <c r="X79" i="19"/>
  <c r="AK79" i="19" s="1"/>
  <c r="K79" i="19" s="1"/>
  <c r="BA79" i="20"/>
  <c r="BK79" i="19"/>
  <c r="E80" i="18"/>
  <c r="BR80" i="19"/>
  <c r="AI81" i="18" s="1"/>
  <c r="R81" i="18"/>
  <c r="C81" i="18" s="1"/>
  <c r="P81" i="19" s="1"/>
  <c r="C81" i="19" s="1"/>
  <c r="M81" i="22" s="1"/>
  <c r="B81" i="18"/>
  <c r="O81" i="19" s="1"/>
  <c r="AB81" i="19" s="1"/>
  <c r="B81" i="19" s="1"/>
  <c r="L81" i="22" s="1"/>
  <c r="BC80" i="19"/>
  <c r="BI79" i="19"/>
  <c r="V79" i="19"/>
  <c r="AI79" i="19" s="1"/>
  <c r="I79" i="19" s="1"/>
  <c r="S79" i="22" s="1"/>
  <c r="BX79" i="19" s="1"/>
  <c r="AY79" i="20"/>
  <c r="BQ80" i="19"/>
  <c r="BF66" i="19" l="1"/>
  <c r="AK67" i="18" s="1"/>
  <c r="AU66" i="20"/>
  <c r="S66" i="19"/>
  <c r="AF66" i="19" s="1"/>
  <c r="F66" i="19" s="1"/>
  <c r="BU66" i="19" s="1"/>
  <c r="U67" i="18"/>
  <c r="V67" i="18"/>
  <c r="T66" i="19"/>
  <c r="AG66" i="19" s="1"/>
  <c r="G66" i="19" s="1"/>
  <c r="BV66" i="19" s="1"/>
  <c r="AN67" i="18" s="1"/>
  <c r="AV66" i="20"/>
  <c r="BG66" i="19"/>
  <c r="AL67" i="18" s="1"/>
  <c r="AW66" i="20"/>
  <c r="BH66" i="19"/>
  <c r="AM67" i="18" s="1"/>
  <c r="U66" i="19"/>
  <c r="AH66" i="19" s="1"/>
  <c r="H66" i="19" s="1"/>
  <c r="R66" i="22" s="1"/>
  <c r="BW66" i="19" s="1"/>
  <c r="AO67" i="18" s="1"/>
  <c r="W67" i="18"/>
  <c r="X67" i="18"/>
  <c r="AE66" i="18"/>
  <c r="AA65" i="19"/>
  <c r="AN65" i="19" s="1"/>
  <c r="N65" i="19" s="1"/>
  <c r="U65" i="22" s="1"/>
  <c r="CA65" i="19" s="1"/>
  <c r="AS66" i="18" s="1"/>
  <c r="AD66" i="18"/>
  <c r="T81" i="18"/>
  <c r="BR81" i="19" s="1"/>
  <c r="M65" i="18"/>
  <c r="S81" i="18"/>
  <c r="D81" i="18" s="1"/>
  <c r="Q81" i="19" s="1"/>
  <c r="AD81" i="19" s="1"/>
  <c r="D81" i="19" s="1"/>
  <c r="N81" i="22" s="1"/>
  <c r="BN65" i="19"/>
  <c r="AT66" i="18" s="1"/>
  <c r="Q82" i="18"/>
  <c r="AH81" i="18"/>
  <c r="BD81" i="19" s="1"/>
  <c r="BI80" i="19"/>
  <c r="V80" i="19"/>
  <c r="AI80" i="19" s="1"/>
  <c r="I80" i="19" s="1"/>
  <c r="S80" i="22" s="1"/>
  <c r="BX80" i="19" s="1"/>
  <c r="AY80" i="20"/>
  <c r="Y81" i="18"/>
  <c r="BO81" i="19"/>
  <c r="AF82" i="18" s="1"/>
  <c r="BB82" i="19" s="1"/>
  <c r="R82" i="18"/>
  <c r="BC81" i="19"/>
  <c r="R80" i="19"/>
  <c r="E80" i="19" s="1"/>
  <c r="O80" i="22" s="1"/>
  <c r="BE80" i="19"/>
  <c r="AP80" i="18"/>
  <c r="L80" i="18" s="1"/>
  <c r="H67" i="18" l="1"/>
  <c r="BQ81" i="19"/>
  <c r="BP81" i="19"/>
  <c r="AG82" i="18" s="1"/>
  <c r="I67" i="18"/>
  <c r="AX67" i="20" s="1"/>
  <c r="G67" i="18"/>
  <c r="E81" i="18"/>
  <c r="R81" i="19" s="1"/>
  <c r="E81" i="19" s="1"/>
  <c r="O81" i="22" s="1"/>
  <c r="AI82" i="18"/>
  <c r="BN66" i="19"/>
  <c r="AT67" i="18" s="1"/>
  <c r="BB65" i="20"/>
  <c r="Y65" i="19"/>
  <c r="AL65" i="19" s="1"/>
  <c r="AC66" i="18"/>
  <c r="AB66" i="18"/>
  <c r="X66" i="22"/>
  <c r="BS66" i="19" s="1"/>
  <c r="AJ67" i="18" s="1"/>
  <c r="P66" i="18"/>
  <c r="O66" i="18"/>
  <c r="AA66" i="19" s="1"/>
  <c r="AN66" i="19" s="1"/>
  <c r="N66" i="19" s="1"/>
  <c r="U66" i="22" s="1"/>
  <c r="CA66" i="19" s="1"/>
  <c r="S82" i="18"/>
  <c r="BP82" i="19" s="1"/>
  <c r="AG83" i="18" s="1"/>
  <c r="AA81" i="18"/>
  <c r="X80" i="19"/>
  <c r="AK80" i="19" s="1"/>
  <c r="K80" i="19" s="1"/>
  <c r="BK80" i="19"/>
  <c r="BA80" i="20"/>
  <c r="Z81" i="18"/>
  <c r="W80" i="19"/>
  <c r="AJ80" i="19" s="1"/>
  <c r="J80" i="19" s="1"/>
  <c r="BJ80" i="19"/>
  <c r="AP81" i="18" s="1"/>
  <c r="AZ80" i="20"/>
  <c r="T82" i="18"/>
  <c r="AH82" i="18"/>
  <c r="BD82" i="19" s="1"/>
  <c r="BE81" i="19"/>
  <c r="B82" i="18"/>
  <c r="C82" i="18"/>
  <c r="P82" i="19" s="1"/>
  <c r="C82" i="19" s="1"/>
  <c r="M82" i="22" s="1"/>
  <c r="AO81" i="18"/>
  <c r="F67" i="18" l="1"/>
  <c r="X68" i="18"/>
  <c r="U67" i="19"/>
  <c r="AH67" i="19" s="1"/>
  <c r="H67" i="19" s="1"/>
  <c r="R67" i="22" s="1"/>
  <c r="BW67" i="19" s="1"/>
  <c r="AW67" i="20"/>
  <c r="BH67" i="19"/>
  <c r="AM68" i="18" s="1"/>
  <c r="T67" i="19"/>
  <c r="AG67" i="19" s="1"/>
  <c r="G67" i="19" s="1"/>
  <c r="BV67" i="19" s="1"/>
  <c r="AN68" i="18" s="1"/>
  <c r="BG67" i="19"/>
  <c r="AV67" i="20"/>
  <c r="W68" i="18"/>
  <c r="X67" i="22"/>
  <c r="BS67" i="19" s="1"/>
  <c r="AJ68" i="18" s="1"/>
  <c r="L65" i="19"/>
  <c r="T65" i="22" s="1"/>
  <c r="BY65" i="19" s="1"/>
  <c r="AQ66" i="18" s="1"/>
  <c r="BL66" i="19" s="1"/>
  <c r="AR67" i="18" s="1"/>
  <c r="V66" i="22"/>
  <c r="AE67" i="18"/>
  <c r="P67" i="18" s="1"/>
  <c r="BZ66" i="19"/>
  <c r="N66" i="18"/>
  <c r="R83" i="18"/>
  <c r="C83" i="18" s="1"/>
  <c r="P83" i="19" s="1"/>
  <c r="C83" i="19" s="1"/>
  <c r="M83" i="22" s="1"/>
  <c r="O82" i="19"/>
  <c r="AB82" i="19" s="1"/>
  <c r="B82" i="19" s="1"/>
  <c r="L82" i="22" s="1"/>
  <c r="BO82" i="19" s="1"/>
  <c r="AF83" i="18" s="1"/>
  <c r="BB83" i="19" s="1"/>
  <c r="Q83" i="18"/>
  <c r="E82" i="18"/>
  <c r="BR82" i="19"/>
  <c r="AI83" i="18" s="1"/>
  <c r="BQ82" i="19"/>
  <c r="K81" i="18"/>
  <c r="Z82" i="18" s="1"/>
  <c r="L81" i="18"/>
  <c r="BI81" i="19"/>
  <c r="V81" i="19"/>
  <c r="AI81" i="19" s="1"/>
  <c r="I81" i="19" s="1"/>
  <c r="S81" i="22" s="1"/>
  <c r="BX81" i="19" s="1"/>
  <c r="AY81" i="20"/>
  <c r="D82" i="18"/>
  <c r="BC82" i="19"/>
  <c r="Y82" i="18"/>
  <c r="I68" i="18" l="1"/>
  <c r="AX68" i="20" s="1"/>
  <c r="S67" i="19"/>
  <c r="AF67" i="19" s="1"/>
  <c r="F67" i="19" s="1"/>
  <c r="BU67" i="19" s="1"/>
  <c r="AL68" i="18" s="1"/>
  <c r="H68" i="18" s="1"/>
  <c r="AU67" i="20"/>
  <c r="BF67" i="19"/>
  <c r="AK68" i="18" s="1"/>
  <c r="V68" i="18"/>
  <c r="U68" i="18"/>
  <c r="BC66" i="20"/>
  <c r="BM66" i="19"/>
  <c r="AS67" i="18" s="1"/>
  <c r="Z66" i="19"/>
  <c r="M66" i="19" s="1"/>
  <c r="M66" i="18"/>
  <c r="AD67" i="18"/>
  <c r="AA82" i="18"/>
  <c r="Q82" i="19"/>
  <c r="AD82" i="19" s="1"/>
  <c r="D82" i="19" s="1"/>
  <c r="N82" i="22" s="1"/>
  <c r="S83" i="18"/>
  <c r="BK81" i="19"/>
  <c r="BA81" i="20"/>
  <c r="X81" i="19"/>
  <c r="AK81" i="19" s="1"/>
  <c r="K81" i="19" s="1"/>
  <c r="R82" i="19"/>
  <c r="E82" i="19" s="1"/>
  <c r="O82" i="22" s="1"/>
  <c r="BE82" i="19"/>
  <c r="BC83" i="19"/>
  <c r="AZ81" i="20"/>
  <c r="W81" i="19"/>
  <c r="AJ81" i="19" s="1"/>
  <c r="J81" i="19" s="1"/>
  <c r="BJ81" i="19"/>
  <c r="AP82" i="18" s="1"/>
  <c r="L82" i="18" s="1"/>
  <c r="AH83" i="18"/>
  <c r="BD83" i="19" s="1"/>
  <c r="B83" i="18"/>
  <c r="O83" i="19" s="1"/>
  <c r="AB83" i="19" s="1"/>
  <c r="B83" i="19" s="1"/>
  <c r="L83" i="22" s="1"/>
  <c r="BO83" i="19" s="1"/>
  <c r="AF84" i="18" s="1"/>
  <c r="BB84" i="19" s="1"/>
  <c r="T83" i="18"/>
  <c r="AW68" i="20" l="1"/>
  <c r="U68" i="19"/>
  <c r="AH68" i="19" s="1"/>
  <c r="H68" i="19" s="1"/>
  <c r="R68" i="22" s="1"/>
  <c r="BW68" i="19" s="1"/>
  <c r="BH68" i="19"/>
  <c r="AM69" i="18" s="1"/>
  <c r="G68" i="18"/>
  <c r="V69" i="18" s="1"/>
  <c r="X69" i="18"/>
  <c r="F68" i="18"/>
  <c r="U69" i="18" s="1"/>
  <c r="BN67" i="19"/>
  <c r="AT68" i="18" s="1"/>
  <c r="O67" i="18"/>
  <c r="BB66" i="20"/>
  <c r="Y66" i="19"/>
  <c r="AL66" i="19" s="1"/>
  <c r="AB67" i="18"/>
  <c r="AC67" i="18"/>
  <c r="R84" i="18"/>
  <c r="Q84" i="18"/>
  <c r="B84" i="18" s="1"/>
  <c r="O84" i="19" s="1"/>
  <c r="AB84" i="19" s="1"/>
  <c r="B84" i="19" s="1"/>
  <c r="L84" i="22" s="1"/>
  <c r="BO84" i="19" s="1"/>
  <c r="AF85" i="18" s="1"/>
  <c r="BB85" i="19" s="1"/>
  <c r="BA82" i="20"/>
  <c r="X82" i="19"/>
  <c r="AK82" i="19" s="1"/>
  <c r="K82" i="19" s="1"/>
  <c r="BK82" i="19"/>
  <c r="AA83" i="18"/>
  <c r="AZ82" i="20"/>
  <c r="W82" i="19"/>
  <c r="AJ82" i="19" s="1"/>
  <c r="J82" i="19" s="1"/>
  <c r="BJ82" i="19"/>
  <c r="Z83" i="18"/>
  <c r="V82" i="19"/>
  <c r="AI82" i="19" s="1"/>
  <c r="I82" i="19" s="1"/>
  <c r="S82" i="22" s="1"/>
  <c r="BX82" i="19" s="1"/>
  <c r="AY82" i="20"/>
  <c r="BI82" i="19"/>
  <c r="D83" i="18"/>
  <c r="Q83" i="19" s="1"/>
  <c r="AD83" i="19" s="1"/>
  <c r="D83" i="19" s="1"/>
  <c r="N83" i="22" s="1"/>
  <c r="BP83" i="19"/>
  <c r="AG84" i="18" s="1"/>
  <c r="BQ83" i="19"/>
  <c r="AH84" i="18" s="1"/>
  <c r="BD84" i="19" s="1"/>
  <c r="BR83" i="19"/>
  <c r="AI84" i="18" s="1"/>
  <c r="E83" i="18"/>
  <c r="Y83" i="18"/>
  <c r="I69" i="18" l="1"/>
  <c r="AX69" i="20" s="1"/>
  <c r="AV68" i="20"/>
  <c r="BG68" i="19"/>
  <c r="T68" i="19"/>
  <c r="AG68" i="19" s="1"/>
  <c r="G68" i="19" s="1"/>
  <c r="BV68" i="19" s="1"/>
  <c r="AN69" i="18" s="1"/>
  <c r="J69" i="18" s="1"/>
  <c r="BF68" i="19"/>
  <c r="AK69" i="18" s="1"/>
  <c r="G69" i="18" s="1"/>
  <c r="S68" i="19"/>
  <c r="AF68" i="19" s="1"/>
  <c r="F68" i="19" s="1"/>
  <c r="BU68" i="19" s="1"/>
  <c r="AU68" i="20"/>
  <c r="W69" i="18"/>
  <c r="BZ67" i="19"/>
  <c r="N67" i="18"/>
  <c r="AE68" i="18"/>
  <c r="AA67" i="19"/>
  <c r="AN67" i="19" s="1"/>
  <c r="L66" i="19"/>
  <c r="T66" i="22" s="1"/>
  <c r="BY66" i="19" s="1"/>
  <c r="AQ67" i="18" s="1"/>
  <c r="BL67" i="19" s="1"/>
  <c r="V67" i="22"/>
  <c r="S84" i="18"/>
  <c r="D84" i="18" s="1"/>
  <c r="Q84" i="19" s="1"/>
  <c r="AD84" i="19" s="1"/>
  <c r="D84" i="19" s="1"/>
  <c r="N84" i="22" s="1"/>
  <c r="Q85" i="18"/>
  <c r="B85" i="18" s="1"/>
  <c r="O85" i="19" s="1"/>
  <c r="AB85" i="19" s="1"/>
  <c r="B85" i="19" s="1"/>
  <c r="L85" i="22" s="1"/>
  <c r="R83" i="19"/>
  <c r="E83" i="19" s="1"/>
  <c r="O83" i="22" s="1"/>
  <c r="BE83" i="19"/>
  <c r="BP84" i="19"/>
  <c r="AG85" i="18" s="1"/>
  <c r="C84" i="18"/>
  <c r="BC84" i="19" s="1"/>
  <c r="T84" i="18"/>
  <c r="AP83" i="18"/>
  <c r="L83" i="18" s="1"/>
  <c r="AV69" i="20" l="1"/>
  <c r="BG69" i="19"/>
  <c r="T69" i="19"/>
  <c r="AG69" i="19" s="1"/>
  <c r="G69" i="19" s="1"/>
  <c r="BV69" i="19" s="1"/>
  <c r="AN70" i="18" s="1"/>
  <c r="J70" i="18" s="1"/>
  <c r="AL69" i="18"/>
  <c r="H69" i="18" s="1"/>
  <c r="M67" i="18"/>
  <c r="P68" i="18"/>
  <c r="BM67" i="19"/>
  <c r="Z67" i="19"/>
  <c r="M67" i="19" s="1"/>
  <c r="BC67" i="20"/>
  <c r="AD68" i="18"/>
  <c r="N67" i="19"/>
  <c r="U67" i="22" s="1"/>
  <c r="CA67" i="19" s="1"/>
  <c r="X68" i="22"/>
  <c r="BS68" i="19" s="1"/>
  <c r="AJ69" i="18" s="1"/>
  <c r="AR68" i="18"/>
  <c r="W83" i="19"/>
  <c r="AJ83" i="19" s="1"/>
  <c r="J83" i="19" s="1"/>
  <c r="BJ83" i="19"/>
  <c r="AZ83" i="20"/>
  <c r="Z84" i="18"/>
  <c r="X83" i="19"/>
  <c r="AK83" i="19" s="1"/>
  <c r="K83" i="19" s="1"/>
  <c r="BK83" i="19"/>
  <c r="BA83" i="20"/>
  <c r="AA84" i="18"/>
  <c r="BI83" i="19"/>
  <c r="AY83" i="20"/>
  <c r="V83" i="19"/>
  <c r="AI83" i="19" s="1"/>
  <c r="I83" i="19" s="1"/>
  <c r="S83" i="22" s="1"/>
  <c r="BX83" i="19" s="1"/>
  <c r="Y84" i="18"/>
  <c r="S85" i="18"/>
  <c r="BR84" i="19"/>
  <c r="AI85" i="18" s="1"/>
  <c r="E84" i="18"/>
  <c r="T85" i="18" s="1"/>
  <c r="Q86" i="18"/>
  <c r="P84" i="19"/>
  <c r="C84" i="19" s="1"/>
  <c r="R85" i="18"/>
  <c r="C85" i="18" s="1"/>
  <c r="U69" i="19" l="1"/>
  <c r="AH69" i="19" s="1"/>
  <c r="H69" i="19" s="1"/>
  <c r="R69" i="22" s="1"/>
  <c r="BW69" i="19" s="1"/>
  <c r="AW69" i="20"/>
  <c r="BH69" i="19"/>
  <c r="AM70" i="18" s="1"/>
  <c r="W70" i="18"/>
  <c r="X70" i="18"/>
  <c r="F69" i="18"/>
  <c r="AS68" i="18"/>
  <c r="BN68" i="19" s="1"/>
  <c r="AT69" i="18" s="1"/>
  <c r="Y67" i="19"/>
  <c r="AL67" i="19" s="1"/>
  <c r="BB67" i="20"/>
  <c r="AB68" i="18"/>
  <c r="AC68" i="18"/>
  <c r="P85" i="19"/>
  <c r="C85" i="19" s="1"/>
  <c r="M85" i="22" s="1"/>
  <c r="BC85" i="19"/>
  <c r="E85" i="18"/>
  <c r="R85" i="19" s="1"/>
  <c r="E85" i="19" s="1"/>
  <c r="O85" i="22" s="1"/>
  <c r="BR85" i="19"/>
  <c r="M84" i="22"/>
  <c r="BQ84" i="19"/>
  <c r="AH85" i="18" s="1"/>
  <c r="BD85" i="19" s="1"/>
  <c r="R84" i="19"/>
  <c r="E84" i="19" s="1"/>
  <c r="O84" i="22" s="1"/>
  <c r="BE84" i="19"/>
  <c r="BP85" i="19"/>
  <c r="AG86" i="18" s="1"/>
  <c r="BQ85" i="19"/>
  <c r="AP84" i="18"/>
  <c r="L84" i="18" s="1"/>
  <c r="BO85" i="19"/>
  <c r="AF86" i="18" s="1"/>
  <c r="BB86" i="19" s="1"/>
  <c r="R86" i="18"/>
  <c r="AO84" i="18"/>
  <c r="K84" i="18" s="1"/>
  <c r="BF69" i="19" l="1"/>
  <c r="AK70" i="18" s="1"/>
  <c r="AU69" i="20"/>
  <c r="S69" i="19"/>
  <c r="AF69" i="19" s="1"/>
  <c r="F69" i="19" s="1"/>
  <c r="BU69" i="19" s="1"/>
  <c r="AL70" i="18" s="1"/>
  <c r="H70" i="18" s="1"/>
  <c r="X71" i="18" s="1"/>
  <c r="U70" i="18"/>
  <c r="V70" i="18"/>
  <c r="I70" i="18"/>
  <c r="AX70" i="20" s="1"/>
  <c r="O68" i="18"/>
  <c r="AA68" i="19" s="1"/>
  <c r="AN68" i="19" s="1"/>
  <c r="N68" i="19" s="1"/>
  <c r="U68" i="22" s="1"/>
  <c r="CA68" i="19" s="1"/>
  <c r="L67" i="19"/>
  <c r="T67" i="22" s="1"/>
  <c r="BY67" i="19" s="1"/>
  <c r="AQ68" i="18" s="1"/>
  <c r="BL68" i="19" s="1"/>
  <c r="V68" i="22"/>
  <c r="N68" i="18"/>
  <c r="BZ68" i="19"/>
  <c r="AI86" i="18"/>
  <c r="AH86" i="18"/>
  <c r="BD86" i="19" s="1"/>
  <c r="B86" i="18"/>
  <c r="O86" i="19" s="1"/>
  <c r="AB86" i="19" s="1"/>
  <c r="B86" i="19" s="1"/>
  <c r="L86" i="22" s="1"/>
  <c r="BO86" i="19" s="1"/>
  <c r="AF87" i="18" s="1"/>
  <c r="BB87" i="19" s="1"/>
  <c r="D85" i="18"/>
  <c r="Q85" i="19" s="1"/>
  <c r="AD85" i="19" s="1"/>
  <c r="D85" i="19" s="1"/>
  <c r="N85" i="22" s="1"/>
  <c r="W84" i="19"/>
  <c r="AJ84" i="19" s="1"/>
  <c r="J84" i="19" s="1"/>
  <c r="BJ84" i="19"/>
  <c r="AZ84" i="20"/>
  <c r="Z85" i="18"/>
  <c r="V84" i="19"/>
  <c r="AI84" i="19" s="1"/>
  <c r="I84" i="19" s="1"/>
  <c r="S84" i="22" s="1"/>
  <c r="BX84" i="19" s="1"/>
  <c r="BI84" i="19"/>
  <c r="AY84" i="20"/>
  <c r="Y85" i="18"/>
  <c r="BK84" i="19"/>
  <c r="BA84" i="20"/>
  <c r="X84" i="19"/>
  <c r="AK84" i="19" s="1"/>
  <c r="K84" i="19" s="1"/>
  <c r="AA85" i="18"/>
  <c r="C86" i="18"/>
  <c r="P86" i="19" s="1"/>
  <c r="C86" i="19" s="1"/>
  <c r="M86" i="22" s="1"/>
  <c r="BE85" i="19"/>
  <c r="AE69" i="18" l="1"/>
  <c r="U70" i="19"/>
  <c r="AH70" i="19" s="1"/>
  <c r="H70" i="19" s="1"/>
  <c r="R70" i="22" s="1"/>
  <c r="BW70" i="19" s="1"/>
  <c r="AO71" i="18" s="1"/>
  <c r="BH70" i="19"/>
  <c r="AM71" i="18" s="1"/>
  <c r="I71" i="18" s="1"/>
  <c r="AW70" i="20"/>
  <c r="G70" i="18"/>
  <c r="AD69" i="18"/>
  <c r="X69" i="22"/>
  <c r="BS69" i="19" s="1"/>
  <c r="AJ70" i="18" s="1"/>
  <c r="F70" i="18" s="1"/>
  <c r="V71" i="18" s="1"/>
  <c r="Q87" i="18"/>
  <c r="B87" i="18" s="1"/>
  <c r="O87" i="19" s="1"/>
  <c r="AB87" i="19" s="1"/>
  <c r="B87" i="19" s="1"/>
  <c r="L87" i="22" s="1"/>
  <c r="M68" i="18"/>
  <c r="BB68" i="20" s="1"/>
  <c r="AR69" i="18"/>
  <c r="P69" i="18"/>
  <c r="BC68" i="20"/>
  <c r="Z68" i="19"/>
  <c r="M68" i="19" s="1"/>
  <c r="BM68" i="19"/>
  <c r="AS69" i="18" s="1"/>
  <c r="O69" i="18" s="1"/>
  <c r="AA69" i="19" s="1"/>
  <c r="AN69" i="19" s="1"/>
  <c r="T86" i="18"/>
  <c r="E86" i="18" s="1"/>
  <c r="S86" i="18"/>
  <c r="D86" i="18" s="1"/>
  <c r="Q86" i="19" s="1"/>
  <c r="AD86" i="19" s="1"/>
  <c r="D86" i="19" s="1"/>
  <c r="N86" i="22" s="1"/>
  <c r="J85" i="18"/>
  <c r="Y86" i="18" s="1"/>
  <c r="AO85" i="18"/>
  <c r="K85" i="18" s="1"/>
  <c r="AP85" i="18"/>
  <c r="L85" i="18" s="1"/>
  <c r="BC86" i="19"/>
  <c r="R87" i="18"/>
  <c r="AX71" i="20" l="1"/>
  <c r="S70" i="19"/>
  <c r="AF70" i="19" s="1"/>
  <c r="F70" i="19" s="1"/>
  <c r="BU70" i="19" s="1"/>
  <c r="BF70" i="19"/>
  <c r="AK71" i="18" s="1"/>
  <c r="G71" i="18" s="1"/>
  <c r="AU70" i="20"/>
  <c r="BG70" i="19"/>
  <c r="T70" i="19"/>
  <c r="AG70" i="19" s="1"/>
  <c r="G70" i="19" s="1"/>
  <c r="BV70" i="19" s="1"/>
  <c r="AN71" i="18" s="1"/>
  <c r="J71" i="18" s="1"/>
  <c r="AV70" i="20"/>
  <c r="W71" i="18"/>
  <c r="BR86" i="19"/>
  <c r="AI87" i="18" s="1"/>
  <c r="U71" i="18"/>
  <c r="Y68" i="19"/>
  <c r="AL68" i="19" s="1"/>
  <c r="N69" i="19"/>
  <c r="U69" i="22" s="1"/>
  <c r="CA69" i="19" s="1"/>
  <c r="X70" i="22"/>
  <c r="BS70" i="19" s="1"/>
  <c r="AJ71" i="18" s="1"/>
  <c r="AE70" i="18"/>
  <c r="AB69" i="18"/>
  <c r="AC69" i="18"/>
  <c r="BQ86" i="19"/>
  <c r="AH87" i="18" s="1"/>
  <c r="BD87" i="19" s="1"/>
  <c r="BN69" i="19"/>
  <c r="AT70" i="18" s="1"/>
  <c r="BP86" i="19"/>
  <c r="AG87" i="18" s="1"/>
  <c r="C87" i="18" s="1"/>
  <c r="P87" i="19" s="1"/>
  <c r="C87" i="19" s="1"/>
  <c r="M87" i="22" s="1"/>
  <c r="AA86" i="18"/>
  <c r="BK85" i="19"/>
  <c r="BA85" i="20"/>
  <c r="X85" i="19"/>
  <c r="AK85" i="19" s="1"/>
  <c r="K85" i="19" s="1"/>
  <c r="R86" i="19"/>
  <c r="E86" i="19" s="1"/>
  <c r="O86" i="22" s="1"/>
  <c r="BE86" i="19"/>
  <c r="T87" i="18"/>
  <c r="BO87" i="19"/>
  <c r="AF88" i="18" s="1"/>
  <c r="BB88" i="19" s="1"/>
  <c r="S87" i="18"/>
  <c r="AY85" i="20"/>
  <c r="V85" i="19"/>
  <c r="AI85" i="19" s="1"/>
  <c r="I85" i="19" s="1"/>
  <c r="S85" i="22" s="1"/>
  <c r="BX85" i="19" s="1"/>
  <c r="BI85" i="19"/>
  <c r="AO86" i="18" s="1"/>
  <c r="W85" i="19"/>
  <c r="AJ85" i="19" s="1"/>
  <c r="J85" i="19" s="1"/>
  <c r="AZ85" i="20"/>
  <c r="BJ85" i="19"/>
  <c r="J86" i="18"/>
  <c r="Y87" i="18" s="1"/>
  <c r="Q88" i="18"/>
  <c r="Z86" i="18"/>
  <c r="AL71" i="18" l="1"/>
  <c r="H71" i="18" s="1"/>
  <c r="F71" i="18"/>
  <c r="V72" i="18" s="1"/>
  <c r="AV71" i="20"/>
  <c r="T71" i="19"/>
  <c r="AG71" i="19" s="1"/>
  <c r="G71" i="19" s="1"/>
  <c r="BV71" i="19" s="1"/>
  <c r="AN72" i="18" s="1"/>
  <c r="J72" i="18" s="1"/>
  <c r="Y73" i="18" s="1"/>
  <c r="BG71" i="19"/>
  <c r="L68" i="19"/>
  <c r="T68" i="22" s="1"/>
  <c r="BY68" i="19" s="1"/>
  <c r="AQ69" i="18" s="1"/>
  <c r="BL69" i="19" s="1"/>
  <c r="V69" i="22"/>
  <c r="N69" i="18"/>
  <c r="BZ69" i="19"/>
  <c r="AR70" i="18" s="1"/>
  <c r="P70" i="18"/>
  <c r="K86" i="18"/>
  <c r="Z87" i="18" s="1"/>
  <c r="B88" i="18"/>
  <c r="O88" i="19" s="1"/>
  <c r="AB88" i="19" s="1"/>
  <c r="B88" i="19" s="1"/>
  <c r="L88" i="22" s="1"/>
  <c r="AP86" i="18"/>
  <c r="L86" i="18" s="1"/>
  <c r="BP87" i="19"/>
  <c r="AG88" i="18" s="1"/>
  <c r="D87" i="18"/>
  <c r="Q87" i="19" s="1"/>
  <c r="AD87" i="19" s="1"/>
  <c r="D87" i="19" s="1"/>
  <c r="N87" i="22" s="1"/>
  <c r="BQ87" i="19"/>
  <c r="AY86" i="20"/>
  <c r="BI86" i="19"/>
  <c r="V86" i="19"/>
  <c r="AI86" i="19" s="1"/>
  <c r="I86" i="19" s="1"/>
  <c r="S86" i="22" s="1"/>
  <c r="BX86" i="19" s="1"/>
  <c r="BC87" i="19"/>
  <c r="R88" i="18"/>
  <c r="BR87" i="19"/>
  <c r="AI88" i="18" s="1"/>
  <c r="E87" i="18"/>
  <c r="U71" i="19" l="1"/>
  <c r="AH71" i="19" s="1"/>
  <c r="H71" i="19" s="1"/>
  <c r="R71" i="22" s="1"/>
  <c r="BW71" i="19" s="1"/>
  <c r="AO72" i="18" s="1"/>
  <c r="K72" i="18" s="1"/>
  <c r="AW71" i="20"/>
  <c r="BH71" i="19"/>
  <c r="AM72" i="18" s="1"/>
  <c r="X72" i="18"/>
  <c r="W72" i="18"/>
  <c r="AU71" i="20"/>
  <c r="BF71" i="19"/>
  <c r="AK72" i="18" s="1"/>
  <c r="S71" i="19"/>
  <c r="AF71" i="19" s="1"/>
  <c r="F71" i="19" s="1"/>
  <c r="BU71" i="19" s="1"/>
  <c r="AL72" i="18" s="1"/>
  <c r="U72" i="18"/>
  <c r="M69" i="18"/>
  <c r="AC70" i="18" s="1"/>
  <c r="AD70" i="18"/>
  <c r="BC69" i="20"/>
  <c r="BM69" i="19"/>
  <c r="AS70" i="18" s="1"/>
  <c r="BN70" i="19" s="1"/>
  <c r="AT71" i="18" s="1"/>
  <c r="Z69" i="19"/>
  <c r="M69" i="19" s="1"/>
  <c r="AA87" i="18"/>
  <c r="Q89" i="18"/>
  <c r="S88" i="18"/>
  <c r="BP88" i="19" s="1"/>
  <c r="AG89" i="18" s="1"/>
  <c r="AO87" i="18"/>
  <c r="K87" i="18" s="1"/>
  <c r="R87" i="19"/>
  <c r="E87" i="19" s="1"/>
  <c r="O87" i="22" s="1"/>
  <c r="BE87" i="19"/>
  <c r="BO88" i="19"/>
  <c r="AF89" i="18" s="1"/>
  <c r="BB89" i="19" s="1"/>
  <c r="BA86" i="20"/>
  <c r="X86" i="19"/>
  <c r="AK86" i="19" s="1"/>
  <c r="K86" i="19" s="1"/>
  <c r="BK86" i="19"/>
  <c r="C88" i="18"/>
  <c r="P88" i="19" s="1"/>
  <c r="C88" i="19" s="1"/>
  <c r="M88" i="22" s="1"/>
  <c r="T88" i="18"/>
  <c r="AH88" i="18"/>
  <c r="BD88" i="19" s="1"/>
  <c r="BJ86" i="19"/>
  <c r="AP87" i="18" s="1"/>
  <c r="AZ86" i="20"/>
  <c r="W86" i="19"/>
  <c r="AJ86" i="19" s="1"/>
  <c r="J86" i="19" s="1"/>
  <c r="J87" i="18"/>
  <c r="H72" i="18" l="1"/>
  <c r="I72" i="18"/>
  <c r="AX72" i="20" s="1"/>
  <c r="G72" i="18"/>
  <c r="Y69" i="19"/>
  <c r="AL69" i="19" s="1"/>
  <c r="BB69" i="20"/>
  <c r="AB70" i="18"/>
  <c r="N70" i="18"/>
  <c r="BZ70" i="19"/>
  <c r="O70" i="18"/>
  <c r="B89" i="18"/>
  <c r="O89" i="19" s="1"/>
  <c r="AB89" i="19" s="1"/>
  <c r="B89" i="19" s="1"/>
  <c r="L89" i="22" s="1"/>
  <c r="BQ88" i="19"/>
  <c r="Z88" i="18"/>
  <c r="L87" i="18"/>
  <c r="R89" i="18"/>
  <c r="BI87" i="19"/>
  <c r="AO88" i="18" s="1"/>
  <c r="K88" i="18" s="1"/>
  <c r="AY87" i="20"/>
  <c r="V87" i="19"/>
  <c r="AI87" i="19" s="1"/>
  <c r="I87" i="19" s="1"/>
  <c r="S87" i="22" s="1"/>
  <c r="BX87" i="19" s="1"/>
  <c r="Y88" i="18"/>
  <c r="D88" i="18"/>
  <c r="E88" i="18"/>
  <c r="BR88" i="19"/>
  <c r="AI89" i="18" s="1"/>
  <c r="AZ87" i="20"/>
  <c r="W87" i="19"/>
  <c r="AJ87" i="19" s="1"/>
  <c r="J87" i="19" s="1"/>
  <c r="BJ87" i="19"/>
  <c r="BC88" i="19"/>
  <c r="T72" i="19" l="1"/>
  <c r="AG72" i="19" s="1"/>
  <c r="G72" i="19" s="1"/>
  <c r="BV72" i="19" s="1"/>
  <c r="AN73" i="18" s="1"/>
  <c r="J73" i="18" s="1"/>
  <c r="AV72" i="20"/>
  <c r="BG72" i="19"/>
  <c r="X73" i="18"/>
  <c r="W73" i="18"/>
  <c r="BH72" i="19"/>
  <c r="AM73" i="18" s="1"/>
  <c r="AW72" i="20"/>
  <c r="U72" i="19"/>
  <c r="AH72" i="19" s="1"/>
  <c r="H72" i="19" s="1"/>
  <c r="R72" i="22" s="1"/>
  <c r="BW72" i="19" s="1"/>
  <c r="AO73" i="18" s="1"/>
  <c r="K73" i="18" s="1"/>
  <c r="L69" i="19"/>
  <c r="T69" i="22" s="1"/>
  <c r="BY69" i="19" s="1"/>
  <c r="AQ70" i="18" s="1"/>
  <c r="BL70" i="19" s="1"/>
  <c r="AR71" i="18" s="1"/>
  <c r="V70" i="22"/>
  <c r="AD71" i="18"/>
  <c r="AE71" i="18"/>
  <c r="P71" i="18" s="1"/>
  <c r="AA70" i="19"/>
  <c r="BM70" i="19"/>
  <c r="BC70" i="20"/>
  <c r="Z70" i="19"/>
  <c r="M70" i="19" s="1"/>
  <c r="AH89" i="18"/>
  <c r="BD89" i="19" s="1"/>
  <c r="Q90" i="18"/>
  <c r="AP88" i="18"/>
  <c r="T89" i="18"/>
  <c r="E89" i="18" s="1"/>
  <c r="W88" i="19"/>
  <c r="AJ88" i="19" s="1"/>
  <c r="J88" i="19" s="1"/>
  <c r="BJ88" i="19"/>
  <c r="AZ88" i="20"/>
  <c r="C89" i="18"/>
  <c r="R90" i="18" s="1"/>
  <c r="BO89" i="19"/>
  <c r="AF90" i="18" s="1"/>
  <c r="BB90" i="19" s="1"/>
  <c r="J88" i="18"/>
  <c r="Z89" i="18" s="1"/>
  <c r="BV88" i="19"/>
  <c r="AN89" i="18" s="1"/>
  <c r="BA87" i="20"/>
  <c r="X87" i="19"/>
  <c r="AK87" i="19" s="1"/>
  <c r="K87" i="19" s="1"/>
  <c r="BK87" i="19"/>
  <c r="AA88" i="18"/>
  <c r="Q88" i="19"/>
  <c r="AD88" i="19" s="1"/>
  <c r="D88" i="19" s="1"/>
  <c r="N88" i="22" s="1"/>
  <c r="S89" i="18"/>
  <c r="R88" i="19"/>
  <c r="E88" i="19" s="1"/>
  <c r="O88" i="22" s="1"/>
  <c r="BE88" i="19"/>
  <c r="I73" i="18" l="1"/>
  <c r="AX73" i="20" s="1"/>
  <c r="M70" i="18"/>
  <c r="AN70" i="19"/>
  <c r="X71" i="22" s="1"/>
  <c r="BS71" i="19" s="1"/>
  <c r="AJ72" i="18" s="1"/>
  <c r="L88" i="18"/>
  <c r="AA89" i="18" s="1"/>
  <c r="B90" i="18"/>
  <c r="O90" i="19" s="1"/>
  <c r="AB90" i="19" s="1"/>
  <c r="B90" i="19" s="1"/>
  <c r="L90" i="22" s="1"/>
  <c r="R89" i="19"/>
  <c r="E89" i="19" s="1"/>
  <c r="O89" i="22" s="1"/>
  <c r="BE89" i="19"/>
  <c r="BR89" i="19"/>
  <c r="AI90" i="18" s="1"/>
  <c r="BP89" i="19"/>
  <c r="AG90" i="18" s="1"/>
  <c r="D89" i="18"/>
  <c r="Q89" i="19" s="1"/>
  <c r="AD89" i="19" s="1"/>
  <c r="D89" i="19" s="1"/>
  <c r="N89" i="22" s="1"/>
  <c r="Y89" i="18"/>
  <c r="J89" i="18" s="1"/>
  <c r="BO90" i="19"/>
  <c r="AF91" i="18" s="1"/>
  <c r="BB91" i="19" s="1"/>
  <c r="P89" i="19"/>
  <c r="C89" i="19" s="1"/>
  <c r="M89" i="22" s="1"/>
  <c r="BC89" i="19"/>
  <c r="AY88" i="20"/>
  <c r="V88" i="19"/>
  <c r="AI88" i="19" s="1"/>
  <c r="I88" i="19" s="1"/>
  <c r="S88" i="22" s="1"/>
  <c r="BX88" i="19" s="1"/>
  <c r="AP89" i="18" s="1"/>
  <c r="BI88" i="19"/>
  <c r="AO89" i="18" s="1"/>
  <c r="K89" i="18" s="1"/>
  <c r="F72" i="18" l="1"/>
  <c r="N70" i="19"/>
  <c r="U70" i="22" s="1"/>
  <c r="CA70" i="19" s="1"/>
  <c r="AS71" i="18" s="1"/>
  <c r="O71" i="18" s="1"/>
  <c r="X88" i="19"/>
  <c r="AK88" i="19" s="1"/>
  <c r="K88" i="19" s="1"/>
  <c r="BA88" i="20"/>
  <c r="BB70" i="20"/>
  <c r="Y70" i="19"/>
  <c r="AL70" i="19" s="1"/>
  <c r="AB71" i="18"/>
  <c r="AC71" i="18"/>
  <c r="BK88" i="19"/>
  <c r="Q91" i="18"/>
  <c r="B91" i="18" s="1"/>
  <c r="O91" i="19" s="1"/>
  <c r="AB91" i="19" s="1"/>
  <c r="B91" i="19" s="1"/>
  <c r="L91" i="22" s="1"/>
  <c r="T90" i="18"/>
  <c r="E90" i="18" s="1"/>
  <c r="S90" i="18"/>
  <c r="BP90" i="19" s="1"/>
  <c r="AG91" i="18" s="1"/>
  <c r="BJ89" i="19"/>
  <c r="AZ89" i="20"/>
  <c r="W89" i="19"/>
  <c r="AJ89" i="19" s="1"/>
  <c r="J89" i="19" s="1"/>
  <c r="Z90" i="18"/>
  <c r="L89" i="18"/>
  <c r="Y90" i="18"/>
  <c r="AY89" i="20"/>
  <c r="BI89" i="19"/>
  <c r="AO90" i="18" s="1"/>
  <c r="V89" i="19"/>
  <c r="AI89" i="19" s="1"/>
  <c r="I89" i="19" s="1"/>
  <c r="S89" i="22" s="1"/>
  <c r="BX89" i="19" s="1"/>
  <c r="BQ89" i="19"/>
  <c r="AH90" i="18" s="1"/>
  <c r="BD90" i="19" s="1"/>
  <c r="C90" i="18"/>
  <c r="BC90" i="19" s="1"/>
  <c r="BN71" i="19" l="1"/>
  <c r="AT72" i="18" s="1"/>
  <c r="BF72" i="19"/>
  <c r="AK73" i="18" s="1"/>
  <c r="AU72" i="20"/>
  <c r="S72" i="19"/>
  <c r="AF72" i="19" s="1"/>
  <c r="F72" i="19" s="1"/>
  <c r="BU72" i="19" s="1"/>
  <c r="AL73" i="18" s="1"/>
  <c r="U73" i="18"/>
  <c r="V73" i="18"/>
  <c r="L70" i="19"/>
  <c r="T70" i="22" s="1"/>
  <c r="BY70" i="19" s="1"/>
  <c r="AQ71" i="18" s="1"/>
  <c r="BL71" i="19" s="1"/>
  <c r="V71" i="22"/>
  <c r="N71" i="18"/>
  <c r="BZ71" i="19"/>
  <c r="AA71" i="19"/>
  <c r="AE72" i="18"/>
  <c r="P72" i="18" s="1"/>
  <c r="BR90" i="19"/>
  <c r="AI91" i="18" s="1"/>
  <c r="Q92" i="18"/>
  <c r="D90" i="18"/>
  <c r="Q90" i="19" s="1"/>
  <c r="AD90" i="19" s="1"/>
  <c r="D90" i="19" s="1"/>
  <c r="N90" i="22" s="1"/>
  <c r="AP90" i="18"/>
  <c r="R90" i="19"/>
  <c r="E90" i="19" s="1"/>
  <c r="O90" i="22" s="1"/>
  <c r="BE90" i="19"/>
  <c r="P90" i="19"/>
  <c r="C90" i="19" s="1"/>
  <c r="R91" i="18"/>
  <c r="J90" i="18"/>
  <c r="Y91" i="18" s="1"/>
  <c r="BA89" i="20"/>
  <c r="X89" i="19"/>
  <c r="AK89" i="19" s="1"/>
  <c r="K89" i="19" s="1"/>
  <c r="BK89" i="19"/>
  <c r="K90" i="18"/>
  <c r="AA90" i="18"/>
  <c r="H73" i="18" l="1"/>
  <c r="G73" i="18"/>
  <c r="M71" i="18"/>
  <c r="AB72" i="18" s="1"/>
  <c r="BM71" i="19"/>
  <c r="Z71" i="19"/>
  <c r="M71" i="19" s="1"/>
  <c r="BC71" i="20"/>
  <c r="Y71" i="19"/>
  <c r="AL71" i="19" s="1"/>
  <c r="L71" i="19" s="1"/>
  <c r="T71" i="22" s="1"/>
  <c r="BY71" i="19" s="1"/>
  <c r="AQ72" i="18" s="1"/>
  <c r="BL72" i="19" s="1"/>
  <c r="Z91" i="18"/>
  <c r="AD72" i="18"/>
  <c r="AR72" i="18"/>
  <c r="AN71" i="19"/>
  <c r="X72" i="22" s="1"/>
  <c r="BS72" i="19" s="1"/>
  <c r="AJ73" i="18" s="1"/>
  <c r="S91" i="18"/>
  <c r="BP91" i="19" s="1"/>
  <c r="AG92" i="18" s="1"/>
  <c r="T91" i="18"/>
  <c r="E91" i="18" s="1"/>
  <c r="M90" i="22"/>
  <c r="BQ90" i="19"/>
  <c r="AH91" i="18" s="1"/>
  <c r="BD91" i="19" s="1"/>
  <c r="BJ90" i="19"/>
  <c r="AZ90" i="20"/>
  <c r="W90" i="19"/>
  <c r="AJ90" i="19" s="1"/>
  <c r="J90" i="19" s="1"/>
  <c r="BI90" i="19"/>
  <c r="V90" i="19"/>
  <c r="AI90" i="19" s="1"/>
  <c r="I90" i="19" s="1"/>
  <c r="S90" i="22" s="1"/>
  <c r="BX90" i="19" s="1"/>
  <c r="AY90" i="20"/>
  <c r="L90" i="18"/>
  <c r="BO91" i="19"/>
  <c r="AF92" i="18" s="1"/>
  <c r="C91" i="18"/>
  <c r="AW73" i="20" l="1"/>
  <c r="BH73" i="19"/>
  <c r="AM74" i="18" s="1"/>
  <c r="U73" i="19"/>
  <c r="AH73" i="19" s="1"/>
  <c r="H73" i="19" s="1"/>
  <c r="R73" i="22" s="1"/>
  <c r="BW73" i="19" s="1"/>
  <c r="AO74" i="18" s="1"/>
  <c r="W74" i="18"/>
  <c r="X74" i="18"/>
  <c r="T73" i="19"/>
  <c r="AG73" i="19" s="1"/>
  <c r="G73" i="19" s="1"/>
  <c r="BV73" i="19" s="1"/>
  <c r="AN74" i="18" s="1"/>
  <c r="J74" i="18" s="1"/>
  <c r="BG73" i="19"/>
  <c r="AV73" i="20"/>
  <c r="F73" i="18"/>
  <c r="AC72" i="18"/>
  <c r="BZ72" i="19" s="1"/>
  <c r="AR73" i="18" s="1"/>
  <c r="BB71" i="20"/>
  <c r="V72" i="22"/>
  <c r="M72" i="18"/>
  <c r="N71" i="19"/>
  <c r="U71" i="22" s="1"/>
  <c r="CA71" i="19" s="1"/>
  <c r="AS72" i="18" s="1"/>
  <c r="BR91" i="19"/>
  <c r="AI92" i="18" s="1"/>
  <c r="D91" i="18"/>
  <c r="Q91" i="19" s="1"/>
  <c r="AD91" i="19" s="1"/>
  <c r="D91" i="19" s="1"/>
  <c r="N91" i="22" s="1"/>
  <c r="AP91" i="18"/>
  <c r="BA90" i="20"/>
  <c r="X90" i="19"/>
  <c r="AK90" i="19" s="1"/>
  <c r="K90" i="19" s="1"/>
  <c r="BK90" i="19"/>
  <c r="P91" i="19"/>
  <c r="C91" i="19" s="1"/>
  <c r="BC91" i="19"/>
  <c r="Y92" i="18"/>
  <c r="BI91" i="19"/>
  <c r="V91" i="19"/>
  <c r="AI91" i="19" s="1"/>
  <c r="I91" i="19" s="1"/>
  <c r="S91" i="22" s="1"/>
  <c r="AY91" i="20"/>
  <c r="R92" i="18"/>
  <c r="BB92" i="19"/>
  <c r="B92" i="18"/>
  <c r="AA91" i="18"/>
  <c r="R91" i="19"/>
  <c r="E91" i="19" s="1"/>
  <c r="O91" i="22" s="1"/>
  <c r="BE91" i="19"/>
  <c r="BF73" i="19" l="1"/>
  <c r="AK74" i="18" s="1"/>
  <c r="AU73" i="20"/>
  <c r="S73" i="19"/>
  <c r="AF73" i="19" s="1"/>
  <c r="F73" i="19" s="1"/>
  <c r="BU73" i="19" s="1"/>
  <c r="U74" i="18"/>
  <c r="I74" i="18"/>
  <c r="AX74" i="20" s="1"/>
  <c r="AL74" i="18"/>
  <c r="H74" i="18" s="1"/>
  <c r="V74" i="18"/>
  <c r="N72" i="18"/>
  <c r="BM72" i="19"/>
  <c r="Z72" i="19"/>
  <c r="M72" i="19" s="1"/>
  <c r="BC72" i="20"/>
  <c r="AB73" i="18"/>
  <c r="BB72" i="20"/>
  <c r="Y72" i="19"/>
  <c r="AC73" i="18"/>
  <c r="BN72" i="19"/>
  <c r="AT73" i="18" s="1"/>
  <c r="O72" i="18"/>
  <c r="T92" i="18"/>
  <c r="S92" i="18"/>
  <c r="BP92" i="19" s="1"/>
  <c r="AG93" i="18" s="1"/>
  <c r="W91" i="19"/>
  <c r="AJ91" i="19" s="1"/>
  <c r="J91" i="19" s="1"/>
  <c r="BJ91" i="19"/>
  <c r="AZ91" i="20"/>
  <c r="Z92" i="18"/>
  <c r="C92" i="18"/>
  <c r="L91" i="18"/>
  <c r="AA92" i="18" s="1"/>
  <c r="O92" i="19"/>
  <c r="AB92" i="19" s="1"/>
  <c r="B92" i="19" s="1"/>
  <c r="L92" i="22" s="1"/>
  <c r="BO92" i="19" s="1"/>
  <c r="AF93" i="18" s="1"/>
  <c r="BB93" i="19" s="1"/>
  <c r="Q93" i="18"/>
  <c r="BX91" i="19"/>
  <c r="M91" i="22"/>
  <c r="BQ91" i="19"/>
  <c r="AH92" i="18" s="1"/>
  <c r="E92" i="18"/>
  <c r="BR92" i="19"/>
  <c r="G74" i="18" l="1"/>
  <c r="X75" i="18"/>
  <c r="AW74" i="20"/>
  <c r="BH74" i="19"/>
  <c r="AM75" i="18" s="1"/>
  <c r="U74" i="19"/>
  <c r="AH74" i="19" s="1"/>
  <c r="H74" i="19" s="1"/>
  <c r="R74" i="22" s="1"/>
  <c r="BW74" i="19" s="1"/>
  <c r="AO75" i="18" s="1"/>
  <c r="K75" i="18" s="1"/>
  <c r="W75" i="18"/>
  <c r="N73" i="18"/>
  <c r="BZ73" i="19"/>
  <c r="AL72" i="19"/>
  <c r="V73" i="22" s="1"/>
  <c r="AA72" i="19"/>
  <c r="AN72" i="19" s="1"/>
  <c r="AD73" i="18"/>
  <c r="AE73" i="18"/>
  <c r="AP92" i="18"/>
  <c r="L92" i="18" s="1"/>
  <c r="R92" i="19"/>
  <c r="E92" i="19" s="1"/>
  <c r="O92" i="22" s="1"/>
  <c r="BE92" i="19"/>
  <c r="B93" i="18"/>
  <c r="O93" i="19" s="1"/>
  <c r="AB93" i="19" s="1"/>
  <c r="B93" i="19" s="1"/>
  <c r="L93" i="22" s="1"/>
  <c r="AY92" i="20"/>
  <c r="V92" i="19"/>
  <c r="AI92" i="19" s="1"/>
  <c r="I92" i="19" s="1"/>
  <c r="S92" i="22" s="1"/>
  <c r="BX92" i="19" s="1"/>
  <c r="BI92" i="19"/>
  <c r="BD92" i="19"/>
  <c r="AI93" i="18" s="1"/>
  <c r="D92" i="18"/>
  <c r="T93" i="18" s="1"/>
  <c r="P92" i="19"/>
  <c r="C92" i="19" s="1"/>
  <c r="BC92" i="19"/>
  <c r="BA91" i="20"/>
  <c r="X91" i="19"/>
  <c r="AK91" i="19" s="1"/>
  <c r="K91" i="19" s="1"/>
  <c r="BK91" i="19"/>
  <c r="Y93" i="18"/>
  <c r="R93" i="18"/>
  <c r="I75" i="18" l="1"/>
  <c r="AX75" i="20" s="1"/>
  <c r="BG74" i="19"/>
  <c r="T74" i="19"/>
  <c r="AG74" i="19" s="1"/>
  <c r="G74" i="19" s="1"/>
  <c r="BV74" i="19" s="1"/>
  <c r="AN75" i="18" s="1"/>
  <c r="J75" i="18" s="1"/>
  <c r="AV74" i="20"/>
  <c r="L72" i="19"/>
  <c r="T72" i="22" s="1"/>
  <c r="BY72" i="19" s="1"/>
  <c r="AQ73" i="18" s="1"/>
  <c r="BM73" i="19"/>
  <c r="Z73" i="19"/>
  <c r="M73" i="19" s="1"/>
  <c r="BC73" i="20"/>
  <c r="P73" i="18"/>
  <c r="N72" i="19"/>
  <c r="U72" i="22" s="1"/>
  <c r="CA72" i="19" s="1"/>
  <c r="AS73" i="18" s="1"/>
  <c r="BN73" i="19" s="1"/>
  <c r="AT74" i="18" s="1"/>
  <c r="X73" i="22"/>
  <c r="BS73" i="19" s="1"/>
  <c r="AJ74" i="18" s="1"/>
  <c r="Q94" i="18"/>
  <c r="Z93" i="18"/>
  <c r="AZ92" i="20"/>
  <c r="W92" i="19"/>
  <c r="AJ92" i="19" s="1"/>
  <c r="J92" i="19" s="1"/>
  <c r="BJ92" i="19"/>
  <c r="AP93" i="18" s="1"/>
  <c r="AA93" i="18"/>
  <c r="X92" i="19"/>
  <c r="AK92" i="19" s="1"/>
  <c r="K92" i="19" s="1"/>
  <c r="BA92" i="20"/>
  <c r="BK92" i="19"/>
  <c r="BO93" i="19"/>
  <c r="AF94" i="18" s="1"/>
  <c r="BB94" i="19" s="1"/>
  <c r="J93" i="18"/>
  <c r="Y94" i="18" s="1"/>
  <c r="M92" i="22"/>
  <c r="BQ92" i="19"/>
  <c r="AH93" i="18" s="1"/>
  <c r="BD93" i="19" s="1"/>
  <c r="E93" i="18"/>
  <c r="R93" i="19" s="1"/>
  <c r="E93" i="19" s="1"/>
  <c r="O93" i="22" s="1"/>
  <c r="BR93" i="19"/>
  <c r="C93" i="18"/>
  <c r="Q92" i="19"/>
  <c r="AD92" i="19" s="1"/>
  <c r="D92" i="19" s="1"/>
  <c r="N92" i="22" s="1"/>
  <c r="S93" i="18"/>
  <c r="F74" i="18" l="1"/>
  <c r="BL73" i="19"/>
  <c r="AR74" i="18" s="1"/>
  <c r="M73" i="18"/>
  <c r="O73" i="18"/>
  <c r="AI94" i="18"/>
  <c r="L93" i="18"/>
  <c r="X93" i="19" s="1"/>
  <c r="AK93" i="19" s="1"/>
  <c r="K93" i="19" s="1"/>
  <c r="P93" i="19"/>
  <c r="C93" i="19" s="1"/>
  <c r="M93" i="22" s="1"/>
  <c r="BC93" i="19"/>
  <c r="BP93" i="19"/>
  <c r="AG94" i="18" s="1"/>
  <c r="D93" i="18"/>
  <c r="S94" i="18" s="1"/>
  <c r="B94" i="18"/>
  <c r="BI93" i="19"/>
  <c r="AY93" i="20"/>
  <c r="V93" i="19"/>
  <c r="AI93" i="19" s="1"/>
  <c r="I93" i="19" s="1"/>
  <c r="S93" i="22" s="1"/>
  <c r="BX93" i="19" s="1"/>
  <c r="R94" i="18"/>
  <c r="BE93" i="19"/>
  <c r="S74" i="19" l="1"/>
  <c r="AF74" i="19" s="1"/>
  <c r="F74" i="19" s="1"/>
  <c r="BU74" i="19" s="1"/>
  <c r="AL75" i="18" s="1"/>
  <c r="AU74" i="20"/>
  <c r="BF74" i="19"/>
  <c r="AK75" i="18" s="1"/>
  <c r="U75" i="18"/>
  <c r="V75" i="18"/>
  <c r="Y73" i="19"/>
  <c r="BB73" i="20"/>
  <c r="AC74" i="18"/>
  <c r="AB74" i="18"/>
  <c r="AA73" i="19"/>
  <c r="AN73" i="19" s="1"/>
  <c r="AE74" i="18"/>
  <c r="AD74" i="18"/>
  <c r="BK93" i="19"/>
  <c r="BA93" i="20"/>
  <c r="BQ93" i="19"/>
  <c r="AH94" i="18" s="1"/>
  <c r="BD94" i="19" s="1"/>
  <c r="W93" i="19"/>
  <c r="AJ93" i="19" s="1"/>
  <c r="J93" i="19" s="1"/>
  <c r="AZ93" i="20"/>
  <c r="BJ93" i="19"/>
  <c r="AP94" i="18" s="1"/>
  <c r="Z94" i="18"/>
  <c r="AA94" i="18"/>
  <c r="BP94" i="19"/>
  <c r="AG95" i="18" s="1"/>
  <c r="O94" i="19"/>
  <c r="AB94" i="19" s="1"/>
  <c r="B94" i="19" s="1"/>
  <c r="L94" i="22" s="1"/>
  <c r="BO94" i="19" s="1"/>
  <c r="AF95" i="18" s="1"/>
  <c r="BB95" i="19" s="1"/>
  <c r="Q95" i="18"/>
  <c r="C94" i="18"/>
  <c r="P94" i="19" s="1"/>
  <c r="C94" i="19" s="1"/>
  <c r="M94" i="22" s="1"/>
  <c r="Q93" i="19"/>
  <c r="AD93" i="19" s="1"/>
  <c r="D93" i="19" s="1"/>
  <c r="N93" i="22" s="1"/>
  <c r="T94" i="18"/>
  <c r="G75" i="18" l="1"/>
  <c r="H75" i="18"/>
  <c r="N74" i="18"/>
  <c r="BZ74" i="19"/>
  <c r="AL73" i="19"/>
  <c r="V74" i="22" s="1"/>
  <c r="P74" i="18"/>
  <c r="N73" i="19"/>
  <c r="U73" i="22" s="1"/>
  <c r="CA73" i="19" s="1"/>
  <c r="AS74" i="18" s="1"/>
  <c r="X74" i="22"/>
  <c r="BS74" i="19" s="1"/>
  <c r="AJ75" i="18" s="1"/>
  <c r="BC94" i="19"/>
  <c r="R95" i="18"/>
  <c r="C95" i="18" s="1"/>
  <c r="P95" i="19" s="1"/>
  <c r="C95" i="19" s="1"/>
  <c r="M95" i="22" s="1"/>
  <c r="E94" i="18"/>
  <c r="BR94" i="19"/>
  <c r="AI95" i="18" s="1"/>
  <c r="K94" i="18"/>
  <c r="Z95" i="18" s="1"/>
  <c r="D94" i="18"/>
  <c r="B95" i="18"/>
  <c r="O95" i="19" s="1"/>
  <c r="AB95" i="19" s="1"/>
  <c r="B95" i="19" s="1"/>
  <c r="L95" i="22" s="1"/>
  <c r="BI94" i="19"/>
  <c r="V94" i="19"/>
  <c r="AI94" i="19" s="1"/>
  <c r="I94" i="19" s="1"/>
  <c r="S94" i="22" s="1"/>
  <c r="BX94" i="19" s="1"/>
  <c r="AY94" i="20"/>
  <c r="Y95" i="18"/>
  <c r="BQ94" i="19"/>
  <c r="L94" i="18"/>
  <c r="W76" i="18" l="1"/>
  <c r="AW75" i="20"/>
  <c r="U75" i="19"/>
  <c r="AH75" i="19" s="1"/>
  <c r="H75" i="19" s="1"/>
  <c r="R75" i="22" s="1"/>
  <c r="BW75" i="19" s="1"/>
  <c r="AO76" i="18" s="1"/>
  <c r="K76" i="18" s="1"/>
  <c r="BH75" i="19"/>
  <c r="AM76" i="18" s="1"/>
  <c r="X76" i="18"/>
  <c r="AV75" i="20"/>
  <c r="BG75" i="19"/>
  <c r="T75" i="19"/>
  <c r="AG75" i="19" s="1"/>
  <c r="G75" i="19" s="1"/>
  <c r="BV75" i="19" s="1"/>
  <c r="AN76" i="18" s="1"/>
  <c r="F75" i="18"/>
  <c r="L73" i="19"/>
  <c r="T73" i="22" s="1"/>
  <c r="BY73" i="19" s="1"/>
  <c r="AQ74" i="18" s="1"/>
  <c r="BC74" i="20"/>
  <c r="Z74" i="19"/>
  <c r="M74" i="19" s="1"/>
  <c r="BM74" i="19"/>
  <c r="BN74" i="19"/>
  <c r="AT75" i="18" s="1"/>
  <c r="O74" i="18"/>
  <c r="AH95" i="18"/>
  <c r="BD95" i="19" s="1"/>
  <c r="BO95" i="19"/>
  <c r="AF96" i="18" s="1"/>
  <c r="BB96" i="19" s="1"/>
  <c r="AO95" i="18"/>
  <c r="K95" i="18" s="1"/>
  <c r="BC95" i="19"/>
  <c r="Q94" i="19"/>
  <c r="AD94" i="19" s="1"/>
  <c r="D94" i="19" s="1"/>
  <c r="N94" i="22" s="1"/>
  <c r="S95" i="18"/>
  <c r="T95" i="18"/>
  <c r="BJ94" i="19"/>
  <c r="AP95" i="18" s="1"/>
  <c r="AZ94" i="20"/>
  <c r="W94" i="19"/>
  <c r="AJ94" i="19" s="1"/>
  <c r="J94" i="19" s="1"/>
  <c r="X94" i="19"/>
  <c r="AK94" i="19" s="1"/>
  <c r="K94" i="19" s="1"/>
  <c r="BK94" i="19"/>
  <c r="BA94" i="20"/>
  <c r="R96" i="18"/>
  <c r="AA95" i="18"/>
  <c r="Q96" i="18"/>
  <c r="R94" i="19"/>
  <c r="E94" i="19" s="1"/>
  <c r="O94" i="22" s="1"/>
  <c r="BE94" i="19"/>
  <c r="BF75" i="19" l="1"/>
  <c r="AK76" i="18" s="1"/>
  <c r="S75" i="19"/>
  <c r="AF75" i="19" s="1"/>
  <c r="F75" i="19" s="1"/>
  <c r="BU75" i="19" s="1"/>
  <c r="AL76" i="18" s="1"/>
  <c r="H76" i="18" s="1"/>
  <c r="AU75" i="20"/>
  <c r="U76" i="18"/>
  <c r="V76" i="18"/>
  <c r="I76" i="18"/>
  <c r="AX76" i="20" s="1"/>
  <c r="BL74" i="19"/>
  <c r="AR75" i="18" s="1"/>
  <c r="M74" i="18"/>
  <c r="AA74" i="19"/>
  <c r="AN74" i="19" s="1"/>
  <c r="AD75" i="18"/>
  <c r="AE75" i="18"/>
  <c r="BI95" i="19"/>
  <c r="AY95" i="20"/>
  <c r="V95" i="19"/>
  <c r="AI95" i="19" s="1"/>
  <c r="I95" i="19" s="1"/>
  <c r="S95" i="22" s="1"/>
  <c r="BX95" i="19" s="1"/>
  <c r="Y96" i="18"/>
  <c r="W95" i="19"/>
  <c r="AJ95" i="19" s="1"/>
  <c r="J95" i="19" s="1"/>
  <c r="AZ95" i="20"/>
  <c r="BJ95" i="19"/>
  <c r="B96" i="18"/>
  <c r="O96" i="19" s="1"/>
  <c r="AB96" i="19" s="1"/>
  <c r="B96" i="19" s="1"/>
  <c r="L96" i="22" s="1"/>
  <c r="BO96" i="19" s="1"/>
  <c r="AF97" i="18" s="1"/>
  <c r="BB97" i="19" s="1"/>
  <c r="L95" i="18"/>
  <c r="AA96" i="18" s="1"/>
  <c r="BR95" i="19"/>
  <c r="AI96" i="18" s="1"/>
  <c r="E95" i="18"/>
  <c r="D95" i="18"/>
  <c r="Q95" i="19" s="1"/>
  <c r="AD95" i="19" s="1"/>
  <c r="D95" i="19" s="1"/>
  <c r="N95" i="22" s="1"/>
  <c r="BP95" i="19"/>
  <c r="AG96" i="18" s="1"/>
  <c r="BQ95" i="19"/>
  <c r="AH96" i="18" s="1"/>
  <c r="BD96" i="19" s="1"/>
  <c r="Z96" i="18"/>
  <c r="BH76" i="19" l="1"/>
  <c r="AM77" i="18" s="1"/>
  <c r="U76" i="19"/>
  <c r="AH76" i="19" s="1"/>
  <c r="H76" i="19" s="1"/>
  <c r="R76" i="22" s="1"/>
  <c r="BW76" i="19" s="1"/>
  <c r="AW76" i="20"/>
  <c r="W77" i="18"/>
  <c r="G76" i="18"/>
  <c r="X77" i="18"/>
  <c r="BB74" i="20"/>
  <c r="Y74" i="19"/>
  <c r="AC75" i="18"/>
  <c r="AB75" i="18"/>
  <c r="P75" i="18"/>
  <c r="N74" i="19"/>
  <c r="U74" i="22" s="1"/>
  <c r="CA74" i="19" s="1"/>
  <c r="AS75" i="18" s="1"/>
  <c r="BN75" i="19" s="1"/>
  <c r="AT76" i="18" s="1"/>
  <c r="X75" i="22"/>
  <c r="BS75" i="19" s="1"/>
  <c r="AJ76" i="18" s="1"/>
  <c r="AP96" i="18"/>
  <c r="L96" i="18" s="1"/>
  <c r="Q97" i="18"/>
  <c r="B97" i="18" s="1"/>
  <c r="O97" i="19" s="1"/>
  <c r="AB97" i="19" s="1"/>
  <c r="B97" i="19" s="1"/>
  <c r="L97" i="22" s="1"/>
  <c r="T96" i="18"/>
  <c r="BR96" i="19" s="1"/>
  <c r="AI97" i="18" s="1"/>
  <c r="BA95" i="20"/>
  <c r="X95" i="19"/>
  <c r="AK95" i="19" s="1"/>
  <c r="K95" i="19" s="1"/>
  <c r="BK95" i="19"/>
  <c r="S96" i="18"/>
  <c r="R95" i="19"/>
  <c r="E95" i="19" s="1"/>
  <c r="O95" i="22" s="1"/>
  <c r="BE95" i="19"/>
  <c r="C96" i="18"/>
  <c r="BG76" i="19" l="1"/>
  <c r="T76" i="19"/>
  <c r="AG76" i="19" s="1"/>
  <c r="G76" i="19" s="1"/>
  <c r="BV76" i="19" s="1"/>
  <c r="AN77" i="18" s="1"/>
  <c r="J77" i="18" s="1"/>
  <c r="AV76" i="20"/>
  <c r="I77" i="18"/>
  <c r="AX77" i="20" s="1"/>
  <c r="F76" i="18"/>
  <c r="N75" i="18"/>
  <c r="BZ75" i="19"/>
  <c r="AL74" i="19"/>
  <c r="V75" i="22" s="1"/>
  <c r="O75" i="18"/>
  <c r="X96" i="19"/>
  <c r="AK96" i="19" s="1"/>
  <c r="K96" i="19" s="1"/>
  <c r="BK96" i="19"/>
  <c r="BA96" i="20"/>
  <c r="Q98" i="18"/>
  <c r="E96" i="18"/>
  <c r="AY96" i="20"/>
  <c r="V96" i="19"/>
  <c r="AI96" i="19" s="1"/>
  <c r="I96" i="19" s="1"/>
  <c r="S96" i="22" s="1"/>
  <c r="BX96" i="19" s="1"/>
  <c r="BI96" i="19"/>
  <c r="D96" i="18"/>
  <c r="S97" i="18" s="1"/>
  <c r="BP96" i="19"/>
  <c r="AG97" i="18" s="1"/>
  <c r="P96" i="19"/>
  <c r="C96" i="19" s="1"/>
  <c r="M96" i="22" s="1"/>
  <c r="R97" i="18"/>
  <c r="BC96" i="19"/>
  <c r="Y97" i="18"/>
  <c r="U77" i="18" l="1"/>
  <c r="S76" i="19"/>
  <c r="AF76" i="19" s="1"/>
  <c r="F76" i="19" s="1"/>
  <c r="BU76" i="19" s="1"/>
  <c r="AL77" i="18" s="1"/>
  <c r="BF76" i="19"/>
  <c r="AK77" i="18" s="1"/>
  <c r="AU76" i="20"/>
  <c r="V77" i="18"/>
  <c r="L74" i="19"/>
  <c r="T74" i="22" s="1"/>
  <c r="BY74" i="19" s="1"/>
  <c r="AQ75" i="18" s="1"/>
  <c r="BM75" i="19"/>
  <c r="BC75" i="20"/>
  <c r="Z75" i="19"/>
  <c r="M75" i="19" s="1"/>
  <c r="AA75" i="19"/>
  <c r="AE76" i="18"/>
  <c r="AD76" i="18"/>
  <c r="BQ96" i="19"/>
  <c r="AH97" i="18" s="1"/>
  <c r="BD97" i="19" s="1"/>
  <c r="R96" i="19"/>
  <c r="E96" i="19" s="1"/>
  <c r="O96" i="22" s="1"/>
  <c r="BE96" i="19"/>
  <c r="C97" i="18"/>
  <c r="P97" i="19" s="1"/>
  <c r="C97" i="19" s="1"/>
  <c r="M97" i="22" s="1"/>
  <c r="Q96" i="19"/>
  <c r="AD96" i="19" s="1"/>
  <c r="D96" i="19" s="1"/>
  <c r="N96" i="22" s="1"/>
  <c r="T97" i="18"/>
  <c r="AZ96" i="20"/>
  <c r="W96" i="19"/>
  <c r="AJ96" i="19" s="1"/>
  <c r="J96" i="19" s="1"/>
  <c r="BJ96" i="19"/>
  <c r="AP97" i="18" s="1"/>
  <c r="AA97" i="18"/>
  <c r="Z97" i="18"/>
  <c r="BO97" i="19"/>
  <c r="AF98" i="18" s="1"/>
  <c r="BP97" i="19"/>
  <c r="AG98" i="18" s="1"/>
  <c r="BQ97" i="19"/>
  <c r="H77" i="18" l="1"/>
  <c r="G77" i="18"/>
  <c r="BL75" i="19"/>
  <c r="AR76" i="18" s="1"/>
  <c r="M75" i="18"/>
  <c r="P76" i="18"/>
  <c r="AN75" i="19"/>
  <c r="X76" i="22" s="1"/>
  <c r="BS76" i="19" s="1"/>
  <c r="AJ77" i="18" s="1"/>
  <c r="F77" i="18" s="1"/>
  <c r="R98" i="18"/>
  <c r="C98" i="18" s="1"/>
  <c r="P98" i="19" s="1"/>
  <c r="C98" i="19" s="1"/>
  <c r="M98" i="22" s="1"/>
  <c r="BC97" i="19"/>
  <c r="AH98" i="18" s="1"/>
  <c r="BD98" i="19" s="1"/>
  <c r="AY97" i="20"/>
  <c r="V97" i="19"/>
  <c r="AI97" i="19" s="1"/>
  <c r="I97" i="19" s="1"/>
  <c r="S97" i="22" s="1"/>
  <c r="BX97" i="19" s="1"/>
  <c r="BI97" i="19"/>
  <c r="Y98" i="18"/>
  <c r="BB98" i="19"/>
  <c r="B98" i="18"/>
  <c r="D97" i="18"/>
  <c r="L97" i="18"/>
  <c r="BR97" i="19"/>
  <c r="AI98" i="18" s="1"/>
  <c r="E97" i="18"/>
  <c r="BF77" i="19" l="1"/>
  <c r="AK78" i="18" s="1"/>
  <c r="AU77" i="20"/>
  <c r="S77" i="19"/>
  <c r="AF77" i="19" s="1"/>
  <c r="F77" i="19" s="1"/>
  <c r="BU77" i="19" s="1"/>
  <c r="U78" i="18"/>
  <c r="V78" i="18"/>
  <c r="AW77" i="20"/>
  <c r="U77" i="19"/>
  <c r="AH77" i="19" s="1"/>
  <c r="H77" i="19" s="1"/>
  <c r="R77" i="22" s="1"/>
  <c r="BW77" i="19" s="1"/>
  <c r="AO78" i="18" s="1"/>
  <c r="K78" i="18" s="1"/>
  <c r="BH77" i="19"/>
  <c r="AM78" i="18" s="1"/>
  <c r="X78" i="18"/>
  <c r="W78" i="18"/>
  <c r="T77" i="19"/>
  <c r="AG77" i="19" s="1"/>
  <c r="G77" i="19" s="1"/>
  <c r="BV77" i="19" s="1"/>
  <c r="AN78" i="18" s="1"/>
  <c r="BG77" i="19"/>
  <c r="AL78" i="18" s="1"/>
  <c r="AV77" i="20"/>
  <c r="Y75" i="19"/>
  <c r="BB75" i="20"/>
  <c r="AC76" i="18"/>
  <c r="AB76" i="18"/>
  <c r="N75" i="19"/>
  <c r="U75" i="22" s="1"/>
  <c r="CA75" i="19" s="1"/>
  <c r="AS76" i="18" s="1"/>
  <c r="Q97" i="19"/>
  <c r="AD97" i="19" s="1"/>
  <c r="D97" i="19" s="1"/>
  <c r="N97" i="22" s="1"/>
  <c r="S98" i="18"/>
  <c r="O98" i="19"/>
  <c r="AB98" i="19" s="1"/>
  <c r="B98" i="19" s="1"/>
  <c r="L98" i="22" s="1"/>
  <c r="BO98" i="19" s="1"/>
  <c r="AF99" i="18" s="1"/>
  <c r="BB99" i="19" s="1"/>
  <c r="Q99" i="18"/>
  <c r="X97" i="19"/>
  <c r="AK97" i="19" s="1"/>
  <c r="K97" i="19" s="1"/>
  <c r="BK97" i="19"/>
  <c r="BA97" i="20"/>
  <c r="T98" i="18"/>
  <c r="K97" i="18"/>
  <c r="R97" i="19"/>
  <c r="E97" i="19" s="1"/>
  <c r="O97" i="22" s="1"/>
  <c r="BE97" i="19"/>
  <c r="R99" i="18"/>
  <c r="BC98" i="19"/>
  <c r="H78" i="18" l="1"/>
  <c r="I78" i="18"/>
  <c r="AX78" i="20" s="1"/>
  <c r="G78" i="18"/>
  <c r="W79" i="18" s="1"/>
  <c r="BZ76" i="19"/>
  <c r="N76" i="18"/>
  <c r="AL75" i="19"/>
  <c r="V76" i="22" s="1"/>
  <c r="BN76" i="19"/>
  <c r="AT77" i="18" s="1"/>
  <c r="O76" i="18"/>
  <c r="V98" i="19"/>
  <c r="AI98" i="19" s="1"/>
  <c r="I98" i="19" s="1"/>
  <c r="S98" i="22" s="1"/>
  <c r="BI98" i="19"/>
  <c r="AY98" i="20"/>
  <c r="Y99" i="18"/>
  <c r="B99" i="18"/>
  <c r="O99" i="19" s="1"/>
  <c r="AB99" i="19" s="1"/>
  <c r="B99" i="19" s="1"/>
  <c r="L99" i="22" s="1"/>
  <c r="BO99" i="19" s="1"/>
  <c r="AF100" i="18" s="1"/>
  <c r="BB100" i="19" s="1"/>
  <c r="Z98" i="18"/>
  <c r="BJ97" i="19"/>
  <c r="AP98" i="18" s="1"/>
  <c r="W97" i="19"/>
  <c r="AJ97" i="19" s="1"/>
  <c r="J97" i="19" s="1"/>
  <c r="AZ97" i="20"/>
  <c r="BR98" i="19"/>
  <c r="AI99" i="18" s="1"/>
  <c r="E98" i="18"/>
  <c r="AA98" i="18"/>
  <c r="D98" i="18"/>
  <c r="Q98" i="19" s="1"/>
  <c r="AD98" i="19" s="1"/>
  <c r="D98" i="19" s="1"/>
  <c r="N98" i="22" s="1"/>
  <c r="BP98" i="19"/>
  <c r="AG99" i="18" s="1"/>
  <c r="BQ98" i="19"/>
  <c r="AH99" i="18" s="1"/>
  <c r="BD99" i="19" s="1"/>
  <c r="AV78" i="20" l="1"/>
  <c r="T78" i="19"/>
  <c r="AG78" i="19" s="1"/>
  <c r="G78" i="19" s="1"/>
  <c r="BV78" i="19" s="1"/>
  <c r="AN79" i="18" s="1"/>
  <c r="BG78" i="19"/>
  <c r="X79" i="18"/>
  <c r="AW78" i="20"/>
  <c r="BH78" i="19"/>
  <c r="AM79" i="18" s="1"/>
  <c r="U78" i="19"/>
  <c r="AH78" i="19" s="1"/>
  <c r="H78" i="19" s="1"/>
  <c r="R78" i="22" s="1"/>
  <c r="BW78" i="19" s="1"/>
  <c r="AO79" i="18" s="1"/>
  <c r="K79" i="18" s="1"/>
  <c r="L75" i="19"/>
  <c r="T75" i="22" s="1"/>
  <c r="BY75" i="19" s="1"/>
  <c r="AQ76" i="18" s="1"/>
  <c r="BM76" i="19"/>
  <c r="BC76" i="20"/>
  <c r="Z76" i="19"/>
  <c r="M76" i="19" s="1"/>
  <c r="AA76" i="19"/>
  <c r="AD77" i="18"/>
  <c r="AE77" i="18"/>
  <c r="Q100" i="18"/>
  <c r="C99" i="18"/>
  <c r="BC99" i="19" s="1"/>
  <c r="R98" i="19"/>
  <c r="E98" i="19" s="1"/>
  <c r="O98" i="22" s="1"/>
  <c r="BE98" i="19"/>
  <c r="L98" i="18"/>
  <c r="S99" i="18"/>
  <c r="T99" i="18"/>
  <c r="BX98" i="19"/>
  <c r="K98" i="18"/>
  <c r="I79" i="18" l="1"/>
  <c r="AX79" i="20" s="1"/>
  <c r="BL76" i="19"/>
  <c r="AR77" i="18" s="1"/>
  <c r="M76" i="18"/>
  <c r="P77" i="18"/>
  <c r="AN76" i="19"/>
  <c r="X77" i="22" s="1"/>
  <c r="BS77" i="19" s="1"/>
  <c r="AJ78" i="18" s="1"/>
  <c r="AA99" i="18"/>
  <c r="Z99" i="18"/>
  <c r="D99" i="18"/>
  <c r="Q99" i="19" s="1"/>
  <c r="AD99" i="19" s="1"/>
  <c r="D99" i="19" s="1"/>
  <c r="N99" i="22" s="1"/>
  <c r="BP99" i="19"/>
  <c r="AG100" i="18" s="1"/>
  <c r="B100" i="18"/>
  <c r="O100" i="19" s="1"/>
  <c r="AB100" i="19" s="1"/>
  <c r="B100" i="19" s="1"/>
  <c r="L100" i="22" s="1"/>
  <c r="BR99" i="19"/>
  <c r="AI100" i="18" s="1"/>
  <c r="E99" i="18"/>
  <c r="BI99" i="19"/>
  <c r="V99" i="19"/>
  <c r="AI99" i="19" s="1"/>
  <c r="I99" i="19" s="1"/>
  <c r="S99" i="22" s="1"/>
  <c r="AY99" i="20"/>
  <c r="Y100" i="18"/>
  <c r="K99" i="18"/>
  <c r="Z100" i="18" s="1"/>
  <c r="W98" i="19"/>
  <c r="AJ98" i="19" s="1"/>
  <c r="J98" i="19" s="1"/>
  <c r="BJ98" i="19"/>
  <c r="AP99" i="18" s="1"/>
  <c r="L99" i="18" s="1"/>
  <c r="AZ98" i="20"/>
  <c r="BA98" i="20"/>
  <c r="X98" i="19"/>
  <c r="AK98" i="19" s="1"/>
  <c r="K98" i="19" s="1"/>
  <c r="BK98" i="19"/>
  <c r="P99" i="19"/>
  <c r="C99" i="19" s="1"/>
  <c r="M99" i="22" s="1"/>
  <c r="R100" i="18"/>
  <c r="F78" i="18" l="1"/>
  <c r="AC77" i="18"/>
  <c r="BZ77" i="19" s="1"/>
  <c r="BB76" i="20"/>
  <c r="Y76" i="19"/>
  <c r="AL76" i="19" s="1"/>
  <c r="AB77" i="18"/>
  <c r="N77" i="18"/>
  <c r="N76" i="19"/>
  <c r="U76" i="22" s="1"/>
  <c r="CA76" i="19" s="1"/>
  <c r="AS77" i="18" s="1"/>
  <c r="BX99" i="19"/>
  <c r="Q101" i="18"/>
  <c r="BK99" i="19"/>
  <c r="X99" i="19"/>
  <c r="AK99" i="19" s="1"/>
  <c r="K99" i="19" s="1"/>
  <c r="BA99" i="20"/>
  <c r="AA100" i="18"/>
  <c r="T100" i="18"/>
  <c r="BQ99" i="19"/>
  <c r="AH100" i="18" s="1"/>
  <c r="BD100" i="19" s="1"/>
  <c r="BJ99" i="19"/>
  <c r="AZ99" i="20"/>
  <c r="W99" i="19"/>
  <c r="AJ99" i="19" s="1"/>
  <c r="J99" i="19" s="1"/>
  <c r="R99" i="19"/>
  <c r="E99" i="19" s="1"/>
  <c r="O99" i="22" s="1"/>
  <c r="BE99" i="19"/>
  <c r="S100" i="18"/>
  <c r="BO100" i="19"/>
  <c r="AF101" i="18" s="1"/>
  <c r="BB101" i="19" s="1"/>
  <c r="C100" i="18"/>
  <c r="P100" i="19" s="1"/>
  <c r="C100" i="19" s="1"/>
  <c r="M100" i="22" s="1"/>
  <c r="S78" i="19" l="1"/>
  <c r="AF78" i="19" s="1"/>
  <c r="F78" i="19" s="1"/>
  <c r="BU78" i="19" s="1"/>
  <c r="AL79" i="18" s="1"/>
  <c r="BF78" i="19"/>
  <c r="AK79" i="18" s="1"/>
  <c r="AU78" i="20"/>
  <c r="U79" i="18"/>
  <c r="V79" i="18"/>
  <c r="L76" i="19"/>
  <c r="T76" i="22" s="1"/>
  <c r="BY76" i="19" s="1"/>
  <c r="AQ77" i="18" s="1"/>
  <c r="BL77" i="19" s="1"/>
  <c r="AR78" i="18" s="1"/>
  <c r="V77" i="22"/>
  <c r="BC77" i="20"/>
  <c r="Z77" i="19"/>
  <c r="M77" i="19" s="1"/>
  <c r="BM77" i="19"/>
  <c r="BN77" i="19"/>
  <c r="AT78" i="18" s="1"/>
  <c r="O77" i="18"/>
  <c r="AP100" i="18"/>
  <c r="Z101" i="18"/>
  <c r="Y101" i="18"/>
  <c r="AY100" i="20"/>
  <c r="V100" i="19"/>
  <c r="AI100" i="19" s="1"/>
  <c r="I100" i="19" s="1"/>
  <c r="S100" i="22" s="1"/>
  <c r="BX100" i="19" s="1"/>
  <c r="BI100" i="19"/>
  <c r="D100" i="18"/>
  <c r="Q100" i="19" s="1"/>
  <c r="AD100" i="19" s="1"/>
  <c r="D100" i="19" s="1"/>
  <c r="N100" i="22" s="1"/>
  <c r="BP100" i="19"/>
  <c r="AG101" i="18" s="1"/>
  <c r="BQ100" i="19"/>
  <c r="BR100" i="19"/>
  <c r="AI101" i="18" s="1"/>
  <c r="E100" i="18"/>
  <c r="BC100" i="19"/>
  <c r="R101" i="18"/>
  <c r="B101" i="18"/>
  <c r="L100" i="18"/>
  <c r="AA101" i="18" s="1"/>
  <c r="AZ100" i="20"/>
  <c r="W100" i="19"/>
  <c r="AJ100" i="19" s="1"/>
  <c r="J100" i="19" s="1"/>
  <c r="BJ100" i="19"/>
  <c r="H79" i="18" l="1"/>
  <c r="G79" i="18"/>
  <c r="M77" i="18"/>
  <c r="AA77" i="19"/>
  <c r="AD78" i="18"/>
  <c r="AE78" i="18"/>
  <c r="AP101" i="18"/>
  <c r="L101" i="18" s="1"/>
  <c r="S101" i="18"/>
  <c r="BP101" i="19" s="1"/>
  <c r="AG102" i="18" s="1"/>
  <c r="C101" i="18"/>
  <c r="P101" i="19" s="1"/>
  <c r="C101" i="19" s="1"/>
  <c r="M101" i="22" s="1"/>
  <c r="AO101" i="18"/>
  <c r="K101" i="18" s="1"/>
  <c r="O101" i="19"/>
  <c r="AB101" i="19" s="1"/>
  <c r="B101" i="19" s="1"/>
  <c r="L101" i="22" s="1"/>
  <c r="BO101" i="19" s="1"/>
  <c r="AF102" i="18" s="1"/>
  <c r="BB102" i="19" s="1"/>
  <c r="Q102" i="18"/>
  <c r="R100" i="19"/>
  <c r="E100" i="19" s="1"/>
  <c r="O100" i="22" s="1"/>
  <c r="BE100" i="19"/>
  <c r="BA100" i="20"/>
  <c r="X100" i="19"/>
  <c r="AK100" i="19" s="1"/>
  <c r="K100" i="19" s="1"/>
  <c r="BK100" i="19"/>
  <c r="T101" i="18"/>
  <c r="AH101" i="18"/>
  <c r="BD101" i="19" s="1"/>
  <c r="T79" i="19" l="1"/>
  <c r="AG79" i="19" s="1"/>
  <c r="G79" i="19" s="1"/>
  <c r="BV79" i="19" s="1"/>
  <c r="AN80" i="18" s="1"/>
  <c r="J80" i="18" s="1"/>
  <c r="AV79" i="20"/>
  <c r="BG79" i="19"/>
  <c r="W80" i="18"/>
  <c r="BH79" i="19"/>
  <c r="AM80" i="18" s="1"/>
  <c r="U79" i="19"/>
  <c r="AH79" i="19" s="1"/>
  <c r="H79" i="19" s="1"/>
  <c r="R79" i="22" s="1"/>
  <c r="BW79" i="19" s="1"/>
  <c r="AO80" i="18" s="1"/>
  <c r="K80" i="18" s="1"/>
  <c r="AW79" i="20"/>
  <c r="X80" i="18"/>
  <c r="AC78" i="18"/>
  <c r="Y77" i="19"/>
  <c r="AL77" i="19" s="1"/>
  <c r="BB77" i="20"/>
  <c r="AB78" i="18"/>
  <c r="P78" i="18"/>
  <c r="AN77" i="19"/>
  <c r="X78" i="22" s="1"/>
  <c r="BS78" i="19" s="1"/>
  <c r="AJ79" i="18" s="1"/>
  <c r="R102" i="18"/>
  <c r="C102" i="18" s="1"/>
  <c r="P102" i="19" s="1"/>
  <c r="C102" i="19" s="1"/>
  <c r="M102" i="22" s="1"/>
  <c r="BQ101" i="19"/>
  <c r="AA102" i="18"/>
  <c r="AY101" i="20"/>
  <c r="V101" i="19"/>
  <c r="AI101" i="19" s="1"/>
  <c r="I101" i="19" s="1"/>
  <c r="S101" i="22" s="1"/>
  <c r="BX101" i="19" s="1"/>
  <c r="BI101" i="19"/>
  <c r="Y102" i="18"/>
  <c r="E101" i="18"/>
  <c r="BR101" i="19"/>
  <c r="AI102" i="18" s="1"/>
  <c r="BC101" i="19"/>
  <c r="B102" i="18"/>
  <c r="O102" i="19" s="1"/>
  <c r="AB102" i="19" s="1"/>
  <c r="B102" i="19" s="1"/>
  <c r="L102" i="22" s="1"/>
  <c r="BA101" i="20"/>
  <c r="BK101" i="19"/>
  <c r="X101" i="19"/>
  <c r="AK101" i="19" s="1"/>
  <c r="K101" i="19" s="1"/>
  <c r="Z102" i="18"/>
  <c r="AZ101" i="20"/>
  <c r="W101" i="19"/>
  <c r="AJ101" i="19" s="1"/>
  <c r="J101" i="19" s="1"/>
  <c r="BJ101" i="19"/>
  <c r="D101" i="18"/>
  <c r="F79" i="18" l="1"/>
  <c r="I80" i="18"/>
  <c r="AX80" i="20" s="1"/>
  <c r="L77" i="19"/>
  <c r="T77" i="22" s="1"/>
  <c r="BY77" i="19" s="1"/>
  <c r="AQ78" i="18" s="1"/>
  <c r="BL78" i="19" s="1"/>
  <c r="V78" i="22"/>
  <c r="BZ78" i="19"/>
  <c r="N78" i="18"/>
  <c r="AR79" i="18"/>
  <c r="N77" i="19"/>
  <c r="U77" i="22" s="1"/>
  <c r="CA77" i="19" s="1"/>
  <c r="AS78" i="18" s="1"/>
  <c r="BO102" i="19"/>
  <c r="AF103" i="18" s="1"/>
  <c r="BB103" i="19" s="1"/>
  <c r="AP102" i="18"/>
  <c r="L102" i="18" s="1"/>
  <c r="BK102" i="19" s="1"/>
  <c r="AH102" i="18"/>
  <c r="BD102" i="19" s="1"/>
  <c r="T102" i="18"/>
  <c r="BR102" i="19" s="1"/>
  <c r="Q103" i="18"/>
  <c r="Q101" i="19"/>
  <c r="AD101" i="19" s="1"/>
  <c r="D101" i="19" s="1"/>
  <c r="N101" i="22" s="1"/>
  <c r="S102" i="18"/>
  <c r="BC102" i="19"/>
  <c r="R103" i="18"/>
  <c r="R101" i="19"/>
  <c r="E101" i="19" s="1"/>
  <c r="O101" i="22" s="1"/>
  <c r="BE101" i="19"/>
  <c r="S79" i="19" l="1"/>
  <c r="AF79" i="19" s="1"/>
  <c r="F79" i="19" s="1"/>
  <c r="BU79" i="19" s="1"/>
  <c r="AL80" i="18" s="1"/>
  <c r="BF79" i="19"/>
  <c r="AK80" i="18" s="1"/>
  <c r="AU79" i="20"/>
  <c r="U80" i="18"/>
  <c r="V80" i="18"/>
  <c r="Z78" i="19"/>
  <c r="M78" i="19" s="1"/>
  <c r="BC78" i="20"/>
  <c r="BM78" i="19"/>
  <c r="M78" i="18"/>
  <c r="BN78" i="19"/>
  <c r="AT79" i="18" s="1"/>
  <c r="O78" i="18"/>
  <c r="B103" i="18"/>
  <c r="O103" i="19" s="1"/>
  <c r="AB103" i="19" s="1"/>
  <c r="B103" i="19" s="1"/>
  <c r="L103" i="22" s="1"/>
  <c r="X102" i="19"/>
  <c r="AK102" i="19" s="1"/>
  <c r="K102" i="19" s="1"/>
  <c r="AI103" i="18"/>
  <c r="BA102" i="20"/>
  <c r="E102" i="18"/>
  <c r="R102" i="19" s="1"/>
  <c r="E102" i="19" s="1"/>
  <c r="O102" i="22" s="1"/>
  <c r="AZ102" i="20"/>
  <c r="W102" i="19"/>
  <c r="AJ102" i="19" s="1"/>
  <c r="J102" i="19" s="1"/>
  <c r="BJ102" i="19"/>
  <c r="AA103" i="18"/>
  <c r="BO103" i="19"/>
  <c r="AF104" i="18" s="1"/>
  <c r="BB104" i="19" s="1"/>
  <c r="D102" i="18"/>
  <c r="Q102" i="19" s="1"/>
  <c r="AD102" i="19" s="1"/>
  <c r="D102" i="19" s="1"/>
  <c r="N102" i="22" s="1"/>
  <c r="BP102" i="19"/>
  <c r="AG103" i="18" s="1"/>
  <c r="BQ102" i="19"/>
  <c r="AH103" i="18" s="1"/>
  <c r="BD103" i="19" s="1"/>
  <c r="G80" i="18" l="1"/>
  <c r="H80" i="18"/>
  <c r="BE102" i="19"/>
  <c r="Y78" i="19"/>
  <c r="AL78" i="19" s="1"/>
  <c r="BB78" i="20"/>
  <c r="AB79" i="18"/>
  <c r="AC79" i="18"/>
  <c r="AA78" i="19"/>
  <c r="AN78" i="19" s="1"/>
  <c r="AD79" i="18"/>
  <c r="AE79" i="18"/>
  <c r="Q104" i="18"/>
  <c r="B104" i="18" s="1"/>
  <c r="S103" i="18"/>
  <c r="BP103" i="19" s="1"/>
  <c r="AG104" i="18" s="1"/>
  <c r="C103" i="18"/>
  <c r="BC103" i="19" s="1"/>
  <c r="V102" i="19"/>
  <c r="AI102" i="19" s="1"/>
  <c r="I102" i="19" s="1"/>
  <c r="S102" i="22" s="1"/>
  <c r="BX102" i="19" s="1"/>
  <c r="AP103" i="18" s="1"/>
  <c r="L103" i="18" s="1"/>
  <c r="AY102" i="20"/>
  <c r="BI102" i="19"/>
  <c r="Y103" i="18"/>
  <c r="T103" i="18"/>
  <c r="Z103" i="18"/>
  <c r="D103" i="18" l="1"/>
  <c r="Q103" i="19" s="1"/>
  <c r="AD103" i="19" s="1"/>
  <c r="D103" i="19" s="1"/>
  <c r="N103" i="22" s="1"/>
  <c r="U80" i="19"/>
  <c r="AH80" i="19" s="1"/>
  <c r="H80" i="19" s="1"/>
  <c r="R80" i="22" s="1"/>
  <c r="BW80" i="19" s="1"/>
  <c r="BH80" i="19"/>
  <c r="AM81" i="18" s="1"/>
  <c r="AW80" i="20"/>
  <c r="W81" i="18"/>
  <c r="X81" i="18"/>
  <c r="T80" i="19"/>
  <c r="AG80" i="19" s="1"/>
  <c r="G80" i="19" s="1"/>
  <c r="BV80" i="19" s="1"/>
  <c r="AN81" i="18" s="1"/>
  <c r="J81" i="18" s="1"/>
  <c r="BG80" i="19"/>
  <c r="AV80" i="20"/>
  <c r="BZ79" i="19"/>
  <c r="N79" i="18"/>
  <c r="L78" i="19"/>
  <c r="T78" i="22" s="1"/>
  <c r="BY78" i="19" s="1"/>
  <c r="AQ79" i="18" s="1"/>
  <c r="BL79" i="19" s="1"/>
  <c r="V79" i="22"/>
  <c r="N78" i="19"/>
  <c r="U78" i="22" s="1"/>
  <c r="CA78" i="19" s="1"/>
  <c r="AS79" i="18" s="1"/>
  <c r="BN79" i="19" s="1"/>
  <c r="AT80" i="18" s="1"/>
  <c r="X79" i="22"/>
  <c r="BS79" i="19" s="1"/>
  <c r="AJ80" i="18" s="1"/>
  <c r="P79" i="18"/>
  <c r="AO103" i="18"/>
  <c r="K103" i="18" s="1"/>
  <c r="AA104" i="18" s="1"/>
  <c r="X103" i="19"/>
  <c r="AK103" i="19" s="1"/>
  <c r="K103" i="19" s="1"/>
  <c r="BA103" i="20"/>
  <c r="BK103" i="19"/>
  <c r="E103" i="18"/>
  <c r="BR103" i="19"/>
  <c r="AI104" i="18" s="1"/>
  <c r="S104" i="18"/>
  <c r="O104" i="19"/>
  <c r="AB104" i="19" s="1"/>
  <c r="B104" i="19" s="1"/>
  <c r="L104" i="22" s="1"/>
  <c r="Q105" i="18"/>
  <c r="P103" i="19"/>
  <c r="C103" i="19" s="1"/>
  <c r="R104" i="18"/>
  <c r="C104" i="18" s="1"/>
  <c r="F80" i="18" l="1"/>
  <c r="I81" i="18"/>
  <c r="AX81" i="20" s="1"/>
  <c r="M79" i="18"/>
  <c r="AC80" i="18"/>
  <c r="BZ80" i="19" s="1"/>
  <c r="BB79" i="20"/>
  <c r="Y79" i="19"/>
  <c r="BM79" i="19"/>
  <c r="Z79" i="19"/>
  <c r="M79" i="19" s="1"/>
  <c r="BC79" i="20"/>
  <c r="AB80" i="18"/>
  <c r="AR80" i="18"/>
  <c r="O79" i="18"/>
  <c r="P104" i="19"/>
  <c r="C104" i="19" s="1"/>
  <c r="M104" i="22" s="1"/>
  <c r="BC104" i="19"/>
  <c r="R103" i="19"/>
  <c r="E103" i="19" s="1"/>
  <c r="O103" i="22" s="1"/>
  <c r="BE103" i="19"/>
  <c r="M103" i="22"/>
  <c r="BQ103" i="19"/>
  <c r="AH104" i="18" s="1"/>
  <c r="BD104" i="19" s="1"/>
  <c r="BJ103" i="19"/>
  <c r="AZ103" i="20"/>
  <c r="W103" i="19"/>
  <c r="AJ103" i="19" s="1"/>
  <c r="J103" i="19" s="1"/>
  <c r="BO104" i="19"/>
  <c r="AF105" i="18" s="1"/>
  <c r="BB105" i="19" s="1"/>
  <c r="R105" i="18"/>
  <c r="BP104" i="19"/>
  <c r="AG105" i="18" s="1"/>
  <c r="BQ104" i="19"/>
  <c r="BI103" i="19"/>
  <c r="AY103" i="20"/>
  <c r="V103" i="19"/>
  <c r="AI103" i="19" s="1"/>
  <c r="I103" i="19" s="1"/>
  <c r="S103" i="22" s="1"/>
  <c r="BX103" i="19" s="1"/>
  <c r="T104" i="18"/>
  <c r="Z104" i="18"/>
  <c r="S80" i="19" l="1"/>
  <c r="AF80" i="19" s="1"/>
  <c r="F80" i="19" s="1"/>
  <c r="BU80" i="19" s="1"/>
  <c r="AL81" i="18" s="1"/>
  <c r="BF80" i="19"/>
  <c r="AK81" i="18" s="1"/>
  <c r="AU80" i="20"/>
  <c r="V81" i="18"/>
  <c r="U81" i="18"/>
  <c r="N80" i="18"/>
  <c r="AL79" i="19"/>
  <c r="V80" i="22" s="1"/>
  <c r="AA79" i="19"/>
  <c r="AD80" i="18"/>
  <c r="AE80" i="18"/>
  <c r="AO104" i="18"/>
  <c r="K104" i="18" s="1"/>
  <c r="B105" i="18"/>
  <c r="E104" i="18"/>
  <c r="BR104" i="19"/>
  <c r="AI105" i="18" s="1"/>
  <c r="C105" i="18"/>
  <c r="P105" i="19" s="1"/>
  <c r="C105" i="19" s="1"/>
  <c r="M105" i="22" s="1"/>
  <c r="AH105" i="18"/>
  <c r="BD105" i="19" s="1"/>
  <c r="D104" i="18"/>
  <c r="AP104" i="18"/>
  <c r="L104" i="18" s="1"/>
  <c r="H81" i="18" l="1"/>
  <c r="G81" i="18"/>
  <c r="BM80" i="19"/>
  <c r="BC80" i="20"/>
  <c r="Z80" i="19"/>
  <c r="M80" i="19" s="1"/>
  <c r="L79" i="19"/>
  <c r="T79" i="22" s="1"/>
  <c r="BY79" i="19" s="1"/>
  <c r="AQ80" i="18" s="1"/>
  <c r="P80" i="18"/>
  <c r="AN79" i="19"/>
  <c r="X80" i="22" s="1"/>
  <c r="BS80" i="19" s="1"/>
  <c r="AJ81" i="18" s="1"/>
  <c r="T105" i="18"/>
  <c r="E105" i="18" s="1"/>
  <c r="R105" i="19" s="1"/>
  <c r="E105" i="19" s="1"/>
  <c r="O105" i="22" s="1"/>
  <c r="O105" i="19"/>
  <c r="AB105" i="19" s="1"/>
  <c r="B105" i="19" s="1"/>
  <c r="L105" i="22" s="1"/>
  <c r="BO105" i="19" s="1"/>
  <c r="AF106" i="18" s="1"/>
  <c r="BB106" i="19" s="1"/>
  <c r="Q106" i="18"/>
  <c r="R106" i="18"/>
  <c r="BC105" i="19"/>
  <c r="AY104" i="20"/>
  <c r="V104" i="19"/>
  <c r="AI104" i="19" s="1"/>
  <c r="I104" i="19" s="1"/>
  <c r="S104" i="22" s="1"/>
  <c r="BX104" i="19" s="1"/>
  <c r="BI104" i="19"/>
  <c r="Y105" i="18"/>
  <c r="W104" i="19"/>
  <c r="AJ104" i="19" s="1"/>
  <c r="J104" i="19" s="1"/>
  <c r="BJ104" i="19"/>
  <c r="AZ104" i="20"/>
  <c r="Q104" i="19"/>
  <c r="AD104" i="19" s="1"/>
  <c r="D104" i="19" s="1"/>
  <c r="N104" i="22" s="1"/>
  <c r="S105" i="18"/>
  <c r="BK104" i="19"/>
  <c r="X104" i="19"/>
  <c r="AK104" i="19" s="1"/>
  <c r="K104" i="19" s="1"/>
  <c r="BA104" i="20"/>
  <c r="AA105" i="18"/>
  <c r="Z105" i="18"/>
  <c r="R104" i="19"/>
  <c r="E104" i="19" s="1"/>
  <c r="O104" i="22" s="1"/>
  <c r="BE104" i="19"/>
  <c r="F81" i="18" l="1"/>
  <c r="U81" i="19"/>
  <c r="AH81" i="19" s="1"/>
  <c r="H81" i="19" s="1"/>
  <c r="R81" i="22" s="1"/>
  <c r="BW81" i="19" s="1"/>
  <c r="AO82" i="18" s="1"/>
  <c r="K82" i="18" s="1"/>
  <c r="BH81" i="19"/>
  <c r="AM82" i="18" s="1"/>
  <c r="AW81" i="20"/>
  <c r="W82" i="18"/>
  <c r="X82" i="18"/>
  <c r="AV81" i="20"/>
  <c r="T81" i="19"/>
  <c r="AG81" i="19" s="1"/>
  <c r="G81" i="19" s="1"/>
  <c r="BV81" i="19" s="1"/>
  <c r="AN82" i="18" s="1"/>
  <c r="J82" i="18" s="1"/>
  <c r="BG81" i="19"/>
  <c r="BL80" i="19"/>
  <c r="AR81" i="18" s="1"/>
  <c r="M80" i="18"/>
  <c r="N79" i="19"/>
  <c r="U79" i="22" s="1"/>
  <c r="CA79" i="19" s="1"/>
  <c r="AS80" i="18" s="1"/>
  <c r="AP105" i="18"/>
  <c r="L105" i="18" s="1"/>
  <c r="BR105" i="19"/>
  <c r="AI106" i="18" s="1"/>
  <c r="BE105" i="19"/>
  <c r="B106" i="18"/>
  <c r="D105" i="18"/>
  <c r="BP105" i="19"/>
  <c r="AG106" i="18" s="1"/>
  <c r="BQ105" i="19"/>
  <c r="AH106" i="18" s="1"/>
  <c r="BD106" i="19" s="1"/>
  <c r="I82" i="18" l="1"/>
  <c r="AX82" i="20" s="1"/>
  <c r="U82" i="18"/>
  <c r="AU81" i="20"/>
  <c r="BF81" i="19"/>
  <c r="AK82" i="18" s="1"/>
  <c r="S81" i="19"/>
  <c r="AF81" i="19" s="1"/>
  <c r="F81" i="19" s="1"/>
  <c r="BU81" i="19" s="1"/>
  <c r="AL82" i="18" s="1"/>
  <c r="H82" i="18" s="1"/>
  <c r="V82" i="18"/>
  <c r="BB80" i="20"/>
  <c r="Y80" i="19"/>
  <c r="AB81" i="18"/>
  <c r="AC81" i="18"/>
  <c r="BN80" i="19"/>
  <c r="AT81" i="18" s="1"/>
  <c r="O80" i="18"/>
  <c r="O106" i="19"/>
  <c r="AB106" i="19" s="1"/>
  <c r="B106" i="19" s="1"/>
  <c r="L106" i="22" s="1"/>
  <c r="BO106" i="19" s="1"/>
  <c r="AF107" i="18" s="1"/>
  <c r="BB107" i="19" s="1"/>
  <c r="Q107" i="18"/>
  <c r="AZ105" i="20"/>
  <c r="W105" i="19"/>
  <c r="AJ105" i="19" s="1"/>
  <c r="J105" i="19" s="1"/>
  <c r="BJ105" i="19"/>
  <c r="Z106" i="18"/>
  <c r="AA106" i="18"/>
  <c r="AY105" i="20"/>
  <c r="V105" i="19"/>
  <c r="AI105" i="19" s="1"/>
  <c r="I105" i="19" s="1"/>
  <c r="S105" i="22" s="1"/>
  <c r="BX105" i="19" s="1"/>
  <c r="AP106" i="18" s="1"/>
  <c r="BI105" i="19"/>
  <c r="Y106" i="18"/>
  <c r="C106" i="18"/>
  <c r="BC106" i="19" s="1"/>
  <c r="Q105" i="19"/>
  <c r="AD105" i="19" s="1"/>
  <c r="D105" i="19" s="1"/>
  <c r="N105" i="22" s="1"/>
  <c r="T106" i="18"/>
  <c r="S106" i="18"/>
  <c r="BA105" i="20"/>
  <c r="X105" i="19"/>
  <c r="AK105" i="19" s="1"/>
  <c r="K105" i="19" s="1"/>
  <c r="BK105" i="19"/>
  <c r="U82" i="19" l="1"/>
  <c r="AH82" i="19" s="1"/>
  <c r="H82" i="19" s="1"/>
  <c r="R82" i="22" s="1"/>
  <c r="BW82" i="19" s="1"/>
  <c r="AO83" i="18" s="1"/>
  <c r="K83" i="18" s="1"/>
  <c r="AW82" i="20"/>
  <c r="BH82" i="19"/>
  <c r="AM83" i="18" s="1"/>
  <c r="W83" i="18"/>
  <c r="X83" i="18"/>
  <c r="G82" i="18"/>
  <c r="BZ81" i="19"/>
  <c r="N81" i="18"/>
  <c r="AL80" i="19"/>
  <c r="V81" i="22" s="1"/>
  <c r="AA80" i="19"/>
  <c r="AD81" i="18"/>
  <c r="AE81" i="18"/>
  <c r="B107" i="18"/>
  <c r="Q108" i="18" s="1"/>
  <c r="E106" i="18"/>
  <c r="BR106" i="19"/>
  <c r="AI107" i="18" s="1"/>
  <c r="J106" i="18"/>
  <c r="L106" i="18"/>
  <c r="P106" i="19"/>
  <c r="C106" i="19" s="1"/>
  <c r="M106" i="22" s="1"/>
  <c r="R107" i="18"/>
  <c r="D106" i="18"/>
  <c r="Q106" i="19" s="1"/>
  <c r="AD106" i="19" s="1"/>
  <c r="D106" i="19" s="1"/>
  <c r="N106" i="22" s="1"/>
  <c r="BP106" i="19"/>
  <c r="AG107" i="18" s="1"/>
  <c r="BG82" i="19" l="1"/>
  <c r="T82" i="19"/>
  <c r="AG82" i="19" s="1"/>
  <c r="G82" i="19" s="1"/>
  <c r="BV82" i="19" s="1"/>
  <c r="AN83" i="18" s="1"/>
  <c r="J83" i="18" s="1"/>
  <c r="AV82" i="20"/>
  <c r="I83" i="18"/>
  <c r="AX83" i="20" s="1"/>
  <c r="L80" i="19"/>
  <c r="T80" i="22" s="1"/>
  <c r="BY80" i="19" s="1"/>
  <c r="AQ81" i="18" s="1"/>
  <c r="O107" i="19"/>
  <c r="AB107" i="19" s="1"/>
  <c r="B107" i="19" s="1"/>
  <c r="L107" i="22" s="1"/>
  <c r="Z81" i="19"/>
  <c r="M81" i="19" s="1"/>
  <c r="BC81" i="20"/>
  <c r="BM81" i="19"/>
  <c r="P81" i="18"/>
  <c r="AN80" i="19"/>
  <c r="X81" i="22" s="1"/>
  <c r="BS81" i="19" s="1"/>
  <c r="AJ82" i="18" s="1"/>
  <c r="N80" i="19"/>
  <c r="U80" i="22" s="1"/>
  <c r="CA80" i="19" s="1"/>
  <c r="AS81" i="18" s="1"/>
  <c r="BN81" i="19" s="1"/>
  <c r="AT82" i="18" s="1"/>
  <c r="BO107" i="19"/>
  <c r="AF108" i="18" s="1"/>
  <c r="BB108" i="19" s="1"/>
  <c r="BQ106" i="19"/>
  <c r="AH107" i="18" s="1"/>
  <c r="BD107" i="19" s="1"/>
  <c r="BI106" i="19"/>
  <c r="V106" i="19"/>
  <c r="AI106" i="19" s="1"/>
  <c r="I106" i="19" s="1"/>
  <c r="S106" i="22" s="1"/>
  <c r="BX106" i="19" s="1"/>
  <c r="AY106" i="20"/>
  <c r="C107" i="18"/>
  <c r="P107" i="19" s="1"/>
  <c r="C107" i="19" s="1"/>
  <c r="M107" i="22" s="1"/>
  <c r="Y107" i="18"/>
  <c r="T107" i="18"/>
  <c r="S107" i="18"/>
  <c r="K106" i="18"/>
  <c r="X106" i="19"/>
  <c r="AK106" i="19" s="1"/>
  <c r="K106" i="19" s="1"/>
  <c r="BK106" i="19"/>
  <c r="BA106" i="20"/>
  <c r="R106" i="19"/>
  <c r="E106" i="19" s="1"/>
  <c r="O106" i="22" s="1"/>
  <c r="BE106" i="19"/>
  <c r="F82" i="18" l="1"/>
  <c r="BL81" i="19"/>
  <c r="AR82" i="18" s="1"/>
  <c r="M81" i="18"/>
  <c r="O81" i="18"/>
  <c r="B108" i="18"/>
  <c r="O108" i="19" s="1"/>
  <c r="AB108" i="19" s="1"/>
  <c r="B108" i="19" s="1"/>
  <c r="L108" i="22" s="1"/>
  <c r="R108" i="18"/>
  <c r="BO108" i="19" s="1"/>
  <c r="AF109" i="18" s="1"/>
  <c r="BB109" i="19" s="1"/>
  <c r="BC107" i="19"/>
  <c r="AZ106" i="20"/>
  <c r="W106" i="19"/>
  <c r="AJ106" i="19" s="1"/>
  <c r="J106" i="19" s="1"/>
  <c r="BJ106" i="19"/>
  <c r="AP107" i="18" s="1"/>
  <c r="AA107" i="18"/>
  <c r="Z107" i="18"/>
  <c r="D107" i="18"/>
  <c r="Q107" i="19" s="1"/>
  <c r="AD107" i="19" s="1"/>
  <c r="D107" i="19" s="1"/>
  <c r="N107" i="22" s="1"/>
  <c r="BP107" i="19"/>
  <c r="AG108" i="18" s="1"/>
  <c r="BQ107" i="19"/>
  <c r="J107" i="18"/>
  <c r="Y108" i="18" s="1"/>
  <c r="BR107" i="19"/>
  <c r="AI108" i="18" s="1"/>
  <c r="E107" i="18"/>
  <c r="BF82" i="19" l="1"/>
  <c r="AK83" i="18" s="1"/>
  <c r="AU82" i="20"/>
  <c r="S82" i="19"/>
  <c r="AF82" i="19" s="1"/>
  <c r="F82" i="19" s="1"/>
  <c r="BU82" i="19" s="1"/>
  <c r="AL83" i="18" s="1"/>
  <c r="H83" i="18" s="1"/>
  <c r="V83" i="18"/>
  <c r="U83" i="18"/>
  <c r="Y81" i="19"/>
  <c r="BB81" i="20"/>
  <c r="AB82" i="18"/>
  <c r="AC82" i="18"/>
  <c r="AA81" i="19"/>
  <c r="AE82" i="18"/>
  <c r="AD82" i="18"/>
  <c r="Q109" i="18"/>
  <c r="B109" i="18" s="1"/>
  <c r="O109" i="19" s="1"/>
  <c r="AB109" i="19" s="1"/>
  <c r="B109" i="19" s="1"/>
  <c r="L109" i="22" s="1"/>
  <c r="T108" i="18"/>
  <c r="BR108" i="19" s="1"/>
  <c r="AH108" i="18"/>
  <c r="BD108" i="19" s="1"/>
  <c r="J108" i="18"/>
  <c r="Y109" i="18" s="1"/>
  <c r="K107" i="18"/>
  <c r="Z108" i="18" s="1"/>
  <c r="S108" i="18"/>
  <c r="L107" i="18"/>
  <c r="C108" i="18"/>
  <c r="BC108" i="19" s="1"/>
  <c r="R107" i="19"/>
  <c r="E107" i="19" s="1"/>
  <c r="O107" i="22" s="1"/>
  <c r="BE107" i="19"/>
  <c r="BI107" i="19"/>
  <c r="V107" i="19"/>
  <c r="AI107" i="19" s="1"/>
  <c r="I107" i="19" s="1"/>
  <c r="S107" i="22" s="1"/>
  <c r="BX107" i="19" s="1"/>
  <c r="AY107" i="20"/>
  <c r="G83" i="18" l="1"/>
  <c r="BH83" i="19"/>
  <c r="AM84" i="18" s="1"/>
  <c r="AW83" i="20"/>
  <c r="U83" i="19"/>
  <c r="AH83" i="19" s="1"/>
  <c r="H83" i="19" s="1"/>
  <c r="R83" i="22" s="1"/>
  <c r="BW83" i="19" s="1"/>
  <c r="X84" i="18"/>
  <c r="W84" i="18"/>
  <c r="BZ82" i="19"/>
  <c r="N82" i="18"/>
  <c r="AL81" i="19"/>
  <c r="V82" i="22" s="1"/>
  <c r="P82" i="18"/>
  <c r="AN81" i="19"/>
  <c r="X82" i="22" s="1"/>
  <c r="BS82" i="19" s="1"/>
  <c r="AJ83" i="18" s="1"/>
  <c r="E108" i="18"/>
  <c r="R108" i="19" s="1"/>
  <c r="E108" i="19" s="1"/>
  <c r="O108" i="22" s="1"/>
  <c r="AY108" i="20"/>
  <c r="AI109" i="18"/>
  <c r="BI108" i="19"/>
  <c r="V108" i="19"/>
  <c r="AI108" i="19" s="1"/>
  <c r="I108" i="19" s="1"/>
  <c r="S108" i="22" s="1"/>
  <c r="BA107" i="20"/>
  <c r="X107" i="19"/>
  <c r="AK107" i="19" s="1"/>
  <c r="K107" i="19" s="1"/>
  <c r="BK107" i="19"/>
  <c r="D108" i="18"/>
  <c r="Q108" i="19" s="1"/>
  <c r="AD108" i="19" s="1"/>
  <c r="D108" i="19" s="1"/>
  <c r="N108" i="22" s="1"/>
  <c r="BP108" i="19"/>
  <c r="AG109" i="18" s="1"/>
  <c r="P108" i="19"/>
  <c r="C108" i="19" s="1"/>
  <c r="M108" i="22" s="1"/>
  <c r="R109" i="18"/>
  <c r="AZ107" i="20"/>
  <c r="W107" i="19"/>
  <c r="AJ107" i="19" s="1"/>
  <c r="J107" i="19" s="1"/>
  <c r="BJ107" i="19"/>
  <c r="AP108" i="18" s="1"/>
  <c r="Q110" i="18"/>
  <c r="AA108" i="18"/>
  <c r="BX108" i="19" s="1"/>
  <c r="I84" i="18" l="1"/>
  <c r="AX84" i="20" s="1"/>
  <c r="BG83" i="19"/>
  <c r="T83" i="19"/>
  <c r="AG83" i="19" s="1"/>
  <c r="G83" i="19" s="1"/>
  <c r="BV83" i="19" s="1"/>
  <c r="AN84" i="18" s="1"/>
  <c r="J84" i="18" s="1"/>
  <c r="AV83" i="20"/>
  <c r="BU84" i="19"/>
  <c r="BE108" i="19"/>
  <c r="F83" i="18"/>
  <c r="N81" i="19"/>
  <c r="U81" i="22" s="1"/>
  <c r="CA81" i="19" s="1"/>
  <c r="AS82" i="18" s="1"/>
  <c r="BN82" i="19" s="1"/>
  <c r="AT83" i="18" s="1"/>
  <c r="L81" i="19"/>
  <c r="T81" i="22" s="1"/>
  <c r="BY81" i="19" s="1"/>
  <c r="AQ82" i="18" s="1"/>
  <c r="BC82" i="20"/>
  <c r="Z82" i="19"/>
  <c r="M82" i="19" s="1"/>
  <c r="BM82" i="19"/>
  <c r="S109" i="18"/>
  <c r="BP109" i="19" s="1"/>
  <c r="AG110" i="18" s="1"/>
  <c r="T109" i="18"/>
  <c r="E109" i="18" s="1"/>
  <c r="K108" i="18"/>
  <c r="BQ108" i="19"/>
  <c r="AH109" i="18" s="1"/>
  <c r="BD109" i="19" s="1"/>
  <c r="L108" i="18"/>
  <c r="C109" i="18"/>
  <c r="P109" i="19" s="1"/>
  <c r="C109" i="19" s="1"/>
  <c r="M109" i="22" s="1"/>
  <c r="BO109" i="19"/>
  <c r="AF110" i="18" s="1"/>
  <c r="BB110" i="19" s="1"/>
  <c r="U84" i="18" l="1"/>
  <c r="BF83" i="19"/>
  <c r="AK84" i="18" s="1"/>
  <c r="S83" i="19"/>
  <c r="AF83" i="19" s="1"/>
  <c r="F83" i="19" s="1"/>
  <c r="BU83" i="19" s="1"/>
  <c r="AL84" i="18" s="1"/>
  <c r="H84" i="18" s="1"/>
  <c r="AU83" i="20"/>
  <c r="V84" i="18"/>
  <c r="O82" i="18"/>
  <c r="AA82" i="19" s="1"/>
  <c r="AN82" i="19" s="1"/>
  <c r="BL82" i="19"/>
  <c r="AR83" i="18" s="1"/>
  <c r="M82" i="18"/>
  <c r="AE83" i="18"/>
  <c r="AD83" i="18"/>
  <c r="AA109" i="18"/>
  <c r="BR109" i="19"/>
  <c r="AI110" i="18" s="1"/>
  <c r="BC109" i="19"/>
  <c r="R110" i="18"/>
  <c r="C110" i="18" s="1"/>
  <c r="P110" i="19" s="1"/>
  <c r="C110" i="19" s="1"/>
  <c r="M110" i="22" s="1"/>
  <c r="D109" i="18"/>
  <c r="T110" i="18" s="1"/>
  <c r="R109" i="19"/>
  <c r="E109" i="19" s="1"/>
  <c r="O109" i="22" s="1"/>
  <c r="BE109" i="19"/>
  <c r="BK108" i="19"/>
  <c r="BA108" i="20"/>
  <c r="X108" i="19"/>
  <c r="AK108" i="19" s="1"/>
  <c r="K108" i="19" s="1"/>
  <c r="B110" i="18"/>
  <c r="BQ109" i="19"/>
  <c r="BJ108" i="19"/>
  <c r="AP109" i="18" s="1"/>
  <c r="L109" i="18" s="1"/>
  <c r="W108" i="19"/>
  <c r="AJ108" i="19" s="1"/>
  <c r="J108" i="19" s="1"/>
  <c r="AZ108" i="20"/>
  <c r="Z109" i="18"/>
  <c r="K109" i="18" s="1"/>
  <c r="BI109" i="19"/>
  <c r="AY109" i="20"/>
  <c r="V109" i="19"/>
  <c r="AI109" i="19" s="1"/>
  <c r="I109" i="19" s="1"/>
  <c r="S109" i="22" s="1"/>
  <c r="Y110" i="18"/>
  <c r="G84" i="18" l="1"/>
  <c r="BH84" i="19"/>
  <c r="AM85" i="18" s="1"/>
  <c r="U84" i="19"/>
  <c r="AH84" i="19" s="1"/>
  <c r="H84" i="19" s="1"/>
  <c r="R84" i="22" s="1"/>
  <c r="BW84" i="19" s="1"/>
  <c r="AW84" i="20"/>
  <c r="W85" i="18"/>
  <c r="X85" i="18"/>
  <c r="Y82" i="19"/>
  <c r="BB82" i="20"/>
  <c r="AB83" i="18"/>
  <c r="AC83" i="18"/>
  <c r="P83" i="18"/>
  <c r="N82" i="19"/>
  <c r="U82" i="22" s="1"/>
  <c r="CA82" i="19" s="1"/>
  <c r="AS83" i="18" s="1"/>
  <c r="BN83" i="19" s="1"/>
  <c r="AT84" i="18" s="1"/>
  <c r="X83" i="22"/>
  <c r="BS83" i="19" s="1"/>
  <c r="AJ84" i="18" s="1"/>
  <c r="BX109" i="19"/>
  <c r="AH110" i="18"/>
  <c r="BD110" i="19" s="1"/>
  <c r="BA109" i="20"/>
  <c r="BK109" i="19"/>
  <c r="X109" i="19"/>
  <c r="AK109" i="19" s="1"/>
  <c r="K109" i="19" s="1"/>
  <c r="AA110" i="18"/>
  <c r="E110" i="18"/>
  <c r="BR110" i="19"/>
  <c r="BC110" i="19"/>
  <c r="R111" i="18"/>
  <c r="Q109" i="19"/>
  <c r="AD109" i="19" s="1"/>
  <c r="D109" i="19" s="1"/>
  <c r="N109" i="22" s="1"/>
  <c r="S110" i="18"/>
  <c r="Z110" i="18"/>
  <c r="W109" i="19"/>
  <c r="AJ109" i="19" s="1"/>
  <c r="J109" i="19" s="1"/>
  <c r="BJ109" i="19"/>
  <c r="AP110" i="18" s="1"/>
  <c r="AZ109" i="20"/>
  <c r="O110" i="19"/>
  <c r="AB110" i="19" s="1"/>
  <c r="B110" i="19" s="1"/>
  <c r="L110" i="22" s="1"/>
  <c r="BO110" i="19" s="1"/>
  <c r="AF111" i="18" s="1"/>
  <c r="BB111" i="19" s="1"/>
  <c r="Q111" i="18"/>
  <c r="F84" i="18" l="1"/>
  <c r="I85" i="18"/>
  <c r="AX85" i="20" s="1"/>
  <c r="V85" i="18"/>
  <c r="AV84" i="20"/>
  <c r="T84" i="19"/>
  <c r="AG84" i="19" s="1"/>
  <c r="G84" i="19" s="1"/>
  <c r="BV84" i="19" s="1"/>
  <c r="AN85" i="18" s="1"/>
  <c r="BG84" i="19"/>
  <c r="AL85" i="18" s="1"/>
  <c r="H85" i="18" s="1"/>
  <c r="N83" i="18"/>
  <c r="BZ83" i="19"/>
  <c r="AL82" i="19"/>
  <c r="V83" i="22" s="1"/>
  <c r="AI111" i="18"/>
  <c r="O83" i="18"/>
  <c r="AE84" i="18" s="1"/>
  <c r="BI110" i="19"/>
  <c r="AY110" i="20"/>
  <c r="V110" i="19"/>
  <c r="AI110" i="19" s="1"/>
  <c r="I110" i="19" s="1"/>
  <c r="S110" i="22" s="1"/>
  <c r="BX110" i="19" s="1"/>
  <c r="R110" i="19"/>
  <c r="E110" i="19" s="1"/>
  <c r="O110" i="22" s="1"/>
  <c r="BE110" i="19"/>
  <c r="L110" i="18"/>
  <c r="D110" i="18"/>
  <c r="S111" i="18" s="1"/>
  <c r="BP110" i="19"/>
  <c r="AG111" i="18" s="1"/>
  <c r="C111" i="18" s="1"/>
  <c r="P111" i="19" s="1"/>
  <c r="C111" i="19" s="1"/>
  <c r="M111" i="22" s="1"/>
  <c r="BQ110" i="19"/>
  <c r="AH111" i="18" s="1"/>
  <c r="BD111" i="19" s="1"/>
  <c r="B111" i="18"/>
  <c r="O111" i="19" s="1"/>
  <c r="AB111" i="19" s="1"/>
  <c r="B111" i="19" s="1"/>
  <c r="L111" i="22" s="1"/>
  <c r="BO111" i="19" s="1"/>
  <c r="AF112" i="18" s="1"/>
  <c r="BB112" i="19" s="1"/>
  <c r="Y111" i="18"/>
  <c r="BH85" i="19" l="1"/>
  <c r="AM86" i="18" s="1"/>
  <c r="U85" i="19"/>
  <c r="AH85" i="19" s="1"/>
  <c r="H85" i="19" s="1"/>
  <c r="R85" i="22" s="1"/>
  <c r="BW85" i="19" s="1"/>
  <c r="AW85" i="20"/>
  <c r="X86" i="18"/>
  <c r="BF84" i="19"/>
  <c r="AK85" i="18" s="1"/>
  <c r="G85" i="18" s="1"/>
  <c r="AU84" i="20"/>
  <c r="S84" i="19"/>
  <c r="AF84" i="19" s="1"/>
  <c r="F84" i="19" s="1"/>
  <c r="U85" i="18"/>
  <c r="L82" i="19"/>
  <c r="T82" i="22" s="1"/>
  <c r="BY82" i="19" s="1"/>
  <c r="AQ83" i="18" s="1"/>
  <c r="Z83" i="19"/>
  <c r="M83" i="19" s="1"/>
  <c r="BC83" i="20"/>
  <c r="BM83" i="19"/>
  <c r="AA83" i="19"/>
  <c r="AN83" i="19" s="1"/>
  <c r="AD84" i="18"/>
  <c r="P84" i="18"/>
  <c r="Q112" i="18"/>
  <c r="B112" i="18" s="1"/>
  <c r="O112" i="19" s="1"/>
  <c r="AB112" i="19" s="1"/>
  <c r="B112" i="19" s="1"/>
  <c r="L112" i="22" s="1"/>
  <c r="D111" i="18"/>
  <c r="Q111" i="19" s="1"/>
  <c r="AD111" i="19" s="1"/>
  <c r="D111" i="19" s="1"/>
  <c r="N111" i="22" s="1"/>
  <c r="BP111" i="19"/>
  <c r="AG112" i="18" s="1"/>
  <c r="BQ111" i="19"/>
  <c r="W110" i="19"/>
  <c r="AJ110" i="19" s="1"/>
  <c r="J110" i="19" s="1"/>
  <c r="AZ110" i="20"/>
  <c r="BJ110" i="19"/>
  <c r="AP111" i="18" s="1"/>
  <c r="AA111" i="18"/>
  <c r="Z111" i="18"/>
  <c r="BA110" i="20"/>
  <c r="BK110" i="19"/>
  <c r="X110" i="19"/>
  <c r="AK110" i="19" s="1"/>
  <c r="K110" i="19" s="1"/>
  <c r="R112" i="18"/>
  <c r="BC111" i="19"/>
  <c r="Q110" i="19"/>
  <c r="AD110" i="19" s="1"/>
  <c r="D110" i="19" s="1"/>
  <c r="N110" i="22" s="1"/>
  <c r="T111" i="18"/>
  <c r="BG85" i="19" l="1"/>
  <c r="AV85" i="20"/>
  <c r="T85" i="19"/>
  <c r="AG85" i="19" s="1"/>
  <c r="G85" i="19" s="1"/>
  <c r="BV85" i="19" s="1"/>
  <c r="AN86" i="18" s="1"/>
  <c r="I86" i="18"/>
  <c r="AX86" i="20" s="1"/>
  <c r="W86" i="18"/>
  <c r="BL83" i="19"/>
  <c r="AR84" i="18" s="1"/>
  <c r="M83" i="18"/>
  <c r="N83" i="19"/>
  <c r="U83" i="22" s="1"/>
  <c r="CA83" i="19" s="1"/>
  <c r="AS84" i="18" s="1"/>
  <c r="BN84" i="19" s="1"/>
  <c r="AT85" i="18" s="1"/>
  <c r="X84" i="22"/>
  <c r="BS84" i="19" s="1"/>
  <c r="AJ85" i="18" s="1"/>
  <c r="F85" i="18" s="1"/>
  <c r="Q113" i="18"/>
  <c r="S112" i="18"/>
  <c r="BP112" i="19" s="1"/>
  <c r="AG113" i="18" s="1"/>
  <c r="AH112" i="18"/>
  <c r="BD112" i="19" s="1"/>
  <c r="AY111" i="20"/>
  <c r="V111" i="19"/>
  <c r="AI111" i="19" s="1"/>
  <c r="I111" i="19" s="1"/>
  <c r="S111" i="22" s="1"/>
  <c r="BX111" i="19" s="1"/>
  <c r="BI111" i="19"/>
  <c r="L111" i="18"/>
  <c r="BR111" i="19"/>
  <c r="AI112" i="18" s="1"/>
  <c r="E111" i="18"/>
  <c r="T112" i="18" s="1"/>
  <c r="C112" i="18"/>
  <c r="P112" i="19" s="1"/>
  <c r="C112" i="19" s="1"/>
  <c r="M112" i="22" s="1"/>
  <c r="BO112" i="19"/>
  <c r="AF113" i="18" s="1"/>
  <c r="BB113" i="19" s="1"/>
  <c r="U86" i="18" l="1"/>
  <c r="BF85" i="19"/>
  <c r="AK86" i="18" s="1"/>
  <c r="AU85" i="20"/>
  <c r="S85" i="19"/>
  <c r="AF85" i="19" s="1"/>
  <c r="F85" i="19" s="1"/>
  <c r="BU85" i="19" s="1"/>
  <c r="AL86" i="18" s="1"/>
  <c r="H86" i="18" s="1"/>
  <c r="V86" i="18"/>
  <c r="AB84" i="18"/>
  <c r="BB83" i="20"/>
  <c r="Y83" i="19"/>
  <c r="AC84" i="18"/>
  <c r="O84" i="18"/>
  <c r="D112" i="18"/>
  <c r="Q112" i="19" s="1"/>
  <c r="AD112" i="19" s="1"/>
  <c r="D112" i="19" s="1"/>
  <c r="N112" i="22" s="1"/>
  <c r="BC112" i="19"/>
  <c r="W111" i="19"/>
  <c r="AJ111" i="19" s="1"/>
  <c r="J111" i="19" s="1"/>
  <c r="AZ111" i="20"/>
  <c r="BJ111" i="19"/>
  <c r="AP112" i="18" s="1"/>
  <c r="AA112" i="18"/>
  <c r="Z112" i="18"/>
  <c r="BQ112" i="19"/>
  <c r="BR112" i="19"/>
  <c r="AI113" i="18" s="1"/>
  <c r="E112" i="18"/>
  <c r="R112" i="19" s="1"/>
  <c r="E112" i="19" s="1"/>
  <c r="O112" i="22" s="1"/>
  <c r="B113" i="18"/>
  <c r="R111" i="19"/>
  <c r="E111" i="19" s="1"/>
  <c r="O111" i="22" s="1"/>
  <c r="BE111" i="19"/>
  <c r="BK111" i="19"/>
  <c r="BA111" i="20"/>
  <c r="X111" i="19"/>
  <c r="AK111" i="19" s="1"/>
  <c r="K111" i="19" s="1"/>
  <c r="R113" i="18"/>
  <c r="C113" i="18" s="1"/>
  <c r="P113" i="19" s="1"/>
  <c r="C113" i="19" s="1"/>
  <c r="M113" i="22" s="1"/>
  <c r="J112" i="18"/>
  <c r="U86" i="19" l="1"/>
  <c r="AH86" i="19" s="1"/>
  <c r="H86" i="19" s="1"/>
  <c r="R86" i="22" s="1"/>
  <c r="BW86" i="19" s="1"/>
  <c r="BH86" i="19"/>
  <c r="AM87" i="18" s="1"/>
  <c r="AW86" i="20"/>
  <c r="W87" i="18"/>
  <c r="X87" i="18"/>
  <c r="AH113" i="18"/>
  <c r="BD113" i="19" s="1"/>
  <c r="G86" i="18"/>
  <c r="BZ84" i="19"/>
  <c r="N84" i="18"/>
  <c r="AL83" i="19"/>
  <c r="V84" i="22" s="1"/>
  <c r="AA84" i="19"/>
  <c r="AN84" i="19" s="1"/>
  <c r="AE85" i="18"/>
  <c r="AD85" i="18"/>
  <c r="S113" i="18"/>
  <c r="BE112" i="19"/>
  <c r="T113" i="18"/>
  <c r="E113" i="18" s="1"/>
  <c r="R113" i="19" s="1"/>
  <c r="E113" i="19" s="1"/>
  <c r="O113" i="22" s="1"/>
  <c r="L112" i="18"/>
  <c r="AY112" i="20"/>
  <c r="V112" i="19"/>
  <c r="AI112" i="19" s="1"/>
  <c r="I112" i="19" s="1"/>
  <c r="S112" i="22" s="1"/>
  <c r="BX112" i="19" s="1"/>
  <c r="BI112" i="19"/>
  <c r="Y113" i="18"/>
  <c r="BC113" i="19"/>
  <c r="R114" i="18"/>
  <c r="O113" i="19"/>
  <c r="AB113" i="19" s="1"/>
  <c r="B113" i="19" s="1"/>
  <c r="L113" i="22" s="1"/>
  <c r="BO113" i="19" s="1"/>
  <c r="AF114" i="18" s="1"/>
  <c r="BB114" i="19" s="1"/>
  <c r="Q114" i="18"/>
  <c r="BQ113" i="19"/>
  <c r="K112" i="18"/>
  <c r="BR113" i="19" l="1"/>
  <c r="D113" i="18"/>
  <c r="Q113" i="19" s="1"/>
  <c r="AD113" i="19" s="1"/>
  <c r="D113" i="19" s="1"/>
  <c r="N113" i="22" s="1"/>
  <c r="AI114" i="18"/>
  <c r="T86" i="19"/>
  <c r="AG86" i="19" s="1"/>
  <c r="G86" i="19" s="1"/>
  <c r="BV86" i="19" s="1"/>
  <c r="AN87" i="18" s="1"/>
  <c r="BG86" i="19"/>
  <c r="AV86" i="20"/>
  <c r="I87" i="18"/>
  <c r="AX87" i="20" s="1"/>
  <c r="Z84" i="19"/>
  <c r="M84" i="19" s="1"/>
  <c r="BC84" i="20"/>
  <c r="BM84" i="19"/>
  <c r="L83" i="19"/>
  <c r="T83" i="22" s="1"/>
  <c r="BY83" i="19" s="1"/>
  <c r="AQ84" i="18" s="1"/>
  <c r="P85" i="18"/>
  <c r="N84" i="19"/>
  <c r="U84" i="22" s="1"/>
  <c r="CA84" i="19" s="1"/>
  <c r="X85" i="22"/>
  <c r="BS85" i="19" s="1"/>
  <c r="AJ86" i="18" s="1"/>
  <c r="BP113" i="19"/>
  <c r="AG114" i="18" s="1"/>
  <c r="C114" i="18" s="1"/>
  <c r="P114" i="19" s="1"/>
  <c r="C114" i="19" s="1"/>
  <c r="M114" i="22" s="1"/>
  <c r="AZ112" i="20"/>
  <c r="BJ112" i="19"/>
  <c r="AP113" i="18" s="1"/>
  <c r="W112" i="19"/>
  <c r="AJ112" i="19" s="1"/>
  <c r="J112" i="19" s="1"/>
  <c r="S114" i="18"/>
  <c r="Z113" i="18"/>
  <c r="AH114" i="18"/>
  <c r="BD114" i="19" s="1"/>
  <c r="BA112" i="20"/>
  <c r="X112" i="19"/>
  <c r="AK112" i="19" s="1"/>
  <c r="K112" i="19" s="1"/>
  <c r="BK112" i="19"/>
  <c r="BE113" i="19"/>
  <c r="T114" i="18"/>
  <c r="B114" i="18"/>
  <c r="O114" i="19" s="1"/>
  <c r="AB114" i="19" s="1"/>
  <c r="B114" i="19" s="1"/>
  <c r="L114" i="22" s="1"/>
  <c r="BO114" i="19" s="1"/>
  <c r="AF115" i="18" s="1"/>
  <c r="BB115" i="19" s="1"/>
  <c r="AO113" i="18"/>
  <c r="AA113" i="18"/>
  <c r="F86" i="18" l="1"/>
  <c r="AS85" i="18"/>
  <c r="O85" i="18" s="1"/>
  <c r="AA85" i="19" s="1"/>
  <c r="AN85" i="19" s="1"/>
  <c r="N85" i="19" s="1"/>
  <c r="U85" i="22" s="1"/>
  <c r="CA85" i="19" s="1"/>
  <c r="BL84" i="19"/>
  <c r="AR85" i="18" s="1"/>
  <c r="M84" i="18"/>
  <c r="BC114" i="19"/>
  <c r="K113" i="18"/>
  <c r="L113" i="18"/>
  <c r="Q115" i="18"/>
  <c r="R115" i="18"/>
  <c r="BR114" i="19"/>
  <c r="AI115" i="18" s="1"/>
  <c r="E114" i="18"/>
  <c r="BP114" i="19"/>
  <c r="AG115" i="18" s="1"/>
  <c r="D114" i="18"/>
  <c r="Q114" i="19" s="1"/>
  <c r="AD114" i="19" s="1"/>
  <c r="D114" i="19" s="1"/>
  <c r="N114" i="22" s="1"/>
  <c r="BQ114" i="19"/>
  <c r="AU86" i="20" l="1"/>
  <c r="S86" i="19"/>
  <c r="AF86" i="19" s="1"/>
  <c r="F86" i="19" s="1"/>
  <c r="BU86" i="19" s="1"/>
  <c r="AL87" i="18" s="1"/>
  <c r="BF86" i="19"/>
  <c r="AK87" i="18" s="1"/>
  <c r="U87" i="18"/>
  <c r="V87" i="18"/>
  <c r="AE86" i="18"/>
  <c r="AH115" i="18"/>
  <c r="BD115" i="19" s="1"/>
  <c r="BN85" i="19"/>
  <c r="AT86" i="18" s="1"/>
  <c r="P86" i="18" s="1"/>
  <c r="X86" i="22"/>
  <c r="BS86" i="19" s="1"/>
  <c r="AJ87" i="18" s="1"/>
  <c r="Y84" i="19"/>
  <c r="BB84" i="20"/>
  <c r="AB85" i="18"/>
  <c r="AC85" i="18"/>
  <c r="T115" i="18"/>
  <c r="E115" i="18" s="1"/>
  <c r="R115" i="19" s="1"/>
  <c r="E115" i="19" s="1"/>
  <c r="O115" i="22" s="1"/>
  <c r="S115" i="18"/>
  <c r="Z114" i="18"/>
  <c r="AZ113" i="20"/>
  <c r="BJ113" i="19"/>
  <c r="W113" i="19"/>
  <c r="AJ113" i="19" s="1"/>
  <c r="J113" i="19" s="1"/>
  <c r="R114" i="19"/>
  <c r="E114" i="19" s="1"/>
  <c r="O114" i="22" s="1"/>
  <c r="BE114" i="19"/>
  <c r="B115" i="18"/>
  <c r="O115" i="19" s="1"/>
  <c r="AB115" i="19" s="1"/>
  <c r="B115" i="19" s="1"/>
  <c r="L115" i="22" s="1"/>
  <c r="BO115" i="19" s="1"/>
  <c r="AF116" i="18" s="1"/>
  <c r="BB116" i="19" s="1"/>
  <c r="Y114" i="18"/>
  <c r="BI113" i="19"/>
  <c r="AY113" i="20"/>
  <c r="V113" i="19"/>
  <c r="AI113" i="19" s="1"/>
  <c r="I113" i="19" s="1"/>
  <c r="S113" i="22" s="1"/>
  <c r="BX113" i="19" s="1"/>
  <c r="AA114" i="18"/>
  <c r="C115" i="18"/>
  <c r="P115" i="19" s="1"/>
  <c r="C115" i="19" s="1"/>
  <c r="M115" i="22" s="1"/>
  <c r="BK113" i="19"/>
  <c r="BA113" i="20"/>
  <c r="X113" i="19"/>
  <c r="AK113" i="19" s="1"/>
  <c r="K113" i="19" s="1"/>
  <c r="D115" i="18" l="1"/>
  <c r="Q115" i="19" s="1"/>
  <c r="AD115" i="19" s="1"/>
  <c r="D115" i="19" s="1"/>
  <c r="N115" i="22" s="1"/>
  <c r="F87" i="18"/>
  <c r="U88" i="18" s="1"/>
  <c r="G87" i="18"/>
  <c r="H87" i="18"/>
  <c r="BZ85" i="19"/>
  <c r="N85" i="18"/>
  <c r="AL84" i="19"/>
  <c r="V85" i="22" s="1"/>
  <c r="BR115" i="19"/>
  <c r="AI116" i="18" s="1"/>
  <c r="BP115" i="19"/>
  <c r="AG116" i="18" s="1"/>
  <c r="BC115" i="19"/>
  <c r="Q116" i="18"/>
  <c r="B116" i="18" s="1"/>
  <c r="O116" i="19" s="1"/>
  <c r="AB116" i="19" s="1"/>
  <c r="B116" i="19" s="1"/>
  <c r="L116" i="22" s="1"/>
  <c r="BQ115" i="19"/>
  <c r="BE115" i="19"/>
  <c r="AP114" i="18"/>
  <c r="L114" i="18" s="1"/>
  <c r="R116" i="18"/>
  <c r="S116" i="18"/>
  <c r="T116" i="18"/>
  <c r="AW87" i="20" l="1"/>
  <c r="U87" i="19"/>
  <c r="AH87" i="19" s="1"/>
  <c r="H87" i="19" s="1"/>
  <c r="R87" i="22" s="1"/>
  <c r="BW87" i="19" s="1"/>
  <c r="BH87" i="19"/>
  <c r="AM88" i="18" s="1"/>
  <c r="W88" i="18"/>
  <c r="X88" i="18"/>
  <c r="BF87" i="19"/>
  <c r="AK88" i="18" s="1"/>
  <c r="S87" i="19"/>
  <c r="AF87" i="19" s="1"/>
  <c r="F87" i="19" s="1"/>
  <c r="BU87" i="19" s="1"/>
  <c r="AU87" i="20"/>
  <c r="AV87" i="20"/>
  <c r="BG87" i="19"/>
  <c r="T87" i="19"/>
  <c r="AG87" i="19" s="1"/>
  <c r="G87" i="19" s="1"/>
  <c r="BV87" i="19" s="1"/>
  <c r="AN88" i="18" s="1"/>
  <c r="V88" i="18"/>
  <c r="L84" i="19"/>
  <c r="T84" i="22" s="1"/>
  <c r="BY84" i="19" s="1"/>
  <c r="AQ85" i="18" s="1"/>
  <c r="AH116" i="18"/>
  <c r="BD116" i="19" s="1"/>
  <c r="Z85" i="19"/>
  <c r="M85" i="19" s="1"/>
  <c r="BC85" i="20"/>
  <c r="BM85" i="19"/>
  <c r="AS86" i="18" s="1"/>
  <c r="BN86" i="19" s="1"/>
  <c r="AT87" i="18" s="1"/>
  <c r="AD86" i="18"/>
  <c r="C116" i="18"/>
  <c r="BC116" i="19" s="1"/>
  <c r="AY114" i="20"/>
  <c r="BI114" i="19"/>
  <c r="V114" i="19"/>
  <c r="AI114" i="19" s="1"/>
  <c r="I114" i="19" s="1"/>
  <c r="S114" i="22" s="1"/>
  <c r="BX114" i="19" s="1"/>
  <c r="Q117" i="18"/>
  <c r="BP116" i="19"/>
  <c r="AG117" i="18" s="1"/>
  <c r="K114" i="18"/>
  <c r="BR116" i="19"/>
  <c r="E116" i="18"/>
  <c r="BK114" i="19"/>
  <c r="BA114" i="20"/>
  <c r="X114" i="19"/>
  <c r="AK114" i="19" s="1"/>
  <c r="K114" i="19" s="1"/>
  <c r="BO116" i="19"/>
  <c r="AF117" i="18" s="1"/>
  <c r="BB117" i="19" s="1"/>
  <c r="AL88" i="18" l="1"/>
  <c r="D116" i="18"/>
  <c r="Q116" i="19" s="1"/>
  <c r="AD116" i="19" s="1"/>
  <c r="D116" i="19" s="1"/>
  <c r="N116" i="22" s="1"/>
  <c r="H88" i="18"/>
  <c r="I88" i="18"/>
  <c r="AX88" i="20" s="1"/>
  <c r="G88" i="18"/>
  <c r="AI117" i="18"/>
  <c r="O86" i="18"/>
  <c r="BL85" i="19"/>
  <c r="AR86" i="18" s="1"/>
  <c r="M85" i="18"/>
  <c r="P116" i="19"/>
  <c r="C116" i="19" s="1"/>
  <c r="M116" i="22" s="1"/>
  <c r="R117" i="18"/>
  <c r="C117" i="18" s="1"/>
  <c r="P117" i="19" s="1"/>
  <c r="C117" i="19" s="1"/>
  <c r="M117" i="22" s="1"/>
  <c r="AO115" i="18"/>
  <c r="BQ116" i="19"/>
  <c r="AH117" i="18" s="1"/>
  <c r="BD117" i="19" s="1"/>
  <c r="S117" i="18"/>
  <c r="BP117" i="19" s="1"/>
  <c r="BI115" i="19"/>
  <c r="V115" i="19"/>
  <c r="AI115" i="19" s="1"/>
  <c r="I115" i="19" s="1"/>
  <c r="S115" i="22" s="1"/>
  <c r="AY115" i="20"/>
  <c r="Y116" i="18"/>
  <c r="R116" i="19"/>
  <c r="E116" i="19" s="1"/>
  <c r="O116" i="22" s="1"/>
  <c r="BE116" i="19"/>
  <c r="B117" i="18"/>
  <c r="O117" i="19" s="1"/>
  <c r="AB117" i="19" s="1"/>
  <c r="B117" i="19" s="1"/>
  <c r="L117" i="22" s="1"/>
  <c r="W114" i="19"/>
  <c r="AJ114" i="19" s="1"/>
  <c r="J114" i="19" s="1"/>
  <c r="BJ114" i="19"/>
  <c r="AP115" i="18" s="1"/>
  <c r="AZ114" i="20"/>
  <c r="AA115" i="18"/>
  <c r="Z115" i="18"/>
  <c r="T117" i="18"/>
  <c r="W89" i="18" l="1"/>
  <c r="X89" i="18"/>
  <c r="T88" i="19"/>
  <c r="AG88" i="19" s="1"/>
  <c r="G88" i="19" s="1"/>
  <c r="BG88" i="19"/>
  <c r="AV88" i="20"/>
  <c r="BH88" i="19"/>
  <c r="AM89" i="18" s="1"/>
  <c r="AW88" i="20"/>
  <c r="U88" i="19"/>
  <c r="AH88" i="19" s="1"/>
  <c r="H88" i="19" s="1"/>
  <c r="R88" i="22" s="1"/>
  <c r="BW88" i="19" s="1"/>
  <c r="BB85" i="20"/>
  <c r="Y85" i="19"/>
  <c r="AB86" i="18"/>
  <c r="AC86" i="18"/>
  <c r="AA86" i="19"/>
  <c r="AN86" i="19" s="1"/>
  <c r="AE87" i="18"/>
  <c r="BO117" i="19"/>
  <c r="AF118" i="18" s="1"/>
  <c r="BB118" i="19" s="1"/>
  <c r="AG118" i="18"/>
  <c r="K115" i="18"/>
  <c r="BJ115" i="19" s="1"/>
  <c r="BW115" i="19"/>
  <c r="D117" i="18"/>
  <c r="Q117" i="19" s="1"/>
  <c r="AD117" i="19" s="1"/>
  <c r="D117" i="19" s="1"/>
  <c r="N117" i="22" s="1"/>
  <c r="Z116" i="18"/>
  <c r="L115" i="18"/>
  <c r="E117" i="18"/>
  <c r="BR117" i="19"/>
  <c r="AI118" i="18" s="1"/>
  <c r="AO116" i="18"/>
  <c r="R118" i="18"/>
  <c r="BQ117" i="19"/>
  <c r="J116" i="18"/>
  <c r="Y117" i="18" s="1"/>
  <c r="BC117" i="19"/>
  <c r="Q118" i="18"/>
  <c r="BX115" i="19"/>
  <c r="I89" i="18" l="1"/>
  <c r="AX89" i="20" s="1"/>
  <c r="N86" i="18"/>
  <c r="BZ86" i="19"/>
  <c r="P87" i="18"/>
  <c r="AL85" i="19"/>
  <c r="V86" i="22" s="1"/>
  <c r="N86" i="19"/>
  <c r="U86" i="22" s="1"/>
  <c r="CA86" i="19" s="1"/>
  <c r="X87" i="22"/>
  <c r="BS87" i="19" s="1"/>
  <c r="AJ88" i="18" s="1"/>
  <c r="C118" i="18"/>
  <c r="P118" i="19" s="1"/>
  <c r="C118" i="19" s="1"/>
  <c r="M118" i="22" s="1"/>
  <c r="S118" i="18"/>
  <c r="BP118" i="19" s="1"/>
  <c r="AG119" i="18" s="1"/>
  <c r="AA116" i="18"/>
  <c r="AZ115" i="20"/>
  <c r="W115" i="19"/>
  <c r="AJ115" i="19" s="1"/>
  <c r="J115" i="19" s="1"/>
  <c r="AP116" i="18"/>
  <c r="V116" i="19"/>
  <c r="AI116" i="19" s="1"/>
  <c r="I116" i="19" s="1"/>
  <c r="S116" i="22" s="1"/>
  <c r="AY116" i="20"/>
  <c r="BI116" i="19"/>
  <c r="T118" i="18"/>
  <c r="E118" i="18" s="1"/>
  <c r="R118" i="19" s="1"/>
  <c r="E118" i="19" s="1"/>
  <c r="O118" i="22" s="1"/>
  <c r="R117" i="19"/>
  <c r="E117" i="19" s="1"/>
  <c r="O117" i="22" s="1"/>
  <c r="BE117" i="19"/>
  <c r="X115" i="19"/>
  <c r="AK115" i="19" s="1"/>
  <c r="K115" i="19" s="1"/>
  <c r="BA115" i="20"/>
  <c r="BK115" i="19"/>
  <c r="J117" i="18"/>
  <c r="B118" i="18"/>
  <c r="O118" i="19" s="1"/>
  <c r="AB118" i="19" s="1"/>
  <c r="B118" i="19" s="1"/>
  <c r="L118" i="22" s="1"/>
  <c r="BO118" i="19" s="1"/>
  <c r="AF119" i="18" s="1"/>
  <c r="BB119" i="19" s="1"/>
  <c r="AH118" i="18"/>
  <c r="BD118" i="19" s="1"/>
  <c r="K116" i="18"/>
  <c r="BC118" i="19" l="1"/>
  <c r="F88" i="18"/>
  <c r="L85" i="19"/>
  <c r="T85" i="22" s="1"/>
  <c r="BY85" i="19" s="1"/>
  <c r="AQ86" i="18" s="1"/>
  <c r="BM86" i="19"/>
  <c r="AS87" i="18" s="1"/>
  <c r="BN87" i="19" s="1"/>
  <c r="AT88" i="18" s="1"/>
  <c r="BC86" i="20"/>
  <c r="Z86" i="19"/>
  <c r="M86" i="19" s="1"/>
  <c r="AD87" i="18"/>
  <c r="BX116" i="19"/>
  <c r="L116" i="18"/>
  <c r="X116" i="19" s="1"/>
  <c r="AK116" i="19" s="1"/>
  <c r="K116" i="19" s="1"/>
  <c r="R119" i="18"/>
  <c r="C119" i="18" s="1"/>
  <c r="P119" i="19" s="1"/>
  <c r="C119" i="19" s="1"/>
  <c r="M119" i="22" s="1"/>
  <c r="BQ118" i="19"/>
  <c r="AH119" i="18" s="1"/>
  <c r="BD119" i="19" s="1"/>
  <c r="Q119" i="18"/>
  <c r="B119" i="18" s="1"/>
  <c r="O119" i="19" s="1"/>
  <c r="AB119" i="19" s="1"/>
  <c r="B119" i="19" s="1"/>
  <c r="L119" i="22" s="1"/>
  <c r="Z117" i="18"/>
  <c r="BJ116" i="19"/>
  <c r="AP117" i="18" s="1"/>
  <c r="W116" i="19"/>
  <c r="AJ116" i="19" s="1"/>
  <c r="J116" i="19" s="1"/>
  <c r="AZ116" i="20"/>
  <c r="V117" i="19"/>
  <c r="AI117" i="19" s="1"/>
  <c r="I117" i="19" s="1"/>
  <c r="S117" i="22" s="1"/>
  <c r="AY117" i="20"/>
  <c r="BI117" i="19"/>
  <c r="BR118" i="19"/>
  <c r="AI119" i="18" s="1"/>
  <c r="AO117" i="18"/>
  <c r="AA117" i="18"/>
  <c r="BA116" i="20"/>
  <c r="BK116" i="19"/>
  <c r="Y118" i="18"/>
  <c r="D118" i="18"/>
  <c r="T119" i="18" s="1"/>
  <c r="BE118" i="19"/>
  <c r="AU88" i="20" l="1"/>
  <c r="BF88" i="19"/>
  <c r="AK89" i="18" s="1"/>
  <c r="G89" i="18" s="1"/>
  <c r="S88" i="19"/>
  <c r="AF88" i="19" s="1"/>
  <c r="F88" i="19" s="1"/>
  <c r="BU88" i="19" s="1"/>
  <c r="AL89" i="18" s="1"/>
  <c r="U89" i="18"/>
  <c r="V89" i="18"/>
  <c r="BW117" i="19"/>
  <c r="AO118" i="18" s="1"/>
  <c r="BL86" i="19"/>
  <c r="AR87" i="18" s="1"/>
  <c r="M86" i="18"/>
  <c r="O87" i="18"/>
  <c r="BO119" i="19"/>
  <c r="AF120" i="18" s="1"/>
  <c r="BB120" i="19" s="1"/>
  <c r="L117" i="18"/>
  <c r="X117" i="19" s="1"/>
  <c r="AK117" i="19" s="1"/>
  <c r="K117" i="19" s="1"/>
  <c r="R120" i="18"/>
  <c r="Q120" i="18"/>
  <c r="E119" i="18"/>
  <c r="R119" i="19" s="1"/>
  <c r="E119" i="19" s="1"/>
  <c r="O119" i="22" s="1"/>
  <c r="BR119" i="19"/>
  <c r="AI120" i="18" s="1"/>
  <c r="BC119" i="19"/>
  <c r="Q118" i="19"/>
  <c r="AD118" i="19" s="1"/>
  <c r="D118" i="19" s="1"/>
  <c r="N118" i="22" s="1"/>
  <c r="S119" i="18"/>
  <c r="BX117" i="19"/>
  <c r="J118" i="18"/>
  <c r="Y119" i="18" s="1"/>
  <c r="K117" i="18"/>
  <c r="H89" i="18" l="1"/>
  <c r="T89" i="19"/>
  <c r="AG89" i="19" s="1"/>
  <c r="G89" i="19" s="1"/>
  <c r="BV89" i="19" s="1"/>
  <c r="AN90" i="18" s="1"/>
  <c r="BG89" i="19"/>
  <c r="AV89" i="20"/>
  <c r="AA87" i="19"/>
  <c r="AE88" i="18"/>
  <c r="Y86" i="19"/>
  <c r="BB86" i="20"/>
  <c r="AB87" i="18"/>
  <c r="AC87" i="18"/>
  <c r="B120" i="18"/>
  <c r="O120" i="19" s="1"/>
  <c r="AB120" i="19" s="1"/>
  <c r="B120" i="19" s="1"/>
  <c r="L120" i="22" s="1"/>
  <c r="BK117" i="19"/>
  <c r="BO120" i="19"/>
  <c r="AF121" i="18" s="1"/>
  <c r="BB121" i="19" s="1"/>
  <c r="BA117" i="20"/>
  <c r="BE119" i="19"/>
  <c r="BP119" i="19"/>
  <c r="AG120" i="18" s="1"/>
  <c r="D119" i="18"/>
  <c r="S120" i="18" s="1"/>
  <c r="BQ119" i="19"/>
  <c r="AH120" i="18" s="1"/>
  <c r="BD120" i="19" s="1"/>
  <c r="AA118" i="18"/>
  <c r="W117" i="19"/>
  <c r="AJ117" i="19" s="1"/>
  <c r="J117" i="19" s="1"/>
  <c r="BJ117" i="19"/>
  <c r="AP118" i="18" s="1"/>
  <c r="AZ117" i="20"/>
  <c r="J119" i="18"/>
  <c r="BI118" i="19"/>
  <c r="V118" i="19"/>
  <c r="AI118" i="19" s="1"/>
  <c r="I118" i="19" s="1"/>
  <c r="S118" i="22" s="1"/>
  <c r="AY118" i="20"/>
  <c r="Z118" i="18"/>
  <c r="U89" i="19" l="1"/>
  <c r="AH89" i="19" s="1"/>
  <c r="H89" i="19" s="1"/>
  <c r="R89" i="22" s="1"/>
  <c r="BW89" i="19" s="1"/>
  <c r="BH89" i="19"/>
  <c r="AM90" i="18" s="1"/>
  <c r="AW89" i="20"/>
  <c r="W90" i="18"/>
  <c r="X90" i="18"/>
  <c r="Q121" i="18"/>
  <c r="AL86" i="19"/>
  <c r="V87" i="22" s="1"/>
  <c r="N87" i="18"/>
  <c r="BZ87" i="19"/>
  <c r="P88" i="18"/>
  <c r="AN87" i="19"/>
  <c r="X88" i="22" s="1"/>
  <c r="BS88" i="19" s="1"/>
  <c r="AJ89" i="18" s="1"/>
  <c r="B121" i="18"/>
  <c r="O121" i="19" s="1"/>
  <c r="AB121" i="19" s="1"/>
  <c r="B121" i="19" s="1"/>
  <c r="L121" i="22" s="1"/>
  <c r="BX118" i="19"/>
  <c r="K118" i="18"/>
  <c r="BW118" i="19"/>
  <c r="AO119" i="18" s="1"/>
  <c r="AY119" i="20"/>
  <c r="V119" i="19"/>
  <c r="AI119" i="19" s="1"/>
  <c r="I119" i="19" s="1"/>
  <c r="S119" i="22" s="1"/>
  <c r="BI119" i="19"/>
  <c r="L118" i="18"/>
  <c r="C120" i="18"/>
  <c r="BC120" i="19" s="1"/>
  <c r="D120" i="18"/>
  <c r="Q120" i="19" s="1"/>
  <c r="AD120" i="19" s="1"/>
  <c r="D120" i="19" s="1"/>
  <c r="N120" i="22" s="1"/>
  <c r="BP120" i="19"/>
  <c r="AG121" i="18" s="1"/>
  <c r="Y120" i="18"/>
  <c r="Q119" i="19"/>
  <c r="AD119" i="19" s="1"/>
  <c r="D119" i="19" s="1"/>
  <c r="N119" i="22" s="1"/>
  <c r="T120" i="18"/>
  <c r="F89" i="18" l="1"/>
  <c r="I90" i="18"/>
  <c r="AX90" i="20" s="1"/>
  <c r="N87" i="19"/>
  <c r="U87" i="22" s="1"/>
  <c r="CA87" i="19" s="1"/>
  <c r="Z87" i="19"/>
  <c r="M87" i="19" s="1"/>
  <c r="BC87" i="20"/>
  <c r="BM87" i="19"/>
  <c r="AD88" i="18"/>
  <c r="L86" i="19"/>
  <c r="T86" i="22" s="1"/>
  <c r="BY86" i="19" s="1"/>
  <c r="AQ87" i="18" s="1"/>
  <c r="Q122" i="18"/>
  <c r="AA119" i="18"/>
  <c r="BK118" i="19"/>
  <c r="X118" i="19"/>
  <c r="AK118" i="19" s="1"/>
  <c r="K118" i="19" s="1"/>
  <c r="BA118" i="20"/>
  <c r="J120" i="18"/>
  <c r="Y121" i="18" s="1"/>
  <c r="Z119" i="18"/>
  <c r="BW119" i="19" s="1"/>
  <c r="AO120" i="18" s="1"/>
  <c r="AZ118" i="20"/>
  <c r="W118" i="19"/>
  <c r="AJ118" i="19" s="1"/>
  <c r="J118" i="19" s="1"/>
  <c r="BJ118" i="19"/>
  <c r="AP119" i="18" s="1"/>
  <c r="S121" i="18"/>
  <c r="BR120" i="19"/>
  <c r="AI121" i="18" s="1"/>
  <c r="E120" i="18"/>
  <c r="T121" i="18" s="1"/>
  <c r="P120" i="19"/>
  <c r="C120" i="19" s="1"/>
  <c r="R121" i="18"/>
  <c r="C121" i="18" s="1"/>
  <c r="S89" i="19" l="1"/>
  <c r="AF89" i="19" s="1"/>
  <c r="F89" i="19" s="1"/>
  <c r="BU89" i="19" s="1"/>
  <c r="AL90" i="18" s="1"/>
  <c r="BF89" i="19"/>
  <c r="AK90" i="18" s="1"/>
  <c r="AU89" i="20"/>
  <c r="U90" i="18"/>
  <c r="V90" i="18"/>
  <c r="AS88" i="18"/>
  <c r="BN88" i="19" s="1"/>
  <c r="AT89" i="18" s="1"/>
  <c r="BL87" i="19"/>
  <c r="AR88" i="18" s="1"/>
  <c r="M87" i="18"/>
  <c r="P121" i="19"/>
  <c r="C121" i="19" s="1"/>
  <c r="M121" i="22" s="1"/>
  <c r="BC121" i="19"/>
  <c r="L119" i="18"/>
  <c r="BA119" i="20" s="1"/>
  <c r="E121" i="18"/>
  <c r="R121" i="19" s="1"/>
  <c r="E121" i="19" s="1"/>
  <c r="O121" i="22" s="1"/>
  <c r="BR121" i="19"/>
  <c r="R122" i="18"/>
  <c r="BO121" i="19"/>
  <c r="AF122" i="18" s="1"/>
  <c r="R120" i="19"/>
  <c r="E120" i="19" s="1"/>
  <c r="O120" i="22" s="1"/>
  <c r="BE120" i="19"/>
  <c r="BX119" i="19"/>
  <c r="K119" i="18"/>
  <c r="Z120" i="18" s="1"/>
  <c r="AY120" i="20"/>
  <c r="V120" i="19"/>
  <c r="AI120" i="19" s="1"/>
  <c r="I120" i="19" s="1"/>
  <c r="S120" i="22" s="1"/>
  <c r="BI120" i="19"/>
  <c r="M120" i="22"/>
  <c r="BQ120" i="19"/>
  <c r="AH121" i="18" s="1"/>
  <c r="BD121" i="19" s="1"/>
  <c r="BP121" i="19"/>
  <c r="AG122" i="18" s="1"/>
  <c r="BQ121" i="19"/>
  <c r="G90" i="18" l="1"/>
  <c r="H90" i="18"/>
  <c r="O88" i="18"/>
  <c r="BB87" i="20"/>
  <c r="Y87" i="19"/>
  <c r="AB88" i="18"/>
  <c r="AC88" i="18"/>
  <c r="AI122" i="18"/>
  <c r="BK119" i="19"/>
  <c r="X119" i="19"/>
  <c r="AK119" i="19" s="1"/>
  <c r="K119" i="19" s="1"/>
  <c r="V121" i="19"/>
  <c r="AI121" i="19" s="1"/>
  <c r="I121" i="19" s="1"/>
  <c r="S121" i="22" s="1"/>
  <c r="BI121" i="19"/>
  <c r="AY121" i="20"/>
  <c r="Y122" i="18"/>
  <c r="C122" i="18"/>
  <c r="P122" i="19" s="1"/>
  <c r="C122" i="19" s="1"/>
  <c r="M122" i="22" s="1"/>
  <c r="BE121" i="19"/>
  <c r="AH122" i="18"/>
  <c r="BD122" i="19" s="1"/>
  <c r="BB122" i="19"/>
  <c r="B122" i="18"/>
  <c r="K120" i="18"/>
  <c r="Z121" i="18" s="1"/>
  <c r="D121" i="18"/>
  <c r="BJ119" i="19"/>
  <c r="AP120" i="18" s="1"/>
  <c r="W119" i="19"/>
  <c r="AJ119" i="19" s="1"/>
  <c r="J119" i="19" s="1"/>
  <c r="AZ119" i="20"/>
  <c r="BW120" i="19"/>
  <c r="AO121" i="18" s="1"/>
  <c r="AA120" i="18"/>
  <c r="AW90" i="20" l="1"/>
  <c r="U90" i="19"/>
  <c r="AH90" i="19" s="1"/>
  <c r="H90" i="19" s="1"/>
  <c r="R90" i="22" s="1"/>
  <c r="BW90" i="19" s="1"/>
  <c r="AO91" i="18" s="1"/>
  <c r="K91" i="18" s="1"/>
  <c r="BH90" i="19"/>
  <c r="AM91" i="18" s="1"/>
  <c r="W91" i="18"/>
  <c r="X91" i="18"/>
  <c r="T90" i="19"/>
  <c r="AG90" i="19" s="1"/>
  <c r="G90" i="19" s="1"/>
  <c r="BV90" i="19" s="1"/>
  <c r="AN91" i="18" s="1"/>
  <c r="J91" i="18" s="1"/>
  <c r="AV90" i="20"/>
  <c r="BG90" i="19"/>
  <c r="AA88" i="19"/>
  <c r="AE89" i="18"/>
  <c r="P89" i="18" s="1"/>
  <c r="N88" i="18"/>
  <c r="BZ88" i="19"/>
  <c r="AL87" i="19"/>
  <c r="V88" i="22" s="1"/>
  <c r="L87" i="19"/>
  <c r="T87" i="22" s="1"/>
  <c r="BY87" i="19" s="1"/>
  <c r="AQ88" i="18" s="1"/>
  <c r="BL88" i="19" s="1"/>
  <c r="BC122" i="19"/>
  <c r="O122" i="19"/>
  <c r="AB122" i="19" s="1"/>
  <c r="B122" i="19" s="1"/>
  <c r="L122" i="22" s="1"/>
  <c r="BO122" i="19" s="1"/>
  <c r="AF123" i="18" s="1"/>
  <c r="BB123" i="19" s="1"/>
  <c r="Q123" i="18"/>
  <c r="Q121" i="19"/>
  <c r="AD121" i="19" s="1"/>
  <c r="D121" i="19" s="1"/>
  <c r="N121" i="22" s="1"/>
  <c r="S122" i="18"/>
  <c r="BX120" i="19"/>
  <c r="K121" i="18"/>
  <c r="Z122" i="18" s="1"/>
  <c r="R123" i="18"/>
  <c r="L120" i="18"/>
  <c r="AZ120" i="20"/>
  <c r="W120" i="19"/>
  <c r="AJ120" i="19" s="1"/>
  <c r="J120" i="19" s="1"/>
  <c r="BJ120" i="19"/>
  <c r="T122" i="18"/>
  <c r="I91" i="18" l="1"/>
  <c r="AX91" i="20" s="1"/>
  <c r="AR89" i="18"/>
  <c r="AN88" i="19"/>
  <c r="X89" i="22" s="1"/>
  <c r="BS89" i="19" s="1"/>
  <c r="AJ90" i="18" s="1"/>
  <c r="M88" i="18"/>
  <c r="BC88" i="20"/>
  <c r="Z88" i="19"/>
  <c r="M88" i="19" s="1"/>
  <c r="BM88" i="19"/>
  <c r="AD89" i="18"/>
  <c r="AP121" i="18"/>
  <c r="AY122" i="20"/>
  <c r="V122" i="19"/>
  <c r="AI122" i="19" s="1"/>
  <c r="I122" i="19" s="1"/>
  <c r="S122" i="22" s="1"/>
  <c r="BI122" i="19"/>
  <c r="Y123" i="18"/>
  <c r="BR122" i="19"/>
  <c r="AI123" i="18" s="1"/>
  <c r="E122" i="18"/>
  <c r="K122" i="18"/>
  <c r="Z123" i="18" s="1"/>
  <c r="BA120" i="20"/>
  <c r="X120" i="19"/>
  <c r="AK120" i="19" s="1"/>
  <c r="K120" i="19" s="1"/>
  <c r="BK120" i="19"/>
  <c r="AZ121" i="20"/>
  <c r="BJ121" i="19"/>
  <c r="W121" i="19"/>
  <c r="AJ121" i="19" s="1"/>
  <c r="J121" i="19" s="1"/>
  <c r="AA121" i="18"/>
  <c r="BP122" i="19"/>
  <c r="AG123" i="18" s="1"/>
  <c r="D122" i="18"/>
  <c r="Q122" i="19" s="1"/>
  <c r="AD122" i="19" s="1"/>
  <c r="D122" i="19" s="1"/>
  <c r="N122" i="22" s="1"/>
  <c r="BQ122" i="19"/>
  <c r="AH123" i="18" s="1"/>
  <c r="BD123" i="19" s="1"/>
  <c r="B123" i="18"/>
  <c r="O123" i="19" s="1"/>
  <c r="AB123" i="19" s="1"/>
  <c r="B123" i="19" s="1"/>
  <c r="L123" i="22" s="1"/>
  <c r="BO123" i="19" s="1"/>
  <c r="AF124" i="18" s="1"/>
  <c r="BB124" i="19" s="1"/>
  <c r="F90" i="18" l="1"/>
  <c r="N88" i="19"/>
  <c r="U88" i="22" s="1"/>
  <c r="CA88" i="19" s="1"/>
  <c r="AS89" i="18" s="1"/>
  <c r="BB88" i="20"/>
  <c r="Y88" i="19"/>
  <c r="AB89" i="18"/>
  <c r="AC89" i="18"/>
  <c r="Q124" i="18"/>
  <c r="B124" i="18" s="1"/>
  <c r="O124" i="19" s="1"/>
  <c r="AB124" i="19" s="1"/>
  <c r="B124" i="19" s="1"/>
  <c r="L124" i="22" s="1"/>
  <c r="C123" i="18"/>
  <c r="L121" i="18"/>
  <c r="AA122" i="18" s="1"/>
  <c r="BX122" i="19" s="1"/>
  <c r="BX121" i="19"/>
  <c r="AP122" i="18" s="1"/>
  <c r="BE122" i="19"/>
  <c r="R122" i="19"/>
  <c r="E122" i="19" s="1"/>
  <c r="O122" i="22" s="1"/>
  <c r="S123" i="18"/>
  <c r="W122" i="19"/>
  <c r="AJ122" i="19" s="1"/>
  <c r="J122" i="19" s="1"/>
  <c r="BJ122" i="19"/>
  <c r="AZ122" i="20"/>
  <c r="J123" i="18"/>
  <c r="Y124" i="18" s="1"/>
  <c r="T123" i="18"/>
  <c r="BF90" i="19" l="1"/>
  <c r="AK91" i="18" s="1"/>
  <c r="S90" i="19"/>
  <c r="AF90" i="19" s="1"/>
  <c r="F90" i="19" s="1"/>
  <c r="BU90" i="19" s="1"/>
  <c r="AL91" i="18" s="1"/>
  <c r="H91" i="18" s="1"/>
  <c r="AU90" i="20"/>
  <c r="U91" i="18"/>
  <c r="V91" i="18"/>
  <c r="BN89" i="19"/>
  <c r="AT90" i="18" s="1"/>
  <c r="O89" i="18"/>
  <c r="AL88" i="19"/>
  <c r="V89" i="22" s="1"/>
  <c r="BZ89" i="19"/>
  <c r="N89" i="18"/>
  <c r="AA89" i="19"/>
  <c r="AE90" i="18"/>
  <c r="W123" i="19"/>
  <c r="AJ123" i="19" s="1"/>
  <c r="J123" i="19" s="1"/>
  <c r="BJ123" i="19"/>
  <c r="AZ123" i="20"/>
  <c r="Q125" i="18"/>
  <c r="AP123" i="18"/>
  <c r="P123" i="19"/>
  <c r="C123" i="19" s="1"/>
  <c r="M123" i="22" s="1"/>
  <c r="R124" i="18"/>
  <c r="BP123" i="19"/>
  <c r="AG124" i="18" s="1"/>
  <c r="D123" i="18"/>
  <c r="Q123" i="19" s="1"/>
  <c r="AD123" i="19" s="1"/>
  <c r="D123" i="19" s="1"/>
  <c r="N123" i="22" s="1"/>
  <c r="V123" i="19"/>
  <c r="AI123" i="19" s="1"/>
  <c r="I123" i="19" s="1"/>
  <c r="S123" i="22" s="1"/>
  <c r="BI123" i="19"/>
  <c r="AY123" i="20"/>
  <c r="BK121" i="19"/>
  <c r="BA121" i="20"/>
  <c r="X121" i="19"/>
  <c r="AK121" i="19" s="1"/>
  <c r="K121" i="19" s="1"/>
  <c r="L122" i="18"/>
  <c r="AA123" i="18" s="1"/>
  <c r="E123" i="18"/>
  <c r="BR123" i="19"/>
  <c r="AI124" i="18" s="1"/>
  <c r="Z124" i="18"/>
  <c r="BC123" i="19"/>
  <c r="BH91" i="19" l="1"/>
  <c r="AM92" i="18" s="1"/>
  <c r="AW91" i="20"/>
  <c r="U91" i="19"/>
  <c r="AH91" i="19" s="1"/>
  <c r="H91" i="19" s="1"/>
  <c r="R91" i="22" s="1"/>
  <c r="BW91" i="19" s="1"/>
  <c r="AO92" i="18" s="1"/>
  <c r="K92" i="18" s="1"/>
  <c r="W92" i="18"/>
  <c r="X92" i="18"/>
  <c r="G91" i="18"/>
  <c r="L88" i="19"/>
  <c r="T88" i="22" s="1"/>
  <c r="BY88" i="19" s="1"/>
  <c r="AQ89" i="18" s="1"/>
  <c r="P90" i="18"/>
  <c r="AN89" i="19"/>
  <c r="X90" i="22" s="1"/>
  <c r="BS90" i="19" s="1"/>
  <c r="AJ91" i="18" s="1"/>
  <c r="Z89" i="19"/>
  <c r="M89" i="19" s="1"/>
  <c r="BM89" i="19"/>
  <c r="BC89" i="20"/>
  <c r="AD90" i="18"/>
  <c r="L123" i="18"/>
  <c r="AA124" i="18" s="1"/>
  <c r="AO124" i="18"/>
  <c r="K124" i="18" s="1"/>
  <c r="C124" i="18"/>
  <c r="P124" i="19" s="1"/>
  <c r="C124" i="19" s="1"/>
  <c r="M124" i="22" s="1"/>
  <c r="R123" i="19"/>
  <c r="E123" i="19" s="1"/>
  <c r="O123" i="22" s="1"/>
  <c r="BE123" i="19"/>
  <c r="BO124" i="19"/>
  <c r="AF125" i="18" s="1"/>
  <c r="T124" i="18"/>
  <c r="X122" i="19"/>
  <c r="AK122" i="19" s="1"/>
  <c r="K122" i="19" s="1"/>
  <c r="BK122" i="19"/>
  <c r="BA122" i="20"/>
  <c r="BX123" i="19"/>
  <c r="AP124" i="18" s="1"/>
  <c r="BQ123" i="19"/>
  <c r="AH124" i="18" s="1"/>
  <c r="BD124" i="19" s="1"/>
  <c r="S124" i="18"/>
  <c r="BU92" i="19" l="1"/>
  <c r="BG91" i="19"/>
  <c r="AV91" i="20"/>
  <c r="T91" i="19"/>
  <c r="AG91" i="19" s="1"/>
  <c r="G91" i="19" s="1"/>
  <c r="BV91" i="19" s="1"/>
  <c r="AN92" i="18" s="1"/>
  <c r="J92" i="18" s="1"/>
  <c r="F91" i="18"/>
  <c r="I92" i="18"/>
  <c r="AX92" i="20" s="1"/>
  <c r="N89" i="19"/>
  <c r="U89" i="22" s="1"/>
  <c r="CA89" i="19" s="1"/>
  <c r="AS90" i="18" s="1"/>
  <c r="BN90" i="19" s="1"/>
  <c r="AT91" i="18" s="1"/>
  <c r="BL89" i="19"/>
  <c r="AR90" i="18" s="1"/>
  <c r="M89" i="18"/>
  <c r="Y125" i="18"/>
  <c r="AY124" i="20"/>
  <c r="Z125" i="18"/>
  <c r="V124" i="19"/>
  <c r="AI124" i="19" s="1"/>
  <c r="I124" i="19" s="1"/>
  <c r="S124" i="22" s="1"/>
  <c r="R125" i="18"/>
  <c r="E124" i="18"/>
  <c r="BR124" i="19"/>
  <c r="AI125" i="18" s="1"/>
  <c r="L124" i="18"/>
  <c r="AA125" i="18" s="1"/>
  <c r="BX124" i="19"/>
  <c r="BC124" i="19"/>
  <c r="BA123" i="20"/>
  <c r="BK123" i="19"/>
  <c r="X123" i="19"/>
  <c r="AK123" i="19" s="1"/>
  <c r="K123" i="19" s="1"/>
  <c r="D124" i="18"/>
  <c r="Q124" i="19" s="1"/>
  <c r="AD124" i="19" s="1"/>
  <c r="D124" i="19" s="1"/>
  <c r="N124" i="22" s="1"/>
  <c r="BP124" i="19"/>
  <c r="AG125" i="18" s="1"/>
  <c r="BQ124" i="19"/>
  <c r="W124" i="19"/>
  <c r="AJ124" i="19" s="1"/>
  <c r="J124" i="19" s="1"/>
  <c r="BJ124" i="19"/>
  <c r="AZ124" i="20"/>
  <c r="BB125" i="19"/>
  <c r="B125" i="18"/>
  <c r="BF91" i="19" l="1"/>
  <c r="AK92" i="18" s="1"/>
  <c r="S91" i="19"/>
  <c r="AF91" i="19" s="1"/>
  <c r="F91" i="19" s="1"/>
  <c r="BU91" i="19" s="1"/>
  <c r="AL92" i="18" s="1"/>
  <c r="H92" i="18" s="1"/>
  <c r="AU91" i="20"/>
  <c r="U92" i="18"/>
  <c r="V92" i="18"/>
  <c r="BB89" i="20"/>
  <c r="Y89" i="19"/>
  <c r="AC90" i="18"/>
  <c r="AB90" i="18"/>
  <c r="O90" i="18"/>
  <c r="K125" i="18"/>
  <c r="BJ125" i="19" s="1"/>
  <c r="AP125" i="18"/>
  <c r="L125" i="18" s="1"/>
  <c r="AH125" i="18"/>
  <c r="BD125" i="19" s="1"/>
  <c r="T125" i="18"/>
  <c r="BR125" i="19" s="1"/>
  <c r="C125" i="18"/>
  <c r="BC125" i="19" s="1"/>
  <c r="S125" i="18"/>
  <c r="R124" i="19"/>
  <c r="E124" i="19" s="1"/>
  <c r="O124" i="22" s="1"/>
  <c r="BE124" i="19"/>
  <c r="O125" i="19"/>
  <c r="AB125" i="19" s="1"/>
  <c r="B125" i="19" s="1"/>
  <c r="L125" i="22" s="1"/>
  <c r="BO125" i="19" s="1"/>
  <c r="AF126" i="18" s="1"/>
  <c r="BB126" i="19" s="1"/>
  <c r="Q126" i="18"/>
  <c r="X124" i="19"/>
  <c r="AK124" i="19" s="1"/>
  <c r="K124" i="19" s="1"/>
  <c r="BA124" i="20"/>
  <c r="BK124" i="19"/>
  <c r="U92" i="19" l="1"/>
  <c r="AH92" i="19" s="1"/>
  <c r="H92" i="19" s="1"/>
  <c r="R92" i="22" s="1"/>
  <c r="BW92" i="19" s="1"/>
  <c r="AO93" i="18" s="1"/>
  <c r="K93" i="18" s="1"/>
  <c r="AW92" i="20"/>
  <c r="BH92" i="19"/>
  <c r="AM93" i="18" s="1"/>
  <c r="X93" i="18"/>
  <c r="G92" i="18"/>
  <c r="AZ125" i="20"/>
  <c r="BZ90" i="19"/>
  <c r="N90" i="18"/>
  <c r="AL89" i="19"/>
  <c r="V90" i="22" s="1"/>
  <c r="AA90" i="19"/>
  <c r="AE91" i="18"/>
  <c r="W125" i="19"/>
  <c r="AJ125" i="19" s="1"/>
  <c r="J125" i="19" s="1"/>
  <c r="E125" i="18"/>
  <c r="R125" i="19" s="1"/>
  <c r="E125" i="19" s="1"/>
  <c r="O125" i="22" s="1"/>
  <c r="AI126" i="18"/>
  <c r="AA126" i="18"/>
  <c r="BA125" i="20"/>
  <c r="X125" i="19"/>
  <c r="AK125" i="19" s="1"/>
  <c r="K125" i="19" s="1"/>
  <c r="BK125" i="19"/>
  <c r="V125" i="19"/>
  <c r="AI125" i="19" s="1"/>
  <c r="I125" i="19" s="1"/>
  <c r="S125" i="22" s="1"/>
  <c r="BX125" i="19" s="1"/>
  <c r="AP126" i="18" s="1"/>
  <c r="BI125" i="19"/>
  <c r="AY125" i="20"/>
  <c r="Y126" i="18"/>
  <c r="P125" i="19"/>
  <c r="C125" i="19" s="1"/>
  <c r="M125" i="22" s="1"/>
  <c r="R126" i="18"/>
  <c r="Z126" i="18"/>
  <c r="B126" i="18"/>
  <c r="O126" i="19" s="1"/>
  <c r="AB126" i="19" s="1"/>
  <c r="B126" i="19" s="1"/>
  <c r="L126" i="22" s="1"/>
  <c r="BP125" i="19"/>
  <c r="AG126" i="18" s="1"/>
  <c r="D125" i="18"/>
  <c r="Q125" i="19" s="1"/>
  <c r="AD125" i="19" s="1"/>
  <c r="D125" i="19" s="1"/>
  <c r="N125" i="22" s="1"/>
  <c r="AV92" i="20" l="1"/>
  <c r="T92" i="19"/>
  <c r="AG92" i="19" s="1"/>
  <c r="G92" i="19" s="1"/>
  <c r="BV92" i="19" s="1"/>
  <c r="AN93" i="18" s="1"/>
  <c r="BG92" i="19"/>
  <c r="AL93" i="18" s="1"/>
  <c r="I93" i="18"/>
  <c r="AX93" i="20" s="1"/>
  <c r="W93" i="18"/>
  <c r="AN90" i="19"/>
  <c r="X91" i="22" s="1"/>
  <c r="BS91" i="19" s="1"/>
  <c r="AJ92" i="18" s="1"/>
  <c r="BM90" i="19"/>
  <c r="BC90" i="20"/>
  <c r="Z90" i="19"/>
  <c r="M90" i="19" s="1"/>
  <c r="L89" i="19"/>
  <c r="T89" i="22" s="1"/>
  <c r="BY89" i="19" s="1"/>
  <c r="AQ90" i="18" s="1"/>
  <c r="AD91" i="18"/>
  <c r="P91" i="18"/>
  <c r="BE125" i="19"/>
  <c r="T126" i="18"/>
  <c r="E126" i="18" s="1"/>
  <c r="S126" i="18"/>
  <c r="BP126" i="19" s="1"/>
  <c r="AG127" i="18" s="1"/>
  <c r="C126" i="18"/>
  <c r="P126" i="19" s="1"/>
  <c r="C126" i="19" s="1"/>
  <c r="M126" i="22" s="1"/>
  <c r="L126" i="18"/>
  <c r="BR126" i="19"/>
  <c r="BQ125" i="19"/>
  <c r="AH126" i="18" s="1"/>
  <c r="BD126" i="19" s="1"/>
  <c r="Q127" i="18"/>
  <c r="BO126" i="19"/>
  <c r="AF127" i="18" s="1"/>
  <c r="BB127" i="19" s="1"/>
  <c r="H93" i="18" l="1"/>
  <c r="F92" i="18"/>
  <c r="N90" i="19"/>
  <c r="U90" i="22" s="1"/>
  <c r="CA90" i="19" s="1"/>
  <c r="AS91" i="18" s="1"/>
  <c r="BN91" i="19" s="1"/>
  <c r="AT92" i="18" s="1"/>
  <c r="BL90" i="19"/>
  <c r="AR91" i="18" s="1"/>
  <c r="M90" i="18"/>
  <c r="AI127" i="18"/>
  <c r="R127" i="18"/>
  <c r="C127" i="18" s="1"/>
  <c r="BC127" i="19" s="1"/>
  <c r="BQ126" i="19"/>
  <c r="D126" i="18"/>
  <c r="Q126" i="19" s="1"/>
  <c r="AD126" i="19" s="1"/>
  <c r="D126" i="19" s="1"/>
  <c r="N126" i="22" s="1"/>
  <c r="BI126" i="19"/>
  <c r="AY126" i="20"/>
  <c r="V126" i="19"/>
  <c r="AI126" i="19" s="1"/>
  <c r="I126" i="19" s="1"/>
  <c r="S126" i="22" s="1"/>
  <c r="BX126" i="19" s="1"/>
  <c r="Y127" i="18"/>
  <c r="W126" i="19"/>
  <c r="AJ126" i="19" s="1"/>
  <c r="J126" i="19" s="1"/>
  <c r="BJ126" i="19"/>
  <c r="AZ126" i="20"/>
  <c r="Z127" i="18"/>
  <c r="AA127" i="18"/>
  <c r="R126" i="19"/>
  <c r="E126" i="19" s="1"/>
  <c r="O126" i="22" s="1"/>
  <c r="BE126" i="19"/>
  <c r="BA126" i="20"/>
  <c r="BK126" i="19"/>
  <c r="X126" i="19"/>
  <c r="AK126" i="19" s="1"/>
  <c r="K126" i="19" s="1"/>
  <c r="B127" i="18"/>
  <c r="O127" i="19" s="1"/>
  <c r="AB127" i="19" s="1"/>
  <c r="B127" i="19" s="1"/>
  <c r="L127" i="22" s="1"/>
  <c r="BC126" i="19"/>
  <c r="BO127" i="19" l="1"/>
  <c r="AF128" i="18" s="1"/>
  <c r="BB128" i="19" s="1"/>
  <c r="AW93" i="20"/>
  <c r="BH93" i="19"/>
  <c r="AM94" i="18" s="1"/>
  <c r="U93" i="19"/>
  <c r="AH93" i="19" s="1"/>
  <c r="H93" i="19" s="1"/>
  <c r="R93" i="22" s="1"/>
  <c r="BW93" i="19" s="1"/>
  <c r="AO94" i="18" s="1"/>
  <c r="X94" i="18"/>
  <c r="BF92" i="19"/>
  <c r="AK93" i="18" s="1"/>
  <c r="AU92" i="20"/>
  <c r="S92" i="19"/>
  <c r="AF92" i="19" s="1"/>
  <c r="F92" i="19" s="1"/>
  <c r="U93" i="18"/>
  <c r="V93" i="18"/>
  <c r="O91" i="18"/>
  <c r="Y90" i="19"/>
  <c r="BB90" i="20"/>
  <c r="AB91" i="18"/>
  <c r="AC91" i="18"/>
  <c r="AH127" i="18"/>
  <c r="BD127" i="19" s="1"/>
  <c r="T127" i="18"/>
  <c r="BR127" i="19" s="1"/>
  <c r="S127" i="18"/>
  <c r="AP127" i="18"/>
  <c r="L127" i="18" s="1"/>
  <c r="BP127" i="19"/>
  <c r="AG128" i="18" s="1"/>
  <c r="R128" i="18"/>
  <c r="P127" i="19"/>
  <c r="C127" i="19" s="1"/>
  <c r="M127" i="22" s="1"/>
  <c r="Q128" i="18"/>
  <c r="I94" i="18" l="1"/>
  <c r="AX94" i="20" s="1"/>
  <c r="G93" i="18"/>
  <c r="AL90" i="19"/>
  <c r="V91" i="22" s="1"/>
  <c r="L90" i="19"/>
  <c r="T90" i="22" s="1"/>
  <c r="BY90" i="19" s="1"/>
  <c r="AQ91" i="18" s="1"/>
  <c r="BL91" i="19" s="1"/>
  <c r="AR92" i="18" s="1"/>
  <c r="BZ91" i="19"/>
  <c r="N91" i="18"/>
  <c r="AD92" i="18" s="1"/>
  <c r="AA91" i="19"/>
  <c r="AE92" i="18"/>
  <c r="AI128" i="18"/>
  <c r="E127" i="18"/>
  <c r="D127" i="18"/>
  <c r="Q127" i="19" s="1"/>
  <c r="AD127" i="19" s="1"/>
  <c r="D127" i="19" s="1"/>
  <c r="N127" i="22" s="1"/>
  <c r="BQ127" i="19"/>
  <c r="AH128" i="18" s="1"/>
  <c r="BD128" i="19" s="1"/>
  <c r="AA128" i="18"/>
  <c r="BJ127" i="19"/>
  <c r="W127" i="19"/>
  <c r="AJ127" i="19" s="1"/>
  <c r="J127" i="19" s="1"/>
  <c r="AZ127" i="20"/>
  <c r="Z128" i="18"/>
  <c r="AY127" i="20"/>
  <c r="V127" i="19"/>
  <c r="AI127" i="19" s="1"/>
  <c r="I127" i="19" s="1"/>
  <c r="S127" i="22" s="1"/>
  <c r="BX127" i="19" s="1"/>
  <c r="BI127" i="19"/>
  <c r="Y128" i="18"/>
  <c r="B128" i="18"/>
  <c r="O128" i="19" s="1"/>
  <c r="AB128" i="19" s="1"/>
  <c r="B128" i="19" s="1"/>
  <c r="L128" i="22" s="1"/>
  <c r="BO128" i="19" s="1"/>
  <c r="AF129" i="18" s="1"/>
  <c r="BB129" i="19" s="1"/>
  <c r="X127" i="19"/>
  <c r="AK127" i="19" s="1"/>
  <c r="K127" i="19" s="1"/>
  <c r="BK127" i="19"/>
  <c r="BA127" i="20"/>
  <c r="R127" i="19"/>
  <c r="E127" i="19" s="1"/>
  <c r="O127" i="22" s="1"/>
  <c r="C128" i="18"/>
  <c r="AV93" i="20" l="1"/>
  <c r="BG93" i="19"/>
  <c r="T93" i="19"/>
  <c r="AG93" i="19" s="1"/>
  <c r="G93" i="19" s="1"/>
  <c r="BV93" i="19" s="1"/>
  <c r="AN94" i="18" s="1"/>
  <c r="J94" i="18" s="1"/>
  <c r="W94" i="18"/>
  <c r="BE127" i="19"/>
  <c r="AN91" i="19"/>
  <c r="X92" i="22" s="1"/>
  <c r="BS92" i="19" s="1"/>
  <c r="AJ93" i="18" s="1"/>
  <c r="P92" i="18"/>
  <c r="Z91" i="19"/>
  <c r="M91" i="19" s="1"/>
  <c r="BC91" i="20"/>
  <c r="BM91" i="19"/>
  <c r="M91" i="18"/>
  <c r="S128" i="18"/>
  <c r="BP128" i="19" s="1"/>
  <c r="AG129" i="18" s="1"/>
  <c r="T128" i="18"/>
  <c r="E128" i="18" s="1"/>
  <c r="R128" i="19" s="1"/>
  <c r="E128" i="19" s="1"/>
  <c r="O128" i="22" s="1"/>
  <c r="AP128" i="18"/>
  <c r="L128" i="18" s="1"/>
  <c r="R129" i="18"/>
  <c r="P128" i="19"/>
  <c r="C128" i="19" s="1"/>
  <c r="BC128" i="19"/>
  <c r="Q129" i="18"/>
  <c r="F93" i="18" l="1"/>
  <c r="N91" i="19"/>
  <c r="U91" i="22" s="1"/>
  <c r="CA91" i="19" s="1"/>
  <c r="AS92" i="18" s="1"/>
  <c r="BB91" i="20"/>
  <c r="Y91" i="19"/>
  <c r="AB92" i="18"/>
  <c r="AC92" i="18"/>
  <c r="D128" i="18"/>
  <c r="Q128" i="19" s="1"/>
  <c r="AD128" i="19" s="1"/>
  <c r="D128" i="19" s="1"/>
  <c r="N128" i="22" s="1"/>
  <c r="BE128" i="19"/>
  <c r="BR128" i="19"/>
  <c r="AI129" i="18" s="1"/>
  <c r="AA129" i="18"/>
  <c r="B129" i="18"/>
  <c r="O129" i="19" s="1"/>
  <c r="AB129" i="19" s="1"/>
  <c r="B129" i="19" s="1"/>
  <c r="L129" i="22" s="1"/>
  <c r="BO129" i="19" s="1"/>
  <c r="AF130" i="18" s="1"/>
  <c r="BB130" i="19" s="1"/>
  <c r="C129" i="18"/>
  <c r="M128" i="22"/>
  <c r="BQ128" i="19"/>
  <c r="AH129" i="18" s="1"/>
  <c r="BD129" i="19" s="1"/>
  <c r="BI128" i="19"/>
  <c r="V128" i="19"/>
  <c r="AI128" i="19" s="1"/>
  <c r="I128" i="19" s="1"/>
  <c r="S128" i="22" s="1"/>
  <c r="BX128" i="19" s="1"/>
  <c r="AY128" i="20"/>
  <c r="Z129" i="18"/>
  <c r="BJ128" i="19"/>
  <c r="AZ128" i="20"/>
  <c r="W128" i="19"/>
  <c r="AJ128" i="19" s="1"/>
  <c r="J128" i="19" s="1"/>
  <c r="BA128" i="20"/>
  <c r="X128" i="19"/>
  <c r="AK128" i="19" s="1"/>
  <c r="K128" i="19" s="1"/>
  <c r="BK128" i="19"/>
  <c r="BF93" i="19" l="1"/>
  <c r="AK94" i="18" s="1"/>
  <c r="S93" i="19"/>
  <c r="AF93" i="19" s="1"/>
  <c r="F93" i="19" s="1"/>
  <c r="BU93" i="19" s="1"/>
  <c r="AL94" i="18" s="1"/>
  <c r="AU93" i="20"/>
  <c r="V94" i="18"/>
  <c r="U94" i="18"/>
  <c r="AL91" i="19"/>
  <c r="V92" i="22" s="1"/>
  <c r="BN92" i="19"/>
  <c r="AT93" i="18" s="1"/>
  <c r="O92" i="18"/>
  <c r="N92" i="18"/>
  <c r="BZ92" i="19"/>
  <c r="T129" i="18"/>
  <c r="BR129" i="19" s="1"/>
  <c r="S129" i="18"/>
  <c r="BP129" i="19" s="1"/>
  <c r="AG130" i="18" s="1"/>
  <c r="R130" i="18"/>
  <c r="AY129" i="20"/>
  <c r="V129" i="19"/>
  <c r="AI129" i="19" s="1"/>
  <c r="I129" i="19" s="1"/>
  <c r="S129" i="22" s="1"/>
  <c r="BX129" i="19" s="1"/>
  <c r="BI129" i="19"/>
  <c r="Y130" i="18"/>
  <c r="P129" i="19"/>
  <c r="C129" i="19" s="1"/>
  <c r="BC129" i="19"/>
  <c r="AP129" i="18"/>
  <c r="L129" i="18" s="1"/>
  <c r="AO129" i="18"/>
  <c r="K129" i="18" s="1"/>
  <c r="Q130" i="18"/>
  <c r="H94" i="18" l="1"/>
  <c r="AI130" i="18"/>
  <c r="G94" i="18"/>
  <c r="D129" i="18"/>
  <c r="S130" i="18" s="1"/>
  <c r="BP130" i="19" s="1"/>
  <c r="AG131" i="18" s="1"/>
  <c r="E129" i="18"/>
  <c r="R129" i="19" s="1"/>
  <c r="E129" i="19" s="1"/>
  <c r="O129" i="22" s="1"/>
  <c r="C130" i="18"/>
  <c r="P130" i="19" s="1"/>
  <c r="C130" i="19" s="1"/>
  <c r="M130" i="22" s="1"/>
  <c r="BC92" i="20"/>
  <c r="BM92" i="19"/>
  <c r="Z92" i="19"/>
  <c r="M92" i="19" s="1"/>
  <c r="AA92" i="19"/>
  <c r="AD93" i="18"/>
  <c r="AE93" i="18"/>
  <c r="L91" i="19"/>
  <c r="T91" i="22" s="1"/>
  <c r="BY91" i="19" s="1"/>
  <c r="AQ92" i="18" s="1"/>
  <c r="BJ129" i="19"/>
  <c r="AP130" i="18" s="1"/>
  <c r="W129" i="19"/>
  <c r="AJ129" i="19" s="1"/>
  <c r="J129" i="19" s="1"/>
  <c r="AZ129" i="20"/>
  <c r="Z130" i="18"/>
  <c r="BK129" i="19"/>
  <c r="BA129" i="20"/>
  <c r="X129" i="19"/>
  <c r="AK129" i="19" s="1"/>
  <c r="K129" i="19" s="1"/>
  <c r="AA130" i="18"/>
  <c r="M129" i="22"/>
  <c r="BQ129" i="19"/>
  <c r="AH130" i="18" s="1"/>
  <c r="B130" i="18"/>
  <c r="Q131" i="18" s="1"/>
  <c r="BE129" i="19" l="1"/>
  <c r="T130" i="18"/>
  <c r="BR130" i="19" s="1"/>
  <c r="BQ130" i="19"/>
  <c r="Q129" i="19"/>
  <c r="AD129" i="19" s="1"/>
  <c r="D129" i="19" s="1"/>
  <c r="N129" i="22" s="1"/>
  <c r="BG94" i="19"/>
  <c r="T94" i="19"/>
  <c r="AG94" i="19" s="1"/>
  <c r="G94" i="19" s="1"/>
  <c r="BV94" i="19" s="1"/>
  <c r="AN95" i="18" s="1"/>
  <c r="J95" i="18" s="1"/>
  <c r="AV94" i="20"/>
  <c r="BC130" i="19"/>
  <c r="AH131" i="18" s="1"/>
  <c r="BD131" i="19" s="1"/>
  <c r="AW94" i="20"/>
  <c r="U94" i="19"/>
  <c r="AH94" i="19" s="1"/>
  <c r="H94" i="19" s="1"/>
  <c r="R94" i="22" s="1"/>
  <c r="BW94" i="19" s="1"/>
  <c r="BH94" i="19"/>
  <c r="AM95" i="18" s="1"/>
  <c r="X95" i="18"/>
  <c r="W95" i="18"/>
  <c r="AN92" i="19"/>
  <c r="X93" i="22" s="1"/>
  <c r="BS93" i="19" s="1"/>
  <c r="AJ94" i="18" s="1"/>
  <c r="BL92" i="19"/>
  <c r="AR93" i="18" s="1"/>
  <c r="M92" i="18"/>
  <c r="P93" i="18"/>
  <c r="E130" i="18"/>
  <c r="R130" i="19" s="1"/>
  <c r="E130" i="19" s="1"/>
  <c r="O130" i="22" s="1"/>
  <c r="AY130" i="20"/>
  <c r="V130" i="19"/>
  <c r="AI130" i="19" s="1"/>
  <c r="I130" i="19" s="1"/>
  <c r="S130" i="22" s="1"/>
  <c r="BI130" i="19"/>
  <c r="Y131" i="18"/>
  <c r="L130" i="18"/>
  <c r="BX130" i="19"/>
  <c r="O130" i="19"/>
  <c r="AB130" i="19" s="1"/>
  <c r="B130" i="19" s="1"/>
  <c r="L130" i="22" s="1"/>
  <c r="BO130" i="19" s="1"/>
  <c r="AF131" i="18" s="1"/>
  <c r="BB131" i="19" s="1"/>
  <c r="R131" i="18"/>
  <c r="BD130" i="19"/>
  <c r="AI131" i="18" s="1"/>
  <c r="D130" i="18"/>
  <c r="K130" i="18"/>
  <c r="Z131" i="18" s="1"/>
  <c r="I95" i="18" l="1"/>
  <c r="AX95" i="20" s="1"/>
  <c r="F94" i="18"/>
  <c r="N92" i="19"/>
  <c r="U92" i="22" s="1"/>
  <c r="CA92" i="19" s="1"/>
  <c r="AS93" i="18" s="1"/>
  <c r="O93" i="18" s="1"/>
  <c r="BB92" i="20"/>
  <c r="Y92" i="19"/>
  <c r="AB93" i="18"/>
  <c r="AC93" i="18"/>
  <c r="BE130" i="19"/>
  <c r="AA131" i="18"/>
  <c r="W130" i="19"/>
  <c r="AJ130" i="19" s="1"/>
  <c r="J130" i="19" s="1"/>
  <c r="BJ130" i="19"/>
  <c r="AP131" i="18" s="1"/>
  <c r="AZ130" i="20"/>
  <c r="C131" i="18"/>
  <c r="B131" i="18"/>
  <c r="Q130" i="19"/>
  <c r="AD130" i="19" s="1"/>
  <c r="D130" i="19" s="1"/>
  <c r="N130" i="22" s="1"/>
  <c r="S131" i="18"/>
  <c r="X130" i="19"/>
  <c r="AK130" i="19" s="1"/>
  <c r="K130" i="19" s="1"/>
  <c r="BA130" i="20"/>
  <c r="BK130" i="19"/>
  <c r="J131" i="18"/>
  <c r="Y132" i="18" s="1"/>
  <c r="T131" i="18"/>
  <c r="BN93" i="19" l="1"/>
  <c r="AT94" i="18" s="1"/>
  <c r="AU94" i="20"/>
  <c r="BF94" i="19"/>
  <c r="AK95" i="18" s="1"/>
  <c r="S94" i="19"/>
  <c r="AF94" i="19" s="1"/>
  <c r="F94" i="19" s="1"/>
  <c r="BU94" i="19" s="1"/>
  <c r="AL95" i="18" s="1"/>
  <c r="U95" i="18"/>
  <c r="V95" i="18"/>
  <c r="BZ93" i="19"/>
  <c r="N93" i="18"/>
  <c r="AA93" i="19"/>
  <c r="AE94" i="18"/>
  <c r="AD94" i="18"/>
  <c r="AL92" i="19"/>
  <c r="V93" i="22" s="1"/>
  <c r="L92" i="19"/>
  <c r="T92" i="22" s="1"/>
  <c r="BY92" i="19" s="1"/>
  <c r="AQ93" i="18" s="1"/>
  <c r="BL93" i="19" s="1"/>
  <c r="AR94" i="18" s="1"/>
  <c r="AZ131" i="20"/>
  <c r="BJ131" i="19"/>
  <c r="W131" i="19"/>
  <c r="AJ131" i="19" s="1"/>
  <c r="J131" i="19" s="1"/>
  <c r="L131" i="18"/>
  <c r="BK131" i="19" s="1"/>
  <c r="AY131" i="20"/>
  <c r="BI131" i="19"/>
  <c r="V131" i="19"/>
  <c r="AI131" i="19" s="1"/>
  <c r="I131" i="19" s="1"/>
  <c r="S131" i="22" s="1"/>
  <c r="BX131" i="19" s="1"/>
  <c r="P131" i="19"/>
  <c r="C131" i="19" s="1"/>
  <c r="M131" i="22" s="1"/>
  <c r="BC131" i="19"/>
  <c r="O131" i="19"/>
  <c r="AB131" i="19" s="1"/>
  <c r="B131" i="19" s="1"/>
  <c r="L131" i="22" s="1"/>
  <c r="BO131" i="19" s="1"/>
  <c r="AF132" i="18" s="1"/>
  <c r="BB132" i="19" s="1"/>
  <c r="Q132" i="18"/>
  <c r="R132" i="18"/>
  <c r="Z132" i="18"/>
  <c r="BP131" i="19"/>
  <c r="AG132" i="18" s="1"/>
  <c r="D131" i="18"/>
  <c r="Q131" i="19" s="1"/>
  <c r="AD131" i="19" s="1"/>
  <c r="D131" i="19" s="1"/>
  <c r="N131" i="22" s="1"/>
  <c r="E131" i="18"/>
  <c r="BR131" i="19"/>
  <c r="AI132" i="18" s="1"/>
  <c r="H95" i="18" l="1"/>
  <c r="G95" i="18"/>
  <c r="M93" i="18"/>
  <c r="Y93" i="19"/>
  <c r="BB93" i="20"/>
  <c r="P94" i="18"/>
  <c r="AC94" i="18"/>
  <c r="AN93" i="19"/>
  <c r="X94" i="22" s="1"/>
  <c r="BS94" i="19" s="1"/>
  <c r="AJ95" i="18" s="1"/>
  <c r="BM93" i="19"/>
  <c r="BC93" i="20"/>
  <c r="Z93" i="19"/>
  <c r="M93" i="19" s="1"/>
  <c r="AB94" i="18"/>
  <c r="AP132" i="18"/>
  <c r="S132" i="18"/>
  <c r="BP132" i="19" s="1"/>
  <c r="AG133" i="18" s="1"/>
  <c r="BQ131" i="19"/>
  <c r="AH132" i="18" s="1"/>
  <c r="BD132" i="19" s="1"/>
  <c r="AA132" i="18"/>
  <c r="X131" i="19"/>
  <c r="AK131" i="19" s="1"/>
  <c r="K131" i="19" s="1"/>
  <c r="BA131" i="20"/>
  <c r="AY132" i="20"/>
  <c r="BI132" i="19"/>
  <c r="V132" i="19"/>
  <c r="AI132" i="19" s="1"/>
  <c r="I132" i="19" s="1"/>
  <c r="S132" i="22" s="1"/>
  <c r="Y133" i="18"/>
  <c r="R131" i="19"/>
  <c r="E131" i="19" s="1"/>
  <c r="O131" i="22" s="1"/>
  <c r="BE131" i="19"/>
  <c r="T132" i="18"/>
  <c r="B132" i="18"/>
  <c r="O132" i="19" s="1"/>
  <c r="AB132" i="19" s="1"/>
  <c r="B132" i="19" s="1"/>
  <c r="L132" i="22" s="1"/>
  <c r="BO132" i="19" s="1"/>
  <c r="AF133" i="18" s="1"/>
  <c r="BB133" i="19" s="1"/>
  <c r="AO132" i="18"/>
  <c r="K132" i="18" s="1"/>
  <c r="C132" i="18"/>
  <c r="P132" i="19" s="1"/>
  <c r="C132" i="19" s="1"/>
  <c r="M132" i="22" s="1"/>
  <c r="BG95" i="19" l="1"/>
  <c r="T95" i="19"/>
  <c r="AG95" i="19" s="1"/>
  <c r="G95" i="19" s="1"/>
  <c r="BV95" i="19" s="1"/>
  <c r="AN96" i="18" s="1"/>
  <c r="J96" i="18" s="1"/>
  <c r="AV95" i="20"/>
  <c r="BH95" i="19"/>
  <c r="AM96" i="18" s="1"/>
  <c r="U95" i="19"/>
  <c r="AH95" i="19" s="1"/>
  <c r="H95" i="19" s="1"/>
  <c r="R95" i="22" s="1"/>
  <c r="BW95" i="19" s="1"/>
  <c r="AO96" i="18" s="1"/>
  <c r="K96" i="18" s="1"/>
  <c r="AW95" i="20"/>
  <c r="W96" i="18"/>
  <c r="X96" i="18"/>
  <c r="F95" i="18"/>
  <c r="N94" i="18"/>
  <c r="BZ94" i="19"/>
  <c r="AL93" i="19"/>
  <c r="V94" i="22" s="1"/>
  <c r="N93" i="19"/>
  <c r="U93" i="22" s="1"/>
  <c r="CA93" i="19" s="1"/>
  <c r="AS94" i="18" s="1"/>
  <c r="BX132" i="19"/>
  <c r="L132" i="18"/>
  <c r="AA133" i="18" s="1"/>
  <c r="D132" i="18"/>
  <c r="Q132" i="19" s="1"/>
  <c r="AD132" i="19" s="1"/>
  <c r="D132" i="19" s="1"/>
  <c r="N132" i="22" s="1"/>
  <c r="Q133" i="18"/>
  <c r="B133" i="18" s="1"/>
  <c r="O133" i="19" s="1"/>
  <c r="AB133" i="19" s="1"/>
  <c r="B133" i="19" s="1"/>
  <c r="L133" i="22" s="1"/>
  <c r="BJ132" i="19"/>
  <c r="AP133" i="18" s="1"/>
  <c r="AZ132" i="20"/>
  <c r="W132" i="19"/>
  <c r="AJ132" i="19" s="1"/>
  <c r="J132" i="19" s="1"/>
  <c r="Z133" i="18"/>
  <c r="BC132" i="19"/>
  <c r="E132" i="18"/>
  <c r="BR132" i="19"/>
  <c r="AI133" i="18" s="1"/>
  <c r="R133" i="18"/>
  <c r="C133" i="18" s="1"/>
  <c r="P133" i="19" s="1"/>
  <c r="C133" i="19" s="1"/>
  <c r="M133" i="22" s="1"/>
  <c r="BQ132" i="19"/>
  <c r="S95" i="19" l="1"/>
  <c r="AF95" i="19" s="1"/>
  <c r="F95" i="19" s="1"/>
  <c r="BU95" i="19" s="1"/>
  <c r="BF95" i="19"/>
  <c r="AK96" i="18" s="1"/>
  <c r="AU95" i="20"/>
  <c r="V96" i="18"/>
  <c r="U96" i="18"/>
  <c r="BU96" i="19"/>
  <c r="I96" i="18"/>
  <c r="AX96" i="20" s="1"/>
  <c r="AL96" i="18"/>
  <c r="BN94" i="19"/>
  <c r="AT95" i="18" s="1"/>
  <c r="O94" i="18"/>
  <c r="L93" i="19"/>
  <c r="T93" i="22" s="1"/>
  <c r="BY93" i="19" s="1"/>
  <c r="AQ94" i="18" s="1"/>
  <c r="Z94" i="19"/>
  <c r="M94" i="19" s="1"/>
  <c r="BM94" i="19"/>
  <c r="BC94" i="20"/>
  <c r="BA132" i="20"/>
  <c r="BK132" i="19"/>
  <c r="S133" i="18"/>
  <c r="BP133" i="19" s="1"/>
  <c r="AG134" i="18" s="1"/>
  <c r="X132" i="19"/>
  <c r="AK132" i="19" s="1"/>
  <c r="K132" i="19" s="1"/>
  <c r="BO133" i="19"/>
  <c r="AF134" i="18" s="1"/>
  <c r="BB134" i="19" s="1"/>
  <c r="BC133" i="19"/>
  <c r="R134" i="18"/>
  <c r="Q134" i="18"/>
  <c r="L133" i="18"/>
  <c r="R132" i="19"/>
  <c r="E132" i="19" s="1"/>
  <c r="O132" i="22" s="1"/>
  <c r="BE132" i="19"/>
  <c r="T133" i="18"/>
  <c r="K133" i="18"/>
  <c r="AH133" i="18"/>
  <c r="BD133" i="19" s="1"/>
  <c r="H96" i="18" l="1"/>
  <c r="G96" i="18"/>
  <c r="BQ133" i="19"/>
  <c r="AH134" i="18" s="1"/>
  <c r="BD134" i="19" s="1"/>
  <c r="BL94" i="19"/>
  <c r="AR95" i="18" s="1"/>
  <c r="M94" i="18"/>
  <c r="AA94" i="19"/>
  <c r="AD95" i="18"/>
  <c r="AE95" i="18"/>
  <c r="AA134" i="18"/>
  <c r="C134" i="18"/>
  <c r="BC134" i="19" s="1"/>
  <c r="BA133" i="20"/>
  <c r="X133" i="19"/>
  <c r="AK133" i="19" s="1"/>
  <c r="K133" i="19" s="1"/>
  <c r="BK133" i="19"/>
  <c r="V133" i="19"/>
  <c r="AI133" i="19" s="1"/>
  <c r="I133" i="19" s="1"/>
  <c r="S133" i="22" s="1"/>
  <c r="BX133" i="19" s="1"/>
  <c r="BI133" i="19"/>
  <c r="AY133" i="20"/>
  <c r="Y134" i="18"/>
  <c r="D133" i="18"/>
  <c r="Z134" i="18"/>
  <c r="AZ133" i="20"/>
  <c r="W133" i="19"/>
  <c r="AJ133" i="19" s="1"/>
  <c r="J133" i="19" s="1"/>
  <c r="BJ133" i="19"/>
  <c r="B134" i="18"/>
  <c r="O134" i="19" s="1"/>
  <c r="AB134" i="19" s="1"/>
  <c r="B134" i="19" s="1"/>
  <c r="L134" i="22" s="1"/>
  <c r="E133" i="18"/>
  <c r="BR133" i="19"/>
  <c r="AI134" i="18" s="1"/>
  <c r="BO134" i="19"/>
  <c r="AF135" i="18" s="1"/>
  <c r="BB135" i="19" s="1"/>
  <c r="BG96" i="19" l="1"/>
  <c r="AL97" i="18" s="1"/>
  <c r="T96" i="19"/>
  <c r="AG96" i="19" s="1"/>
  <c r="G96" i="19" s="1"/>
  <c r="BV96" i="19" s="1"/>
  <c r="AN97" i="18" s="1"/>
  <c r="J97" i="18" s="1"/>
  <c r="AV96" i="20"/>
  <c r="AW96" i="20"/>
  <c r="U96" i="19"/>
  <c r="AH96" i="19" s="1"/>
  <c r="H96" i="19" s="1"/>
  <c r="R96" i="22" s="1"/>
  <c r="BW96" i="19" s="1"/>
  <c r="AO97" i="18" s="1"/>
  <c r="BH96" i="19"/>
  <c r="AM97" i="18" s="1"/>
  <c r="W97" i="18"/>
  <c r="X97" i="18"/>
  <c r="P95" i="18"/>
  <c r="AN94" i="19"/>
  <c r="X95" i="22" s="1"/>
  <c r="BS95" i="19" s="1"/>
  <c r="AJ96" i="18" s="1"/>
  <c r="BB94" i="20"/>
  <c r="Y94" i="19"/>
  <c r="AB95" i="18"/>
  <c r="AC95" i="18"/>
  <c r="Q135" i="18"/>
  <c r="B135" i="18" s="1"/>
  <c r="O135" i="19" s="1"/>
  <c r="AB135" i="19" s="1"/>
  <c r="B135" i="19" s="1"/>
  <c r="L135" i="22" s="1"/>
  <c r="T134" i="18"/>
  <c r="BR134" i="19" s="1"/>
  <c r="AI135" i="18" s="1"/>
  <c r="AP134" i="18"/>
  <c r="L134" i="18" s="1"/>
  <c r="X134" i="19" s="1"/>
  <c r="AK134" i="19" s="1"/>
  <c r="K134" i="19" s="1"/>
  <c r="Q133" i="19"/>
  <c r="AD133" i="19" s="1"/>
  <c r="D133" i="19" s="1"/>
  <c r="N133" i="22" s="1"/>
  <c r="S134" i="18"/>
  <c r="R135" i="18"/>
  <c r="P134" i="19"/>
  <c r="C134" i="19" s="1"/>
  <c r="M134" i="22" s="1"/>
  <c r="R133" i="19"/>
  <c r="E133" i="19" s="1"/>
  <c r="O133" i="22" s="1"/>
  <c r="BE133" i="19"/>
  <c r="F96" i="18" l="1"/>
  <c r="H97" i="18"/>
  <c r="I97" i="18"/>
  <c r="AX97" i="20" s="1"/>
  <c r="N94" i="19"/>
  <c r="U94" i="22" s="1"/>
  <c r="CA94" i="19" s="1"/>
  <c r="AS95" i="18" s="1"/>
  <c r="BN95" i="19" s="1"/>
  <c r="AT96" i="18" s="1"/>
  <c r="AL94" i="19"/>
  <c r="V95" i="22" s="1"/>
  <c r="N95" i="18"/>
  <c r="BZ95" i="19"/>
  <c r="E134" i="18"/>
  <c r="R134" i="19" s="1"/>
  <c r="E134" i="19" s="1"/>
  <c r="O134" i="22" s="1"/>
  <c r="BK134" i="19"/>
  <c r="BA134" i="20"/>
  <c r="Q136" i="18"/>
  <c r="BO135" i="19"/>
  <c r="AF136" i="18" s="1"/>
  <c r="BB136" i="19" s="1"/>
  <c r="D134" i="18"/>
  <c r="S135" i="18" s="1"/>
  <c r="BQ134" i="19"/>
  <c r="AH135" i="18" s="1"/>
  <c r="BD135" i="19" s="1"/>
  <c r="BP134" i="19"/>
  <c r="AG135" i="18" s="1"/>
  <c r="X98" i="18" l="1"/>
  <c r="BH97" i="19"/>
  <c r="AM98" i="18" s="1"/>
  <c r="AW97" i="20"/>
  <c r="U97" i="19"/>
  <c r="AH97" i="19" s="1"/>
  <c r="H97" i="19" s="1"/>
  <c r="R97" i="22" s="1"/>
  <c r="BW97" i="19" s="1"/>
  <c r="AO98" i="18" s="1"/>
  <c r="AU96" i="20"/>
  <c r="S96" i="19"/>
  <c r="AF96" i="19" s="1"/>
  <c r="F96" i="19" s="1"/>
  <c r="BF96" i="19"/>
  <c r="AK97" i="18" s="1"/>
  <c r="U97" i="18"/>
  <c r="V97" i="18"/>
  <c r="BE134" i="19"/>
  <c r="O95" i="18"/>
  <c r="AA95" i="19" s="1"/>
  <c r="L94" i="19"/>
  <c r="T94" i="22" s="1"/>
  <c r="BY94" i="19" s="1"/>
  <c r="AQ95" i="18" s="1"/>
  <c r="BM95" i="19"/>
  <c r="BC95" i="20"/>
  <c r="Z95" i="19"/>
  <c r="M95" i="19" s="1"/>
  <c r="D135" i="18"/>
  <c r="Q135" i="19" s="1"/>
  <c r="AD135" i="19" s="1"/>
  <c r="D135" i="19" s="1"/>
  <c r="N135" i="22" s="1"/>
  <c r="BP135" i="19"/>
  <c r="AG136" i="18" s="1"/>
  <c r="AY134" i="20"/>
  <c r="BI134" i="19"/>
  <c r="V134" i="19"/>
  <c r="AI134" i="19" s="1"/>
  <c r="I134" i="19" s="1"/>
  <c r="S134" i="22" s="1"/>
  <c r="BX134" i="19" s="1"/>
  <c r="Y135" i="18"/>
  <c r="C135" i="18"/>
  <c r="AZ134" i="20"/>
  <c r="W134" i="19"/>
  <c r="AJ134" i="19" s="1"/>
  <c r="J134" i="19" s="1"/>
  <c r="BJ134" i="19"/>
  <c r="AA135" i="18"/>
  <c r="Z135" i="18"/>
  <c r="B136" i="18"/>
  <c r="O136" i="19" s="1"/>
  <c r="AB136" i="19" s="1"/>
  <c r="B136" i="19" s="1"/>
  <c r="L136" i="22" s="1"/>
  <c r="Q134" i="19"/>
  <c r="AD134" i="19" s="1"/>
  <c r="D134" i="19" s="1"/>
  <c r="N134" i="22" s="1"/>
  <c r="T135" i="18"/>
  <c r="AE96" i="18" l="1"/>
  <c r="AD96" i="18"/>
  <c r="G97" i="18"/>
  <c r="I98" i="18"/>
  <c r="AX98" i="20" s="1"/>
  <c r="BL95" i="19"/>
  <c r="AR96" i="18" s="1"/>
  <c r="M95" i="18"/>
  <c r="P96" i="18"/>
  <c r="AN95" i="19"/>
  <c r="X96" i="22" s="1"/>
  <c r="BS96" i="19" s="1"/>
  <c r="AJ97" i="18" s="1"/>
  <c r="Q137" i="18"/>
  <c r="AP135" i="18"/>
  <c r="L135" i="18" s="1"/>
  <c r="R136" i="18"/>
  <c r="BO136" i="19" s="1"/>
  <c r="AF137" i="18" s="1"/>
  <c r="BB137" i="19" s="1"/>
  <c r="P135" i="19"/>
  <c r="C135" i="19" s="1"/>
  <c r="BR135" i="19"/>
  <c r="AI136" i="18" s="1"/>
  <c r="E135" i="18"/>
  <c r="T136" i="18" s="1"/>
  <c r="BC135" i="19"/>
  <c r="S136" i="18"/>
  <c r="AV97" i="20" l="1"/>
  <c r="BG97" i="19"/>
  <c r="T97" i="19"/>
  <c r="AG97" i="19" s="1"/>
  <c r="G97" i="19" s="1"/>
  <c r="BV97" i="19" s="1"/>
  <c r="AN98" i="18" s="1"/>
  <c r="J98" i="18" s="1"/>
  <c r="W98" i="18"/>
  <c r="F97" i="18"/>
  <c r="N95" i="19"/>
  <c r="U95" i="22" s="1"/>
  <c r="CA95" i="19" s="1"/>
  <c r="AS96" i="18" s="1"/>
  <c r="Y95" i="19"/>
  <c r="BB95" i="20"/>
  <c r="AB96" i="18"/>
  <c r="AC96" i="18"/>
  <c r="B137" i="18"/>
  <c r="O137" i="19" s="1"/>
  <c r="AB137" i="19" s="1"/>
  <c r="B137" i="19" s="1"/>
  <c r="L137" i="22" s="1"/>
  <c r="C136" i="18"/>
  <c r="BC136" i="19" s="1"/>
  <c r="E136" i="18"/>
  <c r="R136" i="19" s="1"/>
  <c r="E136" i="19" s="1"/>
  <c r="O136" i="22" s="1"/>
  <c r="BR136" i="19"/>
  <c r="K135" i="18"/>
  <c r="AY135" i="20"/>
  <c r="V135" i="19"/>
  <c r="AI135" i="19" s="1"/>
  <c r="I135" i="19" s="1"/>
  <c r="S135" i="22" s="1"/>
  <c r="BX135" i="19" s="1"/>
  <c r="BI135" i="19"/>
  <c r="Y136" i="18"/>
  <c r="BK135" i="19"/>
  <c r="BA135" i="20"/>
  <c r="X135" i="19"/>
  <c r="AK135" i="19" s="1"/>
  <c r="K135" i="19" s="1"/>
  <c r="BP136" i="19"/>
  <c r="AG137" i="18" s="1"/>
  <c r="M135" i="22"/>
  <c r="BQ135" i="19"/>
  <c r="AH136" i="18" s="1"/>
  <c r="BD136" i="19" s="1"/>
  <c r="R135" i="19"/>
  <c r="E135" i="19" s="1"/>
  <c r="O135" i="22" s="1"/>
  <c r="BE135" i="19"/>
  <c r="Q138" i="18" l="1"/>
  <c r="S97" i="19"/>
  <c r="AF97" i="19" s="1"/>
  <c r="F97" i="19" s="1"/>
  <c r="BU97" i="19" s="1"/>
  <c r="BF97" i="19"/>
  <c r="AK98" i="18" s="1"/>
  <c r="AU97" i="20"/>
  <c r="U98" i="18"/>
  <c r="V98" i="18"/>
  <c r="AL98" i="18"/>
  <c r="AL95" i="19"/>
  <c r="V96" i="22" s="1"/>
  <c r="L95" i="19"/>
  <c r="T95" i="22" s="1"/>
  <c r="BY95" i="19" s="1"/>
  <c r="AQ96" i="18" s="1"/>
  <c r="BL96" i="19" s="1"/>
  <c r="N96" i="18"/>
  <c r="BZ96" i="19"/>
  <c r="BN96" i="19"/>
  <c r="AT97" i="18" s="1"/>
  <c r="O96" i="18"/>
  <c r="R137" i="18"/>
  <c r="BO137" i="19" s="1"/>
  <c r="AF138" i="18" s="1"/>
  <c r="BB138" i="19" s="1"/>
  <c r="P136" i="19"/>
  <c r="C136" i="19" s="1"/>
  <c r="M136" i="22" s="1"/>
  <c r="D136" i="18"/>
  <c r="Q136" i="19" s="1"/>
  <c r="AD136" i="19" s="1"/>
  <c r="D136" i="19" s="1"/>
  <c r="N136" i="22" s="1"/>
  <c r="AI137" i="18"/>
  <c r="W135" i="19"/>
  <c r="AJ135" i="19" s="1"/>
  <c r="J135" i="19" s="1"/>
  <c r="BJ135" i="19"/>
  <c r="AP136" i="18" s="1"/>
  <c r="AZ135" i="20"/>
  <c r="Z136" i="18"/>
  <c r="AA136" i="18"/>
  <c r="BE136" i="19"/>
  <c r="BQ136" i="19"/>
  <c r="AH137" i="18" s="1"/>
  <c r="BD137" i="19" s="1"/>
  <c r="H98" i="18" l="1"/>
  <c r="G98" i="18"/>
  <c r="AR97" i="18"/>
  <c r="AA96" i="19"/>
  <c r="AD97" i="18"/>
  <c r="AE97" i="18"/>
  <c r="Z96" i="19"/>
  <c r="M96" i="19" s="1"/>
  <c r="BM96" i="19"/>
  <c r="BC96" i="20"/>
  <c r="M96" i="18"/>
  <c r="C137" i="18"/>
  <c r="BC137" i="19" s="1"/>
  <c r="B138" i="18"/>
  <c r="O138" i="19" s="1"/>
  <c r="AB138" i="19" s="1"/>
  <c r="B138" i="19" s="1"/>
  <c r="L138" i="22" s="1"/>
  <c r="T137" i="18"/>
  <c r="BR137" i="19" s="1"/>
  <c r="AI138" i="18" s="1"/>
  <c r="S137" i="18"/>
  <c r="D137" i="18" s="1"/>
  <c r="AY136" i="20"/>
  <c r="V136" i="19"/>
  <c r="AI136" i="19" s="1"/>
  <c r="I136" i="19" s="1"/>
  <c r="S136" i="22" s="1"/>
  <c r="BX136" i="19" s="1"/>
  <c r="BI136" i="19"/>
  <c r="Y137" i="18"/>
  <c r="L136" i="18"/>
  <c r="K136" i="18"/>
  <c r="R138" i="18"/>
  <c r="BO138" i="19" s="1"/>
  <c r="AF139" i="18" s="1"/>
  <c r="BB139" i="19" s="1"/>
  <c r="AV98" i="20" l="1"/>
  <c r="T98" i="19"/>
  <c r="AG98" i="19" s="1"/>
  <c r="G98" i="19" s="1"/>
  <c r="BV98" i="19" s="1"/>
  <c r="AN99" i="18" s="1"/>
  <c r="J99" i="18" s="1"/>
  <c r="BG98" i="19"/>
  <c r="BH98" i="19"/>
  <c r="AM99" i="18" s="1"/>
  <c r="U98" i="19"/>
  <c r="AH98" i="19" s="1"/>
  <c r="H98" i="19" s="1"/>
  <c r="R98" i="22" s="1"/>
  <c r="BW98" i="19" s="1"/>
  <c r="AO99" i="18" s="1"/>
  <c r="AW98" i="20"/>
  <c r="X99" i="18"/>
  <c r="W99" i="18"/>
  <c r="AN96" i="19"/>
  <c r="X97" i="22" s="1"/>
  <c r="BS97" i="19" s="1"/>
  <c r="AJ98" i="18" s="1"/>
  <c r="BB96" i="20"/>
  <c r="Y96" i="19"/>
  <c r="AB97" i="18"/>
  <c r="AC97" i="18"/>
  <c r="P97" i="18"/>
  <c r="Q139" i="18"/>
  <c r="B139" i="18" s="1"/>
  <c r="P137" i="19"/>
  <c r="C137" i="19" s="1"/>
  <c r="M137" i="22" s="1"/>
  <c r="E137" i="18"/>
  <c r="R137" i="19" s="1"/>
  <c r="E137" i="19" s="1"/>
  <c r="O137" i="22" s="1"/>
  <c r="BP137" i="19"/>
  <c r="AG138" i="18" s="1"/>
  <c r="C138" i="18" s="1"/>
  <c r="BC138" i="19" s="1"/>
  <c r="AO137" i="18"/>
  <c r="J137" i="18"/>
  <c r="V137" i="19" s="1"/>
  <c r="AI137" i="19" s="1"/>
  <c r="I137" i="19" s="1"/>
  <c r="S137" i="22" s="1"/>
  <c r="BQ137" i="19"/>
  <c r="AH138" i="18" s="1"/>
  <c r="BD138" i="19" s="1"/>
  <c r="X136" i="19"/>
  <c r="AK136" i="19" s="1"/>
  <c r="K136" i="19" s="1"/>
  <c r="BA136" i="20"/>
  <c r="BK136" i="19"/>
  <c r="AZ136" i="20"/>
  <c r="W136" i="19"/>
  <c r="AJ136" i="19" s="1"/>
  <c r="J136" i="19" s="1"/>
  <c r="BJ136" i="19"/>
  <c r="AP137" i="18" s="1"/>
  <c r="Z137" i="18"/>
  <c r="AA137" i="18"/>
  <c r="S138" i="18"/>
  <c r="Q137" i="19"/>
  <c r="AD137" i="19" s="1"/>
  <c r="D137" i="19" s="1"/>
  <c r="N137" i="22" s="1"/>
  <c r="N96" i="19" l="1"/>
  <c r="U96" i="22" s="1"/>
  <c r="CA96" i="19" s="1"/>
  <c r="AS97" i="18" s="1"/>
  <c r="BN97" i="19" s="1"/>
  <c r="AT98" i="18" s="1"/>
  <c r="I99" i="18"/>
  <c r="AX99" i="20" s="1"/>
  <c r="F98" i="18"/>
  <c r="AL96" i="19"/>
  <c r="V97" i="22" s="1"/>
  <c r="O97" i="18"/>
  <c r="N97" i="18"/>
  <c r="BZ97" i="19"/>
  <c r="T138" i="18"/>
  <c r="E138" i="18" s="1"/>
  <c r="BE138" i="19" s="1"/>
  <c r="BE137" i="19"/>
  <c r="BI137" i="19"/>
  <c r="Y138" i="18"/>
  <c r="AY137" i="20"/>
  <c r="BP138" i="19"/>
  <c r="AG139" i="18" s="1"/>
  <c r="D138" i="18"/>
  <c r="S139" i="18" s="1"/>
  <c r="L137" i="18"/>
  <c r="BX137" i="19"/>
  <c r="R139" i="18"/>
  <c r="P138" i="19"/>
  <c r="C138" i="19" s="1"/>
  <c r="M138" i="22" s="1"/>
  <c r="O139" i="19"/>
  <c r="AB139" i="19" s="1"/>
  <c r="B139" i="19" s="1"/>
  <c r="L139" i="22" s="1"/>
  <c r="Q140" i="18"/>
  <c r="K137" i="18"/>
  <c r="Z138" i="18" s="1"/>
  <c r="BW137" i="19"/>
  <c r="AU98" i="20" l="1"/>
  <c r="BF98" i="19"/>
  <c r="AK99" i="18" s="1"/>
  <c r="S98" i="19"/>
  <c r="AF98" i="19" s="1"/>
  <c r="F98" i="19" s="1"/>
  <c r="BU98" i="19" s="1"/>
  <c r="AL99" i="18" s="1"/>
  <c r="U99" i="18"/>
  <c r="V99" i="18"/>
  <c r="BC97" i="20"/>
  <c r="Z97" i="19"/>
  <c r="M97" i="19" s="1"/>
  <c r="BM97" i="19"/>
  <c r="AA97" i="19"/>
  <c r="AD98" i="18"/>
  <c r="AE98" i="18"/>
  <c r="L96" i="19"/>
  <c r="T96" i="22" s="1"/>
  <c r="BY96" i="19" s="1"/>
  <c r="AQ97" i="18" s="1"/>
  <c r="R138" i="19"/>
  <c r="E138" i="19" s="1"/>
  <c r="O138" i="22" s="1"/>
  <c r="BR138" i="19"/>
  <c r="AI139" i="18" s="1"/>
  <c r="AO138" i="18"/>
  <c r="K138" i="18" s="1"/>
  <c r="Z139" i="18" s="1"/>
  <c r="AA138" i="18"/>
  <c r="AY138" i="20"/>
  <c r="V138" i="19"/>
  <c r="AI138" i="19" s="1"/>
  <c r="I138" i="19" s="1"/>
  <c r="S138" i="22" s="1"/>
  <c r="BI138" i="19"/>
  <c r="BP139" i="19"/>
  <c r="AG140" i="18" s="1"/>
  <c r="X137" i="19"/>
  <c r="AK137" i="19" s="1"/>
  <c r="K137" i="19" s="1"/>
  <c r="BK137" i="19"/>
  <c r="BA137" i="20"/>
  <c r="C139" i="18"/>
  <c r="P139" i="19" s="1"/>
  <c r="C139" i="19" s="1"/>
  <c r="M139" i="22" s="1"/>
  <c r="BO139" i="19"/>
  <c r="AF140" i="18" s="1"/>
  <c r="BB140" i="19" s="1"/>
  <c r="BQ138" i="19"/>
  <c r="AH139" i="18" s="1"/>
  <c r="BJ137" i="19"/>
  <c r="AP138" i="18" s="1"/>
  <c r="AZ137" i="20"/>
  <c r="W137" i="19"/>
  <c r="AJ137" i="19" s="1"/>
  <c r="J137" i="19" s="1"/>
  <c r="Y139" i="18"/>
  <c r="Q138" i="19"/>
  <c r="AD138" i="19" s="1"/>
  <c r="D138" i="19" s="1"/>
  <c r="N138" i="22" s="1"/>
  <c r="T139" i="18"/>
  <c r="H99" i="18" l="1"/>
  <c r="G99" i="18"/>
  <c r="BL97" i="19"/>
  <c r="AR98" i="18" s="1"/>
  <c r="M97" i="18"/>
  <c r="AN97" i="19"/>
  <c r="X98" i="22" s="1"/>
  <c r="BS98" i="19" s="1"/>
  <c r="AJ99" i="18" s="1"/>
  <c r="P98" i="18"/>
  <c r="B140" i="18"/>
  <c r="O140" i="19" s="1"/>
  <c r="AB140" i="19" s="1"/>
  <c r="B140" i="19" s="1"/>
  <c r="L140" i="22" s="1"/>
  <c r="L138" i="18"/>
  <c r="AA139" i="18" s="1"/>
  <c r="BX138" i="19"/>
  <c r="E139" i="18"/>
  <c r="BR139" i="19"/>
  <c r="BJ138" i="19"/>
  <c r="AZ138" i="20"/>
  <c r="W138" i="19"/>
  <c r="AJ138" i="19" s="1"/>
  <c r="J138" i="19" s="1"/>
  <c r="D139" i="18"/>
  <c r="BD139" i="19"/>
  <c r="J139" i="18"/>
  <c r="Y140" i="18" s="1"/>
  <c r="R140" i="18"/>
  <c r="BC139" i="19"/>
  <c r="BQ139" i="19"/>
  <c r="BH99" i="19" l="1"/>
  <c r="AM100" i="18" s="1"/>
  <c r="AW99" i="20"/>
  <c r="U99" i="19"/>
  <c r="AH99" i="19" s="1"/>
  <c r="H99" i="19" s="1"/>
  <c r="R99" i="22" s="1"/>
  <c r="BW99" i="19" s="1"/>
  <c r="AO100" i="18" s="1"/>
  <c r="K100" i="18" s="1"/>
  <c r="W100" i="18"/>
  <c r="X100" i="18"/>
  <c r="T99" i="19"/>
  <c r="AG99" i="19" s="1"/>
  <c r="G99" i="19" s="1"/>
  <c r="BV99" i="19" s="1"/>
  <c r="AN100" i="18" s="1"/>
  <c r="J100" i="18" s="1"/>
  <c r="AV99" i="20"/>
  <c r="BG99" i="19"/>
  <c r="F99" i="18"/>
  <c r="N97" i="19"/>
  <c r="U97" i="22" s="1"/>
  <c r="CA97" i="19" s="1"/>
  <c r="AS98" i="18" s="1"/>
  <c r="BB97" i="20"/>
  <c r="Y97" i="19"/>
  <c r="AB98" i="18"/>
  <c r="AC98" i="18"/>
  <c r="BK138" i="19"/>
  <c r="X138" i="19"/>
  <c r="AK138" i="19" s="1"/>
  <c r="K138" i="19" s="1"/>
  <c r="BA138" i="20"/>
  <c r="AP139" i="18"/>
  <c r="L139" i="18" s="1"/>
  <c r="Q141" i="18"/>
  <c r="AH140" i="18"/>
  <c r="BD140" i="19" s="1"/>
  <c r="AI140" i="18"/>
  <c r="AZ139" i="20"/>
  <c r="BJ139" i="19"/>
  <c r="W139" i="19"/>
  <c r="AJ139" i="19" s="1"/>
  <c r="J139" i="19" s="1"/>
  <c r="Z140" i="18"/>
  <c r="Q139" i="19"/>
  <c r="AD139" i="19" s="1"/>
  <c r="D139" i="19" s="1"/>
  <c r="N139" i="22" s="1"/>
  <c r="S140" i="18"/>
  <c r="C140" i="18"/>
  <c r="BO140" i="19"/>
  <c r="AF141" i="18" s="1"/>
  <c r="BB141" i="19" s="1"/>
  <c r="BI139" i="19"/>
  <c r="AY139" i="20"/>
  <c r="V139" i="19"/>
  <c r="AI139" i="19" s="1"/>
  <c r="I139" i="19" s="1"/>
  <c r="S139" i="22" s="1"/>
  <c r="BX139" i="19" s="1"/>
  <c r="T140" i="18"/>
  <c r="R139" i="19"/>
  <c r="E139" i="19" s="1"/>
  <c r="O139" i="22" s="1"/>
  <c r="BE139" i="19"/>
  <c r="S99" i="19" l="1"/>
  <c r="AF99" i="19" s="1"/>
  <c r="F99" i="19" s="1"/>
  <c r="BU99" i="19" s="1"/>
  <c r="AU99" i="20"/>
  <c r="BF99" i="19"/>
  <c r="AK100" i="18" s="1"/>
  <c r="U100" i="18"/>
  <c r="V100" i="18"/>
  <c r="AL100" i="18"/>
  <c r="I100" i="18"/>
  <c r="AX100" i="20" s="1"/>
  <c r="BZ98" i="19"/>
  <c r="N98" i="18"/>
  <c r="BN98" i="19"/>
  <c r="AT99" i="18" s="1"/>
  <c r="O98" i="18"/>
  <c r="L97" i="19"/>
  <c r="T97" i="22" s="1"/>
  <c r="BY97" i="19" s="1"/>
  <c r="AQ98" i="18" s="1"/>
  <c r="BL98" i="19" s="1"/>
  <c r="AR99" i="18" s="1"/>
  <c r="AL97" i="19"/>
  <c r="V98" i="22" s="1"/>
  <c r="AP140" i="18"/>
  <c r="AO140" i="18"/>
  <c r="K140" i="18" s="1"/>
  <c r="P140" i="19"/>
  <c r="C140" i="19" s="1"/>
  <c r="M140" i="22" s="1"/>
  <c r="BC140" i="19"/>
  <c r="BP140" i="19"/>
  <c r="AG141" i="18" s="1"/>
  <c r="D140" i="18"/>
  <c r="AY140" i="20"/>
  <c r="V140" i="19"/>
  <c r="AI140" i="19" s="1"/>
  <c r="I140" i="19" s="1"/>
  <c r="S140" i="22" s="1"/>
  <c r="BI140" i="19"/>
  <c r="X139" i="19"/>
  <c r="AK139" i="19" s="1"/>
  <c r="K139" i="19" s="1"/>
  <c r="BK139" i="19"/>
  <c r="BA139" i="20"/>
  <c r="AA140" i="18"/>
  <c r="R141" i="18"/>
  <c r="B141" i="18"/>
  <c r="BR140" i="19"/>
  <c r="AI141" i="18" s="1"/>
  <c r="E140" i="18"/>
  <c r="Y141" i="18"/>
  <c r="H100" i="18" l="1"/>
  <c r="G100" i="18"/>
  <c r="AA98" i="19"/>
  <c r="AD99" i="18"/>
  <c r="AE99" i="18"/>
  <c r="M98" i="18"/>
  <c r="Z98" i="19"/>
  <c r="M98" i="19" s="1"/>
  <c r="BM98" i="19"/>
  <c r="BC98" i="20"/>
  <c r="AO141" i="18"/>
  <c r="T141" i="18"/>
  <c r="BR141" i="19" s="1"/>
  <c r="L140" i="18"/>
  <c r="AZ140" i="20"/>
  <c r="W140" i="19"/>
  <c r="AJ140" i="19" s="1"/>
  <c r="J140" i="19" s="1"/>
  <c r="BJ140" i="19"/>
  <c r="Z141" i="18"/>
  <c r="O141" i="19"/>
  <c r="AB141" i="19" s="1"/>
  <c r="B141" i="19" s="1"/>
  <c r="L141" i="22" s="1"/>
  <c r="BO141" i="19" s="1"/>
  <c r="AF142" i="18" s="1"/>
  <c r="BB142" i="19" s="1"/>
  <c r="Q142" i="18"/>
  <c r="BX140" i="19"/>
  <c r="BQ140" i="19"/>
  <c r="AH141" i="18" s="1"/>
  <c r="BD141" i="19" s="1"/>
  <c r="R140" i="19"/>
  <c r="E140" i="19" s="1"/>
  <c r="O140" i="22" s="1"/>
  <c r="BE140" i="19"/>
  <c r="C141" i="18"/>
  <c r="P141" i="19" s="1"/>
  <c r="C141" i="19" s="1"/>
  <c r="M141" i="22" s="1"/>
  <c r="S141" i="18"/>
  <c r="Q140" i="19"/>
  <c r="AD140" i="19" s="1"/>
  <c r="D140" i="19" s="1"/>
  <c r="N140" i="22" s="1"/>
  <c r="BG100" i="19" l="1"/>
  <c r="T100" i="19"/>
  <c r="AG100" i="19" s="1"/>
  <c r="G100" i="19" s="1"/>
  <c r="BV100" i="19" s="1"/>
  <c r="AN101" i="18" s="1"/>
  <c r="J101" i="18" s="1"/>
  <c r="AV100" i="20"/>
  <c r="BH100" i="19"/>
  <c r="AM101" i="18" s="1"/>
  <c r="U100" i="19"/>
  <c r="AH100" i="19" s="1"/>
  <c r="H100" i="19" s="1"/>
  <c r="R100" i="22" s="1"/>
  <c r="BW100" i="19" s="1"/>
  <c r="AW100" i="20"/>
  <c r="X101" i="18"/>
  <c r="W101" i="18"/>
  <c r="P99" i="18"/>
  <c r="AN98" i="19"/>
  <c r="X99" i="22" s="1"/>
  <c r="BS99" i="19" s="1"/>
  <c r="AJ100" i="18" s="1"/>
  <c r="Y98" i="19"/>
  <c r="BB98" i="20"/>
  <c r="AB99" i="18"/>
  <c r="AC99" i="18"/>
  <c r="E141" i="18"/>
  <c r="R141" i="19" s="1"/>
  <c r="E141" i="19" s="1"/>
  <c r="O141" i="22" s="1"/>
  <c r="AI142" i="18"/>
  <c r="AP141" i="18"/>
  <c r="R142" i="18"/>
  <c r="BA140" i="20"/>
  <c r="BK140" i="19"/>
  <c r="X140" i="19"/>
  <c r="AK140" i="19" s="1"/>
  <c r="K140" i="19" s="1"/>
  <c r="B142" i="18"/>
  <c r="O142" i="19" s="1"/>
  <c r="AB142" i="19" s="1"/>
  <c r="B142" i="19" s="1"/>
  <c r="L142" i="22" s="1"/>
  <c r="AY141" i="20"/>
  <c r="V141" i="19"/>
  <c r="AI141" i="19" s="1"/>
  <c r="I141" i="19" s="1"/>
  <c r="S141" i="22" s="1"/>
  <c r="BI141" i="19"/>
  <c r="BC141" i="19"/>
  <c r="BP141" i="19"/>
  <c r="AG142" i="18" s="1"/>
  <c r="D141" i="18"/>
  <c r="S142" i="18" s="1"/>
  <c r="BQ141" i="19"/>
  <c r="K141" i="18"/>
  <c r="AA141" i="18"/>
  <c r="F100" i="18" l="1"/>
  <c r="I101" i="18"/>
  <c r="AX101" i="20" s="1"/>
  <c r="AL98" i="19"/>
  <c r="V99" i="22" s="1"/>
  <c r="L98" i="19"/>
  <c r="T98" i="22" s="1"/>
  <c r="BY98" i="19" s="1"/>
  <c r="AQ99" i="18" s="1"/>
  <c r="BL99" i="19" s="1"/>
  <c r="N99" i="18"/>
  <c r="BZ99" i="19"/>
  <c r="N98" i="19"/>
  <c r="U98" i="22" s="1"/>
  <c r="CA98" i="19" s="1"/>
  <c r="AS99" i="18" s="1"/>
  <c r="BE141" i="19"/>
  <c r="C142" i="18"/>
  <c r="R143" i="18" s="1"/>
  <c r="BO142" i="19"/>
  <c r="AF143" i="18" s="1"/>
  <c r="BB143" i="19" s="1"/>
  <c r="BX141" i="19"/>
  <c r="AY142" i="20"/>
  <c r="L141" i="18"/>
  <c r="AA142" i="18" s="1"/>
  <c r="AH142" i="18"/>
  <c r="BJ141" i="19"/>
  <c r="W141" i="19"/>
  <c r="AJ141" i="19" s="1"/>
  <c r="J141" i="19" s="1"/>
  <c r="AZ141" i="20"/>
  <c r="BP142" i="19"/>
  <c r="AG143" i="18" s="1"/>
  <c r="Z142" i="18"/>
  <c r="Q141" i="19"/>
  <c r="AD141" i="19" s="1"/>
  <c r="D141" i="19" s="1"/>
  <c r="N141" i="22" s="1"/>
  <c r="T142" i="18"/>
  <c r="AO142" i="18"/>
  <c r="Q143" i="18"/>
  <c r="BF100" i="19" l="1"/>
  <c r="AK101" i="18" s="1"/>
  <c r="AU100" i="20"/>
  <c r="S100" i="19"/>
  <c r="AF100" i="19" s="1"/>
  <c r="F100" i="19" s="1"/>
  <c r="BU100" i="19" s="1"/>
  <c r="AL101" i="18" s="1"/>
  <c r="H101" i="18" s="1"/>
  <c r="U101" i="18"/>
  <c r="V101" i="18"/>
  <c r="BI142" i="19"/>
  <c r="AR100" i="18"/>
  <c r="Y143" i="18"/>
  <c r="BN99" i="19"/>
  <c r="AT100" i="18" s="1"/>
  <c r="O99" i="18"/>
  <c r="M99" i="18"/>
  <c r="BM99" i="19"/>
  <c r="BC99" i="20"/>
  <c r="Z99" i="19"/>
  <c r="M99" i="19" s="1"/>
  <c r="P142" i="19"/>
  <c r="C142" i="19" s="1"/>
  <c r="M142" i="22" s="1"/>
  <c r="BC142" i="19"/>
  <c r="AP142" i="18"/>
  <c r="L142" i="18" s="1"/>
  <c r="BQ142" i="19"/>
  <c r="K142" i="18"/>
  <c r="D142" i="18"/>
  <c r="BD142" i="19"/>
  <c r="BX142" i="19"/>
  <c r="BW142" i="19"/>
  <c r="AO143" i="18" s="1"/>
  <c r="C143" i="18"/>
  <c r="P143" i="19" s="1"/>
  <c r="C143" i="19" s="1"/>
  <c r="M143" i="22" s="1"/>
  <c r="B143" i="18"/>
  <c r="O143" i="19" s="1"/>
  <c r="AB143" i="19" s="1"/>
  <c r="B143" i="19" s="1"/>
  <c r="L143" i="22" s="1"/>
  <c r="BO143" i="19" s="1"/>
  <c r="AF144" i="18" s="1"/>
  <c r="BB144" i="19" s="1"/>
  <c r="E142" i="18"/>
  <c r="BR142" i="19"/>
  <c r="BA141" i="20"/>
  <c r="X141" i="19"/>
  <c r="AK141" i="19" s="1"/>
  <c r="K141" i="19" s="1"/>
  <c r="BK141" i="19"/>
  <c r="AH143" i="18" l="1"/>
  <c r="U101" i="19"/>
  <c r="AH101" i="19" s="1"/>
  <c r="H101" i="19" s="1"/>
  <c r="R101" i="22" s="1"/>
  <c r="BW101" i="19" s="1"/>
  <c r="AO102" i="18" s="1"/>
  <c r="K102" i="18" s="1"/>
  <c r="AW101" i="20"/>
  <c r="BH101" i="19"/>
  <c r="AM102" i="18" s="1"/>
  <c r="G101" i="18"/>
  <c r="X102" i="18"/>
  <c r="AA99" i="19"/>
  <c r="AD100" i="18"/>
  <c r="AE100" i="18"/>
  <c r="Y99" i="19"/>
  <c r="BB99" i="20"/>
  <c r="AB100" i="18"/>
  <c r="AC100" i="18"/>
  <c r="T143" i="18"/>
  <c r="BR143" i="19" s="1"/>
  <c r="BC143" i="19"/>
  <c r="Q144" i="18"/>
  <c r="B144" i="18" s="1"/>
  <c r="O144" i="19" s="1"/>
  <c r="AB144" i="19" s="1"/>
  <c r="B144" i="19" s="1"/>
  <c r="L144" i="22" s="1"/>
  <c r="AA143" i="18"/>
  <c r="AY143" i="20"/>
  <c r="V143" i="19"/>
  <c r="AI143" i="19" s="1"/>
  <c r="I143" i="19" s="1"/>
  <c r="S143" i="22" s="1"/>
  <c r="BI143" i="19"/>
  <c r="Q142" i="19"/>
  <c r="AD142" i="19" s="1"/>
  <c r="D142" i="19" s="1"/>
  <c r="N142" i="22" s="1"/>
  <c r="S143" i="18"/>
  <c r="D143" i="18" s="1"/>
  <c r="Q143" i="19" s="1"/>
  <c r="AD143" i="19" s="1"/>
  <c r="D143" i="19" s="1"/>
  <c r="N143" i="22" s="1"/>
  <c r="R142" i="19"/>
  <c r="E142" i="19" s="1"/>
  <c r="O142" i="22" s="1"/>
  <c r="BE142" i="19"/>
  <c r="R144" i="18"/>
  <c r="X142" i="19"/>
  <c r="AK142" i="19" s="1"/>
  <c r="K142" i="19" s="1"/>
  <c r="BA142" i="20"/>
  <c r="BK142" i="19"/>
  <c r="Z143" i="18"/>
  <c r="K143" i="18" s="1"/>
  <c r="W142" i="19"/>
  <c r="AJ142" i="19" s="1"/>
  <c r="J142" i="19" s="1"/>
  <c r="BJ142" i="19"/>
  <c r="AP143" i="18" s="1"/>
  <c r="AZ142" i="20"/>
  <c r="AI143" i="18"/>
  <c r="BD143" i="19"/>
  <c r="W102" i="18" l="1"/>
  <c r="BG101" i="19"/>
  <c r="T101" i="19"/>
  <c r="AG101" i="19" s="1"/>
  <c r="G101" i="19" s="1"/>
  <c r="BV101" i="19" s="1"/>
  <c r="AN102" i="18" s="1"/>
  <c r="J102" i="18" s="1"/>
  <c r="AV101" i="20"/>
  <c r="I102" i="18"/>
  <c r="AX102" i="20" s="1"/>
  <c r="E143" i="18"/>
  <c r="T144" i="18" s="1"/>
  <c r="AL99" i="19"/>
  <c r="V100" i="22" s="1"/>
  <c r="AN99" i="19"/>
  <c r="X100" i="22" s="1"/>
  <c r="BS100" i="19" s="1"/>
  <c r="AJ101" i="18" s="1"/>
  <c r="N100" i="18"/>
  <c r="BZ100" i="19"/>
  <c r="P100" i="18"/>
  <c r="L143" i="18"/>
  <c r="X143" i="19" s="1"/>
  <c r="AK143" i="19" s="1"/>
  <c r="K143" i="19" s="1"/>
  <c r="BX143" i="19"/>
  <c r="R143" i="19"/>
  <c r="E143" i="19" s="1"/>
  <c r="O143" i="22" s="1"/>
  <c r="Z144" i="18"/>
  <c r="AZ143" i="20"/>
  <c r="W143" i="19"/>
  <c r="AJ143" i="19" s="1"/>
  <c r="J143" i="19" s="1"/>
  <c r="BJ143" i="19"/>
  <c r="Q145" i="18"/>
  <c r="AI144" i="18"/>
  <c r="BO144" i="19"/>
  <c r="AF145" i="18" s="1"/>
  <c r="BB145" i="19" s="1"/>
  <c r="BP143" i="19"/>
  <c r="AG144" i="18" s="1"/>
  <c r="C144" i="18" s="1"/>
  <c r="P144" i="19" s="1"/>
  <c r="C144" i="19" s="1"/>
  <c r="M144" i="22" s="1"/>
  <c r="S144" i="18"/>
  <c r="BQ143" i="19"/>
  <c r="AH144" i="18" s="1"/>
  <c r="BE143" i="19"/>
  <c r="F101" i="18" l="1"/>
  <c r="N99" i="19"/>
  <c r="U99" i="22" s="1"/>
  <c r="CA99" i="19" s="1"/>
  <c r="AS100" i="18" s="1"/>
  <c r="O100" i="18" s="1"/>
  <c r="AA100" i="19" s="1"/>
  <c r="AN100" i="19" s="1"/>
  <c r="L99" i="19"/>
  <c r="T99" i="22" s="1"/>
  <c r="BY99" i="19" s="1"/>
  <c r="AQ100" i="18" s="1"/>
  <c r="BM100" i="19"/>
  <c r="BC100" i="20"/>
  <c r="Z100" i="19"/>
  <c r="M100" i="19" s="1"/>
  <c r="AA144" i="18"/>
  <c r="BA143" i="20"/>
  <c r="AP144" i="18"/>
  <c r="BK143" i="19"/>
  <c r="K144" i="18"/>
  <c r="AZ144" i="20" s="1"/>
  <c r="D144" i="18"/>
  <c r="S145" i="18" s="1"/>
  <c r="BD144" i="19"/>
  <c r="BI144" i="19"/>
  <c r="AY144" i="20"/>
  <c r="V144" i="19"/>
  <c r="AI144" i="19" s="1"/>
  <c r="I144" i="19" s="1"/>
  <c r="S144" i="22" s="1"/>
  <c r="BX144" i="19" s="1"/>
  <c r="B145" i="18"/>
  <c r="O145" i="19" s="1"/>
  <c r="AB145" i="19" s="1"/>
  <c r="B145" i="19" s="1"/>
  <c r="L145" i="22" s="1"/>
  <c r="BP144" i="19"/>
  <c r="AG145" i="18" s="1"/>
  <c r="BQ144" i="19"/>
  <c r="R145" i="18"/>
  <c r="BR144" i="19"/>
  <c r="E144" i="18"/>
  <c r="BC144" i="19"/>
  <c r="AU101" i="20" l="1"/>
  <c r="BF101" i="19"/>
  <c r="AK102" i="18" s="1"/>
  <c r="S101" i="19"/>
  <c r="AF101" i="19" s="1"/>
  <c r="F101" i="19" s="1"/>
  <c r="BU101" i="19" s="1"/>
  <c r="AL102" i="18" s="1"/>
  <c r="H102" i="18" s="1"/>
  <c r="U102" i="18"/>
  <c r="V102" i="18"/>
  <c r="AE101" i="18"/>
  <c r="N100" i="19"/>
  <c r="U100" i="22" s="1"/>
  <c r="CA100" i="19" s="1"/>
  <c r="AS101" i="18" s="1"/>
  <c r="BN101" i="19" s="1"/>
  <c r="X101" i="22"/>
  <c r="BS101" i="19" s="1"/>
  <c r="AJ102" i="18" s="1"/>
  <c r="AD101" i="18"/>
  <c r="L144" i="18"/>
  <c r="X144" i="19" s="1"/>
  <c r="AK144" i="19" s="1"/>
  <c r="K144" i="19" s="1"/>
  <c r="BN100" i="19"/>
  <c r="AT101" i="18" s="1"/>
  <c r="P101" i="18" s="1"/>
  <c r="BL100" i="19"/>
  <c r="AR101" i="18" s="1"/>
  <c r="M100" i="18"/>
  <c r="AA145" i="18"/>
  <c r="W144" i="19"/>
  <c r="AJ144" i="19" s="1"/>
  <c r="J144" i="19" s="1"/>
  <c r="BJ144" i="19"/>
  <c r="AP145" i="18" s="1"/>
  <c r="L145" i="18" s="1"/>
  <c r="BA144" i="20"/>
  <c r="BK144" i="19"/>
  <c r="Z145" i="18"/>
  <c r="Q146" i="18"/>
  <c r="T145" i="18"/>
  <c r="BR145" i="19" s="1"/>
  <c r="Q144" i="19"/>
  <c r="AD144" i="19" s="1"/>
  <c r="D144" i="19" s="1"/>
  <c r="N144" i="22" s="1"/>
  <c r="BO145" i="19"/>
  <c r="AF146" i="18" s="1"/>
  <c r="BB146" i="19" s="1"/>
  <c r="C145" i="18"/>
  <c r="P145" i="19" s="1"/>
  <c r="C145" i="19" s="1"/>
  <c r="M145" i="22" s="1"/>
  <c r="AH145" i="18"/>
  <c r="BE144" i="19"/>
  <c r="R144" i="19"/>
  <c r="E144" i="19" s="1"/>
  <c r="O144" i="22" s="1"/>
  <c r="BP145" i="19"/>
  <c r="AG146" i="18" s="1"/>
  <c r="AI145" i="18"/>
  <c r="F102" i="18" l="1"/>
  <c r="U103" i="18"/>
  <c r="U102" i="19"/>
  <c r="AH102" i="19" s="1"/>
  <c r="H102" i="19" s="1"/>
  <c r="R102" i="22" s="1"/>
  <c r="BW102" i="19" s="1"/>
  <c r="BH102" i="19"/>
  <c r="AM103" i="18" s="1"/>
  <c r="AW102" i="20"/>
  <c r="X103" i="18"/>
  <c r="G102" i="18"/>
  <c r="W103" i="18" s="1"/>
  <c r="V103" i="18"/>
  <c r="O101" i="18"/>
  <c r="AA101" i="19" s="1"/>
  <c r="AT102" i="18"/>
  <c r="BB100" i="20"/>
  <c r="Y100" i="19"/>
  <c r="AB101" i="18"/>
  <c r="AC101" i="18"/>
  <c r="AN101" i="19"/>
  <c r="X102" i="22" s="1"/>
  <c r="BS102" i="19" s="1"/>
  <c r="AJ103" i="18" s="1"/>
  <c r="B146" i="18"/>
  <c r="D145" i="18"/>
  <c r="BD145" i="19"/>
  <c r="AI146" i="18" s="1"/>
  <c r="E145" i="18"/>
  <c r="R145" i="19" s="1"/>
  <c r="E145" i="19" s="1"/>
  <c r="O145" i="22" s="1"/>
  <c r="BK145" i="19"/>
  <c r="BA145" i="20"/>
  <c r="X145" i="19"/>
  <c r="AK145" i="19" s="1"/>
  <c r="K145" i="19" s="1"/>
  <c r="BC145" i="19"/>
  <c r="BQ145" i="19"/>
  <c r="R146" i="18"/>
  <c r="AE102" i="18" l="1"/>
  <c r="BG102" i="19"/>
  <c r="AV102" i="20"/>
  <c r="T102" i="19"/>
  <c r="AG102" i="19" s="1"/>
  <c r="G102" i="19" s="1"/>
  <c r="BV102" i="19" s="1"/>
  <c r="AN103" i="18" s="1"/>
  <c r="J103" i="18" s="1"/>
  <c r="Y104" i="18" s="1"/>
  <c r="I103" i="18"/>
  <c r="AX103" i="20" s="1"/>
  <c r="F103" i="18"/>
  <c r="U104" i="18" s="1"/>
  <c r="AU102" i="20"/>
  <c r="S102" i="19"/>
  <c r="AF102" i="19" s="1"/>
  <c r="F102" i="19" s="1"/>
  <c r="BU102" i="19" s="1"/>
  <c r="BF102" i="19"/>
  <c r="AK103" i="18" s="1"/>
  <c r="G103" i="18" s="1"/>
  <c r="P102" i="18"/>
  <c r="N101" i="19"/>
  <c r="U101" i="22" s="1"/>
  <c r="CA101" i="19" s="1"/>
  <c r="N101" i="18"/>
  <c r="BZ101" i="19"/>
  <c r="AL100" i="19"/>
  <c r="V101" i="22" s="1"/>
  <c r="BE145" i="19"/>
  <c r="O146" i="19"/>
  <c r="AB146" i="19" s="1"/>
  <c r="B146" i="19" s="1"/>
  <c r="L146" i="22" s="1"/>
  <c r="Q147" i="18"/>
  <c r="T146" i="18"/>
  <c r="Q145" i="19"/>
  <c r="AD145" i="19" s="1"/>
  <c r="D145" i="19" s="1"/>
  <c r="N145" i="22" s="1"/>
  <c r="S146" i="18"/>
  <c r="BJ145" i="19"/>
  <c r="AZ145" i="20"/>
  <c r="W145" i="19"/>
  <c r="AJ145" i="19" s="1"/>
  <c r="J145" i="19" s="1"/>
  <c r="Z146" i="18"/>
  <c r="AA146" i="18"/>
  <c r="BO146" i="19"/>
  <c r="AF147" i="18" s="1"/>
  <c r="C146" i="18"/>
  <c r="AH146" i="18"/>
  <c r="BI145" i="19"/>
  <c r="AY145" i="20"/>
  <c r="V145" i="19"/>
  <c r="AI145" i="19" s="1"/>
  <c r="I145" i="19" s="1"/>
  <c r="S145" i="22" s="1"/>
  <c r="BX145" i="19" s="1"/>
  <c r="Y146" i="18"/>
  <c r="AL103" i="18" l="1"/>
  <c r="H103" i="18" s="1"/>
  <c r="U103" i="19" s="1"/>
  <c r="AH103" i="19" s="1"/>
  <c r="H103" i="19" s="1"/>
  <c r="R103" i="22" s="1"/>
  <c r="BW103" i="19" s="1"/>
  <c r="W104" i="18"/>
  <c r="AV103" i="20"/>
  <c r="T103" i="19"/>
  <c r="AG103" i="19" s="1"/>
  <c r="G103" i="19" s="1"/>
  <c r="BV103" i="19" s="1"/>
  <c r="AN104" i="18" s="1"/>
  <c r="J104" i="18" s="1"/>
  <c r="BG103" i="19"/>
  <c r="V104" i="18"/>
  <c r="BF103" i="19"/>
  <c r="AK104" i="18" s="1"/>
  <c r="AU103" i="20"/>
  <c r="S103" i="19"/>
  <c r="AF103" i="19" s="1"/>
  <c r="F103" i="19" s="1"/>
  <c r="BU103" i="19" s="1"/>
  <c r="BM101" i="19"/>
  <c r="AS102" i="18" s="1"/>
  <c r="BN102" i="19" s="1"/>
  <c r="AT103" i="18" s="1"/>
  <c r="BC101" i="20"/>
  <c r="Z101" i="19"/>
  <c r="M101" i="19" s="1"/>
  <c r="AD102" i="18"/>
  <c r="L100" i="19"/>
  <c r="T100" i="22" s="1"/>
  <c r="BY100" i="19" s="1"/>
  <c r="AQ101" i="18" s="1"/>
  <c r="AP146" i="18"/>
  <c r="L146" i="18" s="1"/>
  <c r="J146" i="18"/>
  <c r="Y147" i="18" s="1"/>
  <c r="D146" i="18"/>
  <c r="Q146" i="19" s="1"/>
  <c r="AD146" i="19" s="1"/>
  <c r="D146" i="19" s="1"/>
  <c r="N146" i="22" s="1"/>
  <c r="BD146" i="19"/>
  <c r="P146" i="19"/>
  <c r="C146" i="19" s="1"/>
  <c r="M146" i="22" s="1"/>
  <c r="BC146" i="19"/>
  <c r="BB147" i="19"/>
  <c r="B147" i="18"/>
  <c r="BP146" i="19"/>
  <c r="AG147" i="18" s="1"/>
  <c r="R147" i="18"/>
  <c r="BR146" i="19"/>
  <c r="E146" i="18"/>
  <c r="T147" i="18" s="1"/>
  <c r="BH103" i="19" l="1"/>
  <c r="AM104" i="18" s="1"/>
  <c r="AW103" i="20"/>
  <c r="X104" i="18"/>
  <c r="AL104" i="18"/>
  <c r="H104" i="18" s="1"/>
  <c r="G104" i="18"/>
  <c r="O102" i="18"/>
  <c r="BL101" i="19"/>
  <c r="AR102" i="18" s="1"/>
  <c r="M101" i="18"/>
  <c r="BQ146" i="19"/>
  <c r="AH147" i="18" s="1"/>
  <c r="BD147" i="19" s="1"/>
  <c r="AA147" i="18"/>
  <c r="W146" i="19"/>
  <c r="AJ146" i="19" s="1"/>
  <c r="J146" i="19" s="1"/>
  <c r="BJ146" i="19"/>
  <c r="AZ146" i="20"/>
  <c r="Z147" i="18"/>
  <c r="C147" i="18"/>
  <c r="P147" i="19" s="1"/>
  <c r="C147" i="19" s="1"/>
  <c r="M147" i="22" s="1"/>
  <c r="BR147" i="19"/>
  <c r="R146" i="19"/>
  <c r="E146" i="19" s="1"/>
  <c r="O146" i="22" s="1"/>
  <c r="BE146" i="19"/>
  <c r="S147" i="18"/>
  <c r="AY146" i="20"/>
  <c r="BI146" i="19"/>
  <c r="V146" i="19"/>
  <c r="AI146" i="19" s="1"/>
  <c r="I146" i="19" s="1"/>
  <c r="S146" i="22" s="1"/>
  <c r="BX146" i="19" s="1"/>
  <c r="O147" i="19"/>
  <c r="AB147" i="19" s="1"/>
  <c r="B147" i="19" s="1"/>
  <c r="L147" i="22" s="1"/>
  <c r="BO147" i="19" s="1"/>
  <c r="AF148" i="18" s="1"/>
  <c r="BB148" i="19" s="1"/>
  <c r="Q148" i="18"/>
  <c r="AI147" i="18"/>
  <c r="E147" i="18" s="1"/>
  <c r="R147" i="19" s="1"/>
  <c r="E147" i="19" s="1"/>
  <c r="O147" i="22" s="1"/>
  <c r="X146" i="19"/>
  <c r="AK146" i="19" s="1"/>
  <c r="K146" i="19" s="1"/>
  <c r="BK146" i="19"/>
  <c r="BA146" i="20"/>
  <c r="I104" i="18" l="1"/>
  <c r="AX104" i="20" s="1"/>
  <c r="X105" i="18"/>
  <c r="AW104" i="20"/>
  <c r="BH104" i="19"/>
  <c r="AM105" i="18" s="1"/>
  <c r="I105" i="18" s="1"/>
  <c r="AX105" i="20" s="1"/>
  <c r="U104" i="19"/>
  <c r="AH104" i="19" s="1"/>
  <c r="H104" i="19" s="1"/>
  <c r="R104" i="22" s="1"/>
  <c r="BW104" i="19" s="1"/>
  <c r="AO105" i="18" s="1"/>
  <c r="K105" i="18" s="1"/>
  <c r="AV104" i="20"/>
  <c r="BG104" i="19"/>
  <c r="T104" i="19"/>
  <c r="AG104" i="19" s="1"/>
  <c r="G104" i="19" s="1"/>
  <c r="BV104" i="19" s="1"/>
  <c r="AN105" i="18" s="1"/>
  <c r="J105" i="18" s="1"/>
  <c r="W105" i="18"/>
  <c r="Y101" i="19"/>
  <c r="BB101" i="20"/>
  <c r="AB102" i="18"/>
  <c r="AC102" i="18"/>
  <c r="AA102" i="19"/>
  <c r="AE103" i="18"/>
  <c r="AP147" i="18"/>
  <c r="L147" i="18" s="1"/>
  <c r="X147" i="19" s="1"/>
  <c r="AK147" i="19" s="1"/>
  <c r="K147" i="19" s="1"/>
  <c r="BI147" i="19"/>
  <c r="AY147" i="20"/>
  <c r="Y148" i="18"/>
  <c r="B148" i="18"/>
  <c r="O148" i="19" s="1"/>
  <c r="AB148" i="19" s="1"/>
  <c r="B148" i="19" s="1"/>
  <c r="L148" i="22" s="1"/>
  <c r="BP147" i="19"/>
  <c r="AG148" i="18" s="1"/>
  <c r="D147" i="18"/>
  <c r="BQ147" i="19"/>
  <c r="AI148" i="18"/>
  <c r="BC147" i="19"/>
  <c r="BE147" i="19"/>
  <c r="R148" i="18"/>
  <c r="P103" i="18" l="1"/>
  <c r="N102" i="18"/>
  <c r="BZ102" i="19"/>
  <c r="AN102" i="19"/>
  <c r="X103" i="22" s="1"/>
  <c r="BS103" i="19" s="1"/>
  <c r="AJ104" i="18" s="1"/>
  <c r="AL101" i="19"/>
  <c r="V102" i="22" s="1"/>
  <c r="Q149" i="18"/>
  <c r="BK147" i="19"/>
  <c r="BA147" i="20"/>
  <c r="K147" i="18"/>
  <c r="C148" i="18"/>
  <c r="P148" i="19" s="1"/>
  <c r="C148" i="19" s="1"/>
  <c r="M148" i="22" s="1"/>
  <c r="BO148" i="19"/>
  <c r="AF149" i="18" s="1"/>
  <c r="BB149" i="19" s="1"/>
  <c r="T148" i="18"/>
  <c r="Q147" i="19"/>
  <c r="AD147" i="19" s="1"/>
  <c r="D147" i="19" s="1"/>
  <c r="N147" i="22" s="1"/>
  <c r="S148" i="18"/>
  <c r="AH148" i="18"/>
  <c r="F104" i="18" l="1"/>
  <c r="BM102" i="19"/>
  <c r="Z102" i="19"/>
  <c r="M102" i="19" s="1"/>
  <c r="BC102" i="20"/>
  <c r="AD103" i="18"/>
  <c r="L101" i="19"/>
  <c r="T101" i="22" s="1"/>
  <c r="BY101" i="19" s="1"/>
  <c r="AQ102" i="18" s="1"/>
  <c r="N102" i="19"/>
  <c r="U102" i="22" s="1"/>
  <c r="CA102" i="19" s="1"/>
  <c r="BC148" i="19"/>
  <c r="B149" i="18"/>
  <c r="O149" i="19" s="1"/>
  <c r="AB149" i="19" s="1"/>
  <c r="B149" i="19" s="1"/>
  <c r="L149" i="22" s="1"/>
  <c r="BP148" i="19"/>
  <c r="AG149" i="18" s="1"/>
  <c r="BQ148" i="19"/>
  <c r="E148" i="18"/>
  <c r="BR148" i="19"/>
  <c r="D148" i="18"/>
  <c r="Q148" i="19" s="1"/>
  <c r="AD148" i="19" s="1"/>
  <c r="D148" i="19" s="1"/>
  <c r="N148" i="22" s="1"/>
  <c r="BD148" i="19"/>
  <c r="Z148" i="18"/>
  <c r="W147" i="19"/>
  <c r="AJ147" i="19" s="1"/>
  <c r="J147" i="19" s="1"/>
  <c r="AZ147" i="20"/>
  <c r="BJ147" i="19"/>
  <c r="AP148" i="18" s="1"/>
  <c r="AA148" i="18"/>
  <c r="R149" i="18"/>
  <c r="AH149" i="18" l="1"/>
  <c r="BF104" i="19"/>
  <c r="AK105" i="18" s="1"/>
  <c r="S104" i="19"/>
  <c r="AF104" i="19" s="1"/>
  <c r="F104" i="19" s="1"/>
  <c r="BU104" i="19" s="1"/>
  <c r="AL105" i="18" s="1"/>
  <c r="AU104" i="20"/>
  <c r="U105" i="18"/>
  <c r="V105" i="18"/>
  <c r="AS103" i="18"/>
  <c r="BN103" i="19" s="1"/>
  <c r="AT104" i="18" s="1"/>
  <c r="BL102" i="19"/>
  <c r="AR103" i="18" s="1"/>
  <c r="M102" i="18"/>
  <c r="Q150" i="18"/>
  <c r="R148" i="19"/>
  <c r="E148" i="19" s="1"/>
  <c r="O148" i="22" s="1"/>
  <c r="BE148" i="19"/>
  <c r="BD149" i="19"/>
  <c r="AY148" i="20"/>
  <c r="V148" i="19"/>
  <c r="AI148" i="19" s="1"/>
  <c r="I148" i="19" s="1"/>
  <c r="S148" i="22" s="1"/>
  <c r="BX148" i="19" s="1"/>
  <c r="BI148" i="19"/>
  <c r="Y149" i="18"/>
  <c r="C149" i="18"/>
  <c r="P149" i="19" s="1"/>
  <c r="C149" i="19" s="1"/>
  <c r="M149" i="22" s="1"/>
  <c r="BO149" i="19"/>
  <c r="AF150" i="18" s="1"/>
  <c r="BB150" i="19" s="1"/>
  <c r="AI149" i="18"/>
  <c r="L148" i="18"/>
  <c r="K148" i="18"/>
  <c r="Z149" i="18" s="1"/>
  <c r="S149" i="18"/>
  <c r="D149" i="18" s="1"/>
  <c r="Q149" i="19" s="1"/>
  <c r="AD149" i="19" s="1"/>
  <c r="D149" i="19" s="1"/>
  <c r="N149" i="22" s="1"/>
  <c r="T149" i="18"/>
  <c r="H105" i="18" l="1"/>
  <c r="O103" i="18"/>
  <c r="G105" i="18"/>
  <c r="AA103" i="19"/>
  <c r="AE104" i="18"/>
  <c r="AC103" i="18"/>
  <c r="Y102" i="19"/>
  <c r="BB102" i="20"/>
  <c r="AB103" i="18"/>
  <c r="BC149" i="19"/>
  <c r="AA149" i="18"/>
  <c r="J149" i="18"/>
  <c r="R150" i="18"/>
  <c r="E149" i="18"/>
  <c r="R149" i="19" s="1"/>
  <c r="E149" i="19" s="1"/>
  <c r="O149" i="22" s="1"/>
  <c r="BR149" i="19"/>
  <c r="AI150" i="18" s="1"/>
  <c r="BP149" i="19"/>
  <c r="AG150" i="18" s="1"/>
  <c r="S150" i="18"/>
  <c r="BQ149" i="19"/>
  <c r="AH150" i="18" s="1"/>
  <c r="Y150" i="18"/>
  <c r="AY149" i="20"/>
  <c r="V149" i="19"/>
  <c r="AI149" i="19" s="1"/>
  <c r="I149" i="19" s="1"/>
  <c r="S149" i="22" s="1"/>
  <c r="BI149" i="19"/>
  <c r="W148" i="19"/>
  <c r="AJ148" i="19" s="1"/>
  <c r="J148" i="19" s="1"/>
  <c r="AZ148" i="20"/>
  <c r="BJ148" i="19"/>
  <c r="AP149" i="18" s="1"/>
  <c r="B150" i="18"/>
  <c r="BA148" i="20"/>
  <c r="X148" i="19"/>
  <c r="AK148" i="19" s="1"/>
  <c r="K148" i="19" s="1"/>
  <c r="BK148" i="19"/>
  <c r="BG105" i="19" l="1"/>
  <c r="AV105" i="20"/>
  <c r="T105" i="19"/>
  <c r="AG105" i="19" s="1"/>
  <c r="G105" i="19" s="1"/>
  <c r="BV105" i="19" s="1"/>
  <c r="AN106" i="18" s="1"/>
  <c r="U105" i="19"/>
  <c r="AH105" i="19" s="1"/>
  <c r="H105" i="19" s="1"/>
  <c r="R105" i="22" s="1"/>
  <c r="BW105" i="19" s="1"/>
  <c r="AO106" i="18" s="1"/>
  <c r="AW105" i="20"/>
  <c r="BH105" i="19"/>
  <c r="AM106" i="18" s="1"/>
  <c r="X106" i="18"/>
  <c r="W106" i="18"/>
  <c r="AL102" i="19"/>
  <c r="V103" i="22" s="1"/>
  <c r="L102" i="19"/>
  <c r="T102" i="22" s="1"/>
  <c r="BY102" i="19" s="1"/>
  <c r="AQ103" i="18" s="1"/>
  <c r="BL103" i="19" s="1"/>
  <c r="N103" i="18"/>
  <c r="BZ103" i="19"/>
  <c r="P104" i="18"/>
  <c r="AN103" i="19"/>
  <c r="X104" i="22" s="1"/>
  <c r="BS104" i="19" s="1"/>
  <c r="AJ105" i="18" s="1"/>
  <c r="L149" i="18"/>
  <c r="BA149" i="20" s="1"/>
  <c r="C150" i="18"/>
  <c r="P150" i="19" s="1"/>
  <c r="C150" i="19" s="1"/>
  <c r="M150" i="22" s="1"/>
  <c r="T150" i="18"/>
  <c r="BR150" i="19" s="1"/>
  <c r="BX149" i="19"/>
  <c r="BJ149" i="19"/>
  <c r="AZ149" i="20"/>
  <c r="W149" i="19"/>
  <c r="AJ149" i="19" s="1"/>
  <c r="J149" i="19" s="1"/>
  <c r="Z150" i="18"/>
  <c r="AA150" i="18"/>
  <c r="BE149" i="19"/>
  <c r="D150" i="18"/>
  <c r="Q150" i="19" s="1"/>
  <c r="AD150" i="19" s="1"/>
  <c r="D150" i="19" s="1"/>
  <c r="N150" i="22" s="1"/>
  <c r="BD150" i="19"/>
  <c r="O150" i="19"/>
  <c r="AB150" i="19" s="1"/>
  <c r="B150" i="19" s="1"/>
  <c r="L150" i="22" s="1"/>
  <c r="BO150" i="19" s="1"/>
  <c r="AF151" i="18" s="1"/>
  <c r="BB151" i="19" s="1"/>
  <c r="Q151" i="18"/>
  <c r="BP150" i="19"/>
  <c r="AG151" i="18" s="1"/>
  <c r="BQ150" i="19"/>
  <c r="F105" i="18" l="1"/>
  <c r="I106" i="18"/>
  <c r="AX106" i="20" s="1"/>
  <c r="BU106" i="19"/>
  <c r="BC150" i="19"/>
  <c r="M103" i="18"/>
  <c r="AB104" i="18" s="1"/>
  <c r="N103" i="19"/>
  <c r="U103" i="22" s="1"/>
  <c r="CA103" i="19" s="1"/>
  <c r="Z103" i="19"/>
  <c r="M103" i="19" s="1"/>
  <c r="BM103" i="19"/>
  <c r="BC103" i="20"/>
  <c r="AD104" i="18"/>
  <c r="BB103" i="20"/>
  <c r="AR104" i="18"/>
  <c r="AC104" i="18"/>
  <c r="E150" i="18"/>
  <c r="R150" i="19" s="1"/>
  <c r="E150" i="19" s="1"/>
  <c r="O150" i="22" s="1"/>
  <c r="AP150" i="18"/>
  <c r="L150" i="18" s="1"/>
  <c r="R151" i="18"/>
  <c r="C151" i="18" s="1"/>
  <c r="P151" i="19" s="1"/>
  <c r="C151" i="19" s="1"/>
  <c r="M151" i="22" s="1"/>
  <c r="BK149" i="19"/>
  <c r="X149" i="19"/>
  <c r="AK149" i="19" s="1"/>
  <c r="K149" i="19" s="1"/>
  <c r="S151" i="18"/>
  <c r="BP151" i="19" s="1"/>
  <c r="V150" i="19"/>
  <c r="AI150" i="19" s="1"/>
  <c r="I150" i="19" s="1"/>
  <c r="S150" i="22" s="1"/>
  <c r="BX150" i="19" s="1"/>
  <c r="AY150" i="20"/>
  <c r="BI150" i="19"/>
  <c r="Y151" i="18"/>
  <c r="K150" i="18"/>
  <c r="B151" i="18"/>
  <c r="O151" i="19" s="1"/>
  <c r="AB151" i="19" s="1"/>
  <c r="B151" i="19" s="1"/>
  <c r="L151" i="22" s="1"/>
  <c r="AH151" i="18"/>
  <c r="AI151" i="18"/>
  <c r="U106" i="18" l="1"/>
  <c r="AU105" i="20"/>
  <c r="BF105" i="19"/>
  <c r="AK106" i="18" s="1"/>
  <c r="S105" i="19"/>
  <c r="AF105" i="19" s="1"/>
  <c r="F105" i="19" s="1"/>
  <c r="BU105" i="19" s="1"/>
  <c r="AL106" i="18" s="1"/>
  <c r="V106" i="18"/>
  <c r="AS104" i="18"/>
  <c r="BN104" i="19" s="1"/>
  <c r="AT105" i="18" s="1"/>
  <c r="Y103" i="19"/>
  <c r="AL103" i="19" s="1"/>
  <c r="V104" i="22" s="1"/>
  <c r="T151" i="18"/>
  <c r="BR151" i="19" s="1"/>
  <c r="AG152" i="18"/>
  <c r="O104" i="18"/>
  <c r="BO151" i="19"/>
  <c r="AF152" i="18" s="1"/>
  <c r="BB152" i="19" s="1"/>
  <c r="BE150" i="19"/>
  <c r="N104" i="18"/>
  <c r="BZ104" i="19"/>
  <c r="Q152" i="18"/>
  <c r="AO151" i="18"/>
  <c r="AZ150" i="20"/>
  <c r="W150" i="19"/>
  <c r="AJ150" i="19" s="1"/>
  <c r="J150" i="19" s="1"/>
  <c r="BJ150" i="19"/>
  <c r="AP151" i="18" s="1"/>
  <c r="BQ151" i="19"/>
  <c r="BA150" i="20"/>
  <c r="BK150" i="19"/>
  <c r="X150" i="19"/>
  <c r="AK150" i="19" s="1"/>
  <c r="K150" i="19" s="1"/>
  <c r="D151" i="18"/>
  <c r="BD151" i="19"/>
  <c r="BC151" i="19"/>
  <c r="AA151" i="18"/>
  <c r="Z151" i="18"/>
  <c r="R152" i="18"/>
  <c r="J151" i="18"/>
  <c r="H106" i="18" l="1"/>
  <c r="E151" i="18"/>
  <c r="BE151" i="19" s="1"/>
  <c r="G106" i="18"/>
  <c r="B152" i="18"/>
  <c r="O152" i="19" s="1"/>
  <c r="AB152" i="19" s="1"/>
  <c r="B152" i="19" s="1"/>
  <c r="L152" i="22" s="1"/>
  <c r="AA104" i="19"/>
  <c r="AE105" i="18"/>
  <c r="AI152" i="18"/>
  <c r="L103" i="19"/>
  <c r="T103" i="22" s="1"/>
  <c r="BY103" i="19" s="1"/>
  <c r="AQ104" i="18" s="1"/>
  <c r="BC104" i="20"/>
  <c r="Z104" i="19"/>
  <c r="M104" i="19" s="1"/>
  <c r="BM104" i="19"/>
  <c r="AD105" i="18"/>
  <c r="Q151" i="19"/>
  <c r="AD151" i="19" s="1"/>
  <c r="D151" i="19" s="1"/>
  <c r="N151" i="22" s="1"/>
  <c r="S152" i="18"/>
  <c r="R151" i="19"/>
  <c r="E151" i="19" s="1"/>
  <c r="O151" i="22" s="1"/>
  <c r="T152" i="18"/>
  <c r="Y152" i="18"/>
  <c r="AY151" i="20"/>
  <c r="V151" i="19"/>
  <c r="AI151" i="19" s="1"/>
  <c r="I151" i="19" s="1"/>
  <c r="S151" i="22" s="1"/>
  <c r="BX151" i="19" s="1"/>
  <c r="BI151" i="19"/>
  <c r="AH152" i="18"/>
  <c r="BD152" i="19" s="1"/>
  <c r="C152" i="18"/>
  <c r="BO152" i="19"/>
  <c r="AF153" i="18" s="1"/>
  <c r="BB153" i="19" s="1"/>
  <c r="L151" i="18"/>
  <c r="K151" i="18"/>
  <c r="Z152" i="18" s="1"/>
  <c r="R153" i="18" l="1"/>
  <c r="Q153" i="18"/>
  <c r="AW106" i="20"/>
  <c r="U106" i="19"/>
  <c r="AH106" i="19" s="1"/>
  <c r="H106" i="19" s="1"/>
  <c r="R106" i="22" s="1"/>
  <c r="BW106" i="19" s="1"/>
  <c r="AO107" i="18" s="1"/>
  <c r="BH106" i="19"/>
  <c r="AM107" i="18" s="1"/>
  <c r="W107" i="18"/>
  <c r="X107" i="18"/>
  <c r="T106" i="19"/>
  <c r="AG106" i="19" s="1"/>
  <c r="G106" i="19" s="1"/>
  <c r="BV106" i="19" s="1"/>
  <c r="AN107" i="18" s="1"/>
  <c r="AV106" i="20"/>
  <c r="BG106" i="19"/>
  <c r="AL107" i="18" s="1"/>
  <c r="P105" i="18"/>
  <c r="AN104" i="19"/>
  <c r="X105" i="22" s="1"/>
  <c r="BS105" i="19" s="1"/>
  <c r="AJ106" i="18" s="1"/>
  <c r="BL104" i="19"/>
  <c r="AR105" i="18" s="1"/>
  <c r="M104" i="18"/>
  <c r="AA152" i="18"/>
  <c r="AO152" i="18"/>
  <c r="K152" i="18" s="1"/>
  <c r="B153" i="18"/>
  <c r="O153" i="19" s="1"/>
  <c r="AB153" i="19" s="1"/>
  <c r="B153" i="19" s="1"/>
  <c r="L153" i="22" s="1"/>
  <c r="BO153" i="19" s="1"/>
  <c r="AF154" i="18" s="1"/>
  <c r="BB154" i="19" s="1"/>
  <c r="P152" i="19"/>
  <c r="C152" i="19" s="1"/>
  <c r="M152" i="22" s="1"/>
  <c r="BC152" i="19"/>
  <c r="BP152" i="19"/>
  <c r="AG153" i="18" s="1"/>
  <c r="C153" i="18" s="1"/>
  <c r="D152" i="18"/>
  <c r="Q152" i="19" s="1"/>
  <c r="AD152" i="19" s="1"/>
  <c r="D152" i="19" s="1"/>
  <c r="N152" i="22" s="1"/>
  <c r="BJ151" i="19"/>
  <c r="AP152" i="18" s="1"/>
  <c r="W151" i="19"/>
  <c r="AJ151" i="19" s="1"/>
  <c r="J151" i="19" s="1"/>
  <c r="AZ151" i="20"/>
  <c r="BK151" i="19"/>
  <c r="X151" i="19"/>
  <c r="AK151" i="19" s="1"/>
  <c r="K151" i="19" s="1"/>
  <c r="BA151" i="20"/>
  <c r="E152" i="18"/>
  <c r="BR152" i="19"/>
  <c r="AI153" i="18" s="1"/>
  <c r="I107" i="18" l="1"/>
  <c r="AX107" i="20" s="1"/>
  <c r="H107" i="18"/>
  <c r="F106" i="18"/>
  <c r="N104" i="19"/>
  <c r="U104" i="22" s="1"/>
  <c r="CA104" i="19" s="1"/>
  <c r="AS105" i="18" s="1"/>
  <c r="BN105" i="19" s="1"/>
  <c r="AT106" i="18" s="1"/>
  <c r="Y104" i="19"/>
  <c r="BB104" i="20"/>
  <c r="AB105" i="18"/>
  <c r="AC105" i="18"/>
  <c r="L152" i="18"/>
  <c r="X152" i="19" s="1"/>
  <c r="AK152" i="19" s="1"/>
  <c r="K152" i="19" s="1"/>
  <c r="T153" i="18"/>
  <c r="BR153" i="19" s="1"/>
  <c r="S153" i="18"/>
  <c r="BP153" i="19" s="1"/>
  <c r="AG154" i="18" s="1"/>
  <c r="BQ152" i="19"/>
  <c r="AH153" i="18" s="1"/>
  <c r="W152" i="19"/>
  <c r="AJ152" i="19" s="1"/>
  <c r="J152" i="19" s="1"/>
  <c r="AZ152" i="20"/>
  <c r="BJ152" i="19"/>
  <c r="Q154" i="18"/>
  <c r="B154" i="18" s="1"/>
  <c r="O154" i="19" s="1"/>
  <c r="AB154" i="19" s="1"/>
  <c r="B154" i="19" s="1"/>
  <c r="L154" i="22" s="1"/>
  <c r="P153" i="19"/>
  <c r="C153" i="19" s="1"/>
  <c r="M153" i="22" s="1"/>
  <c r="R154" i="18"/>
  <c r="AY152" i="20"/>
  <c r="BI152" i="19"/>
  <c r="V152" i="19"/>
  <c r="AI152" i="19" s="1"/>
  <c r="I152" i="19" s="1"/>
  <c r="S152" i="22" s="1"/>
  <c r="BX152" i="19" s="1"/>
  <c r="Z153" i="18"/>
  <c r="Y153" i="18"/>
  <c r="R152" i="19"/>
  <c r="E152" i="19" s="1"/>
  <c r="O152" i="22" s="1"/>
  <c r="BE152" i="19"/>
  <c r="BC153" i="19"/>
  <c r="X108" i="18" l="1"/>
  <c r="U107" i="19"/>
  <c r="AH107" i="19" s="1"/>
  <c r="H107" i="19" s="1"/>
  <c r="R107" i="22" s="1"/>
  <c r="BW107" i="19" s="1"/>
  <c r="AO108" i="18" s="1"/>
  <c r="BH107" i="19"/>
  <c r="AM108" i="18" s="1"/>
  <c r="AW107" i="20"/>
  <c r="AU106" i="20"/>
  <c r="BF106" i="19"/>
  <c r="AK107" i="18" s="1"/>
  <c r="S106" i="19"/>
  <c r="AF106" i="19" s="1"/>
  <c r="F106" i="19" s="1"/>
  <c r="U107" i="18"/>
  <c r="V107" i="18"/>
  <c r="O105" i="18"/>
  <c r="AA105" i="19" s="1"/>
  <c r="E153" i="18"/>
  <c r="R153" i="19" s="1"/>
  <c r="E153" i="19" s="1"/>
  <c r="O153" i="22" s="1"/>
  <c r="BZ105" i="19"/>
  <c r="N105" i="18"/>
  <c r="AL104" i="19"/>
  <c r="V105" i="22" s="1"/>
  <c r="BA152" i="20"/>
  <c r="BK152" i="19"/>
  <c r="AA153" i="18"/>
  <c r="BQ153" i="19"/>
  <c r="AH154" i="18" s="1"/>
  <c r="D153" i="18"/>
  <c r="Q153" i="19" s="1"/>
  <c r="AD153" i="19" s="1"/>
  <c r="D153" i="19" s="1"/>
  <c r="N153" i="22" s="1"/>
  <c r="BD153" i="19"/>
  <c r="AI154" i="18" s="1"/>
  <c r="AP153" i="18"/>
  <c r="Q155" i="18"/>
  <c r="BO154" i="19"/>
  <c r="AF155" i="18" s="1"/>
  <c r="BB155" i="19" s="1"/>
  <c r="C154" i="18"/>
  <c r="P154" i="19" s="1"/>
  <c r="C154" i="19" s="1"/>
  <c r="M154" i="22" s="1"/>
  <c r="J153" i="18"/>
  <c r="Y154" i="18" s="1"/>
  <c r="I108" i="18" l="1"/>
  <c r="AX108" i="20" s="1"/>
  <c r="G107" i="18"/>
  <c r="AE106" i="18"/>
  <c r="P106" i="18" s="1"/>
  <c r="AD106" i="18"/>
  <c r="BE153" i="19"/>
  <c r="L104" i="19"/>
  <c r="T104" i="22" s="1"/>
  <c r="BY104" i="19" s="1"/>
  <c r="AQ105" i="18" s="1"/>
  <c r="Z105" i="19"/>
  <c r="M105" i="19" s="1"/>
  <c r="BM105" i="19"/>
  <c r="BC105" i="20"/>
  <c r="AN105" i="19"/>
  <c r="X106" i="22" s="1"/>
  <c r="BS106" i="19" s="1"/>
  <c r="AJ107" i="18" s="1"/>
  <c r="L153" i="18"/>
  <c r="T154" i="18"/>
  <c r="BR154" i="19" s="1"/>
  <c r="S154" i="18"/>
  <c r="BP154" i="19" s="1"/>
  <c r="AG155" i="18" s="1"/>
  <c r="BC154" i="19"/>
  <c r="R155" i="18"/>
  <c r="K153" i="18"/>
  <c r="AA154" i="18" s="1"/>
  <c r="AY153" i="20"/>
  <c r="BI153" i="19"/>
  <c r="V153" i="19"/>
  <c r="AI153" i="19" s="1"/>
  <c r="I153" i="19" s="1"/>
  <c r="S153" i="22" s="1"/>
  <c r="BX153" i="19" s="1"/>
  <c r="B155" i="18"/>
  <c r="BD154" i="19"/>
  <c r="BA153" i="20"/>
  <c r="X153" i="19"/>
  <c r="AK153" i="19" s="1"/>
  <c r="K153" i="19" s="1"/>
  <c r="BK153" i="19"/>
  <c r="F107" i="18" l="1"/>
  <c r="V108" i="18" s="1"/>
  <c r="BG107" i="19"/>
  <c r="AV107" i="20"/>
  <c r="T107" i="19"/>
  <c r="AG107" i="19" s="1"/>
  <c r="G107" i="19" s="1"/>
  <c r="BV107" i="19" s="1"/>
  <c r="AN108" i="18" s="1"/>
  <c r="W108" i="18"/>
  <c r="BL105" i="19"/>
  <c r="AR106" i="18" s="1"/>
  <c r="M105" i="18"/>
  <c r="N105" i="19"/>
  <c r="U105" i="22" s="1"/>
  <c r="CA105" i="19" s="1"/>
  <c r="AS106" i="18" s="1"/>
  <c r="E154" i="18"/>
  <c r="R154" i="19" s="1"/>
  <c r="E154" i="19" s="1"/>
  <c r="O154" i="22" s="1"/>
  <c r="BQ154" i="19"/>
  <c r="AH155" i="18" s="1"/>
  <c r="BD155" i="19" s="1"/>
  <c r="D154" i="18"/>
  <c r="C155" i="18"/>
  <c r="P155" i="19" s="1"/>
  <c r="C155" i="19" s="1"/>
  <c r="M155" i="22" s="1"/>
  <c r="AI155" i="18"/>
  <c r="AO154" i="18"/>
  <c r="AY154" i="20"/>
  <c r="BI154" i="19"/>
  <c r="V154" i="19"/>
  <c r="AI154" i="19" s="1"/>
  <c r="I154" i="19" s="1"/>
  <c r="S154" i="22" s="1"/>
  <c r="BX154" i="19" s="1"/>
  <c r="Y155" i="18"/>
  <c r="O155" i="19"/>
  <c r="AB155" i="19" s="1"/>
  <c r="B155" i="19" s="1"/>
  <c r="L155" i="22" s="1"/>
  <c r="BO155" i="19" s="1"/>
  <c r="AF156" i="18" s="1"/>
  <c r="BB156" i="19" s="1"/>
  <c r="Q156" i="18"/>
  <c r="Q154" i="19"/>
  <c r="AD154" i="19" s="1"/>
  <c r="D154" i="19" s="1"/>
  <c r="N154" i="22" s="1"/>
  <c r="BJ153" i="19"/>
  <c r="AP154" i="18" s="1"/>
  <c r="L154" i="18" s="1"/>
  <c r="AZ153" i="20"/>
  <c r="W153" i="19"/>
  <c r="AJ153" i="19" s="1"/>
  <c r="J153" i="19" s="1"/>
  <c r="Z154" i="18"/>
  <c r="AU107" i="20" l="1"/>
  <c r="BF107" i="19"/>
  <c r="AK108" i="18" s="1"/>
  <c r="G108" i="18" s="1"/>
  <c r="S107" i="19"/>
  <c r="AF107" i="19" s="1"/>
  <c r="F107" i="19" s="1"/>
  <c r="BU107" i="19" s="1"/>
  <c r="AL108" i="18" s="1"/>
  <c r="U108" i="18"/>
  <c r="T155" i="18"/>
  <c r="BR155" i="19" s="1"/>
  <c r="BE154" i="19"/>
  <c r="O106" i="18"/>
  <c r="BN106" i="19"/>
  <c r="AT107" i="18" s="1"/>
  <c r="Y105" i="19"/>
  <c r="BB105" i="20"/>
  <c r="AB106" i="18"/>
  <c r="AC106" i="18"/>
  <c r="R156" i="18"/>
  <c r="S155" i="18"/>
  <c r="BQ155" i="19" s="1"/>
  <c r="BC155" i="19"/>
  <c r="K154" i="18"/>
  <c r="Z155" i="18" s="1"/>
  <c r="E155" i="18"/>
  <c r="R155" i="19" s="1"/>
  <c r="E155" i="19" s="1"/>
  <c r="O155" i="22" s="1"/>
  <c r="BA154" i="20"/>
  <c r="BK154" i="19"/>
  <c r="X154" i="19"/>
  <c r="AK154" i="19" s="1"/>
  <c r="K154" i="19" s="1"/>
  <c r="B156" i="18"/>
  <c r="O156" i="19" s="1"/>
  <c r="AB156" i="19" s="1"/>
  <c r="B156" i="19" s="1"/>
  <c r="L156" i="22" s="1"/>
  <c r="AI156" i="18"/>
  <c r="BW154" i="19"/>
  <c r="AO155" i="18" s="1"/>
  <c r="D155" i="18" l="1"/>
  <c r="S156" i="18" s="1"/>
  <c r="BP156" i="19" s="1"/>
  <c r="AV108" i="20"/>
  <c r="BG108" i="19"/>
  <c r="T108" i="19"/>
  <c r="AG108" i="19" s="1"/>
  <c r="G108" i="19" s="1"/>
  <c r="BV108" i="19" s="1"/>
  <c r="AN109" i="18" s="1"/>
  <c r="J109" i="18" s="1"/>
  <c r="H108" i="18"/>
  <c r="AA106" i="19"/>
  <c r="AN106" i="19" s="1"/>
  <c r="AE107" i="18"/>
  <c r="P107" i="18" s="1"/>
  <c r="AL105" i="19"/>
  <c r="V106" i="22" s="1"/>
  <c r="BP155" i="19"/>
  <c r="AG156" i="18" s="1"/>
  <c r="C156" i="18" s="1"/>
  <c r="BC156" i="19" s="1"/>
  <c r="BZ106" i="19"/>
  <c r="N106" i="18"/>
  <c r="AD107" i="18" s="1"/>
  <c r="BO156" i="19"/>
  <c r="AF157" i="18" s="1"/>
  <c r="BB157" i="19" s="1"/>
  <c r="AH156" i="18"/>
  <c r="D156" i="18" s="1"/>
  <c r="Q156" i="19" s="1"/>
  <c r="AD156" i="19" s="1"/>
  <c r="D156" i="19" s="1"/>
  <c r="N156" i="22" s="1"/>
  <c r="W154" i="19"/>
  <c r="AJ154" i="19" s="1"/>
  <c r="J154" i="19" s="1"/>
  <c r="AA155" i="18"/>
  <c r="AZ154" i="20"/>
  <c r="BJ154" i="19"/>
  <c r="AP155" i="18" s="1"/>
  <c r="L155" i="18" s="1"/>
  <c r="BE155" i="19"/>
  <c r="Q157" i="18"/>
  <c r="AY155" i="20"/>
  <c r="V155" i="19"/>
  <c r="AI155" i="19" s="1"/>
  <c r="I155" i="19" s="1"/>
  <c r="S155" i="22" s="1"/>
  <c r="BI155" i="19"/>
  <c r="K155" i="18"/>
  <c r="Q155" i="19"/>
  <c r="AD155" i="19" s="1"/>
  <c r="D155" i="19" s="1"/>
  <c r="N155" i="22" s="1"/>
  <c r="Y156" i="18"/>
  <c r="T156" i="18" l="1"/>
  <c r="BR156" i="19" s="1"/>
  <c r="U108" i="19"/>
  <c r="AH108" i="19" s="1"/>
  <c r="H108" i="19" s="1"/>
  <c r="R108" i="22" s="1"/>
  <c r="BW108" i="19" s="1"/>
  <c r="AO109" i="18" s="1"/>
  <c r="BH108" i="19"/>
  <c r="AM109" i="18" s="1"/>
  <c r="AW108" i="20"/>
  <c r="X109" i="18"/>
  <c r="W109" i="18"/>
  <c r="AG157" i="18"/>
  <c r="L105" i="19"/>
  <c r="T105" i="22" s="1"/>
  <c r="BY105" i="19" s="1"/>
  <c r="AQ106" i="18" s="1"/>
  <c r="N106" i="19"/>
  <c r="U106" i="22" s="1"/>
  <c r="CA106" i="19" s="1"/>
  <c r="X107" i="22"/>
  <c r="BS107" i="19" s="1"/>
  <c r="AJ108" i="18" s="1"/>
  <c r="BM106" i="19"/>
  <c r="Z106" i="19"/>
  <c r="M106" i="19" s="1"/>
  <c r="BC106" i="20"/>
  <c r="BX155" i="19"/>
  <c r="B157" i="18"/>
  <c r="O157" i="19" s="1"/>
  <c r="AB157" i="19" s="1"/>
  <c r="B157" i="19" s="1"/>
  <c r="L157" i="22" s="1"/>
  <c r="BD156" i="19"/>
  <c r="S157" i="18"/>
  <c r="E156" i="18"/>
  <c r="T157" i="18" s="1"/>
  <c r="J156" i="18"/>
  <c r="Y157" i="18" s="1"/>
  <c r="AZ155" i="20"/>
  <c r="BJ155" i="19"/>
  <c r="AP156" i="18" s="1"/>
  <c r="W155" i="19"/>
  <c r="AJ155" i="19" s="1"/>
  <c r="J155" i="19" s="1"/>
  <c r="AA156" i="18"/>
  <c r="Z156" i="18"/>
  <c r="P156" i="19"/>
  <c r="C156" i="19" s="1"/>
  <c r="R157" i="18"/>
  <c r="BK155" i="19"/>
  <c r="X155" i="19"/>
  <c r="AK155" i="19" s="1"/>
  <c r="K155" i="19" s="1"/>
  <c r="BA155" i="20"/>
  <c r="AI157" i="18" l="1"/>
  <c r="I109" i="18"/>
  <c r="AX109" i="20" s="1"/>
  <c r="F108" i="18"/>
  <c r="AS107" i="18"/>
  <c r="BN107" i="19" s="1"/>
  <c r="AT108" i="18" s="1"/>
  <c r="BL106" i="19"/>
  <c r="AR107" i="18" s="1"/>
  <c r="M106" i="18"/>
  <c r="Q158" i="18"/>
  <c r="K156" i="18"/>
  <c r="Z157" i="18" s="1"/>
  <c r="M156" i="22"/>
  <c r="BQ156" i="19"/>
  <c r="AH157" i="18" s="1"/>
  <c r="BD157" i="19" s="1"/>
  <c r="L156" i="18"/>
  <c r="BR157" i="19"/>
  <c r="E157" i="18"/>
  <c r="R157" i="19" s="1"/>
  <c r="E157" i="19" s="1"/>
  <c r="O157" i="22" s="1"/>
  <c r="BP157" i="19"/>
  <c r="AG158" i="18" s="1"/>
  <c r="R156" i="19"/>
  <c r="E156" i="19" s="1"/>
  <c r="O156" i="22" s="1"/>
  <c r="BE156" i="19"/>
  <c r="BW156" i="19"/>
  <c r="BO157" i="19"/>
  <c r="AF158" i="18" s="1"/>
  <c r="C157" i="18"/>
  <c r="R158" i="18" s="1"/>
  <c r="BI156" i="19"/>
  <c r="AY156" i="20"/>
  <c r="V156" i="19"/>
  <c r="AI156" i="19" s="1"/>
  <c r="I156" i="19" s="1"/>
  <c r="S156" i="22" s="1"/>
  <c r="BX156" i="19" s="1"/>
  <c r="O107" i="18" l="1"/>
  <c r="AA107" i="19" s="1"/>
  <c r="AU108" i="20"/>
  <c r="BF108" i="19"/>
  <c r="AK109" i="18" s="1"/>
  <c r="S108" i="19"/>
  <c r="AF108" i="19" s="1"/>
  <c r="F108" i="19" s="1"/>
  <c r="BU108" i="19" s="1"/>
  <c r="AL109" i="18" s="1"/>
  <c r="H109" i="18" s="1"/>
  <c r="V109" i="18"/>
  <c r="U109" i="18"/>
  <c r="Y106" i="19"/>
  <c r="AL106" i="19" s="1"/>
  <c r="BB106" i="20"/>
  <c r="AB107" i="18"/>
  <c r="AC107" i="18"/>
  <c r="AA157" i="18"/>
  <c r="AO157" i="18"/>
  <c r="K157" i="18" s="1"/>
  <c r="Z158" i="18" s="1"/>
  <c r="AI158" i="18"/>
  <c r="AY157" i="20"/>
  <c r="V157" i="19"/>
  <c r="AI157" i="19" s="1"/>
  <c r="I157" i="19" s="1"/>
  <c r="S157" i="22" s="1"/>
  <c r="BI157" i="19"/>
  <c r="Y158" i="18"/>
  <c r="C158" i="18"/>
  <c r="P158" i="19" s="1"/>
  <c r="C158" i="19" s="1"/>
  <c r="M158" i="22" s="1"/>
  <c r="P157" i="19"/>
  <c r="C157" i="19" s="1"/>
  <c r="BC157" i="19"/>
  <c r="D157" i="18"/>
  <c r="T158" i="18" s="1"/>
  <c r="BA156" i="20"/>
  <c r="X156" i="19"/>
  <c r="AK156" i="19" s="1"/>
  <c r="K156" i="19" s="1"/>
  <c r="BK156" i="19"/>
  <c r="W156" i="19"/>
  <c r="AJ156" i="19" s="1"/>
  <c r="J156" i="19" s="1"/>
  <c r="AZ156" i="20"/>
  <c r="BJ156" i="19"/>
  <c r="AP157" i="18" s="1"/>
  <c r="L157" i="18" s="1"/>
  <c r="BB158" i="19"/>
  <c r="B158" i="18"/>
  <c r="BE157" i="19"/>
  <c r="AE108" i="18" l="1"/>
  <c r="AW109" i="20"/>
  <c r="BH109" i="19"/>
  <c r="AM110" i="18" s="1"/>
  <c r="U109" i="19"/>
  <c r="AH109" i="19" s="1"/>
  <c r="H109" i="19" s="1"/>
  <c r="R109" i="22" s="1"/>
  <c r="BW109" i="19" s="1"/>
  <c r="AO110" i="18" s="1"/>
  <c r="K110" i="18" s="1"/>
  <c r="X110" i="18"/>
  <c r="G109" i="18"/>
  <c r="W110" i="18" s="1"/>
  <c r="N107" i="18"/>
  <c r="BZ107" i="19"/>
  <c r="P108" i="18"/>
  <c r="AN107" i="19"/>
  <c r="X108" i="22" s="1"/>
  <c r="BS108" i="19" s="1"/>
  <c r="AJ109" i="18" s="1"/>
  <c r="L106" i="19"/>
  <c r="T106" i="22" s="1"/>
  <c r="BY106" i="19" s="1"/>
  <c r="AQ107" i="18" s="1"/>
  <c r="BL107" i="19" s="1"/>
  <c r="AR108" i="18" s="1"/>
  <c r="V107" i="22"/>
  <c r="BX157" i="19"/>
  <c r="BC158" i="19"/>
  <c r="AA158" i="18"/>
  <c r="X157" i="19"/>
  <c r="AK157" i="19" s="1"/>
  <c r="K157" i="19" s="1"/>
  <c r="BK157" i="19"/>
  <c r="BA157" i="20"/>
  <c r="O158" i="19"/>
  <c r="AB158" i="19" s="1"/>
  <c r="B158" i="19" s="1"/>
  <c r="L158" i="22" s="1"/>
  <c r="BO158" i="19" s="1"/>
  <c r="AF159" i="18" s="1"/>
  <c r="BB159" i="19" s="1"/>
  <c r="Q159" i="18"/>
  <c r="Q157" i="19"/>
  <c r="AD157" i="19" s="1"/>
  <c r="D157" i="19" s="1"/>
  <c r="N157" i="22" s="1"/>
  <c r="S158" i="18"/>
  <c r="J158" i="18"/>
  <c r="Y159" i="18" s="1"/>
  <c r="W157" i="19"/>
  <c r="AJ157" i="19" s="1"/>
  <c r="J157" i="19" s="1"/>
  <c r="AZ157" i="20"/>
  <c r="BJ157" i="19"/>
  <c r="AP158" i="18" s="1"/>
  <c r="R159" i="18"/>
  <c r="BR158" i="19"/>
  <c r="E158" i="18"/>
  <c r="M157" i="22"/>
  <c r="BQ157" i="19"/>
  <c r="AH158" i="18" s="1"/>
  <c r="T109" i="19" l="1"/>
  <c r="AG109" i="19" s="1"/>
  <c r="G109" i="19" s="1"/>
  <c r="BV109" i="19" s="1"/>
  <c r="AN110" i="18" s="1"/>
  <c r="J110" i="18" s="1"/>
  <c r="AV109" i="20"/>
  <c r="BG109" i="19"/>
  <c r="F109" i="18"/>
  <c r="V110" i="18" s="1"/>
  <c r="I110" i="18"/>
  <c r="AX110" i="20" s="1"/>
  <c r="M107" i="18"/>
  <c r="N107" i="19"/>
  <c r="U107" i="22" s="1"/>
  <c r="CA107" i="19" s="1"/>
  <c r="BM107" i="19"/>
  <c r="BC107" i="20"/>
  <c r="Z107" i="19"/>
  <c r="M107" i="19" s="1"/>
  <c r="AD108" i="18"/>
  <c r="K158" i="18"/>
  <c r="B159" i="18"/>
  <c r="O159" i="19" s="1"/>
  <c r="AB159" i="19" s="1"/>
  <c r="B159" i="19" s="1"/>
  <c r="L159" i="22" s="1"/>
  <c r="L158" i="18"/>
  <c r="D158" i="18"/>
  <c r="BD158" i="19"/>
  <c r="AI159" i="18" s="1"/>
  <c r="BO159" i="19"/>
  <c r="AF160" i="18" s="1"/>
  <c r="BB160" i="19" s="1"/>
  <c r="V158" i="19"/>
  <c r="AI158" i="19" s="1"/>
  <c r="I158" i="19" s="1"/>
  <c r="S158" i="22" s="1"/>
  <c r="BX158" i="19" s="1"/>
  <c r="AY158" i="20"/>
  <c r="BI158" i="19"/>
  <c r="R158" i="19"/>
  <c r="E158" i="19" s="1"/>
  <c r="O158" i="22" s="1"/>
  <c r="BE158" i="19"/>
  <c r="BP158" i="19"/>
  <c r="AG159" i="18" s="1"/>
  <c r="C159" i="18" s="1"/>
  <c r="BQ158" i="19"/>
  <c r="AH159" i="18" s="1"/>
  <c r="S109" i="19" l="1"/>
  <c r="AF109" i="19" s="1"/>
  <c r="F109" i="19" s="1"/>
  <c r="BU109" i="19" s="1"/>
  <c r="AL110" i="18" s="1"/>
  <c r="AU109" i="20"/>
  <c r="BF109" i="19"/>
  <c r="AK110" i="18" s="1"/>
  <c r="G110" i="18" s="1"/>
  <c r="U110" i="18"/>
  <c r="AS108" i="18"/>
  <c r="BN108" i="19" s="1"/>
  <c r="AT109" i="18" s="1"/>
  <c r="BB107" i="20"/>
  <c r="Y107" i="19"/>
  <c r="AC108" i="18"/>
  <c r="AB108" i="18"/>
  <c r="AA159" i="18"/>
  <c r="Q160" i="18"/>
  <c r="B160" i="18" s="1"/>
  <c r="O160" i="19" s="1"/>
  <c r="AB160" i="19" s="1"/>
  <c r="B160" i="19" s="1"/>
  <c r="L160" i="22" s="1"/>
  <c r="P159" i="19"/>
  <c r="C159" i="19" s="1"/>
  <c r="M159" i="22" s="1"/>
  <c r="R160" i="18"/>
  <c r="Q158" i="19"/>
  <c r="AD158" i="19" s="1"/>
  <c r="D158" i="19" s="1"/>
  <c r="N158" i="22" s="1"/>
  <c r="T159" i="18"/>
  <c r="W158" i="19"/>
  <c r="AJ158" i="19" s="1"/>
  <c r="J158" i="19" s="1"/>
  <c r="BJ158" i="19"/>
  <c r="AP159" i="18" s="1"/>
  <c r="L159" i="18" s="1"/>
  <c r="AZ158" i="20"/>
  <c r="Z159" i="18"/>
  <c r="BD159" i="19"/>
  <c r="S159" i="18"/>
  <c r="D159" i="18" s="1"/>
  <c r="Q159" i="19" s="1"/>
  <c r="AD159" i="19" s="1"/>
  <c r="D159" i="19" s="1"/>
  <c r="N159" i="22" s="1"/>
  <c r="BK158" i="19"/>
  <c r="BA158" i="20"/>
  <c r="X158" i="19"/>
  <c r="AK158" i="19" s="1"/>
  <c r="K158" i="19" s="1"/>
  <c r="BC159" i="19"/>
  <c r="H110" i="18" l="1"/>
  <c r="AV110" i="20"/>
  <c r="BG110" i="19"/>
  <c r="T110" i="19"/>
  <c r="AG110" i="19" s="1"/>
  <c r="G110" i="19" s="1"/>
  <c r="BV110" i="19" s="1"/>
  <c r="AN111" i="18" s="1"/>
  <c r="J111" i="18" s="1"/>
  <c r="Y112" i="18" s="1"/>
  <c r="O108" i="18"/>
  <c r="AE109" i="18" s="1"/>
  <c r="AL107" i="19"/>
  <c r="V108" i="22" s="1"/>
  <c r="BZ108" i="19"/>
  <c r="N108" i="18"/>
  <c r="AA108" i="19"/>
  <c r="Q161" i="18"/>
  <c r="BA159" i="20"/>
  <c r="X159" i="19"/>
  <c r="AK159" i="19" s="1"/>
  <c r="K159" i="19" s="1"/>
  <c r="BK159" i="19"/>
  <c r="V159" i="19"/>
  <c r="AI159" i="19" s="1"/>
  <c r="I159" i="19" s="1"/>
  <c r="S159" i="22" s="1"/>
  <c r="BX159" i="19" s="1"/>
  <c r="BI159" i="19"/>
  <c r="AY159" i="20"/>
  <c r="Y160" i="18"/>
  <c r="BO160" i="19"/>
  <c r="AF161" i="18" s="1"/>
  <c r="BB161" i="19" s="1"/>
  <c r="BP159" i="19"/>
  <c r="AG160" i="18" s="1"/>
  <c r="S160" i="18"/>
  <c r="BQ159" i="19"/>
  <c r="AH160" i="18" s="1"/>
  <c r="K159" i="18"/>
  <c r="Z160" i="18" s="1"/>
  <c r="E159" i="18"/>
  <c r="BR159" i="19"/>
  <c r="AI160" i="18" s="1"/>
  <c r="W111" i="18" l="1"/>
  <c r="AW110" i="20"/>
  <c r="U110" i="19"/>
  <c r="AH110" i="19" s="1"/>
  <c r="H110" i="19" s="1"/>
  <c r="R110" i="22" s="1"/>
  <c r="BW110" i="19" s="1"/>
  <c r="AO111" i="18" s="1"/>
  <c r="K111" i="18" s="1"/>
  <c r="BH110" i="19"/>
  <c r="AM111" i="18" s="1"/>
  <c r="X111" i="18"/>
  <c r="P109" i="18"/>
  <c r="Z108" i="19"/>
  <c r="M108" i="19" s="1"/>
  <c r="BC108" i="20"/>
  <c r="BM108" i="19"/>
  <c r="AD109" i="18"/>
  <c r="AN108" i="19"/>
  <c r="X109" i="22" s="1"/>
  <c r="BS109" i="19" s="1"/>
  <c r="AJ110" i="18" s="1"/>
  <c r="L107" i="19"/>
  <c r="T107" i="22" s="1"/>
  <c r="BY107" i="19" s="1"/>
  <c r="AQ108" i="18" s="1"/>
  <c r="AO160" i="18"/>
  <c r="K160" i="18" s="1"/>
  <c r="B161" i="18"/>
  <c r="R159" i="19"/>
  <c r="E159" i="19" s="1"/>
  <c r="O159" i="22" s="1"/>
  <c r="BE159" i="19"/>
  <c r="T160" i="18"/>
  <c r="C160" i="18"/>
  <c r="W159" i="19"/>
  <c r="AJ159" i="19" s="1"/>
  <c r="J159" i="19" s="1"/>
  <c r="BJ159" i="19"/>
  <c r="AP160" i="18" s="1"/>
  <c r="AZ159" i="20"/>
  <c r="AA160" i="18"/>
  <c r="D160" i="18"/>
  <c r="Q160" i="19" s="1"/>
  <c r="AD160" i="19" s="1"/>
  <c r="D160" i="19" s="1"/>
  <c r="N160" i="22" s="1"/>
  <c r="BD160" i="19"/>
  <c r="BP160" i="19"/>
  <c r="AG161" i="18" s="1"/>
  <c r="F110" i="18" l="1"/>
  <c r="I111" i="18"/>
  <c r="AX111" i="20" s="1"/>
  <c r="BL108" i="19"/>
  <c r="AR109" i="18" s="1"/>
  <c r="M108" i="18"/>
  <c r="N108" i="19"/>
  <c r="U108" i="22" s="1"/>
  <c r="CA108" i="19" s="1"/>
  <c r="AS109" i="18" s="1"/>
  <c r="BN109" i="19" s="1"/>
  <c r="AT110" i="18" s="1"/>
  <c r="S161" i="18"/>
  <c r="BC160" i="19"/>
  <c r="O161" i="19"/>
  <c r="AB161" i="19" s="1"/>
  <c r="B161" i="19" s="1"/>
  <c r="L161" i="22" s="1"/>
  <c r="Q162" i="18"/>
  <c r="BP161" i="19"/>
  <c r="Z161" i="18"/>
  <c r="P160" i="19"/>
  <c r="C160" i="19" s="1"/>
  <c r="R161" i="18"/>
  <c r="W160" i="19"/>
  <c r="AJ160" i="19" s="1"/>
  <c r="J160" i="19" s="1"/>
  <c r="BJ160" i="19"/>
  <c r="AZ160" i="20"/>
  <c r="E160" i="18"/>
  <c r="T161" i="18" s="1"/>
  <c r="BR160" i="19"/>
  <c r="AI161" i="18" s="1"/>
  <c r="AY160" i="20"/>
  <c r="V160" i="19"/>
  <c r="AI160" i="19" s="1"/>
  <c r="I160" i="19" s="1"/>
  <c r="S160" i="22" s="1"/>
  <c r="BX160" i="19" s="1"/>
  <c r="BI160" i="19"/>
  <c r="L160" i="18"/>
  <c r="AA161" i="18" s="1"/>
  <c r="S110" i="19" l="1"/>
  <c r="AF110" i="19" s="1"/>
  <c r="F110" i="19" s="1"/>
  <c r="BU110" i="19" s="1"/>
  <c r="AL111" i="18" s="1"/>
  <c r="H111" i="18" s="1"/>
  <c r="AU110" i="20"/>
  <c r="BF110" i="19"/>
  <c r="AK111" i="18" s="1"/>
  <c r="V111" i="18"/>
  <c r="U111" i="18"/>
  <c r="O109" i="18"/>
  <c r="BB108" i="20"/>
  <c r="Y108" i="19"/>
  <c r="AB109" i="18"/>
  <c r="AC109" i="18"/>
  <c r="AP161" i="18"/>
  <c r="L161" i="18" s="1"/>
  <c r="BR161" i="19"/>
  <c r="E161" i="18"/>
  <c r="R161" i="19" s="1"/>
  <c r="E161" i="19" s="1"/>
  <c r="O161" i="22" s="1"/>
  <c r="X160" i="19"/>
  <c r="AK160" i="19" s="1"/>
  <c r="K160" i="19" s="1"/>
  <c r="BK160" i="19"/>
  <c r="BA160" i="20"/>
  <c r="AG162" i="18"/>
  <c r="R160" i="19"/>
  <c r="E160" i="19" s="1"/>
  <c r="O160" i="22" s="1"/>
  <c r="BE160" i="19"/>
  <c r="BO161" i="19"/>
  <c r="AF162" i="18" s="1"/>
  <c r="C161" i="18"/>
  <c r="M160" i="22"/>
  <c r="BQ160" i="19"/>
  <c r="AH161" i="18" s="1"/>
  <c r="BE161" i="19" l="1"/>
  <c r="G111" i="18"/>
  <c r="W112" i="18"/>
  <c r="AW111" i="20"/>
  <c r="BH111" i="19"/>
  <c r="AM112" i="18" s="1"/>
  <c r="U111" i="19"/>
  <c r="AH111" i="19" s="1"/>
  <c r="H111" i="19" s="1"/>
  <c r="R111" i="22" s="1"/>
  <c r="BW111" i="19" s="1"/>
  <c r="AO112" i="18" s="1"/>
  <c r="X112" i="18"/>
  <c r="AL108" i="19"/>
  <c r="V109" i="22" s="1"/>
  <c r="L108" i="19"/>
  <c r="T108" i="22" s="1"/>
  <c r="BY108" i="19" s="1"/>
  <c r="AQ109" i="18" s="1"/>
  <c r="BL109" i="19" s="1"/>
  <c r="AR110" i="18" s="1"/>
  <c r="BZ109" i="19"/>
  <c r="N109" i="18"/>
  <c r="AD110" i="18" s="1"/>
  <c r="AA109" i="19"/>
  <c r="AE110" i="18"/>
  <c r="AZ161" i="20"/>
  <c r="W161" i="19"/>
  <c r="AJ161" i="19" s="1"/>
  <c r="J161" i="19" s="1"/>
  <c r="BJ161" i="19"/>
  <c r="AA162" i="18"/>
  <c r="D161" i="18"/>
  <c r="T162" i="18" s="1"/>
  <c r="BD161" i="19"/>
  <c r="AI162" i="18" s="1"/>
  <c r="BK161" i="19"/>
  <c r="BA161" i="20"/>
  <c r="X161" i="19"/>
  <c r="AK161" i="19" s="1"/>
  <c r="K161" i="19" s="1"/>
  <c r="BB162" i="19"/>
  <c r="B162" i="18"/>
  <c r="J161" i="18"/>
  <c r="P161" i="19"/>
  <c r="C161" i="19" s="1"/>
  <c r="BC161" i="19"/>
  <c r="R162" i="18"/>
  <c r="I112" i="18" l="1"/>
  <c r="AX112" i="20" s="1"/>
  <c r="T111" i="19"/>
  <c r="AG111" i="19" s="1"/>
  <c r="G111" i="19" s="1"/>
  <c r="BV111" i="19" s="1"/>
  <c r="AN112" i="18" s="1"/>
  <c r="AV111" i="20"/>
  <c r="BG111" i="19"/>
  <c r="BM109" i="19"/>
  <c r="BC109" i="20"/>
  <c r="Z109" i="19"/>
  <c r="M109" i="19" s="1"/>
  <c r="AN109" i="19"/>
  <c r="X110" i="22" s="1"/>
  <c r="BS110" i="19" s="1"/>
  <c r="AJ111" i="18" s="1"/>
  <c r="P110" i="18"/>
  <c r="M109" i="18"/>
  <c r="O162" i="19"/>
  <c r="AB162" i="19" s="1"/>
  <c r="B162" i="19" s="1"/>
  <c r="L162" i="22" s="1"/>
  <c r="BO162" i="19" s="1"/>
  <c r="AF163" i="18" s="1"/>
  <c r="BB163" i="19" s="1"/>
  <c r="Q163" i="18"/>
  <c r="Z162" i="18"/>
  <c r="V161" i="19"/>
  <c r="AI161" i="19" s="1"/>
  <c r="I161" i="19" s="1"/>
  <c r="S161" i="22" s="1"/>
  <c r="BX161" i="19" s="1"/>
  <c r="AP162" i="18" s="1"/>
  <c r="L162" i="18" s="1"/>
  <c r="AY161" i="20"/>
  <c r="BI161" i="19"/>
  <c r="Y162" i="18"/>
  <c r="BR162" i="19"/>
  <c r="E162" i="18"/>
  <c r="R162" i="19" s="1"/>
  <c r="E162" i="19" s="1"/>
  <c r="O162" i="22" s="1"/>
  <c r="C162" i="18"/>
  <c r="R163" i="18" s="1"/>
  <c r="M161" i="22"/>
  <c r="BQ161" i="19"/>
  <c r="AH162" i="18" s="1"/>
  <c r="BD162" i="19" s="1"/>
  <c r="Q161" i="19"/>
  <c r="AD161" i="19" s="1"/>
  <c r="D161" i="19" s="1"/>
  <c r="N161" i="22" s="1"/>
  <c r="S162" i="18"/>
  <c r="F111" i="18" l="1"/>
  <c r="N109" i="19"/>
  <c r="U109" i="22" s="1"/>
  <c r="CA109" i="19" s="1"/>
  <c r="AS110" i="18" s="1"/>
  <c r="BB109" i="20"/>
  <c r="Y109" i="19"/>
  <c r="AB110" i="18"/>
  <c r="AC110" i="18"/>
  <c r="AO162" i="18"/>
  <c r="K162" i="18" s="1"/>
  <c r="BE162" i="19"/>
  <c r="BK162" i="19"/>
  <c r="BA162" i="20"/>
  <c r="X162" i="19"/>
  <c r="AK162" i="19" s="1"/>
  <c r="K162" i="19" s="1"/>
  <c r="BP162" i="19"/>
  <c r="AG163" i="18" s="1"/>
  <c r="D162" i="18"/>
  <c r="S163" i="18" s="1"/>
  <c r="AI163" i="18"/>
  <c r="P162" i="19"/>
  <c r="C162" i="19" s="1"/>
  <c r="M162" i="22" s="1"/>
  <c r="BC162" i="19"/>
  <c r="J162" i="18"/>
  <c r="Y163" i="18" s="1"/>
  <c r="B163" i="18"/>
  <c r="O163" i="19" s="1"/>
  <c r="AB163" i="19" s="1"/>
  <c r="B163" i="19" s="1"/>
  <c r="L163" i="22" s="1"/>
  <c r="BO163" i="19" s="1"/>
  <c r="AF164" i="18" s="1"/>
  <c r="BB164" i="19" s="1"/>
  <c r="BF111" i="19" l="1"/>
  <c r="AK112" i="18" s="1"/>
  <c r="S111" i="19"/>
  <c r="AF111" i="19" s="1"/>
  <c r="F111" i="19" s="1"/>
  <c r="BU111" i="19" s="1"/>
  <c r="AL112" i="18" s="1"/>
  <c r="H112" i="18" s="1"/>
  <c r="AU111" i="20"/>
  <c r="U112" i="18"/>
  <c r="V112" i="18"/>
  <c r="BN110" i="19"/>
  <c r="AT111" i="18" s="1"/>
  <c r="O110" i="18"/>
  <c r="AL109" i="19"/>
  <c r="V110" i="22" s="1"/>
  <c r="BZ110" i="19"/>
  <c r="N110" i="18"/>
  <c r="Z163" i="18"/>
  <c r="Q164" i="18"/>
  <c r="BI162" i="19"/>
  <c r="AY162" i="20"/>
  <c r="V162" i="19"/>
  <c r="AI162" i="19" s="1"/>
  <c r="I162" i="19" s="1"/>
  <c r="S162" i="22" s="1"/>
  <c r="BX162" i="19" s="1"/>
  <c r="T163" i="18"/>
  <c r="Q162" i="19"/>
  <c r="AD162" i="19" s="1"/>
  <c r="D162" i="19" s="1"/>
  <c r="N162" i="22" s="1"/>
  <c r="AZ162" i="20"/>
  <c r="BJ162" i="19"/>
  <c r="W162" i="19"/>
  <c r="AJ162" i="19" s="1"/>
  <c r="J162" i="19" s="1"/>
  <c r="BQ162" i="19"/>
  <c r="AH163" i="18" s="1"/>
  <c r="AA163" i="18"/>
  <c r="BP163" i="19"/>
  <c r="AG164" i="18" s="1"/>
  <c r="C163" i="18"/>
  <c r="U112" i="19" l="1"/>
  <c r="AH112" i="19" s="1"/>
  <c r="H112" i="19" s="1"/>
  <c r="R112" i="22" s="1"/>
  <c r="BW112" i="19" s="1"/>
  <c r="BH112" i="19"/>
  <c r="AM113" i="18" s="1"/>
  <c r="AW112" i="20"/>
  <c r="X113" i="18"/>
  <c r="G112" i="18"/>
  <c r="W113" i="18" s="1"/>
  <c r="Z110" i="19"/>
  <c r="M110" i="19" s="1"/>
  <c r="BM110" i="19"/>
  <c r="BC110" i="20"/>
  <c r="L109" i="19"/>
  <c r="T109" i="22" s="1"/>
  <c r="BY109" i="19" s="1"/>
  <c r="AQ110" i="18" s="1"/>
  <c r="AA110" i="19"/>
  <c r="AE111" i="18"/>
  <c r="AD111" i="18"/>
  <c r="AO163" i="18"/>
  <c r="K163" i="18" s="1"/>
  <c r="Z164" i="18" s="1"/>
  <c r="BI163" i="19"/>
  <c r="AY163" i="20"/>
  <c r="V163" i="19"/>
  <c r="AI163" i="19" s="1"/>
  <c r="I163" i="19" s="1"/>
  <c r="S163" i="22" s="1"/>
  <c r="BX163" i="19" s="1"/>
  <c r="Y164" i="18"/>
  <c r="E163" i="18"/>
  <c r="BR163" i="19"/>
  <c r="AP163" i="18"/>
  <c r="L163" i="18" s="1"/>
  <c r="P163" i="19"/>
  <c r="C163" i="19" s="1"/>
  <c r="R164" i="18"/>
  <c r="D163" i="18"/>
  <c r="BD163" i="19"/>
  <c r="BC163" i="19"/>
  <c r="B164" i="18"/>
  <c r="O164" i="19" s="1"/>
  <c r="AB164" i="19" s="1"/>
  <c r="B164" i="19" s="1"/>
  <c r="L164" i="22" s="1"/>
  <c r="I113" i="18" l="1"/>
  <c r="AX113" i="20" s="1"/>
  <c r="BU113" i="19"/>
  <c r="T112" i="19"/>
  <c r="AG112" i="19" s="1"/>
  <c r="G112" i="19" s="1"/>
  <c r="BV112" i="19" s="1"/>
  <c r="AN113" i="18" s="1"/>
  <c r="J113" i="18" s="1"/>
  <c r="BG112" i="19"/>
  <c r="AV112" i="20"/>
  <c r="BL110" i="19"/>
  <c r="AR111" i="18" s="1"/>
  <c r="M110" i="18"/>
  <c r="AI164" i="18"/>
  <c r="P111" i="18"/>
  <c r="AN110" i="19"/>
  <c r="X111" i="22" s="1"/>
  <c r="BS111" i="19" s="1"/>
  <c r="AJ112" i="18" s="1"/>
  <c r="AZ163" i="20"/>
  <c r="T164" i="18"/>
  <c r="BR164" i="19" s="1"/>
  <c r="W163" i="19"/>
  <c r="AJ163" i="19" s="1"/>
  <c r="J163" i="19" s="1"/>
  <c r="Q165" i="18"/>
  <c r="BJ163" i="19"/>
  <c r="AP164" i="18" s="1"/>
  <c r="X163" i="19"/>
  <c r="AK163" i="19" s="1"/>
  <c r="K163" i="19" s="1"/>
  <c r="BK163" i="19"/>
  <c r="BA163" i="20"/>
  <c r="AA164" i="18"/>
  <c r="J164" i="18"/>
  <c r="C164" i="18"/>
  <c r="R165" i="18" s="1"/>
  <c r="BO164" i="19"/>
  <c r="AF165" i="18" s="1"/>
  <c r="BB165" i="19" s="1"/>
  <c r="Q163" i="19"/>
  <c r="AD163" i="19" s="1"/>
  <c r="D163" i="19" s="1"/>
  <c r="N163" i="22" s="1"/>
  <c r="S164" i="18"/>
  <c r="M163" i="22"/>
  <c r="BQ163" i="19"/>
  <c r="AH164" i="18" s="1"/>
  <c r="R163" i="19"/>
  <c r="E163" i="19" s="1"/>
  <c r="O163" i="22" s="1"/>
  <c r="BE163" i="19"/>
  <c r="F112" i="18" l="1"/>
  <c r="N110" i="19"/>
  <c r="U110" i="22" s="1"/>
  <c r="CA110" i="19" s="1"/>
  <c r="AS111" i="18" s="1"/>
  <c r="BB110" i="20"/>
  <c r="Y110" i="19"/>
  <c r="AB111" i="18"/>
  <c r="AC111" i="18"/>
  <c r="E164" i="18"/>
  <c r="R164" i="19" s="1"/>
  <c r="E164" i="19" s="1"/>
  <c r="O164" i="22" s="1"/>
  <c r="B165" i="18"/>
  <c r="O165" i="19" s="1"/>
  <c r="AB165" i="19" s="1"/>
  <c r="B165" i="19" s="1"/>
  <c r="L165" i="22" s="1"/>
  <c r="BO165" i="19" s="1"/>
  <c r="AF166" i="18" s="1"/>
  <c r="BB166" i="19" s="1"/>
  <c r="P164" i="19"/>
  <c r="C164" i="19" s="1"/>
  <c r="M164" i="22" s="1"/>
  <c r="BC164" i="19"/>
  <c r="AY164" i="20"/>
  <c r="V164" i="19"/>
  <c r="AI164" i="19" s="1"/>
  <c r="I164" i="19" s="1"/>
  <c r="S164" i="22" s="1"/>
  <c r="BX164" i="19" s="1"/>
  <c r="BI164" i="19"/>
  <c r="L164" i="18"/>
  <c r="D164" i="18"/>
  <c r="Q164" i="19" s="1"/>
  <c r="AD164" i="19" s="1"/>
  <c r="D164" i="19" s="1"/>
  <c r="N164" i="22" s="1"/>
  <c r="BD164" i="19"/>
  <c r="AI165" i="18" s="1"/>
  <c r="K164" i="18"/>
  <c r="BP164" i="19"/>
  <c r="AG165" i="18" s="1"/>
  <c r="C165" i="18" s="1"/>
  <c r="T165" i="18"/>
  <c r="Y165" i="18"/>
  <c r="U113" i="18" l="1"/>
  <c r="AU112" i="20"/>
  <c r="BF112" i="19"/>
  <c r="AK113" i="18" s="1"/>
  <c r="S112" i="19"/>
  <c r="AF112" i="19" s="1"/>
  <c r="F112" i="19" s="1"/>
  <c r="BU112" i="19" s="1"/>
  <c r="AL113" i="18" s="1"/>
  <c r="H113" i="18" s="1"/>
  <c r="V113" i="18"/>
  <c r="AL110" i="19"/>
  <c r="V111" i="22" s="1"/>
  <c r="BZ111" i="19"/>
  <c r="N111" i="18"/>
  <c r="BN111" i="19"/>
  <c r="AT112" i="18" s="1"/>
  <c r="O111" i="18"/>
  <c r="S165" i="18"/>
  <c r="BQ165" i="19" s="1"/>
  <c r="BE164" i="19"/>
  <c r="AO165" i="18"/>
  <c r="BQ164" i="19"/>
  <c r="AH165" i="18" s="1"/>
  <c r="P165" i="19"/>
  <c r="C165" i="19" s="1"/>
  <c r="M165" i="22" s="1"/>
  <c r="R166" i="18"/>
  <c r="Q166" i="18"/>
  <c r="B166" i="18" s="1"/>
  <c r="O166" i="19" s="1"/>
  <c r="AB166" i="19" s="1"/>
  <c r="B166" i="19" s="1"/>
  <c r="L166" i="22" s="1"/>
  <c r="AA165" i="18"/>
  <c r="BK164" i="19"/>
  <c r="BA164" i="20"/>
  <c r="X164" i="19"/>
  <c r="AK164" i="19" s="1"/>
  <c r="K164" i="19" s="1"/>
  <c r="J165" i="18"/>
  <c r="Y166" i="18" s="1"/>
  <c r="W164" i="19"/>
  <c r="AJ164" i="19" s="1"/>
  <c r="J164" i="19" s="1"/>
  <c r="BJ164" i="19"/>
  <c r="AP165" i="18" s="1"/>
  <c r="AZ164" i="20"/>
  <c r="Z165" i="18"/>
  <c r="BR165" i="19"/>
  <c r="E165" i="18"/>
  <c r="R165" i="19" s="1"/>
  <c r="E165" i="19" s="1"/>
  <c r="O165" i="22" s="1"/>
  <c r="BC165" i="19"/>
  <c r="BP165" i="19" l="1"/>
  <c r="AG166" i="18" s="1"/>
  <c r="G113" i="18"/>
  <c r="D165" i="18"/>
  <c r="Q165" i="19" s="1"/>
  <c r="AD165" i="19" s="1"/>
  <c r="D165" i="19" s="1"/>
  <c r="N165" i="22" s="1"/>
  <c r="BH113" i="19"/>
  <c r="AM114" i="18" s="1"/>
  <c r="U113" i="19"/>
  <c r="AH113" i="19" s="1"/>
  <c r="H113" i="19" s="1"/>
  <c r="R113" i="22" s="1"/>
  <c r="BW113" i="19" s="1"/>
  <c r="AO114" i="18" s="1"/>
  <c r="AW113" i="20"/>
  <c r="X114" i="18"/>
  <c r="BC111" i="20"/>
  <c r="Z111" i="19"/>
  <c r="M111" i="19" s="1"/>
  <c r="BM111" i="19"/>
  <c r="AA111" i="19"/>
  <c r="AE112" i="18"/>
  <c r="AD112" i="18"/>
  <c r="L110" i="19"/>
  <c r="T110" i="22" s="1"/>
  <c r="BY110" i="19" s="1"/>
  <c r="AQ111" i="18" s="1"/>
  <c r="K165" i="18"/>
  <c r="Z166" i="18" s="1"/>
  <c r="BD165" i="19"/>
  <c r="AI166" i="18" s="1"/>
  <c r="C166" i="18"/>
  <c r="P166" i="19" s="1"/>
  <c r="C166" i="19" s="1"/>
  <c r="M166" i="22" s="1"/>
  <c r="BO166" i="19"/>
  <c r="AF167" i="18" s="1"/>
  <c r="BB167" i="19" s="1"/>
  <c r="AH166" i="18"/>
  <c r="BD166" i="19" s="1"/>
  <c r="Q167" i="18"/>
  <c r="BE165" i="19"/>
  <c r="AY165" i="20"/>
  <c r="BI165" i="19"/>
  <c r="V165" i="19"/>
  <c r="AI165" i="19" s="1"/>
  <c r="I165" i="19" s="1"/>
  <c r="S165" i="22" s="1"/>
  <c r="BX165" i="19" s="1"/>
  <c r="L165" i="18"/>
  <c r="T166" i="18"/>
  <c r="S166" i="18" l="1"/>
  <c r="BP166" i="19" s="1"/>
  <c r="AG167" i="18" s="1"/>
  <c r="BG113" i="19"/>
  <c r="AL114" i="18" s="1"/>
  <c r="AV113" i="20"/>
  <c r="T113" i="19"/>
  <c r="AG113" i="19" s="1"/>
  <c r="G113" i="19" s="1"/>
  <c r="BV113" i="19" s="1"/>
  <c r="AN114" i="18" s="1"/>
  <c r="J114" i="18" s="1"/>
  <c r="Y115" i="18" s="1"/>
  <c r="I114" i="18"/>
  <c r="AX114" i="20" s="1"/>
  <c r="W114" i="18"/>
  <c r="BL111" i="19"/>
  <c r="AR112" i="18" s="1"/>
  <c r="M111" i="18"/>
  <c r="P112" i="18"/>
  <c r="AN111" i="19"/>
  <c r="X112" i="22" s="1"/>
  <c r="BS112" i="19" s="1"/>
  <c r="AJ113" i="18" s="1"/>
  <c r="BC166" i="19"/>
  <c r="BJ165" i="19"/>
  <c r="AP166" i="18" s="1"/>
  <c r="AZ165" i="20"/>
  <c r="W165" i="19"/>
  <c r="AJ165" i="19" s="1"/>
  <c r="J165" i="19" s="1"/>
  <c r="AA166" i="18"/>
  <c r="R167" i="18"/>
  <c r="C167" i="18" s="1"/>
  <c r="BQ166" i="19"/>
  <c r="D166" i="18"/>
  <c r="Q166" i="19" s="1"/>
  <c r="AD166" i="19" s="1"/>
  <c r="D166" i="19" s="1"/>
  <c r="N166" i="22" s="1"/>
  <c r="X165" i="19"/>
  <c r="AK165" i="19" s="1"/>
  <c r="K165" i="19" s="1"/>
  <c r="BA165" i="20"/>
  <c r="BK165" i="19"/>
  <c r="E166" i="18"/>
  <c r="R166" i="19" s="1"/>
  <c r="E166" i="19" s="1"/>
  <c r="O166" i="22" s="1"/>
  <c r="BR166" i="19"/>
  <c r="AI167" i="18" s="1"/>
  <c r="B167" i="18"/>
  <c r="O167" i="19" s="1"/>
  <c r="AB167" i="19" s="1"/>
  <c r="B167" i="19" s="1"/>
  <c r="L167" i="22" s="1"/>
  <c r="AO166" i="18"/>
  <c r="K166" i="18" s="1"/>
  <c r="F113" i="18" l="1"/>
  <c r="BU114" i="19"/>
  <c r="H114" i="18"/>
  <c r="X115" i="18"/>
  <c r="N111" i="19"/>
  <c r="U111" i="22" s="1"/>
  <c r="CA111" i="19" s="1"/>
  <c r="AS112" i="18" s="1"/>
  <c r="BB111" i="20"/>
  <c r="Y111" i="19"/>
  <c r="AL111" i="19" s="1"/>
  <c r="AC112" i="18"/>
  <c r="AB112" i="18"/>
  <c r="L166" i="18"/>
  <c r="BK166" i="19" s="1"/>
  <c r="AH167" i="18"/>
  <c r="BD167" i="19" s="1"/>
  <c r="BO167" i="19"/>
  <c r="AF168" i="18" s="1"/>
  <c r="BB168" i="19" s="1"/>
  <c r="S167" i="18"/>
  <c r="BP167" i="19" s="1"/>
  <c r="AG168" i="18" s="1"/>
  <c r="Q168" i="18"/>
  <c r="BE166" i="19"/>
  <c r="T167" i="18"/>
  <c r="E167" i="18" s="1"/>
  <c r="W166" i="19"/>
  <c r="AJ166" i="19" s="1"/>
  <c r="J166" i="19" s="1"/>
  <c r="BJ166" i="19"/>
  <c r="AZ166" i="20"/>
  <c r="AA167" i="18"/>
  <c r="Z167" i="18"/>
  <c r="R168" i="18"/>
  <c r="P167" i="19"/>
  <c r="C167" i="19" s="1"/>
  <c r="M167" i="22" s="1"/>
  <c r="BC167" i="19"/>
  <c r="AY166" i="20"/>
  <c r="V166" i="19"/>
  <c r="AI166" i="19" s="1"/>
  <c r="I166" i="19" s="1"/>
  <c r="S166" i="22" s="1"/>
  <c r="BX166" i="19" s="1"/>
  <c r="BI166" i="19"/>
  <c r="Y167" i="18"/>
  <c r="U114" i="18" l="1"/>
  <c r="BF113" i="19"/>
  <c r="AK114" i="18" s="1"/>
  <c r="S113" i="19"/>
  <c r="AF113" i="19" s="1"/>
  <c r="F113" i="19" s="1"/>
  <c r="AU113" i="20"/>
  <c r="V114" i="18"/>
  <c r="AW114" i="20"/>
  <c r="BH114" i="19"/>
  <c r="AM115" i="18" s="1"/>
  <c r="U114" i="19"/>
  <c r="AH114" i="19" s="1"/>
  <c r="H114" i="19" s="1"/>
  <c r="R114" i="22" s="1"/>
  <c r="BW114" i="19" s="1"/>
  <c r="BA166" i="20"/>
  <c r="N112" i="18"/>
  <c r="BZ112" i="19"/>
  <c r="BN112" i="19"/>
  <c r="AT113" i="18" s="1"/>
  <c r="O112" i="18"/>
  <c r="L111" i="19"/>
  <c r="T111" i="22" s="1"/>
  <c r="BY111" i="19" s="1"/>
  <c r="AQ112" i="18" s="1"/>
  <c r="BL112" i="19" s="1"/>
  <c r="AR113" i="18" s="1"/>
  <c r="V112" i="22"/>
  <c r="X166" i="19"/>
  <c r="AK166" i="19" s="1"/>
  <c r="K166" i="19" s="1"/>
  <c r="D167" i="18"/>
  <c r="Q167" i="19" s="1"/>
  <c r="AD167" i="19" s="1"/>
  <c r="D167" i="19" s="1"/>
  <c r="N167" i="22" s="1"/>
  <c r="B168" i="18"/>
  <c r="O168" i="19" s="1"/>
  <c r="AB168" i="19" s="1"/>
  <c r="B168" i="19" s="1"/>
  <c r="L168" i="22" s="1"/>
  <c r="BR167" i="19"/>
  <c r="AI168" i="18" s="1"/>
  <c r="R167" i="19"/>
  <c r="E167" i="19" s="1"/>
  <c r="O167" i="22" s="1"/>
  <c r="BE167" i="19"/>
  <c r="BO168" i="19"/>
  <c r="AF169" i="18" s="1"/>
  <c r="BB169" i="19" s="1"/>
  <c r="BQ167" i="19"/>
  <c r="AH168" i="18" s="1"/>
  <c r="AP167" i="18"/>
  <c r="L167" i="18" s="1"/>
  <c r="C168" i="18"/>
  <c r="P168" i="19" s="1"/>
  <c r="C168" i="19" s="1"/>
  <c r="M168" i="22" s="1"/>
  <c r="T168" i="18" l="1"/>
  <c r="BR168" i="19" s="1"/>
  <c r="I115" i="18"/>
  <c r="G114" i="18"/>
  <c r="M112" i="18"/>
  <c r="BB112" i="20" s="1"/>
  <c r="Y112" i="19"/>
  <c r="AL112" i="19" s="1"/>
  <c r="L112" i="19" s="1"/>
  <c r="T112" i="22" s="1"/>
  <c r="BY112" i="19" s="1"/>
  <c r="AQ113" i="18" s="1"/>
  <c r="BL113" i="19" s="1"/>
  <c r="BC112" i="20"/>
  <c r="Z112" i="19"/>
  <c r="M112" i="19" s="1"/>
  <c r="BM112" i="19"/>
  <c r="AA112" i="19"/>
  <c r="AD113" i="18"/>
  <c r="AE113" i="18"/>
  <c r="AC113" i="18"/>
  <c r="S168" i="18"/>
  <c r="BP168" i="19" s="1"/>
  <c r="AG169" i="18" s="1"/>
  <c r="Q169" i="18"/>
  <c r="B169" i="18" s="1"/>
  <c r="O169" i="19" s="1"/>
  <c r="AB169" i="19" s="1"/>
  <c r="B169" i="19" s="1"/>
  <c r="L169" i="22" s="1"/>
  <c r="BK167" i="19"/>
  <c r="BA167" i="20"/>
  <c r="X167" i="19"/>
  <c r="AK167" i="19" s="1"/>
  <c r="K167" i="19" s="1"/>
  <c r="AA168" i="18"/>
  <c r="AZ167" i="20"/>
  <c r="W167" i="19"/>
  <c r="AJ167" i="19" s="1"/>
  <c r="J167" i="19" s="1"/>
  <c r="BJ167" i="19"/>
  <c r="Z168" i="18"/>
  <c r="BD168" i="19"/>
  <c r="R169" i="18"/>
  <c r="BC168" i="19"/>
  <c r="BI167" i="19"/>
  <c r="AY167" i="20"/>
  <c r="V167" i="19"/>
  <c r="AI167" i="19" s="1"/>
  <c r="I167" i="19" s="1"/>
  <c r="S167" i="22" s="1"/>
  <c r="BX167" i="19" s="1"/>
  <c r="BQ168" i="19" l="1"/>
  <c r="D168" i="18"/>
  <c r="Q168" i="19" s="1"/>
  <c r="AD168" i="19" s="1"/>
  <c r="D168" i="19" s="1"/>
  <c r="N168" i="22" s="1"/>
  <c r="E168" i="18"/>
  <c r="AX115" i="20"/>
  <c r="AV114" i="20"/>
  <c r="BG114" i="19"/>
  <c r="AL115" i="18" s="1"/>
  <c r="T114" i="19"/>
  <c r="AG114" i="19" s="1"/>
  <c r="G114" i="19" s="1"/>
  <c r="BV114" i="19" s="1"/>
  <c r="AN115" i="18" s="1"/>
  <c r="J115" i="18" s="1"/>
  <c r="W115" i="18"/>
  <c r="AB113" i="18"/>
  <c r="V113" i="22"/>
  <c r="N113" i="18"/>
  <c r="BZ113" i="19"/>
  <c r="AR114" i="18"/>
  <c r="P113" i="18"/>
  <c r="AN112" i="19"/>
  <c r="X113" i="22" s="1"/>
  <c r="BS113" i="19" s="1"/>
  <c r="AJ114" i="18" s="1"/>
  <c r="M113" i="18"/>
  <c r="AB114" i="18" s="1"/>
  <c r="AI169" i="18"/>
  <c r="T169" i="18"/>
  <c r="BR169" i="19" s="1"/>
  <c r="S169" i="18"/>
  <c r="BP169" i="19" s="1"/>
  <c r="AG170" i="18" s="1"/>
  <c r="AH169" i="18"/>
  <c r="BD169" i="19" s="1"/>
  <c r="Q170" i="18"/>
  <c r="BI168" i="19"/>
  <c r="V168" i="19"/>
  <c r="AI168" i="19" s="1"/>
  <c r="I168" i="19" s="1"/>
  <c r="S168" i="22" s="1"/>
  <c r="BX168" i="19" s="1"/>
  <c r="AY168" i="20"/>
  <c r="Y169" i="18"/>
  <c r="BE168" i="19"/>
  <c r="R168" i="19"/>
  <c r="E168" i="19" s="1"/>
  <c r="O168" i="22" s="1"/>
  <c r="AP168" i="18"/>
  <c r="L168" i="18" s="1"/>
  <c r="C169" i="18"/>
  <c r="P169" i="19" s="1"/>
  <c r="C169" i="19" s="1"/>
  <c r="M169" i="22" s="1"/>
  <c r="BO169" i="19"/>
  <c r="AF170" i="18" s="1"/>
  <c r="BB170" i="19" s="1"/>
  <c r="BU115" i="19" l="1"/>
  <c r="H115" i="18"/>
  <c r="F114" i="18"/>
  <c r="N112" i="19"/>
  <c r="U112" i="22" s="1"/>
  <c r="CA112" i="19" s="1"/>
  <c r="AS113" i="18" s="1"/>
  <c r="BN113" i="19" s="1"/>
  <c r="AT114" i="18" s="1"/>
  <c r="BB113" i="20"/>
  <c r="Y113" i="19"/>
  <c r="AC114" i="18"/>
  <c r="Z113" i="19"/>
  <c r="M113" i="19" s="1"/>
  <c r="BC113" i="20"/>
  <c r="BM113" i="19"/>
  <c r="E169" i="18"/>
  <c r="R169" i="19" s="1"/>
  <c r="E169" i="19" s="1"/>
  <c r="O169" i="22" s="1"/>
  <c r="AI170" i="18"/>
  <c r="D169" i="18"/>
  <c r="Q169" i="19" s="1"/>
  <c r="AD169" i="19" s="1"/>
  <c r="D169" i="19" s="1"/>
  <c r="N169" i="22" s="1"/>
  <c r="AA169" i="18"/>
  <c r="BK168" i="19"/>
  <c r="BA168" i="20"/>
  <c r="X168" i="19"/>
  <c r="AK168" i="19" s="1"/>
  <c r="K168" i="19" s="1"/>
  <c r="AZ168" i="20"/>
  <c r="W168" i="19"/>
  <c r="AJ168" i="19" s="1"/>
  <c r="J168" i="19" s="1"/>
  <c r="BJ168" i="19"/>
  <c r="AP169" i="18" s="1"/>
  <c r="Z169" i="18"/>
  <c r="BC169" i="19"/>
  <c r="B170" i="18"/>
  <c r="BQ169" i="19"/>
  <c r="R170" i="18"/>
  <c r="AU114" i="20" l="1"/>
  <c r="S114" i="19"/>
  <c r="AF114" i="19" s="1"/>
  <c r="F114" i="19" s="1"/>
  <c r="BF114" i="19"/>
  <c r="AK115" i="18" s="1"/>
  <c r="U115" i="18"/>
  <c r="V115" i="18"/>
  <c r="BH115" i="19"/>
  <c r="AM116" i="18" s="1"/>
  <c r="U115" i="19"/>
  <c r="AH115" i="19" s="1"/>
  <c r="H115" i="19" s="1"/>
  <c r="R115" i="22" s="1"/>
  <c r="AW115" i="20"/>
  <c r="X116" i="18"/>
  <c r="O113" i="18"/>
  <c r="AD114" i="18" s="1"/>
  <c r="AL113" i="19"/>
  <c r="V114" i="22" s="1"/>
  <c r="BZ114" i="19"/>
  <c r="N114" i="18"/>
  <c r="AA113" i="19"/>
  <c r="AH170" i="18"/>
  <c r="BD170" i="19" s="1"/>
  <c r="BE169" i="19"/>
  <c r="S170" i="18"/>
  <c r="BP170" i="19" s="1"/>
  <c r="AG171" i="18" s="1"/>
  <c r="T170" i="18"/>
  <c r="E170" i="18" s="1"/>
  <c r="AY169" i="20"/>
  <c r="V169" i="19"/>
  <c r="AI169" i="19" s="1"/>
  <c r="I169" i="19" s="1"/>
  <c r="S169" i="22" s="1"/>
  <c r="BX169" i="19" s="1"/>
  <c r="BI169" i="19"/>
  <c r="Y170" i="18"/>
  <c r="C170" i="18"/>
  <c r="O170" i="19"/>
  <c r="AB170" i="19" s="1"/>
  <c r="B170" i="19" s="1"/>
  <c r="L170" i="22" s="1"/>
  <c r="BO170" i="19" s="1"/>
  <c r="AF171" i="18" s="1"/>
  <c r="BB171" i="19" s="1"/>
  <c r="Q171" i="18"/>
  <c r="L169" i="18"/>
  <c r="AE114" i="18" l="1"/>
  <c r="I116" i="18"/>
  <c r="AX116" i="20" s="1"/>
  <c r="G115" i="18"/>
  <c r="Z114" i="19"/>
  <c r="M114" i="19" s="1"/>
  <c r="BC114" i="20"/>
  <c r="BM114" i="19"/>
  <c r="P114" i="18"/>
  <c r="AN113" i="19"/>
  <c r="X114" i="22" s="1"/>
  <c r="BS114" i="19" s="1"/>
  <c r="AJ115" i="18" s="1"/>
  <c r="L113" i="19"/>
  <c r="T113" i="22" s="1"/>
  <c r="BY113" i="19" s="1"/>
  <c r="AQ114" i="18" s="1"/>
  <c r="BR170" i="19"/>
  <c r="AI171" i="18" s="1"/>
  <c r="D170" i="18"/>
  <c r="Q170" i="19" s="1"/>
  <c r="AD170" i="19" s="1"/>
  <c r="D170" i="19" s="1"/>
  <c r="N170" i="22" s="1"/>
  <c r="AA170" i="18"/>
  <c r="R170" i="19"/>
  <c r="E170" i="19" s="1"/>
  <c r="O170" i="22" s="1"/>
  <c r="BE170" i="19"/>
  <c r="BC170" i="19"/>
  <c r="P170" i="19"/>
  <c r="C170" i="19" s="1"/>
  <c r="BK169" i="19"/>
  <c r="BA169" i="20"/>
  <c r="X169" i="19"/>
  <c r="AK169" i="19" s="1"/>
  <c r="K169" i="19" s="1"/>
  <c r="W169" i="19"/>
  <c r="AJ169" i="19" s="1"/>
  <c r="J169" i="19" s="1"/>
  <c r="BJ169" i="19"/>
  <c r="AP170" i="18" s="1"/>
  <c r="AZ169" i="20"/>
  <c r="B171" i="18"/>
  <c r="O171" i="19" s="1"/>
  <c r="AB171" i="19" s="1"/>
  <c r="B171" i="19" s="1"/>
  <c r="L171" i="22" s="1"/>
  <c r="R171" i="18"/>
  <c r="F115" i="18" l="1"/>
  <c r="V116" i="18"/>
  <c r="BG115" i="19"/>
  <c r="AL116" i="18" s="1"/>
  <c r="AV115" i="20"/>
  <c r="T115" i="19"/>
  <c r="AG115" i="19" s="1"/>
  <c r="G115" i="19" s="1"/>
  <c r="BV115" i="19" s="1"/>
  <c r="AN116" i="18" s="1"/>
  <c r="W116" i="18"/>
  <c r="BL114" i="19"/>
  <c r="AR115" i="18" s="1"/>
  <c r="M114" i="18"/>
  <c r="N113" i="19"/>
  <c r="U113" i="22" s="1"/>
  <c r="CA113" i="19" s="1"/>
  <c r="AS114" i="18" s="1"/>
  <c r="T171" i="18"/>
  <c r="BR171" i="19" s="1"/>
  <c r="S171" i="18"/>
  <c r="BP171" i="19" s="1"/>
  <c r="AG172" i="18" s="1"/>
  <c r="BO171" i="19"/>
  <c r="AF172" i="18" s="1"/>
  <c r="BB172" i="19" s="1"/>
  <c r="Q172" i="18"/>
  <c r="W170" i="19"/>
  <c r="AJ170" i="19" s="1"/>
  <c r="J170" i="19" s="1"/>
  <c r="AZ170" i="20"/>
  <c r="BJ170" i="19"/>
  <c r="Z171" i="18"/>
  <c r="M170" i="22"/>
  <c r="BQ170" i="19"/>
  <c r="AH171" i="18" s="1"/>
  <c r="L170" i="18"/>
  <c r="BI170" i="19"/>
  <c r="AY170" i="20"/>
  <c r="V170" i="19"/>
  <c r="AI170" i="19" s="1"/>
  <c r="I170" i="19" s="1"/>
  <c r="S170" i="22" s="1"/>
  <c r="BX170" i="19" s="1"/>
  <c r="C171" i="18"/>
  <c r="BU116" i="19" l="1"/>
  <c r="H116" i="18"/>
  <c r="AU115" i="20"/>
  <c r="S115" i="19"/>
  <c r="AF115" i="19" s="1"/>
  <c r="F115" i="19" s="1"/>
  <c r="BF115" i="19"/>
  <c r="AK116" i="18" s="1"/>
  <c r="U116" i="18"/>
  <c r="BN114" i="19"/>
  <c r="AT115" i="18" s="1"/>
  <c r="O114" i="18"/>
  <c r="BB114" i="20"/>
  <c r="Y114" i="19"/>
  <c r="AB115" i="18"/>
  <c r="AC115" i="18"/>
  <c r="E171" i="18"/>
  <c r="B172" i="18"/>
  <c r="O172" i="19" s="1"/>
  <c r="AB172" i="19" s="1"/>
  <c r="B172" i="19" s="1"/>
  <c r="L172" i="22" s="1"/>
  <c r="AP171" i="18"/>
  <c r="Y172" i="18"/>
  <c r="AY171" i="20"/>
  <c r="V171" i="19"/>
  <c r="AI171" i="19" s="1"/>
  <c r="I171" i="19" s="1"/>
  <c r="S171" i="22" s="1"/>
  <c r="BI171" i="19"/>
  <c r="R172" i="18"/>
  <c r="BO172" i="19" s="1"/>
  <c r="AF173" i="18" s="1"/>
  <c r="P171" i="19"/>
  <c r="C171" i="19" s="1"/>
  <c r="BC171" i="19"/>
  <c r="BA170" i="20"/>
  <c r="X170" i="19"/>
  <c r="AK170" i="19" s="1"/>
  <c r="K170" i="19" s="1"/>
  <c r="BK170" i="19"/>
  <c r="AA171" i="18"/>
  <c r="BD171" i="19"/>
  <c r="AI172" i="18" s="1"/>
  <c r="D171" i="18"/>
  <c r="G116" i="18" l="1"/>
  <c r="W117" i="18" s="1"/>
  <c r="AW116" i="20"/>
  <c r="BH116" i="19"/>
  <c r="AM117" i="18" s="1"/>
  <c r="U116" i="19"/>
  <c r="AH116" i="19" s="1"/>
  <c r="H116" i="19" s="1"/>
  <c r="R116" i="22" s="1"/>
  <c r="BW116" i="19" s="1"/>
  <c r="X117" i="18"/>
  <c r="AL114" i="19"/>
  <c r="V115" i="22" s="1"/>
  <c r="N115" i="18"/>
  <c r="BZ115" i="19"/>
  <c r="AA114" i="19"/>
  <c r="AD115" i="18"/>
  <c r="AE115" i="18"/>
  <c r="T172" i="18"/>
  <c r="BR172" i="19" s="1"/>
  <c r="BE171" i="19"/>
  <c r="R171" i="19"/>
  <c r="E171" i="19" s="1"/>
  <c r="O171" i="22" s="1"/>
  <c r="Q173" i="18"/>
  <c r="B173" i="18" s="1"/>
  <c r="O173" i="19" s="1"/>
  <c r="AB173" i="19" s="1"/>
  <c r="B173" i="19" s="1"/>
  <c r="L173" i="22" s="1"/>
  <c r="BX171" i="19"/>
  <c r="BB173" i="19"/>
  <c r="W171" i="19"/>
  <c r="AJ171" i="19" s="1"/>
  <c r="J171" i="19" s="1"/>
  <c r="AZ171" i="20"/>
  <c r="BJ171" i="19"/>
  <c r="Z172" i="18"/>
  <c r="L171" i="18"/>
  <c r="AA172" i="18" s="1"/>
  <c r="C172" i="18"/>
  <c r="R173" i="18" s="1"/>
  <c r="J172" i="18"/>
  <c r="Y173" i="18" s="1"/>
  <c r="M171" i="22"/>
  <c r="BQ171" i="19"/>
  <c r="AH172" i="18" s="1"/>
  <c r="BD172" i="19" s="1"/>
  <c r="Q171" i="19"/>
  <c r="AD171" i="19" s="1"/>
  <c r="D171" i="19" s="1"/>
  <c r="N171" i="22" s="1"/>
  <c r="S172" i="18"/>
  <c r="I117" i="18" l="1"/>
  <c r="AX117" i="20" s="1"/>
  <c r="BG116" i="19"/>
  <c r="AL117" i="18" s="1"/>
  <c r="AV116" i="20"/>
  <c r="T116" i="19"/>
  <c r="AG116" i="19" s="1"/>
  <c r="G116" i="19" s="1"/>
  <c r="BV116" i="19" s="1"/>
  <c r="AN117" i="18" s="1"/>
  <c r="E172" i="18"/>
  <c r="R172" i="19" s="1"/>
  <c r="E172" i="19" s="1"/>
  <c r="O172" i="22" s="1"/>
  <c r="P115" i="18"/>
  <c r="Z115" i="19"/>
  <c r="M115" i="19" s="1"/>
  <c r="BM115" i="19"/>
  <c r="BC115" i="20"/>
  <c r="AN114" i="19"/>
  <c r="X115" i="22" s="1"/>
  <c r="BS115" i="19" s="1"/>
  <c r="AJ116" i="18" s="1"/>
  <c r="L114" i="19"/>
  <c r="T114" i="22" s="1"/>
  <c r="BY114" i="19" s="1"/>
  <c r="AQ115" i="18" s="1"/>
  <c r="AP172" i="18"/>
  <c r="L172" i="18" s="1"/>
  <c r="Q174" i="18"/>
  <c r="BE172" i="19"/>
  <c r="BO173" i="19"/>
  <c r="AF174" i="18" s="1"/>
  <c r="BB174" i="19" s="1"/>
  <c r="BP172" i="19"/>
  <c r="AG173" i="18" s="1"/>
  <c r="D172" i="18"/>
  <c r="S173" i="18" s="1"/>
  <c r="BI172" i="19"/>
  <c r="V172" i="19"/>
  <c r="AI172" i="19" s="1"/>
  <c r="I172" i="19" s="1"/>
  <c r="S172" i="22" s="1"/>
  <c r="BX172" i="19" s="1"/>
  <c r="AY172" i="20"/>
  <c r="P172" i="19"/>
  <c r="C172" i="19" s="1"/>
  <c r="M172" i="22" s="1"/>
  <c r="BC172" i="19"/>
  <c r="BK171" i="19"/>
  <c r="X171" i="19"/>
  <c r="AK171" i="19" s="1"/>
  <c r="K171" i="19" s="1"/>
  <c r="BA171" i="20"/>
  <c r="AI173" i="18"/>
  <c r="N114" i="19" l="1"/>
  <c r="U114" i="22" s="1"/>
  <c r="CA114" i="19" s="1"/>
  <c r="AS115" i="18" s="1"/>
  <c r="BN115" i="19" s="1"/>
  <c r="AT116" i="18" s="1"/>
  <c r="F116" i="18"/>
  <c r="H117" i="18"/>
  <c r="BL115" i="19"/>
  <c r="AR116" i="18" s="1"/>
  <c r="M115" i="18"/>
  <c r="BJ172" i="19"/>
  <c r="AP173" i="18" s="1"/>
  <c r="W172" i="19"/>
  <c r="AJ172" i="19" s="1"/>
  <c r="J172" i="19" s="1"/>
  <c r="AZ172" i="20"/>
  <c r="Z173" i="18"/>
  <c r="AA173" i="18"/>
  <c r="BQ172" i="19"/>
  <c r="AH173" i="18" s="1"/>
  <c r="Y174" i="18"/>
  <c r="V173" i="19"/>
  <c r="AI173" i="19" s="1"/>
  <c r="I173" i="19" s="1"/>
  <c r="S173" i="22" s="1"/>
  <c r="BI173" i="19"/>
  <c r="AY173" i="20"/>
  <c r="BP173" i="19"/>
  <c r="AG174" i="18" s="1"/>
  <c r="Q172" i="19"/>
  <c r="AD172" i="19" s="1"/>
  <c r="D172" i="19" s="1"/>
  <c r="N172" i="22" s="1"/>
  <c r="T173" i="18"/>
  <c r="B174" i="18"/>
  <c r="C173" i="18"/>
  <c r="BC173" i="19" s="1"/>
  <c r="X172" i="19"/>
  <c r="AK172" i="19" s="1"/>
  <c r="K172" i="19" s="1"/>
  <c r="BK172" i="19"/>
  <c r="BA172" i="20"/>
  <c r="O115" i="18" l="1"/>
  <c r="BH117" i="19"/>
  <c r="AM118" i="18" s="1"/>
  <c r="AW117" i="20"/>
  <c r="U117" i="19"/>
  <c r="AH117" i="19" s="1"/>
  <c r="H117" i="19" s="1"/>
  <c r="R117" i="22" s="1"/>
  <c r="X118" i="18"/>
  <c r="BF116" i="19"/>
  <c r="AK117" i="18" s="1"/>
  <c r="AU116" i="20"/>
  <c r="S116" i="19"/>
  <c r="AF116" i="19" s="1"/>
  <c r="F116" i="19" s="1"/>
  <c r="U117" i="18"/>
  <c r="V117" i="18"/>
  <c r="Y115" i="19"/>
  <c r="AL115" i="19" s="1"/>
  <c r="BB115" i="20"/>
  <c r="AB116" i="18"/>
  <c r="AC116" i="18"/>
  <c r="BX173" i="19"/>
  <c r="O174" i="19"/>
  <c r="AB174" i="19" s="1"/>
  <c r="B174" i="19" s="1"/>
  <c r="L174" i="22" s="1"/>
  <c r="Q175" i="18"/>
  <c r="BD173" i="19"/>
  <c r="K173" i="18"/>
  <c r="Z174" i="18" s="1"/>
  <c r="BR173" i="19"/>
  <c r="E173" i="18"/>
  <c r="P173" i="19"/>
  <c r="C173" i="19" s="1"/>
  <c r="R174" i="18"/>
  <c r="D173" i="18"/>
  <c r="L173" i="18"/>
  <c r="G117" i="18" l="1"/>
  <c r="I118" i="18"/>
  <c r="AX118" i="20" s="1"/>
  <c r="AA115" i="19"/>
  <c r="AD116" i="18"/>
  <c r="AE116" i="18"/>
  <c r="P116" i="18" s="1"/>
  <c r="BZ116" i="19"/>
  <c r="N116" i="18"/>
  <c r="L115" i="19"/>
  <c r="T115" i="22" s="1"/>
  <c r="BY115" i="19" s="1"/>
  <c r="AQ116" i="18" s="1"/>
  <c r="BL116" i="19" s="1"/>
  <c r="AR117" i="18" s="1"/>
  <c r="V116" i="22"/>
  <c r="AA174" i="18"/>
  <c r="AI174" i="18"/>
  <c r="BI174" i="19"/>
  <c r="V174" i="19"/>
  <c r="AI174" i="19" s="1"/>
  <c r="I174" i="19" s="1"/>
  <c r="S174" i="22" s="1"/>
  <c r="BX174" i="19" s="1"/>
  <c r="AY174" i="20"/>
  <c r="Y175" i="18"/>
  <c r="C174" i="18"/>
  <c r="R175" i="18" s="1"/>
  <c r="BO174" i="19"/>
  <c r="AF175" i="18" s="1"/>
  <c r="BB175" i="19" s="1"/>
  <c r="M173" i="22"/>
  <c r="BQ173" i="19"/>
  <c r="AH174" i="18" s="1"/>
  <c r="BD174" i="19" s="1"/>
  <c r="BK173" i="19"/>
  <c r="X173" i="19"/>
  <c r="AK173" i="19" s="1"/>
  <c r="K173" i="19" s="1"/>
  <c r="BA173" i="20"/>
  <c r="Q173" i="19"/>
  <c r="AD173" i="19" s="1"/>
  <c r="D173" i="19" s="1"/>
  <c r="N173" i="22" s="1"/>
  <c r="S174" i="18"/>
  <c r="R173" i="19"/>
  <c r="E173" i="19" s="1"/>
  <c r="O173" i="22" s="1"/>
  <c r="BE173" i="19"/>
  <c r="K174" i="18"/>
  <c r="T174" i="18"/>
  <c r="BJ173" i="19"/>
  <c r="AP174" i="18" s="1"/>
  <c r="AZ173" i="20"/>
  <c r="W173" i="19"/>
  <c r="AJ173" i="19" s="1"/>
  <c r="J173" i="19" s="1"/>
  <c r="AN115" i="19" l="1"/>
  <c r="X116" i="22" s="1"/>
  <c r="BS116" i="19" s="1"/>
  <c r="AJ117" i="18" s="1"/>
  <c r="AV117" i="20"/>
  <c r="T117" i="19"/>
  <c r="AG117" i="19" s="1"/>
  <c r="G117" i="19" s="1"/>
  <c r="BV117" i="19" s="1"/>
  <c r="AN118" i="18" s="1"/>
  <c r="BG117" i="19"/>
  <c r="W118" i="18"/>
  <c r="BC116" i="20"/>
  <c r="BM116" i="19"/>
  <c r="Z116" i="19"/>
  <c r="M116" i="19" s="1"/>
  <c r="M116" i="18"/>
  <c r="AO175" i="18"/>
  <c r="B175" i="18"/>
  <c r="AZ174" i="20"/>
  <c r="W174" i="19"/>
  <c r="AJ174" i="19" s="1"/>
  <c r="J174" i="19" s="1"/>
  <c r="BJ174" i="19"/>
  <c r="AP175" i="18" s="1"/>
  <c r="E174" i="18"/>
  <c r="BR174" i="19"/>
  <c r="AI175" i="18" s="1"/>
  <c r="D174" i="18"/>
  <c r="Q174" i="19" s="1"/>
  <c r="AD174" i="19" s="1"/>
  <c r="D174" i="19" s="1"/>
  <c r="N174" i="22" s="1"/>
  <c r="BP174" i="19"/>
  <c r="AG175" i="18" s="1"/>
  <c r="L174" i="18"/>
  <c r="Z175" i="18"/>
  <c r="P174" i="19"/>
  <c r="C174" i="19" s="1"/>
  <c r="M174" i="22" s="1"/>
  <c r="BC174" i="19"/>
  <c r="N115" i="19" l="1"/>
  <c r="U115" i="22" s="1"/>
  <c r="CA115" i="19" s="1"/>
  <c r="AS116" i="18" s="1"/>
  <c r="BN116" i="19" s="1"/>
  <c r="AT117" i="18" s="1"/>
  <c r="F117" i="18"/>
  <c r="AC117" i="18"/>
  <c r="Y116" i="19"/>
  <c r="BB116" i="20"/>
  <c r="AB117" i="18"/>
  <c r="O175" i="19"/>
  <c r="AB175" i="19" s="1"/>
  <c r="B175" i="19" s="1"/>
  <c r="L175" i="22" s="1"/>
  <c r="BO175" i="19" s="1"/>
  <c r="AF176" i="18" s="1"/>
  <c r="BB176" i="19" s="1"/>
  <c r="Q176" i="18"/>
  <c r="BK174" i="19"/>
  <c r="BA174" i="20"/>
  <c r="X174" i="19"/>
  <c r="AK174" i="19" s="1"/>
  <c r="K174" i="19" s="1"/>
  <c r="AA175" i="18"/>
  <c r="L175" i="18" s="1"/>
  <c r="K175" i="18"/>
  <c r="BQ174" i="19"/>
  <c r="AH175" i="18" s="1"/>
  <c r="R174" i="19"/>
  <c r="E174" i="19" s="1"/>
  <c r="O174" i="22" s="1"/>
  <c r="BE174" i="19"/>
  <c r="S175" i="18"/>
  <c r="T175" i="18"/>
  <c r="C175" i="18"/>
  <c r="O116" i="18" l="1"/>
  <c r="AA116" i="19" s="1"/>
  <c r="AN116" i="19" s="1"/>
  <c r="X117" i="22" s="1"/>
  <c r="BS117" i="19" s="1"/>
  <c r="AJ118" i="18" s="1"/>
  <c r="AE117" i="18"/>
  <c r="P117" i="18" s="1"/>
  <c r="AU117" i="20"/>
  <c r="BF117" i="19"/>
  <c r="AK118" i="18" s="1"/>
  <c r="G118" i="18" s="1"/>
  <c r="S117" i="19"/>
  <c r="AF117" i="19" s="1"/>
  <c r="F117" i="19" s="1"/>
  <c r="BU117" i="19" s="1"/>
  <c r="AL118" i="18" s="1"/>
  <c r="H118" i="18" s="1"/>
  <c r="U118" i="18"/>
  <c r="V118" i="18"/>
  <c r="AL116" i="19"/>
  <c r="V117" i="22" s="1"/>
  <c r="BZ117" i="19"/>
  <c r="N117" i="18"/>
  <c r="Z176" i="18"/>
  <c r="B176" i="18"/>
  <c r="BD175" i="19"/>
  <c r="AY175" i="20"/>
  <c r="V175" i="19"/>
  <c r="AI175" i="19" s="1"/>
  <c r="I175" i="19" s="1"/>
  <c r="S175" i="22" s="1"/>
  <c r="BX175" i="19" s="1"/>
  <c r="BI175" i="19"/>
  <c r="Y176" i="18"/>
  <c r="BK175" i="19"/>
  <c r="X175" i="19"/>
  <c r="AK175" i="19" s="1"/>
  <c r="K175" i="19" s="1"/>
  <c r="BA175" i="20"/>
  <c r="P175" i="19"/>
  <c r="C175" i="19" s="1"/>
  <c r="M175" i="22" s="1"/>
  <c r="R176" i="18"/>
  <c r="BC175" i="19"/>
  <c r="BP175" i="19"/>
  <c r="AG176" i="18" s="1"/>
  <c r="D175" i="18"/>
  <c r="E175" i="18"/>
  <c r="BR175" i="19"/>
  <c r="AA176" i="18"/>
  <c r="AZ175" i="20"/>
  <c r="BJ175" i="19"/>
  <c r="W175" i="19"/>
  <c r="AJ175" i="19" s="1"/>
  <c r="J175" i="19" s="1"/>
  <c r="AD117" i="18" l="1"/>
  <c r="F118" i="18"/>
  <c r="N116" i="19"/>
  <c r="U116" i="22" s="1"/>
  <c r="CA116" i="19" s="1"/>
  <c r="AS117" i="18" s="1"/>
  <c r="BN117" i="19" s="1"/>
  <c r="AT118" i="18" s="1"/>
  <c r="AW118" i="20"/>
  <c r="U118" i="19"/>
  <c r="AH118" i="19" s="1"/>
  <c r="H118" i="19" s="1"/>
  <c r="R118" i="22" s="1"/>
  <c r="BH118" i="19"/>
  <c r="AM119" i="18" s="1"/>
  <c r="X119" i="18"/>
  <c r="W119" i="18"/>
  <c r="V119" i="18"/>
  <c r="AV118" i="20"/>
  <c r="BG118" i="19"/>
  <c r="T118" i="19"/>
  <c r="AG118" i="19" s="1"/>
  <c r="G118" i="19" s="1"/>
  <c r="BV118" i="19" s="1"/>
  <c r="AN119" i="18" s="1"/>
  <c r="U119" i="18"/>
  <c r="S118" i="19"/>
  <c r="AF118" i="19" s="1"/>
  <c r="F118" i="19" s="1"/>
  <c r="BU118" i="19" s="1"/>
  <c r="AU118" i="20"/>
  <c r="BF118" i="19"/>
  <c r="AK119" i="18" s="1"/>
  <c r="L116" i="19"/>
  <c r="T116" i="22" s="1"/>
  <c r="BY116" i="19" s="1"/>
  <c r="AQ117" i="18" s="1"/>
  <c r="BC117" i="20"/>
  <c r="BM117" i="19"/>
  <c r="Z117" i="19"/>
  <c r="M117" i="19" s="1"/>
  <c r="AP176" i="18"/>
  <c r="L176" i="18" s="1"/>
  <c r="T176" i="18"/>
  <c r="BR176" i="19" s="1"/>
  <c r="O176" i="19"/>
  <c r="AB176" i="19" s="1"/>
  <c r="B176" i="19" s="1"/>
  <c r="L176" i="22" s="1"/>
  <c r="Q177" i="18"/>
  <c r="BQ175" i="19"/>
  <c r="AH176" i="18" s="1"/>
  <c r="BD176" i="19" s="1"/>
  <c r="AI176" i="18"/>
  <c r="C176" i="18"/>
  <c r="R177" i="18" s="1"/>
  <c r="BO176" i="19"/>
  <c r="AF177" i="18" s="1"/>
  <c r="R175" i="19"/>
  <c r="E175" i="19" s="1"/>
  <c r="O175" i="22" s="1"/>
  <c r="BE175" i="19"/>
  <c r="S176" i="18"/>
  <c r="Q175" i="19"/>
  <c r="AD175" i="19" s="1"/>
  <c r="D175" i="19" s="1"/>
  <c r="N175" i="22" s="1"/>
  <c r="O117" i="18" l="1"/>
  <c r="AA117" i="19" s="1"/>
  <c r="AL119" i="18"/>
  <c r="H119" i="18" s="1"/>
  <c r="I119" i="18"/>
  <c r="AX119" i="20" s="1"/>
  <c r="G119" i="18"/>
  <c r="BL117" i="19"/>
  <c r="AR118" i="18" s="1"/>
  <c r="M117" i="18"/>
  <c r="AN117" i="19"/>
  <c r="X118" i="22" s="1"/>
  <c r="BS118" i="19" s="1"/>
  <c r="AJ119" i="18" s="1"/>
  <c r="BK176" i="19"/>
  <c r="BA176" i="20"/>
  <c r="E176" i="18"/>
  <c r="R176" i="19" s="1"/>
  <c r="E176" i="19" s="1"/>
  <c r="O176" i="22" s="1"/>
  <c r="X176" i="19"/>
  <c r="AK176" i="19" s="1"/>
  <c r="K176" i="19" s="1"/>
  <c r="D176" i="18"/>
  <c r="Q176" i="19" s="1"/>
  <c r="AD176" i="19" s="1"/>
  <c r="D176" i="19" s="1"/>
  <c r="N176" i="22" s="1"/>
  <c r="BP176" i="19"/>
  <c r="AG177" i="18" s="1"/>
  <c r="C177" i="18" s="1"/>
  <c r="P177" i="19" s="1"/>
  <c r="C177" i="19" s="1"/>
  <c r="M177" i="22" s="1"/>
  <c r="BC176" i="19"/>
  <c r="P176" i="19"/>
  <c r="C176" i="19" s="1"/>
  <c r="M176" i="22" s="1"/>
  <c r="W176" i="19"/>
  <c r="AJ176" i="19" s="1"/>
  <c r="J176" i="19" s="1"/>
  <c r="BJ176" i="19"/>
  <c r="AZ176" i="20"/>
  <c r="AA177" i="18"/>
  <c r="BB177" i="19"/>
  <c r="B177" i="18"/>
  <c r="AI177" i="18"/>
  <c r="AD118" i="18" l="1"/>
  <c r="AE118" i="18"/>
  <c r="P118" i="18" s="1"/>
  <c r="AW119" i="20"/>
  <c r="BH119" i="19"/>
  <c r="AM120" i="18" s="1"/>
  <c r="U119" i="19"/>
  <c r="AH119" i="19" s="1"/>
  <c r="H119" i="19" s="1"/>
  <c r="R119" i="22" s="1"/>
  <c r="X120" i="18"/>
  <c r="W120" i="18"/>
  <c r="AV119" i="20"/>
  <c r="BG119" i="19"/>
  <c r="T119" i="19"/>
  <c r="AG119" i="19" s="1"/>
  <c r="G119" i="19" s="1"/>
  <c r="BV119" i="19" s="1"/>
  <c r="AN120" i="18" s="1"/>
  <c r="F119" i="18"/>
  <c r="V120" i="18" s="1"/>
  <c r="BB117" i="20"/>
  <c r="Y117" i="19"/>
  <c r="AC118" i="18"/>
  <c r="AB118" i="18"/>
  <c r="N117" i="19"/>
  <c r="U117" i="22" s="1"/>
  <c r="CA117" i="19" s="1"/>
  <c r="AS118" i="18" s="1"/>
  <c r="BE176" i="19"/>
  <c r="R178" i="18"/>
  <c r="S177" i="18"/>
  <c r="BP177" i="19" s="1"/>
  <c r="AG178" i="18" s="1"/>
  <c r="T177" i="18"/>
  <c r="E177" i="18" s="1"/>
  <c r="R177" i="19" s="1"/>
  <c r="E177" i="19" s="1"/>
  <c r="O177" i="22" s="1"/>
  <c r="BQ176" i="19"/>
  <c r="AH177" i="18" s="1"/>
  <c r="BD177" i="19" s="1"/>
  <c r="BC177" i="19"/>
  <c r="O177" i="19"/>
  <c r="AB177" i="19" s="1"/>
  <c r="B177" i="19" s="1"/>
  <c r="L177" i="22" s="1"/>
  <c r="BO177" i="19" s="1"/>
  <c r="AF178" i="18" s="1"/>
  <c r="BB178" i="19" s="1"/>
  <c r="Q178" i="18"/>
  <c r="AY176" i="20"/>
  <c r="BI176" i="19"/>
  <c r="V176" i="19"/>
  <c r="AI176" i="19" s="1"/>
  <c r="I176" i="19" s="1"/>
  <c r="S176" i="22" s="1"/>
  <c r="BX176" i="19" s="1"/>
  <c r="AP177" i="18" s="1"/>
  <c r="Y177" i="18"/>
  <c r="BF119" i="19" l="1"/>
  <c r="AK120" i="18" s="1"/>
  <c r="S119" i="19"/>
  <c r="AF119" i="19" s="1"/>
  <c r="F119" i="19" s="1"/>
  <c r="BU119" i="19" s="1"/>
  <c r="AL120" i="18" s="1"/>
  <c r="AU119" i="20"/>
  <c r="U120" i="18"/>
  <c r="I120" i="18"/>
  <c r="AX120" i="20" s="1"/>
  <c r="BZ118" i="19"/>
  <c r="N118" i="18"/>
  <c r="AL117" i="19"/>
  <c r="V118" i="22" s="1"/>
  <c r="L117" i="19"/>
  <c r="T117" i="22" s="1"/>
  <c r="BY117" i="19" s="1"/>
  <c r="AQ118" i="18" s="1"/>
  <c r="BN118" i="19"/>
  <c r="AT119" i="18" s="1"/>
  <c r="O118" i="18"/>
  <c r="BR177" i="19"/>
  <c r="AI178" i="18" s="1"/>
  <c r="C178" i="18"/>
  <c r="P178" i="19" s="1"/>
  <c r="C178" i="19" s="1"/>
  <c r="M178" i="22" s="1"/>
  <c r="BQ177" i="19"/>
  <c r="AH178" i="18" s="1"/>
  <c r="BD178" i="19" s="1"/>
  <c r="BE177" i="19"/>
  <c r="D177" i="18"/>
  <c r="Q177" i="19" s="1"/>
  <c r="AD177" i="19" s="1"/>
  <c r="D177" i="19" s="1"/>
  <c r="N177" i="22" s="1"/>
  <c r="L177" i="18"/>
  <c r="B178" i="18"/>
  <c r="O178" i="19" s="1"/>
  <c r="AB178" i="19" s="1"/>
  <c r="B178" i="19" s="1"/>
  <c r="L178" i="22" s="1"/>
  <c r="BO178" i="19" s="1"/>
  <c r="AF179" i="18" s="1"/>
  <c r="BB179" i="19" s="1"/>
  <c r="H120" i="18" l="1"/>
  <c r="X121" i="18" s="1"/>
  <c r="G120" i="18"/>
  <c r="BL118" i="19"/>
  <c r="AR119" i="18" s="1"/>
  <c r="M118" i="18"/>
  <c r="BM118" i="19"/>
  <c r="BC118" i="20"/>
  <c r="Z118" i="19"/>
  <c r="M118" i="19" s="1"/>
  <c r="AA118" i="19"/>
  <c r="AD119" i="18"/>
  <c r="AE119" i="18"/>
  <c r="P119" i="18" s="1"/>
  <c r="S178" i="18"/>
  <c r="BQ178" i="19" s="1"/>
  <c r="T178" i="18"/>
  <c r="BC178" i="19"/>
  <c r="AA178" i="18"/>
  <c r="AZ177" i="20"/>
  <c r="BJ177" i="19"/>
  <c r="W177" i="19"/>
  <c r="AJ177" i="19" s="1"/>
  <c r="J177" i="19" s="1"/>
  <c r="Z178" i="18"/>
  <c r="AY177" i="20"/>
  <c r="V177" i="19"/>
  <c r="AI177" i="19" s="1"/>
  <c r="I177" i="19" s="1"/>
  <c r="S177" i="22" s="1"/>
  <c r="BX177" i="19" s="1"/>
  <c r="BI177" i="19"/>
  <c r="Y178" i="18"/>
  <c r="R179" i="18"/>
  <c r="E178" i="18"/>
  <c r="BR178" i="19"/>
  <c r="AI179" i="18" s="1"/>
  <c r="Q179" i="18"/>
  <c r="BA177" i="20"/>
  <c r="BK177" i="19"/>
  <c r="X177" i="19"/>
  <c r="AK177" i="19" s="1"/>
  <c r="K177" i="19" s="1"/>
  <c r="BG120" i="19" l="1"/>
  <c r="T120" i="19"/>
  <c r="AG120" i="19" s="1"/>
  <c r="G120" i="19" s="1"/>
  <c r="BV120" i="19" s="1"/>
  <c r="AN121" i="18" s="1"/>
  <c r="J121" i="18" s="1"/>
  <c r="AV120" i="20"/>
  <c r="I121" i="18"/>
  <c r="AX121" i="20" s="1"/>
  <c r="AW120" i="20"/>
  <c r="BH120" i="19"/>
  <c r="AM121" i="18" s="1"/>
  <c r="U120" i="19"/>
  <c r="AH120" i="19" s="1"/>
  <c r="H120" i="19" s="1"/>
  <c r="R120" i="22" s="1"/>
  <c r="W121" i="18"/>
  <c r="AH179" i="18"/>
  <c r="BD179" i="19" s="1"/>
  <c r="Y118" i="19"/>
  <c r="AL118" i="19" s="1"/>
  <c r="V119" i="22" s="1"/>
  <c r="BB118" i="20"/>
  <c r="AC119" i="18"/>
  <c r="AB119" i="18"/>
  <c r="D178" i="18"/>
  <c r="Q178" i="19" s="1"/>
  <c r="AD178" i="19" s="1"/>
  <c r="D178" i="19" s="1"/>
  <c r="N178" i="22" s="1"/>
  <c r="AN118" i="19"/>
  <c r="X119" i="22" s="1"/>
  <c r="BS119" i="19" s="1"/>
  <c r="AJ120" i="18" s="1"/>
  <c r="BP178" i="19"/>
  <c r="AG179" i="18" s="1"/>
  <c r="C179" i="18" s="1"/>
  <c r="P179" i="19" s="1"/>
  <c r="C179" i="19" s="1"/>
  <c r="M179" i="22" s="1"/>
  <c r="L118" i="19"/>
  <c r="T118" i="22" s="1"/>
  <c r="BY118" i="19" s="1"/>
  <c r="AQ119" i="18" s="1"/>
  <c r="S179" i="18"/>
  <c r="T179" i="18"/>
  <c r="BR179" i="19" s="1"/>
  <c r="AP178" i="18"/>
  <c r="L178" i="18" s="1"/>
  <c r="B179" i="18"/>
  <c r="O179" i="19" s="1"/>
  <c r="AB179" i="19" s="1"/>
  <c r="B179" i="19" s="1"/>
  <c r="L179" i="22" s="1"/>
  <c r="BO179" i="19" s="1"/>
  <c r="AF180" i="18" s="1"/>
  <c r="BB180" i="19" s="1"/>
  <c r="R178" i="19"/>
  <c r="E178" i="19" s="1"/>
  <c r="O178" i="22" s="1"/>
  <c r="BE178" i="19"/>
  <c r="J178" i="18"/>
  <c r="Y179" i="18" s="1"/>
  <c r="D179" i="18" l="1"/>
  <c r="Q179" i="19" s="1"/>
  <c r="AD179" i="19" s="1"/>
  <c r="D179" i="19" s="1"/>
  <c r="N179" i="22" s="1"/>
  <c r="F120" i="18"/>
  <c r="BZ119" i="19"/>
  <c r="N119" i="18"/>
  <c r="BL119" i="19"/>
  <c r="AR120" i="18" s="1"/>
  <c r="M119" i="18"/>
  <c r="N118" i="19"/>
  <c r="U118" i="22" s="1"/>
  <c r="CA118" i="19" s="1"/>
  <c r="AS119" i="18" s="1"/>
  <c r="E179" i="18"/>
  <c r="R179" i="19" s="1"/>
  <c r="E179" i="19" s="1"/>
  <c r="O179" i="22" s="1"/>
  <c r="BP179" i="19"/>
  <c r="AG180" i="18" s="1"/>
  <c r="Q180" i="18"/>
  <c r="B180" i="18" s="1"/>
  <c r="O180" i="19" s="1"/>
  <c r="AB180" i="19" s="1"/>
  <c r="B180" i="19" s="1"/>
  <c r="L180" i="22" s="1"/>
  <c r="AA179" i="18"/>
  <c r="R180" i="18"/>
  <c r="W178" i="19"/>
  <c r="AJ178" i="19" s="1"/>
  <c r="J178" i="19" s="1"/>
  <c r="BJ178" i="19"/>
  <c r="AZ178" i="20"/>
  <c r="AI180" i="18"/>
  <c r="BC179" i="19"/>
  <c r="BQ179" i="19"/>
  <c r="BK178" i="19"/>
  <c r="BA178" i="20"/>
  <c r="X178" i="19"/>
  <c r="AK178" i="19" s="1"/>
  <c r="K178" i="19" s="1"/>
  <c r="AY178" i="20"/>
  <c r="BI178" i="19"/>
  <c r="V178" i="19"/>
  <c r="AI178" i="19" s="1"/>
  <c r="I178" i="19" s="1"/>
  <c r="S178" i="22" s="1"/>
  <c r="BX178" i="19" s="1"/>
  <c r="Z179" i="18"/>
  <c r="S180" i="18"/>
  <c r="BF120" i="19" l="1"/>
  <c r="AK121" i="18" s="1"/>
  <c r="AU120" i="20"/>
  <c r="S120" i="19"/>
  <c r="AF120" i="19" s="1"/>
  <c r="F120" i="19" s="1"/>
  <c r="BU120" i="19" s="1"/>
  <c r="AL121" i="18" s="1"/>
  <c r="U121" i="18"/>
  <c r="V121" i="18"/>
  <c r="BM119" i="19"/>
  <c r="Z119" i="19"/>
  <c r="M119" i="19" s="1"/>
  <c r="BC119" i="20"/>
  <c r="BN119" i="19"/>
  <c r="AT120" i="18" s="1"/>
  <c r="O119" i="18"/>
  <c r="BB119" i="20"/>
  <c r="Y119" i="19"/>
  <c r="AB120" i="18"/>
  <c r="AC120" i="18"/>
  <c r="BE179" i="19"/>
  <c r="T180" i="18"/>
  <c r="BR180" i="19" s="1"/>
  <c r="C180" i="18"/>
  <c r="P180" i="19" s="1"/>
  <c r="C180" i="19" s="1"/>
  <c r="M180" i="22" s="1"/>
  <c r="BO180" i="19"/>
  <c r="AF181" i="18" s="1"/>
  <c r="BB181" i="19" s="1"/>
  <c r="AP179" i="18"/>
  <c r="L179" i="18" s="1"/>
  <c r="BK179" i="19" s="1"/>
  <c r="BI179" i="19"/>
  <c r="AY179" i="20"/>
  <c r="V179" i="19"/>
  <c r="AI179" i="19" s="1"/>
  <c r="I179" i="19" s="1"/>
  <c r="S179" i="22" s="1"/>
  <c r="BX179" i="19" s="1"/>
  <c r="Y180" i="18"/>
  <c r="BP180" i="19"/>
  <c r="AG181" i="18" s="1"/>
  <c r="AO179" i="18"/>
  <c r="K179" i="18" s="1"/>
  <c r="Q181" i="18"/>
  <c r="AH180" i="18"/>
  <c r="BD180" i="19" s="1"/>
  <c r="H121" i="18" l="1"/>
  <c r="G121" i="18"/>
  <c r="AI181" i="18"/>
  <c r="E180" i="18"/>
  <c r="BE180" i="19" s="1"/>
  <c r="R181" i="18"/>
  <c r="N120" i="18"/>
  <c r="BZ120" i="19"/>
  <c r="AA119" i="19"/>
  <c r="AE120" i="18"/>
  <c r="AD120" i="18"/>
  <c r="AL119" i="19"/>
  <c r="V120" i="22" s="1"/>
  <c r="BC180" i="19"/>
  <c r="BQ180" i="19"/>
  <c r="X179" i="19"/>
  <c r="AK179" i="19" s="1"/>
  <c r="K179" i="19" s="1"/>
  <c r="BA179" i="20"/>
  <c r="Z180" i="18"/>
  <c r="AZ179" i="20"/>
  <c r="BJ179" i="19"/>
  <c r="AP180" i="18" s="1"/>
  <c r="W179" i="19"/>
  <c r="AJ179" i="19" s="1"/>
  <c r="J179" i="19" s="1"/>
  <c r="AA180" i="18"/>
  <c r="J180" i="18"/>
  <c r="Y181" i="18" s="1"/>
  <c r="C181" i="18"/>
  <c r="P181" i="19" s="1"/>
  <c r="C181" i="19" s="1"/>
  <c r="M181" i="22" s="1"/>
  <c r="D180" i="18"/>
  <c r="B181" i="18"/>
  <c r="O181" i="19" s="1"/>
  <c r="AB181" i="19" s="1"/>
  <c r="B181" i="19" s="1"/>
  <c r="L181" i="22" s="1"/>
  <c r="BO181" i="19" s="1"/>
  <c r="BG121" i="19" l="1"/>
  <c r="T121" i="19"/>
  <c r="AG121" i="19" s="1"/>
  <c r="G121" i="19" s="1"/>
  <c r="BV121" i="19" s="1"/>
  <c r="AN122" i="18" s="1"/>
  <c r="J122" i="18" s="1"/>
  <c r="AV121" i="20"/>
  <c r="U121" i="19"/>
  <c r="AH121" i="19" s="1"/>
  <c r="H121" i="19" s="1"/>
  <c r="R121" i="22" s="1"/>
  <c r="BW121" i="19" s="1"/>
  <c r="AO122" i="18" s="1"/>
  <c r="AW121" i="20"/>
  <c r="BH121" i="19"/>
  <c r="AM122" i="18" s="1"/>
  <c r="X122" i="18"/>
  <c r="W122" i="18"/>
  <c r="P120" i="18"/>
  <c r="R180" i="19"/>
  <c r="E180" i="19" s="1"/>
  <c r="O180" i="22" s="1"/>
  <c r="L119" i="19"/>
  <c r="T119" i="22" s="1"/>
  <c r="BY119" i="19" s="1"/>
  <c r="AQ120" i="18" s="1"/>
  <c r="AN119" i="19"/>
  <c r="X120" i="22" s="1"/>
  <c r="BS120" i="19" s="1"/>
  <c r="AJ121" i="18" s="1"/>
  <c r="Z120" i="19"/>
  <c r="M120" i="19" s="1"/>
  <c r="BC120" i="20"/>
  <c r="BM120" i="19"/>
  <c r="T181" i="18"/>
  <c r="E181" i="18" s="1"/>
  <c r="AH181" i="18"/>
  <c r="BD181" i="19" s="1"/>
  <c r="Q182" i="18"/>
  <c r="B182" i="18" s="1"/>
  <c r="O182" i="19" s="1"/>
  <c r="AB182" i="19" s="1"/>
  <c r="B182" i="19" s="1"/>
  <c r="L182" i="22" s="1"/>
  <c r="BC181" i="19"/>
  <c r="R182" i="18"/>
  <c r="V180" i="19"/>
  <c r="AI180" i="19" s="1"/>
  <c r="I180" i="19" s="1"/>
  <c r="S180" i="22" s="1"/>
  <c r="BX180" i="19" s="1"/>
  <c r="BI180" i="19"/>
  <c r="AY180" i="20"/>
  <c r="L180" i="18"/>
  <c r="K180" i="18"/>
  <c r="Q180" i="19"/>
  <c r="AD180" i="19" s="1"/>
  <c r="D180" i="19" s="1"/>
  <c r="N180" i="22" s="1"/>
  <c r="S181" i="18"/>
  <c r="I122" i="18" l="1"/>
  <c r="AX122" i="20" s="1"/>
  <c r="BR181" i="19"/>
  <c r="F121" i="18"/>
  <c r="N119" i="19"/>
  <c r="U119" i="22" s="1"/>
  <c r="CA119" i="19" s="1"/>
  <c r="AS120" i="18" s="1"/>
  <c r="BL120" i="19"/>
  <c r="AR121" i="18" s="1"/>
  <c r="M120" i="18"/>
  <c r="V181" i="19"/>
  <c r="AI181" i="19" s="1"/>
  <c r="I181" i="19" s="1"/>
  <c r="S181" i="22" s="1"/>
  <c r="BI181" i="19"/>
  <c r="AY181" i="20"/>
  <c r="BO182" i="19"/>
  <c r="C182" i="18"/>
  <c r="Z181" i="18"/>
  <c r="AZ180" i="20"/>
  <c r="BJ180" i="19"/>
  <c r="AP181" i="18" s="1"/>
  <c r="W180" i="19"/>
  <c r="AJ180" i="19" s="1"/>
  <c r="J180" i="19" s="1"/>
  <c r="BQ181" i="19"/>
  <c r="D181" i="18"/>
  <c r="BP181" i="19"/>
  <c r="AA181" i="18"/>
  <c r="BK180" i="19"/>
  <c r="BA180" i="20"/>
  <c r="X180" i="19"/>
  <c r="AK180" i="19" s="1"/>
  <c r="K180" i="19" s="1"/>
  <c r="Y182" i="18"/>
  <c r="J182" i="18" s="1"/>
  <c r="R181" i="19"/>
  <c r="E181" i="19" s="1"/>
  <c r="O181" i="22" s="1"/>
  <c r="BE181" i="19"/>
  <c r="BF121" i="19" l="1"/>
  <c r="AK122" i="18" s="1"/>
  <c r="S121" i="19"/>
  <c r="AF121" i="19" s="1"/>
  <c r="F121" i="19" s="1"/>
  <c r="BU121" i="19" s="1"/>
  <c r="AL122" i="18" s="1"/>
  <c r="AU121" i="20"/>
  <c r="U122" i="18"/>
  <c r="V122" i="18"/>
  <c r="BN120" i="19"/>
  <c r="AT121" i="18" s="1"/>
  <c r="O120" i="18"/>
  <c r="BB120" i="20"/>
  <c r="Y120" i="19"/>
  <c r="AB121" i="18"/>
  <c r="AC121" i="18"/>
  <c r="K181" i="18"/>
  <c r="AZ181" i="20" s="1"/>
  <c r="Q181" i="19"/>
  <c r="AD181" i="19" s="1"/>
  <c r="D181" i="19" s="1"/>
  <c r="N181" i="22" s="1"/>
  <c r="T182" i="18"/>
  <c r="S182" i="18"/>
  <c r="P182" i="19"/>
  <c r="C182" i="19" s="1"/>
  <c r="M182" i="22" s="1"/>
  <c r="BC182" i="19"/>
  <c r="BX181" i="19"/>
  <c r="V182" i="19"/>
  <c r="AI182" i="19" s="1"/>
  <c r="I182" i="19" s="1"/>
  <c r="S182" i="22" s="1"/>
  <c r="BI182" i="19"/>
  <c r="AY182" i="20"/>
  <c r="L181" i="18"/>
  <c r="H122" i="18" l="1"/>
  <c r="G122" i="18"/>
  <c r="AL120" i="19"/>
  <c r="V121" i="22" s="1"/>
  <c r="L120" i="19"/>
  <c r="T120" i="22" s="1"/>
  <c r="BY120" i="19" s="1"/>
  <c r="AQ121" i="18" s="1"/>
  <c r="BL121" i="19" s="1"/>
  <c r="AR122" i="18" s="1"/>
  <c r="BZ121" i="19"/>
  <c r="N121" i="18"/>
  <c r="AD121" i="18"/>
  <c r="AA120" i="19"/>
  <c r="AE121" i="18"/>
  <c r="BJ181" i="19"/>
  <c r="W181" i="19"/>
  <c r="AJ181" i="19" s="1"/>
  <c r="J181" i="19" s="1"/>
  <c r="Z182" i="18"/>
  <c r="K182" i="18" s="1"/>
  <c r="AZ182" i="20" s="1"/>
  <c r="X181" i="19"/>
  <c r="AK181" i="19" s="1"/>
  <c r="K181" i="19" s="1"/>
  <c r="BK181" i="19"/>
  <c r="BA181" i="20"/>
  <c r="D182" i="18"/>
  <c r="Q182" i="19" s="1"/>
  <c r="AD182" i="19" s="1"/>
  <c r="D182" i="19" s="1"/>
  <c r="N182" i="22" s="1"/>
  <c r="BP182" i="19"/>
  <c r="BQ182" i="19"/>
  <c r="E182" i="18"/>
  <c r="BR182" i="19"/>
  <c r="AA182" i="18"/>
  <c r="T122" i="19" l="1"/>
  <c r="AG122" i="19" s="1"/>
  <c r="G122" i="19" s="1"/>
  <c r="BV122" i="19" s="1"/>
  <c r="AN123" i="18" s="1"/>
  <c r="BG122" i="19"/>
  <c r="AV122" i="20"/>
  <c r="BH122" i="19"/>
  <c r="AM123" i="18" s="1"/>
  <c r="U122" i="19"/>
  <c r="AH122" i="19" s="1"/>
  <c r="H122" i="19" s="1"/>
  <c r="R122" i="22" s="1"/>
  <c r="BW122" i="19" s="1"/>
  <c r="AO123" i="18" s="1"/>
  <c r="K123" i="18" s="1"/>
  <c r="AW122" i="20"/>
  <c r="W123" i="18"/>
  <c r="X123" i="18"/>
  <c r="P121" i="18"/>
  <c r="BM121" i="19"/>
  <c r="BC121" i="20"/>
  <c r="Z121" i="19"/>
  <c r="M121" i="19" s="1"/>
  <c r="AN120" i="19"/>
  <c r="X121" i="22" s="1"/>
  <c r="BS121" i="19" s="1"/>
  <c r="AJ122" i="18" s="1"/>
  <c r="M121" i="18"/>
  <c r="W182" i="19"/>
  <c r="AJ182" i="19" s="1"/>
  <c r="J182" i="19" s="1"/>
  <c r="BJ182" i="19"/>
  <c r="BW182" i="19"/>
  <c r="BE182" i="19"/>
  <c r="R182" i="19"/>
  <c r="E182" i="19" s="1"/>
  <c r="O182" i="22" s="1"/>
  <c r="L182" i="18"/>
  <c r="BX182" i="19"/>
  <c r="I123" i="18" l="1"/>
  <c r="AX123" i="20" s="1"/>
  <c r="F122" i="18"/>
  <c r="N120" i="19"/>
  <c r="U120" i="22" s="1"/>
  <c r="CA120" i="19" s="1"/>
  <c r="AS121" i="18" s="1"/>
  <c r="BB121" i="20"/>
  <c r="Y121" i="19"/>
  <c r="AB122" i="18"/>
  <c r="AC122" i="18"/>
  <c r="X182" i="19"/>
  <c r="AK182" i="19" s="1"/>
  <c r="K182" i="19" s="1"/>
  <c r="BK182" i="19"/>
  <c r="BA182" i="20"/>
  <c r="S122" i="19" l="1"/>
  <c r="AF122" i="19" s="1"/>
  <c r="F122" i="19" s="1"/>
  <c r="BU122" i="19" s="1"/>
  <c r="AL123" i="18" s="1"/>
  <c r="H123" i="18" s="1"/>
  <c r="BF122" i="19"/>
  <c r="AK123" i="18" s="1"/>
  <c r="AU122" i="20"/>
  <c r="U123" i="18"/>
  <c r="V123" i="18"/>
  <c r="BN121" i="19"/>
  <c r="AT122" i="18" s="1"/>
  <c r="O121" i="18"/>
  <c r="AL121" i="19"/>
  <c r="V122" i="22" s="1"/>
  <c r="N122" i="18"/>
  <c r="BZ122" i="19"/>
  <c r="G123" i="18" l="1"/>
  <c r="T123" i="19"/>
  <c r="AG123" i="19" s="1"/>
  <c r="G123" i="19" s="1"/>
  <c r="BV123" i="19" s="1"/>
  <c r="AN124" i="18" s="1"/>
  <c r="J124" i="18" s="1"/>
  <c r="BI124" i="19" s="1"/>
  <c r="BG123" i="19"/>
  <c r="AV123" i="20"/>
  <c r="U123" i="19"/>
  <c r="AH123" i="19" s="1"/>
  <c r="H123" i="19" s="1"/>
  <c r="R123" i="22" s="1"/>
  <c r="BW123" i="19" s="1"/>
  <c r="AW123" i="20"/>
  <c r="BH123" i="19"/>
  <c r="AM124" i="18" s="1"/>
  <c r="W124" i="18"/>
  <c r="X124" i="18"/>
  <c r="L121" i="19"/>
  <c r="T121" i="22" s="1"/>
  <c r="BY121" i="19" s="1"/>
  <c r="AQ122" i="18" s="1"/>
  <c r="Z122" i="19"/>
  <c r="M122" i="19" s="1"/>
  <c r="BM122" i="19"/>
  <c r="BC122" i="20"/>
  <c r="AA121" i="19"/>
  <c r="AE122" i="18"/>
  <c r="AD122" i="18"/>
  <c r="I124" i="18" l="1"/>
  <c r="AX124" i="20" s="1"/>
  <c r="P122" i="18"/>
  <c r="AN121" i="19"/>
  <c r="X122" i="22" s="1"/>
  <c r="BS122" i="19" s="1"/>
  <c r="AJ123" i="18" s="1"/>
  <c r="BL122" i="19"/>
  <c r="AR123" i="18" s="1"/>
  <c r="M122" i="18"/>
  <c r="F123" i="18" l="1"/>
  <c r="N121" i="19"/>
  <c r="U121" i="22" s="1"/>
  <c r="CA121" i="19" s="1"/>
  <c r="AS122" i="18" s="1"/>
  <c r="BN122" i="19" s="1"/>
  <c r="AT123" i="18" s="1"/>
  <c r="Y122" i="19"/>
  <c r="BB122" i="20"/>
  <c r="AB123" i="18"/>
  <c r="AC123" i="18"/>
  <c r="S123" i="19" l="1"/>
  <c r="AF123" i="19" s="1"/>
  <c r="F123" i="19" s="1"/>
  <c r="BU123" i="19" s="1"/>
  <c r="AL124" i="18" s="1"/>
  <c r="AU123" i="20"/>
  <c r="BF123" i="19"/>
  <c r="AK124" i="18" s="1"/>
  <c r="U124" i="18"/>
  <c r="V124" i="18"/>
  <c r="O122" i="18"/>
  <c r="AA122" i="19"/>
  <c r="AE123" i="18"/>
  <c r="AD123" i="18"/>
  <c r="AL122" i="19"/>
  <c r="V123" i="22" s="1"/>
  <c r="L122" i="19"/>
  <c r="T122" i="22" s="1"/>
  <c r="BY122" i="19" s="1"/>
  <c r="AQ123" i="18" s="1"/>
  <c r="BL123" i="19" s="1"/>
  <c r="AR124" i="18" s="1"/>
  <c r="BZ123" i="19"/>
  <c r="N123" i="18"/>
  <c r="G124" i="18" l="1"/>
  <c r="H124" i="18"/>
  <c r="P123" i="18"/>
  <c r="AN122" i="19"/>
  <c r="X123" i="22" s="1"/>
  <c r="BS123" i="19" s="1"/>
  <c r="AJ124" i="18" s="1"/>
  <c r="BC123" i="20"/>
  <c r="BM123" i="19"/>
  <c r="Z123" i="19"/>
  <c r="M123" i="19" s="1"/>
  <c r="M123" i="18"/>
  <c r="U124" i="19" l="1"/>
  <c r="AH124" i="19" s="1"/>
  <c r="H124" i="19" s="1"/>
  <c r="R124" i="22" s="1"/>
  <c r="BW124" i="19" s="1"/>
  <c r="AO125" i="18" s="1"/>
  <c r="BH124" i="19"/>
  <c r="AM125" i="18" s="1"/>
  <c r="AW124" i="20"/>
  <c r="W125" i="18"/>
  <c r="X125" i="18"/>
  <c r="T124" i="19"/>
  <c r="AG124" i="19" s="1"/>
  <c r="G124" i="19" s="1"/>
  <c r="BV124" i="19" s="1"/>
  <c r="AN125" i="18" s="1"/>
  <c r="J125" i="18" s="1"/>
  <c r="BG124" i="19"/>
  <c r="AV124" i="20"/>
  <c r="F124" i="18"/>
  <c r="V125" i="18"/>
  <c r="N122" i="19"/>
  <c r="U122" i="22" s="1"/>
  <c r="CA122" i="19" s="1"/>
  <c r="AS123" i="18" s="1"/>
  <c r="Y123" i="19"/>
  <c r="BB123" i="20"/>
  <c r="AC124" i="18"/>
  <c r="AB124" i="18"/>
  <c r="AU124" i="20" l="1"/>
  <c r="S124" i="19"/>
  <c r="AF124" i="19" s="1"/>
  <c r="F124" i="19" s="1"/>
  <c r="BU124" i="19" s="1"/>
  <c r="AL125" i="18" s="1"/>
  <c r="BF124" i="19"/>
  <c r="AK125" i="18" s="1"/>
  <c r="G125" i="18" s="1"/>
  <c r="U125" i="18"/>
  <c r="I125" i="18"/>
  <c r="AX125" i="20" s="1"/>
  <c r="AL123" i="19"/>
  <c r="V124" i="22" s="1"/>
  <c r="BN123" i="19"/>
  <c r="AT124" i="18" s="1"/>
  <c r="O123" i="18"/>
  <c r="BZ124" i="19"/>
  <c r="N124" i="18"/>
  <c r="H125" i="18" l="1"/>
  <c r="T125" i="19"/>
  <c r="AG125" i="19" s="1"/>
  <c r="G125" i="19" s="1"/>
  <c r="BV125" i="19" s="1"/>
  <c r="AN126" i="18" s="1"/>
  <c r="J126" i="18" s="1"/>
  <c r="AV125" i="20"/>
  <c r="BG125" i="19"/>
  <c r="L123" i="19"/>
  <c r="T123" i="22" s="1"/>
  <c r="BY123" i="19" s="1"/>
  <c r="AQ124" i="18" s="1"/>
  <c r="BL124" i="19" s="1"/>
  <c r="AR125" i="18" s="1"/>
  <c r="AA123" i="19"/>
  <c r="AD124" i="18"/>
  <c r="AE124" i="18"/>
  <c r="Z124" i="19"/>
  <c r="M124" i="19" s="1"/>
  <c r="BM124" i="19"/>
  <c r="BC124" i="20"/>
  <c r="AW125" i="20" l="1"/>
  <c r="U125" i="19"/>
  <c r="AH125" i="19" s="1"/>
  <c r="H125" i="19" s="1"/>
  <c r="R125" i="22" s="1"/>
  <c r="BW125" i="19" s="1"/>
  <c r="AO126" i="18" s="1"/>
  <c r="K126" i="18" s="1"/>
  <c r="BH125" i="19"/>
  <c r="AM126" i="18" s="1"/>
  <c r="W126" i="18"/>
  <c r="X126" i="18"/>
  <c r="M124" i="18"/>
  <c r="BB124" i="20"/>
  <c r="Y124" i="19"/>
  <c r="AB125" i="18"/>
  <c r="AC125" i="18"/>
  <c r="P124" i="18"/>
  <c r="AN123" i="19"/>
  <c r="X124" i="22" s="1"/>
  <c r="BS124" i="19" s="1"/>
  <c r="AJ125" i="18" s="1"/>
  <c r="F125" i="18" l="1"/>
  <c r="I126" i="18"/>
  <c r="AX126" i="20" s="1"/>
  <c r="N123" i="19"/>
  <c r="U123" i="22" s="1"/>
  <c r="CA123" i="19" s="1"/>
  <c r="AS124" i="18" s="1"/>
  <c r="AL124" i="19"/>
  <c r="V125" i="22" s="1"/>
  <c r="N125" i="18"/>
  <c r="BZ125" i="19"/>
  <c r="S125" i="19" l="1"/>
  <c r="AF125" i="19" s="1"/>
  <c r="F125" i="19" s="1"/>
  <c r="BU125" i="19" s="1"/>
  <c r="AL126" i="18" s="1"/>
  <c r="H126" i="18" s="1"/>
  <c r="AU125" i="20"/>
  <c r="BF125" i="19"/>
  <c r="AK126" i="18" s="1"/>
  <c r="V126" i="18"/>
  <c r="U126" i="18"/>
  <c r="BN124" i="19"/>
  <c r="AT125" i="18" s="1"/>
  <c r="O124" i="18"/>
  <c r="BC125" i="20"/>
  <c r="Z125" i="19"/>
  <c r="M125" i="19" s="1"/>
  <c r="BM125" i="19"/>
  <c r="L124" i="19"/>
  <c r="T124" i="22" s="1"/>
  <c r="BY124" i="19" s="1"/>
  <c r="AQ125" i="18" s="1"/>
  <c r="G126" i="18" l="1"/>
  <c r="AW126" i="20"/>
  <c r="U126" i="19"/>
  <c r="AH126" i="19" s="1"/>
  <c r="H126" i="19" s="1"/>
  <c r="R126" i="22" s="1"/>
  <c r="BW126" i="19" s="1"/>
  <c r="AO127" i="18" s="1"/>
  <c r="K127" i="18" s="1"/>
  <c r="BH126" i="19"/>
  <c r="AM127" i="18" s="1"/>
  <c r="X127" i="18"/>
  <c r="W127" i="18"/>
  <c r="BL125" i="19"/>
  <c r="AR126" i="18" s="1"/>
  <c r="M125" i="18"/>
  <c r="AA124" i="19"/>
  <c r="AN124" i="19" s="1"/>
  <c r="AD125" i="18"/>
  <c r="AE125" i="18"/>
  <c r="BG126" i="19" l="1"/>
  <c r="AV126" i="20"/>
  <c r="T126" i="19"/>
  <c r="AG126" i="19" s="1"/>
  <c r="G126" i="19" s="1"/>
  <c r="BV126" i="19" s="1"/>
  <c r="AN127" i="18" s="1"/>
  <c r="J127" i="18" s="1"/>
  <c r="I127" i="18"/>
  <c r="AX127" i="20" s="1"/>
  <c r="N124" i="19"/>
  <c r="U124" i="22" s="1"/>
  <c r="CA124" i="19" s="1"/>
  <c r="AS125" i="18" s="1"/>
  <c r="BN125" i="19" s="1"/>
  <c r="AT126" i="18" s="1"/>
  <c r="X125" i="22"/>
  <c r="BS125" i="19" s="1"/>
  <c r="AJ126" i="18" s="1"/>
  <c r="Y125" i="19"/>
  <c r="BB125" i="20"/>
  <c r="AB126" i="18"/>
  <c r="AC126" i="18"/>
  <c r="P125" i="18"/>
  <c r="F126" i="18" l="1"/>
  <c r="O125" i="18"/>
  <c r="AL125" i="19"/>
  <c r="V126" i="22" s="1"/>
  <c r="BZ126" i="19"/>
  <c r="N126" i="18"/>
  <c r="AU126" i="20" l="1"/>
  <c r="BF126" i="19"/>
  <c r="AK127" i="18" s="1"/>
  <c r="S126" i="19"/>
  <c r="AF126" i="19" s="1"/>
  <c r="F126" i="19" s="1"/>
  <c r="BU126" i="19" s="1"/>
  <c r="AL127" i="18" s="1"/>
  <c r="H127" i="18" s="1"/>
  <c r="U127" i="18"/>
  <c r="V127" i="18"/>
  <c r="L125" i="19"/>
  <c r="T125" i="22" s="1"/>
  <c r="BY125" i="19" s="1"/>
  <c r="AQ126" i="18" s="1"/>
  <c r="BL126" i="19" s="1"/>
  <c r="AR127" i="18" s="1"/>
  <c r="Z126" i="19"/>
  <c r="M126" i="19" s="1"/>
  <c r="BM126" i="19"/>
  <c r="BC126" i="20"/>
  <c r="AA125" i="19"/>
  <c r="AN125" i="19" s="1"/>
  <c r="AD126" i="18"/>
  <c r="AE126" i="18"/>
  <c r="U127" i="19" l="1"/>
  <c r="AH127" i="19" s="1"/>
  <c r="H127" i="19" s="1"/>
  <c r="R127" i="22" s="1"/>
  <c r="BW127" i="19" s="1"/>
  <c r="AO128" i="18" s="1"/>
  <c r="K128" i="18" s="1"/>
  <c r="BH127" i="19"/>
  <c r="AM128" i="18" s="1"/>
  <c r="AW127" i="20"/>
  <c r="X128" i="18"/>
  <c r="G127" i="18"/>
  <c r="M126" i="18"/>
  <c r="AC127" i="18" s="1"/>
  <c r="N127" i="18" s="1"/>
  <c r="P126" i="18"/>
  <c r="N125" i="19"/>
  <c r="U125" i="22" s="1"/>
  <c r="CA125" i="19" s="1"/>
  <c r="AS126" i="18" s="1"/>
  <c r="BN126" i="19" s="1"/>
  <c r="AT127" i="18" s="1"/>
  <c r="X126" i="22"/>
  <c r="BS126" i="19" s="1"/>
  <c r="AJ127" i="18" s="1"/>
  <c r="BB126" i="20"/>
  <c r="Y126" i="19"/>
  <c r="AB127" i="18"/>
  <c r="AV127" i="20" l="1"/>
  <c r="T127" i="19"/>
  <c r="AG127" i="19" s="1"/>
  <c r="G127" i="19" s="1"/>
  <c r="BV127" i="19" s="1"/>
  <c r="AN128" i="18" s="1"/>
  <c r="J128" i="18" s="1"/>
  <c r="Y129" i="18" s="1"/>
  <c r="BG127" i="19"/>
  <c r="I128" i="18"/>
  <c r="AX128" i="20" s="1"/>
  <c r="F127" i="18"/>
  <c r="W128" i="18"/>
  <c r="BZ127" i="19"/>
  <c r="Z127" i="19"/>
  <c r="M127" i="19" s="1"/>
  <c r="BM127" i="19"/>
  <c r="BC127" i="20"/>
  <c r="AL126" i="19"/>
  <c r="V127" i="22" s="1"/>
  <c r="O126" i="18"/>
  <c r="S127" i="19" l="1"/>
  <c r="AF127" i="19" s="1"/>
  <c r="F127" i="19" s="1"/>
  <c r="BU127" i="19" s="1"/>
  <c r="AL128" i="18" s="1"/>
  <c r="BF127" i="19"/>
  <c r="AK128" i="18" s="1"/>
  <c r="AU127" i="20"/>
  <c r="U128" i="18"/>
  <c r="V128" i="18"/>
  <c r="AA126" i="19"/>
  <c r="AN126" i="19" s="1"/>
  <c r="AD127" i="18"/>
  <c r="AE127" i="18"/>
  <c r="L126" i="19"/>
  <c r="T126" i="22" s="1"/>
  <c r="BY126" i="19" s="1"/>
  <c r="AQ127" i="18" s="1"/>
  <c r="G128" i="18" l="1"/>
  <c r="H128" i="18"/>
  <c r="T128" i="19"/>
  <c r="AG128" i="19" s="1"/>
  <c r="G128" i="19" s="1"/>
  <c r="BV128" i="19" s="1"/>
  <c r="AN129" i="18" s="1"/>
  <c r="J129" i="18" s="1"/>
  <c r="AV128" i="20"/>
  <c r="BG128" i="19"/>
  <c r="BL127" i="19"/>
  <c r="AR128" i="18" s="1"/>
  <c r="M127" i="18"/>
  <c r="P127" i="18"/>
  <c r="N126" i="19"/>
  <c r="U126" i="22" s="1"/>
  <c r="CA126" i="19" s="1"/>
  <c r="AS127" i="18" s="1"/>
  <c r="BN127" i="19" s="1"/>
  <c r="AT128" i="18" s="1"/>
  <c r="X127" i="22"/>
  <c r="BS127" i="19" s="1"/>
  <c r="AJ128" i="18" s="1"/>
  <c r="BH128" i="19" l="1"/>
  <c r="AM129" i="18" s="1"/>
  <c r="U128" i="19"/>
  <c r="AH128" i="19" s="1"/>
  <c r="H128" i="19" s="1"/>
  <c r="R128" i="22" s="1"/>
  <c r="BW128" i="19" s="1"/>
  <c r="AW128" i="20"/>
  <c r="X129" i="18"/>
  <c r="W129" i="18"/>
  <c r="F128" i="18"/>
  <c r="O127" i="18"/>
  <c r="AA127" i="19" s="1"/>
  <c r="AN127" i="19" s="1"/>
  <c r="N127" i="19" s="1"/>
  <c r="U127" i="22" s="1"/>
  <c r="CA127" i="19" s="1"/>
  <c r="AS128" i="18" s="1"/>
  <c r="BN128" i="19" s="1"/>
  <c r="Y127" i="19"/>
  <c r="BB127" i="20"/>
  <c r="AC128" i="18"/>
  <c r="AB128" i="18"/>
  <c r="AU128" i="20" l="1"/>
  <c r="S128" i="19"/>
  <c r="AF128" i="19" s="1"/>
  <c r="F128" i="19" s="1"/>
  <c r="BU128" i="19" s="1"/>
  <c r="AL129" i="18" s="1"/>
  <c r="H129" i="18" s="1"/>
  <c r="BF128" i="19"/>
  <c r="AK129" i="18" s="1"/>
  <c r="U129" i="18"/>
  <c r="V129" i="18"/>
  <c r="I129" i="18"/>
  <c r="AX129" i="20" s="1"/>
  <c r="AD128" i="18"/>
  <c r="X128" i="22"/>
  <c r="BS128" i="19" s="1"/>
  <c r="AJ129" i="18" s="1"/>
  <c r="AE128" i="18"/>
  <c r="AT129" i="18" s="1"/>
  <c r="AL127" i="19"/>
  <c r="V128" i="22" s="1"/>
  <c r="O128" i="18"/>
  <c r="AA128" i="19" s="1"/>
  <c r="AN128" i="19" s="1"/>
  <c r="N128" i="19" s="1"/>
  <c r="U128" i="22" s="1"/>
  <c r="CA128" i="19" s="1"/>
  <c r="N128" i="18"/>
  <c r="BZ128" i="19"/>
  <c r="X130" i="18" l="1"/>
  <c r="F129" i="18"/>
  <c r="AW129" i="20"/>
  <c r="BH129" i="19"/>
  <c r="AM130" i="18" s="1"/>
  <c r="I130" i="18" s="1"/>
  <c r="U129" i="19"/>
  <c r="AH129" i="19" s="1"/>
  <c r="H129" i="19" s="1"/>
  <c r="R129" i="22" s="1"/>
  <c r="BW129" i="19" s="1"/>
  <c r="AO130" i="18" s="1"/>
  <c r="U130" i="18"/>
  <c r="G129" i="18"/>
  <c r="P128" i="18"/>
  <c r="AE129" i="18" s="1"/>
  <c r="P129" i="18" s="1"/>
  <c r="BC128" i="20"/>
  <c r="BM128" i="19"/>
  <c r="AS129" i="18" s="1"/>
  <c r="BN129" i="19" s="1"/>
  <c r="AT130" i="18" s="1"/>
  <c r="Z128" i="19"/>
  <c r="M128" i="19" s="1"/>
  <c r="X129" i="22"/>
  <c r="BS129" i="19" s="1"/>
  <c r="AJ130" i="18" s="1"/>
  <c r="AD129" i="18"/>
  <c r="L127" i="19"/>
  <c r="T127" i="22" s="1"/>
  <c r="BY127" i="19" s="1"/>
  <c r="AQ128" i="18" s="1"/>
  <c r="F130" i="18" l="1"/>
  <c r="AX130" i="20"/>
  <c r="V130" i="18"/>
  <c r="BG129" i="19"/>
  <c r="T129" i="19"/>
  <c r="AG129" i="19" s="1"/>
  <c r="G129" i="19" s="1"/>
  <c r="BV129" i="19" s="1"/>
  <c r="AN130" i="18" s="1"/>
  <c r="J130" i="18" s="1"/>
  <c r="AV129" i="20"/>
  <c r="W130" i="18"/>
  <c r="U131" i="18"/>
  <c r="S129" i="19"/>
  <c r="AF129" i="19" s="1"/>
  <c r="F129" i="19" s="1"/>
  <c r="BU129" i="19" s="1"/>
  <c r="BF129" i="19"/>
  <c r="AK130" i="18" s="1"/>
  <c r="AU129" i="20"/>
  <c r="BL128" i="19"/>
  <c r="AR129" i="18" s="1"/>
  <c r="M128" i="18"/>
  <c r="O129" i="18"/>
  <c r="AA129" i="19" s="1"/>
  <c r="AL130" i="18" l="1"/>
  <c r="BU130" i="19"/>
  <c r="G130" i="18"/>
  <c r="V131" i="18"/>
  <c r="BF130" i="19"/>
  <c r="AK131" i="18" s="1"/>
  <c r="G131" i="18" s="1"/>
  <c r="S130" i="19"/>
  <c r="AF130" i="19" s="1"/>
  <c r="F130" i="19" s="1"/>
  <c r="AU130" i="20"/>
  <c r="AN129" i="19"/>
  <c r="X130" i="22" s="1"/>
  <c r="BS130" i="19" s="1"/>
  <c r="AJ131" i="18" s="1"/>
  <c r="BB128" i="20"/>
  <c r="Y128" i="19"/>
  <c r="AB129" i="18"/>
  <c r="AC129" i="18"/>
  <c r="AE130" i="18"/>
  <c r="F131" i="18" l="1"/>
  <c r="T131" i="19"/>
  <c r="AG131" i="19" s="1"/>
  <c r="G131" i="19" s="1"/>
  <c r="BV131" i="19" s="1"/>
  <c r="AN132" i="18" s="1"/>
  <c r="J132" i="18" s="1"/>
  <c r="AV131" i="20"/>
  <c r="BG131" i="19"/>
  <c r="V132" i="18"/>
  <c r="H130" i="18"/>
  <c r="BG130" i="19"/>
  <c r="AL131" i="18" s="1"/>
  <c r="T130" i="19"/>
  <c r="AG130" i="19" s="1"/>
  <c r="G130" i="19" s="1"/>
  <c r="BV130" i="19" s="1"/>
  <c r="AN131" i="18" s="1"/>
  <c r="AV130" i="20"/>
  <c r="P130" i="18"/>
  <c r="AL128" i="19"/>
  <c r="V129" i="22" s="1"/>
  <c r="L128" i="19"/>
  <c r="T128" i="22" s="1"/>
  <c r="BY128" i="19" s="1"/>
  <c r="AQ129" i="18" s="1"/>
  <c r="BL129" i="19" s="1"/>
  <c r="AR130" i="18" s="1"/>
  <c r="BZ129" i="19"/>
  <c r="N129" i="18"/>
  <c r="N129" i="19"/>
  <c r="U129" i="22" s="1"/>
  <c r="CA129" i="19" s="1"/>
  <c r="AW130" i="20" l="1"/>
  <c r="U130" i="19"/>
  <c r="AH130" i="19" s="1"/>
  <c r="H130" i="19" s="1"/>
  <c r="R130" i="22" s="1"/>
  <c r="BW130" i="19" s="1"/>
  <c r="AO131" i="18" s="1"/>
  <c r="K131" i="18" s="1"/>
  <c r="BH130" i="19"/>
  <c r="AM131" i="18" s="1"/>
  <c r="X131" i="18"/>
  <c r="W131" i="18"/>
  <c r="H131" i="18" s="1"/>
  <c r="AU131" i="20"/>
  <c r="S131" i="19"/>
  <c r="AF131" i="19" s="1"/>
  <c r="F131" i="19" s="1"/>
  <c r="BU131" i="19" s="1"/>
  <c r="BF131" i="19"/>
  <c r="AK132" i="18" s="1"/>
  <c r="G132" i="18" s="1"/>
  <c r="U132" i="18"/>
  <c r="BM129" i="19"/>
  <c r="Z129" i="19"/>
  <c r="M129" i="19" s="1"/>
  <c r="BC129" i="20"/>
  <c r="AD130" i="18"/>
  <c r="AS130" i="18"/>
  <c r="BN130" i="19" s="1"/>
  <c r="AT131" i="18" s="1"/>
  <c r="M129" i="18"/>
  <c r="W132" i="18" l="1"/>
  <c r="U131" i="19"/>
  <c r="AH131" i="19" s="1"/>
  <c r="H131" i="19" s="1"/>
  <c r="R131" i="22" s="1"/>
  <c r="BW131" i="19" s="1"/>
  <c r="AW131" i="20"/>
  <c r="BH131" i="19"/>
  <c r="AM132" i="18" s="1"/>
  <c r="T132" i="19"/>
  <c r="AG132" i="19" s="1"/>
  <c r="G132" i="19" s="1"/>
  <c r="BV132" i="19" s="1"/>
  <c r="AN133" i="18" s="1"/>
  <c r="J133" i="18" s="1"/>
  <c r="BG132" i="19"/>
  <c r="AV132" i="20"/>
  <c r="I131" i="18"/>
  <c r="AX131" i="20" s="1"/>
  <c r="AL132" i="18"/>
  <c r="BB129" i="20"/>
  <c r="Y129" i="19"/>
  <c r="AC130" i="18"/>
  <c r="AB130" i="18"/>
  <c r="O130" i="18"/>
  <c r="X132" i="18" l="1"/>
  <c r="I132" i="18" s="1"/>
  <c r="AX132" i="20" s="1"/>
  <c r="H132" i="18"/>
  <c r="N130" i="18"/>
  <c r="BZ130" i="19"/>
  <c r="AL129" i="19"/>
  <c r="V130" i="22" s="1"/>
  <c r="AA130" i="19"/>
  <c r="AN130" i="19" s="1"/>
  <c r="AE131" i="18"/>
  <c r="X133" i="18" l="1"/>
  <c r="U132" i="19"/>
  <c r="AH132" i="19" s="1"/>
  <c r="H132" i="19" s="1"/>
  <c r="R132" i="22" s="1"/>
  <c r="BW132" i="19" s="1"/>
  <c r="AO133" i="18" s="1"/>
  <c r="BH132" i="19"/>
  <c r="AM133" i="18" s="1"/>
  <c r="AW132" i="20"/>
  <c r="W133" i="18"/>
  <c r="L129" i="19"/>
  <c r="T129" i="22" s="1"/>
  <c r="BY129" i="19" s="1"/>
  <c r="AQ130" i="18" s="1"/>
  <c r="BL130" i="19" s="1"/>
  <c r="AR131" i="18" s="1"/>
  <c r="P131" i="18"/>
  <c r="Z130" i="19"/>
  <c r="M130" i="19" s="1"/>
  <c r="BC130" i="20"/>
  <c r="BM130" i="19"/>
  <c r="N130" i="19"/>
  <c r="U130" i="22" s="1"/>
  <c r="CA130" i="19" s="1"/>
  <c r="X131" i="22"/>
  <c r="BS131" i="19" s="1"/>
  <c r="AJ132" i="18" s="1"/>
  <c r="AD131" i="18"/>
  <c r="F132" i="18" l="1"/>
  <c r="I133" i="18"/>
  <c r="AX133" i="20" s="1"/>
  <c r="M130" i="18"/>
  <c r="AS131" i="18"/>
  <c r="BN131" i="19" s="1"/>
  <c r="AT132" i="18" s="1"/>
  <c r="BB130" i="20"/>
  <c r="Y130" i="19"/>
  <c r="AB131" i="18"/>
  <c r="AC131" i="18"/>
  <c r="S132" i="19" l="1"/>
  <c r="AF132" i="19" s="1"/>
  <c r="F132" i="19" s="1"/>
  <c r="BU132" i="19" s="1"/>
  <c r="AL133" i="18" s="1"/>
  <c r="H133" i="18" s="1"/>
  <c r="X134" i="18" s="1"/>
  <c r="AU132" i="20"/>
  <c r="BF132" i="19"/>
  <c r="AK133" i="18" s="1"/>
  <c r="V133" i="18"/>
  <c r="U133" i="18"/>
  <c r="N131" i="18"/>
  <c r="BZ131" i="19"/>
  <c r="AL130" i="19"/>
  <c r="V131" i="22" s="1"/>
  <c r="O131" i="18"/>
  <c r="G133" i="18" l="1"/>
  <c r="AW133" i="20"/>
  <c r="BH133" i="19"/>
  <c r="AM134" i="18" s="1"/>
  <c r="I134" i="18" s="1"/>
  <c r="U133" i="19"/>
  <c r="AH133" i="19" s="1"/>
  <c r="H133" i="19" s="1"/>
  <c r="R133" i="22" s="1"/>
  <c r="BW133" i="19" s="1"/>
  <c r="AO134" i="18" s="1"/>
  <c r="K134" i="18" s="1"/>
  <c r="W134" i="18"/>
  <c r="L130" i="19"/>
  <c r="T130" i="22" s="1"/>
  <c r="BY130" i="19" s="1"/>
  <c r="AQ131" i="18" s="1"/>
  <c r="BL131" i="19" s="1"/>
  <c r="AR132" i="18" s="1"/>
  <c r="AA131" i="19"/>
  <c r="AE132" i="18"/>
  <c r="AD132" i="18"/>
  <c r="BC131" i="20"/>
  <c r="BM131" i="19"/>
  <c r="Z131" i="19"/>
  <c r="M131" i="19" s="1"/>
  <c r="M131" i="18"/>
  <c r="AC132" i="18" s="1"/>
  <c r="AX134" i="20" l="1"/>
  <c r="BU134" i="19"/>
  <c r="AV133" i="20"/>
  <c r="T133" i="19"/>
  <c r="AG133" i="19" s="1"/>
  <c r="G133" i="19" s="1"/>
  <c r="BV133" i="19" s="1"/>
  <c r="AN134" i="18" s="1"/>
  <c r="J134" i="18" s="1"/>
  <c r="BG133" i="19"/>
  <c r="N132" i="18"/>
  <c r="BZ132" i="19"/>
  <c r="P132" i="18"/>
  <c r="Y131" i="19"/>
  <c r="BB131" i="20"/>
  <c r="AB132" i="18"/>
  <c r="AN131" i="19"/>
  <c r="X132" i="22" s="1"/>
  <c r="BS132" i="19" s="1"/>
  <c r="AJ133" i="18" s="1"/>
  <c r="F133" i="18" l="1"/>
  <c r="N131" i="19"/>
  <c r="U131" i="22" s="1"/>
  <c r="CA131" i="19" s="1"/>
  <c r="AS132" i="18" s="1"/>
  <c r="BN132" i="19" s="1"/>
  <c r="AT133" i="18" s="1"/>
  <c r="AL131" i="19"/>
  <c r="V132" i="22" s="1"/>
  <c r="BC132" i="20"/>
  <c r="Z132" i="19"/>
  <c r="M132" i="19" s="1"/>
  <c r="BM132" i="19"/>
  <c r="BF133" i="19" l="1"/>
  <c r="AK134" i="18" s="1"/>
  <c r="S133" i="19"/>
  <c r="AF133" i="19" s="1"/>
  <c r="F133" i="19" s="1"/>
  <c r="BU133" i="19" s="1"/>
  <c r="AL134" i="18" s="1"/>
  <c r="H134" i="18" s="1"/>
  <c r="AU133" i="20"/>
  <c r="V134" i="18"/>
  <c r="U134" i="18"/>
  <c r="O132" i="18"/>
  <c r="AD133" i="18" s="1"/>
  <c r="L131" i="19"/>
  <c r="T131" i="22" s="1"/>
  <c r="BY131" i="19" s="1"/>
  <c r="AQ132" i="18" s="1"/>
  <c r="G134" i="18" l="1"/>
  <c r="BH134" i="19"/>
  <c r="AM135" i="18" s="1"/>
  <c r="AW134" i="20"/>
  <c r="U134" i="19"/>
  <c r="AH134" i="19" s="1"/>
  <c r="H134" i="19" s="1"/>
  <c r="R134" i="22" s="1"/>
  <c r="BW134" i="19" s="1"/>
  <c r="AO135" i="18" s="1"/>
  <c r="X135" i="18"/>
  <c r="AA132" i="19"/>
  <c r="AE133" i="18"/>
  <c r="P133" i="18" s="1"/>
  <c r="BL132" i="19"/>
  <c r="AR133" i="18" s="1"/>
  <c r="M132" i="18"/>
  <c r="AN132" i="19"/>
  <c r="X133" i="22" s="1"/>
  <c r="BS133" i="19" s="1"/>
  <c r="AJ134" i="18" s="1"/>
  <c r="I135" i="18" l="1"/>
  <c r="AX135" i="20" s="1"/>
  <c r="W135" i="18"/>
  <c r="F134" i="18"/>
  <c r="V135" i="18" s="1"/>
  <c r="BG134" i="19"/>
  <c r="AL135" i="18" s="1"/>
  <c r="AV134" i="20"/>
  <c r="T134" i="19"/>
  <c r="AG134" i="19" s="1"/>
  <c r="G134" i="19" s="1"/>
  <c r="BV134" i="19" s="1"/>
  <c r="AN135" i="18" s="1"/>
  <c r="J135" i="18" s="1"/>
  <c r="N132" i="19"/>
  <c r="U132" i="22" s="1"/>
  <c r="CA132" i="19" s="1"/>
  <c r="AS133" i="18" s="1"/>
  <c r="BN133" i="19" s="1"/>
  <c r="AT134" i="18" s="1"/>
  <c r="Y132" i="19"/>
  <c r="BB132" i="20"/>
  <c r="AC133" i="18"/>
  <c r="AB133" i="18"/>
  <c r="S134" i="19" l="1"/>
  <c r="AF134" i="19" s="1"/>
  <c r="F134" i="19" s="1"/>
  <c r="AU134" i="20"/>
  <c r="BF134" i="19"/>
  <c r="AK135" i="18" s="1"/>
  <c r="G135" i="18" s="1"/>
  <c r="U135" i="18"/>
  <c r="H135" i="18"/>
  <c r="O133" i="18"/>
  <c r="AA133" i="19" s="1"/>
  <c r="N133" i="18"/>
  <c r="BZ133" i="19"/>
  <c r="AL132" i="19"/>
  <c r="V133" i="22" s="1"/>
  <c r="AD134" i="18"/>
  <c r="W136" i="18" l="1"/>
  <c r="T135" i="19"/>
  <c r="AG135" i="19" s="1"/>
  <c r="G135" i="19" s="1"/>
  <c r="BV135" i="19" s="1"/>
  <c r="AN136" i="18" s="1"/>
  <c r="J136" i="18" s="1"/>
  <c r="AV135" i="20"/>
  <c r="BG135" i="19"/>
  <c r="BH135" i="19"/>
  <c r="AM136" i="18" s="1"/>
  <c r="U135" i="19"/>
  <c r="AH135" i="19" s="1"/>
  <c r="H135" i="19" s="1"/>
  <c r="R135" i="22" s="1"/>
  <c r="BW135" i="19" s="1"/>
  <c r="AO136" i="18" s="1"/>
  <c r="AW135" i="20"/>
  <c r="X136" i="18"/>
  <c r="AE134" i="18"/>
  <c r="P134" i="18" s="1"/>
  <c r="L132" i="19"/>
  <c r="T132" i="22" s="1"/>
  <c r="BY132" i="19" s="1"/>
  <c r="AQ133" i="18" s="1"/>
  <c r="BL133" i="19" s="1"/>
  <c r="AR134" i="18" s="1"/>
  <c r="AN133" i="19"/>
  <c r="X134" i="22" s="1"/>
  <c r="BS134" i="19" s="1"/>
  <c r="AJ135" i="18" s="1"/>
  <c r="F135" i="18" s="1"/>
  <c r="BM133" i="19"/>
  <c r="BC133" i="20"/>
  <c r="Z133" i="19"/>
  <c r="M133" i="19" s="1"/>
  <c r="BF135" i="19" l="1"/>
  <c r="AK136" i="18" s="1"/>
  <c r="AU135" i="20"/>
  <c r="S135" i="19"/>
  <c r="AF135" i="19" s="1"/>
  <c r="F135" i="19" s="1"/>
  <c r="BU135" i="19" s="1"/>
  <c r="AL136" i="18" s="1"/>
  <c r="V136" i="18"/>
  <c r="U136" i="18"/>
  <c r="I136" i="18"/>
  <c r="AX136" i="20" s="1"/>
  <c r="M133" i="18"/>
  <c r="BB133" i="20"/>
  <c r="Y133" i="19"/>
  <c r="AC134" i="18"/>
  <c r="AB134" i="18"/>
  <c r="N133" i="19"/>
  <c r="U133" i="22" s="1"/>
  <c r="CA133" i="19" s="1"/>
  <c r="AS134" i="18" s="1"/>
  <c r="H136" i="18" l="1"/>
  <c r="X137" i="18" s="1"/>
  <c r="G136" i="18"/>
  <c r="AL133" i="19"/>
  <c r="V134" i="22" s="1"/>
  <c r="N134" i="18"/>
  <c r="BZ134" i="19"/>
  <c r="BN134" i="19"/>
  <c r="AT135" i="18" s="1"/>
  <c r="O134" i="18"/>
  <c r="AV136" i="20" l="1"/>
  <c r="T136" i="19"/>
  <c r="AG136" i="19" s="1"/>
  <c r="G136" i="19" s="1"/>
  <c r="BV136" i="19" s="1"/>
  <c r="AN137" i="18" s="1"/>
  <c r="BG136" i="19"/>
  <c r="I137" i="18"/>
  <c r="AX137" i="20" s="1"/>
  <c r="U136" i="19"/>
  <c r="AH136" i="19" s="1"/>
  <c r="H136" i="19" s="1"/>
  <c r="R136" i="22" s="1"/>
  <c r="BW136" i="19" s="1"/>
  <c r="AW136" i="20"/>
  <c r="BH136" i="19"/>
  <c r="AM137" i="18" s="1"/>
  <c r="W137" i="18"/>
  <c r="AA134" i="19"/>
  <c r="AD135" i="18"/>
  <c r="AE135" i="18"/>
  <c r="Z134" i="19"/>
  <c r="M134" i="19" s="1"/>
  <c r="BC134" i="20"/>
  <c r="BM134" i="19"/>
  <c r="L133" i="19"/>
  <c r="T133" i="22" s="1"/>
  <c r="BY133" i="19" s="1"/>
  <c r="AQ134" i="18" s="1"/>
  <c r="BU137" i="19" l="1"/>
  <c r="P135" i="18"/>
  <c r="BL134" i="19"/>
  <c r="AR135" i="18" s="1"/>
  <c r="M134" i="18"/>
  <c r="AN134" i="19"/>
  <c r="X135" i="22" s="1"/>
  <c r="BS135" i="19" s="1"/>
  <c r="AJ136" i="18" s="1"/>
  <c r="F136" i="18" l="1"/>
  <c r="N134" i="19"/>
  <c r="U134" i="22" s="1"/>
  <c r="CA134" i="19" s="1"/>
  <c r="AS135" i="18" s="1"/>
  <c r="BN135" i="19" s="1"/>
  <c r="AT136" i="18" s="1"/>
  <c r="BB134" i="20"/>
  <c r="Y134" i="19"/>
  <c r="AC135" i="18"/>
  <c r="AB135" i="18"/>
  <c r="U137" i="18" l="1"/>
  <c r="S136" i="19"/>
  <c r="AF136" i="19" s="1"/>
  <c r="F136" i="19" s="1"/>
  <c r="BU136" i="19" s="1"/>
  <c r="AL137" i="18" s="1"/>
  <c r="H137" i="18" s="1"/>
  <c r="BF136" i="19"/>
  <c r="AK137" i="18" s="1"/>
  <c r="AU136" i="20"/>
  <c r="V137" i="18"/>
  <c r="O135" i="18"/>
  <c r="AA135" i="19" s="1"/>
  <c r="N135" i="18"/>
  <c r="BZ135" i="19"/>
  <c r="AL134" i="19"/>
  <c r="V135" i="22" s="1"/>
  <c r="AE136" i="18" l="1"/>
  <c r="AD136" i="18"/>
  <c r="U137" i="19"/>
  <c r="AH137" i="19" s="1"/>
  <c r="H137" i="19" s="1"/>
  <c r="R137" i="22" s="1"/>
  <c r="BH137" i="19"/>
  <c r="AM138" i="18" s="1"/>
  <c r="AW137" i="20"/>
  <c r="X138" i="18"/>
  <c r="G137" i="18"/>
  <c r="AN135" i="19"/>
  <c r="X136" i="22" s="1"/>
  <c r="BS136" i="19" s="1"/>
  <c r="AJ137" i="18" s="1"/>
  <c r="L134" i="19"/>
  <c r="T134" i="22" s="1"/>
  <c r="BY134" i="19" s="1"/>
  <c r="AQ135" i="18" s="1"/>
  <c r="Z135" i="19"/>
  <c r="M135" i="19" s="1"/>
  <c r="BC135" i="20"/>
  <c r="BM135" i="19"/>
  <c r="P136" i="18"/>
  <c r="BG137" i="19" l="1"/>
  <c r="AL138" i="18" s="1"/>
  <c r="AV137" i="20"/>
  <c r="T137" i="19"/>
  <c r="AG137" i="19" s="1"/>
  <c r="G137" i="19" s="1"/>
  <c r="BV137" i="19" s="1"/>
  <c r="AN138" i="18" s="1"/>
  <c r="J138" i="18" s="1"/>
  <c r="I138" i="18"/>
  <c r="AX138" i="20" s="1"/>
  <c r="F137" i="18"/>
  <c r="V138" i="18" s="1"/>
  <c r="W138" i="18"/>
  <c r="BL135" i="19"/>
  <c r="AR136" i="18" s="1"/>
  <c r="M135" i="18"/>
  <c r="N135" i="19"/>
  <c r="U135" i="22" s="1"/>
  <c r="CA135" i="19" s="1"/>
  <c r="AS136" i="18" s="1"/>
  <c r="AU137" i="20" l="1"/>
  <c r="S137" i="19"/>
  <c r="AF137" i="19" s="1"/>
  <c r="F137" i="19" s="1"/>
  <c r="BF137" i="19"/>
  <c r="AK138" i="18" s="1"/>
  <c r="U138" i="18"/>
  <c r="H138" i="18"/>
  <c r="BU138" i="19"/>
  <c r="BN136" i="19"/>
  <c r="AT137" i="18" s="1"/>
  <c r="O136" i="18"/>
  <c r="Y135" i="19"/>
  <c r="BB135" i="20"/>
  <c r="AB136" i="18"/>
  <c r="AC136" i="18"/>
  <c r="AW138" i="20" l="1"/>
  <c r="BH138" i="19"/>
  <c r="AM139" i="18" s="1"/>
  <c r="U138" i="19"/>
  <c r="AH138" i="19" s="1"/>
  <c r="H138" i="19" s="1"/>
  <c r="R138" i="22" s="1"/>
  <c r="BW138" i="19" s="1"/>
  <c r="AO139" i="18" s="1"/>
  <c r="K139" i="18" s="1"/>
  <c r="X139" i="18"/>
  <c r="G138" i="18"/>
  <c r="AL135" i="19"/>
  <c r="V136" i="22" s="1"/>
  <c r="BZ136" i="19"/>
  <c r="N136" i="18"/>
  <c r="AA136" i="19"/>
  <c r="AD137" i="18"/>
  <c r="AE137" i="18"/>
  <c r="I139" i="18" l="1"/>
  <c r="AX139" i="20" s="1"/>
  <c r="AV138" i="20"/>
  <c r="T138" i="19"/>
  <c r="AG138" i="19" s="1"/>
  <c r="G138" i="19" s="1"/>
  <c r="BV138" i="19" s="1"/>
  <c r="AN139" i="18" s="1"/>
  <c r="BG138" i="19"/>
  <c r="AL139" i="18" s="1"/>
  <c r="W139" i="18"/>
  <c r="P137" i="18"/>
  <c r="Z136" i="19"/>
  <c r="M136" i="19" s="1"/>
  <c r="BC136" i="20"/>
  <c r="BM136" i="19"/>
  <c r="AN136" i="19"/>
  <c r="X137" i="22" s="1"/>
  <c r="BS137" i="19" s="1"/>
  <c r="AJ138" i="18" s="1"/>
  <c r="L135" i="19"/>
  <c r="T135" i="22" s="1"/>
  <c r="BY135" i="19" s="1"/>
  <c r="AQ136" i="18" s="1"/>
  <c r="H139" i="18" l="1"/>
  <c r="BU139" i="19"/>
  <c r="F138" i="18"/>
  <c r="N136" i="19"/>
  <c r="U136" i="22" s="1"/>
  <c r="CA136" i="19" s="1"/>
  <c r="AS137" i="18" s="1"/>
  <c r="BL136" i="19"/>
  <c r="AR137" i="18" s="1"/>
  <c r="M136" i="18"/>
  <c r="AU138" i="20" l="1"/>
  <c r="S138" i="19"/>
  <c r="AF138" i="19" s="1"/>
  <c r="F138" i="19" s="1"/>
  <c r="BF138" i="19"/>
  <c r="AK139" i="18" s="1"/>
  <c r="G139" i="18" s="1"/>
  <c r="U139" i="18"/>
  <c r="V139" i="18"/>
  <c r="X140" i="18"/>
  <c r="AW139" i="20"/>
  <c r="BH139" i="19"/>
  <c r="AM140" i="18" s="1"/>
  <c r="U139" i="19"/>
  <c r="AH139" i="19" s="1"/>
  <c r="H139" i="19" s="1"/>
  <c r="R139" i="22" s="1"/>
  <c r="BW139" i="19" s="1"/>
  <c r="Y136" i="19"/>
  <c r="BB136" i="20"/>
  <c r="AB137" i="18"/>
  <c r="AC137" i="18"/>
  <c r="BN137" i="19"/>
  <c r="AT138" i="18" s="1"/>
  <c r="O137" i="18"/>
  <c r="BG139" i="19" l="1"/>
  <c r="AL140" i="18" s="1"/>
  <c r="AV139" i="20"/>
  <c r="T139" i="19"/>
  <c r="AG139" i="19" s="1"/>
  <c r="G139" i="19" s="1"/>
  <c r="BV139" i="19" s="1"/>
  <c r="AN140" i="18" s="1"/>
  <c r="J140" i="18" s="1"/>
  <c r="W140" i="18"/>
  <c r="I140" i="18"/>
  <c r="AX140" i="20" s="1"/>
  <c r="N137" i="18"/>
  <c r="AD138" i="18" s="1"/>
  <c r="BZ137" i="19"/>
  <c r="AA137" i="19"/>
  <c r="AE138" i="18"/>
  <c r="AL136" i="19"/>
  <c r="V137" i="22" s="1"/>
  <c r="H140" i="18" l="1"/>
  <c r="L136" i="19"/>
  <c r="T136" i="22" s="1"/>
  <c r="BY136" i="19" s="1"/>
  <c r="AQ137" i="18" s="1"/>
  <c r="AN137" i="19"/>
  <c r="X138" i="22" s="1"/>
  <c r="BS138" i="19" s="1"/>
  <c r="AJ139" i="18" s="1"/>
  <c r="P138" i="18"/>
  <c r="BM137" i="19"/>
  <c r="BC137" i="20"/>
  <c r="Z137" i="19"/>
  <c r="M137" i="19" s="1"/>
  <c r="U140" i="19" l="1"/>
  <c r="AH140" i="19" s="1"/>
  <c r="H140" i="19" s="1"/>
  <c r="R140" i="22" s="1"/>
  <c r="BW140" i="19" s="1"/>
  <c r="AW140" i="20"/>
  <c r="BH140" i="19"/>
  <c r="AM141" i="18" s="1"/>
  <c r="X141" i="18"/>
  <c r="F139" i="18"/>
  <c r="N137" i="19"/>
  <c r="U137" i="22" s="1"/>
  <c r="CA137" i="19" s="1"/>
  <c r="AS138" i="18" s="1"/>
  <c r="BL137" i="19"/>
  <c r="AR138" i="18" s="1"/>
  <c r="M137" i="18"/>
  <c r="I141" i="18" l="1"/>
  <c r="AX141" i="20" s="1"/>
  <c r="BF139" i="19"/>
  <c r="AK140" i="18" s="1"/>
  <c r="AU139" i="20"/>
  <c r="S139" i="19"/>
  <c r="AF139" i="19" s="1"/>
  <c r="F139" i="19" s="1"/>
  <c r="U140" i="18"/>
  <c r="V140" i="18"/>
  <c r="BN138" i="19"/>
  <c r="AT139" i="18" s="1"/>
  <c r="O138" i="18"/>
  <c r="Y137" i="19"/>
  <c r="BB137" i="20"/>
  <c r="AB138" i="18"/>
  <c r="AC138" i="18"/>
  <c r="G140" i="18" l="1"/>
  <c r="AL137" i="19"/>
  <c r="V138" i="22" s="1"/>
  <c r="L137" i="19"/>
  <c r="T137" i="22" s="1"/>
  <c r="BY137" i="19" s="1"/>
  <c r="AQ138" i="18" s="1"/>
  <c r="BL138" i="19" s="1"/>
  <c r="AR139" i="18" s="1"/>
  <c r="BZ138" i="19"/>
  <c r="N138" i="18"/>
  <c r="AA138" i="19"/>
  <c r="AE139" i="18"/>
  <c r="AV140" i="20" l="1"/>
  <c r="BG140" i="19"/>
  <c r="T140" i="19"/>
  <c r="AG140" i="19" s="1"/>
  <c r="G140" i="19" s="1"/>
  <c r="BV140" i="19" s="1"/>
  <c r="AN141" i="18" s="1"/>
  <c r="J141" i="18" s="1"/>
  <c r="Y142" i="18" s="1"/>
  <c r="W141" i="18"/>
  <c r="P139" i="18"/>
  <c r="BM138" i="19"/>
  <c r="Z138" i="19"/>
  <c r="M138" i="19" s="1"/>
  <c r="BC138" i="20"/>
  <c r="AD139" i="18"/>
  <c r="AN138" i="19"/>
  <c r="X139" i="22" s="1"/>
  <c r="BS139" i="19" s="1"/>
  <c r="AJ140" i="18" s="1"/>
  <c r="M138" i="18"/>
  <c r="AC139" i="18" s="1"/>
  <c r="N138" i="19" l="1"/>
  <c r="U138" i="22" s="1"/>
  <c r="CA138" i="19" s="1"/>
  <c r="AS139" i="18" s="1"/>
  <c r="O139" i="18" s="1"/>
  <c r="F140" i="18"/>
  <c r="BZ139" i="19"/>
  <c r="N139" i="18"/>
  <c r="Y138" i="19"/>
  <c r="BB138" i="20"/>
  <c r="AB139" i="18"/>
  <c r="BN139" i="19" l="1"/>
  <c r="AT140" i="18" s="1"/>
  <c r="AU140" i="20"/>
  <c r="S140" i="19"/>
  <c r="AF140" i="19" s="1"/>
  <c r="F140" i="19" s="1"/>
  <c r="BU140" i="19" s="1"/>
  <c r="AL141" i="18" s="1"/>
  <c r="H141" i="18" s="1"/>
  <c r="BF140" i="19"/>
  <c r="AK141" i="18" s="1"/>
  <c r="G141" i="18" s="1"/>
  <c r="U141" i="18"/>
  <c r="V141" i="18"/>
  <c r="AD140" i="18"/>
  <c r="AL138" i="19"/>
  <c r="V139" i="22" s="1"/>
  <c r="Z139" i="19"/>
  <c r="M139" i="19" s="1"/>
  <c r="BM139" i="19"/>
  <c r="BC139" i="20"/>
  <c r="AA139" i="19"/>
  <c r="AE140" i="18"/>
  <c r="BG141" i="19" l="1"/>
  <c r="AV141" i="20"/>
  <c r="T141" i="19"/>
  <c r="AG141" i="19" s="1"/>
  <c r="G141" i="19" s="1"/>
  <c r="BV141" i="19" s="1"/>
  <c r="AN142" i="18" s="1"/>
  <c r="J142" i="18" s="1"/>
  <c r="V142" i="19" s="1"/>
  <c r="AI142" i="19" s="1"/>
  <c r="I142" i="19" s="1"/>
  <c r="S142" i="22" s="1"/>
  <c r="AW141" i="20"/>
  <c r="BH141" i="19"/>
  <c r="AM142" i="18" s="1"/>
  <c r="U141" i="19"/>
  <c r="AH141" i="19" s="1"/>
  <c r="H141" i="19" s="1"/>
  <c r="R141" i="22" s="1"/>
  <c r="BW141" i="19" s="1"/>
  <c r="X142" i="18"/>
  <c r="W142" i="18"/>
  <c r="P140" i="18"/>
  <c r="AN139" i="19"/>
  <c r="X140" i="22" s="1"/>
  <c r="BS140" i="19" s="1"/>
  <c r="AJ141" i="18" s="1"/>
  <c r="L138" i="19"/>
  <c r="T138" i="22" s="1"/>
  <c r="BY138" i="19" s="1"/>
  <c r="AQ139" i="18" s="1"/>
  <c r="F141" i="18" l="1"/>
  <c r="I142" i="18"/>
  <c r="AX142" i="20" s="1"/>
  <c r="N139" i="19"/>
  <c r="U139" i="22" s="1"/>
  <c r="CA139" i="19" s="1"/>
  <c r="AS140" i="18" s="1"/>
  <c r="BN140" i="19" s="1"/>
  <c r="AT141" i="18" s="1"/>
  <c r="BL139" i="19"/>
  <c r="AR140" i="18" s="1"/>
  <c r="M139" i="18"/>
  <c r="BF141" i="19" l="1"/>
  <c r="AK142" i="18" s="1"/>
  <c r="S141" i="19"/>
  <c r="AF141" i="19" s="1"/>
  <c r="F141" i="19" s="1"/>
  <c r="BU141" i="19" s="1"/>
  <c r="AL142" i="18" s="1"/>
  <c r="AU141" i="20"/>
  <c r="V142" i="18"/>
  <c r="U142" i="18"/>
  <c r="O140" i="18"/>
  <c r="AA140" i="19" s="1"/>
  <c r="Y139" i="19"/>
  <c r="BB139" i="20"/>
  <c r="AB140" i="18"/>
  <c r="AC140" i="18"/>
  <c r="AE141" i="18" l="1"/>
  <c r="G142" i="18"/>
  <c r="H142" i="18"/>
  <c r="P141" i="18"/>
  <c r="N140" i="18"/>
  <c r="BZ140" i="19"/>
  <c r="AN140" i="19"/>
  <c r="X141" i="22" s="1"/>
  <c r="BS141" i="19" s="1"/>
  <c r="AJ142" i="18" s="1"/>
  <c r="AL139" i="19"/>
  <c r="V140" i="22" s="1"/>
  <c r="AV142" i="20" l="1"/>
  <c r="T142" i="19"/>
  <c r="AG142" i="19" s="1"/>
  <c r="G142" i="19" s="1"/>
  <c r="BV142" i="19" s="1"/>
  <c r="AN143" i="18" s="1"/>
  <c r="J143" i="18" s="1"/>
  <c r="Y144" i="18" s="1"/>
  <c r="BG142" i="19"/>
  <c r="F142" i="18"/>
  <c r="AW142" i="20"/>
  <c r="U142" i="19"/>
  <c r="AH142" i="19" s="1"/>
  <c r="H142" i="19" s="1"/>
  <c r="R142" i="22" s="1"/>
  <c r="BH142" i="19"/>
  <c r="AM143" i="18" s="1"/>
  <c r="X143" i="18"/>
  <c r="W143" i="18"/>
  <c r="L139" i="19"/>
  <c r="T139" i="22" s="1"/>
  <c r="BY139" i="19" s="1"/>
  <c r="AQ140" i="18" s="1"/>
  <c r="N140" i="19"/>
  <c r="U140" i="22" s="1"/>
  <c r="CA140" i="19" s="1"/>
  <c r="BM140" i="19"/>
  <c r="Z140" i="19"/>
  <c r="M140" i="19" s="1"/>
  <c r="BC140" i="20"/>
  <c r="AD141" i="18"/>
  <c r="BF142" i="19" l="1"/>
  <c r="AK143" i="18" s="1"/>
  <c r="S142" i="19"/>
  <c r="AF142" i="19" s="1"/>
  <c r="F142" i="19" s="1"/>
  <c r="BU142" i="19" s="1"/>
  <c r="AL143" i="18" s="1"/>
  <c r="H143" i="18" s="1"/>
  <c r="AU142" i="20"/>
  <c r="U143" i="18"/>
  <c r="V143" i="18"/>
  <c r="I143" i="18"/>
  <c r="AX143" i="20" s="1"/>
  <c r="AS141" i="18"/>
  <c r="BN141" i="19" s="1"/>
  <c r="AT142" i="18" s="1"/>
  <c r="BL140" i="19"/>
  <c r="AR141" i="18" s="1"/>
  <c r="M140" i="18"/>
  <c r="AW143" i="20" l="1"/>
  <c r="BH143" i="19"/>
  <c r="AM144" i="18" s="1"/>
  <c r="U143" i="19"/>
  <c r="AH143" i="19" s="1"/>
  <c r="H143" i="19" s="1"/>
  <c r="R143" i="22" s="1"/>
  <c r="BW143" i="19" s="1"/>
  <c r="AO144" i="18" s="1"/>
  <c r="G143" i="18"/>
  <c r="X144" i="18"/>
  <c r="BB140" i="20"/>
  <c r="Y140" i="19"/>
  <c r="AC141" i="18"/>
  <c r="AB141" i="18"/>
  <c r="O141" i="18"/>
  <c r="I144" i="18" l="1"/>
  <c r="AX144" i="20" s="1"/>
  <c r="BG143" i="19"/>
  <c r="T143" i="19"/>
  <c r="AG143" i="19" s="1"/>
  <c r="G143" i="19" s="1"/>
  <c r="BV143" i="19" s="1"/>
  <c r="AN144" i="18" s="1"/>
  <c r="J144" i="18" s="1"/>
  <c r="Y145" i="18" s="1"/>
  <c r="AV143" i="20"/>
  <c r="W144" i="18"/>
  <c r="AA141" i="19"/>
  <c r="AE142" i="18"/>
  <c r="N141" i="18"/>
  <c r="BZ141" i="19"/>
  <c r="AL140" i="19"/>
  <c r="V141" i="22" s="1"/>
  <c r="L140" i="19" l="1"/>
  <c r="T140" i="22" s="1"/>
  <c r="BY140" i="19" s="1"/>
  <c r="AQ141" i="18" s="1"/>
  <c r="BL141" i="19" s="1"/>
  <c r="AR142" i="18" s="1"/>
  <c r="P142" i="18"/>
  <c r="AN141" i="19"/>
  <c r="X142" i="22" s="1"/>
  <c r="BS142" i="19" s="1"/>
  <c r="AJ143" i="18" s="1"/>
  <c r="BM141" i="19"/>
  <c r="BC141" i="20"/>
  <c r="Z141" i="19"/>
  <c r="M141" i="19" s="1"/>
  <c r="AD142" i="18"/>
  <c r="F143" i="18" l="1"/>
  <c r="N141" i="19"/>
  <c r="U141" i="22" s="1"/>
  <c r="CA141" i="19" s="1"/>
  <c r="AS142" i="18" s="1"/>
  <c r="BN142" i="19" s="1"/>
  <c r="AT143" i="18" s="1"/>
  <c r="M141" i="18"/>
  <c r="Y141" i="19"/>
  <c r="BB141" i="20"/>
  <c r="AB142" i="18"/>
  <c r="AC142" i="18"/>
  <c r="S143" i="19" l="1"/>
  <c r="AF143" i="19" s="1"/>
  <c r="F143" i="19" s="1"/>
  <c r="BU143" i="19" s="1"/>
  <c r="AL144" i="18" s="1"/>
  <c r="BF143" i="19"/>
  <c r="AK144" i="18" s="1"/>
  <c r="AU143" i="20"/>
  <c r="U144" i="18"/>
  <c r="V144" i="18"/>
  <c r="O142" i="18"/>
  <c r="BZ142" i="19"/>
  <c r="N142" i="18"/>
  <c r="AL141" i="19"/>
  <c r="V142" i="22" s="1"/>
  <c r="L141" i="19"/>
  <c r="T141" i="22" s="1"/>
  <c r="BY141" i="19" s="1"/>
  <c r="AQ142" i="18" s="1"/>
  <c r="BL142" i="19" s="1"/>
  <c r="AR143" i="18" s="1"/>
  <c r="G144" i="18" l="1"/>
  <c r="H144" i="18"/>
  <c r="AA142" i="19"/>
  <c r="AE143" i="18"/>
  <c r="P143" i="18" s="1"/>
  <c r="M142" i="18"/>
  <c r="BM142" i="19"/>
  <c r="Z142" i="19"/>
  <c r="M142" i="19" s="1"/>
  <c r="BC142" i="20"/>
  <c r="AD143" i="18"/>
  <c r="U144" i="19" l="1"/>
  <c r="AH144" i="19" s="1"/>
  <c r="H144" i="19" s="1"/>
  <c r="R144" i="22" s="1"/>
  <c r="BW144" i="19" s="1"/>
  <c r="AO145" i="18" s="1"/>
  <c r="K145" i="18" s="1"/>
  <c r="BH144" i="19"/>
  <c r="AM145" i="18" s="1"/>
  <c r="AW144" i="20"/>
  <c r="W145" i="18"/>
  <c r="X145" i="18"/>
  <c r="AV144" i="20"/>
  <c r="BG144" i="19"/>
  <c r="T144" i="19"/>
  <c r="AG144" i="19" s="1"/>
  <c r="G144" i="19" s="1"/>
  <c r="BV144" i="19" s="1"/>
  <c r="AN145" i="18" s="1"/>
  <c r="J145" i="18" s="1"/>
  <c r="AN142" i="19"/>
  <c r="X143" i="22" s="1"/>
  <c r="BS143" i="19" s="1"/>
  <c r="AJ144" i="18" s="1"/>
  <c r="BB142" i="20"/>
  <c r="Y142" i="19"/>
  <c r="AC143" i="18"/>
  <c r="AB143" i="18"/>
  <c r="F144" i="18" l="1"/>
  <c r="I145" i="18"/>
  <c r="AX145" i="20" s="1"/>
  <c r="N142" i="19"/>
  <c r="U142" i="22" s="1"/>
  <c r="CA142" i="19" s="1"/>
  <c r="AS143" i="18" s="1"/>
  <c r="BN143" i="19" s="1"/>
  <c r="AT144" i="18" s="1"/>
  <c r="AL142" i="19"/>
  <c r="V143" i="22" s="1"/>
  <c r="BZ143" i="19"/>
  <c r="N143" i="18"/>
  <c r="S144" i="19" l="1"/>
  <c r="AF144" i="19" s="1"/>
  <c r="F144" i="19" s="1"/>
  <c r="BU144" i="19" s="1"/>
  <c r="AL145" i="18" s="1"/>
  <c r="H145" i="18" s="1"/>
  <c r="BF144" i="19"/>
  <c r="AK145" i="18" s="1"/>
  <c r="AU144" i="20"/>
  <c r="U145" i="18"/>
  <c r="V145" i="18"/>
  <c r="O143" i="18"/>
  <c r="BC143" i="20"/>
  <c r="Z143" i="19"/>
  <c r="M143" i="19" s="1"/>
  <c r="BM143" i="19"/>
  <c r="AD144" i="18"/>
  <c r="L142" i="19"/>
  <c r="T142" i="22" s="1"/>
  <c r="BY142" i="19" s="1"/>
  <c r="AQ143" i="18" s="1"/>
  <c r="G145" i="18" l="1"/>
  <c r="AW145" i="20"/>
  <c r="U145" i="19"/>
  <c r="AH145" i="19" s="1"/>
  <c r="H145" i="19" s="1"/>
  <c r="R145" i="22" s="1"/>
  <c r="BW145" i="19" s="1"/>
  <c r="AO146" i="18" s="1"/>
  <c r="K146" i="18" s="1"/>
  <c r="BH145" i="19"/>
  <c r="AM146" i="18" s="1"/>
  <c r="W146" i="18"/>
  <c r="X146" i="18"/>
  <c r="AA143" i="19"/>
  <c r="AE144" i="18"/>
  <c r="P144" i="18" s="1"/>
  <c r="BL143" i="19"/>
  <c r="AR144" i="18" s="1"/>
  <c r="M143" i="18"/>
  <c r="I146" i="18" l="1"/>
  <c r="AX146" i="20" s="1"/>
  <c r="T145" i="19"/>
  <c r="AG145" i="19" s="1"/>
  <c r="G145" i="19" s="1"/>
  <c r="BV145" i="19" s="1"/>
  <c r="AN146" i="18" s="1"/>
  <c r="AV145" i="20"/>
  <c r="BG145" i="19"/>
  <c r="AN143" i="19"/>
  <c r="X144" i="22" s="1"/>
  <c r="BS144" i="19" s="1"/>
  <c r="AJ145" i="18" s="1"/>
  <c r="Y143" i="19"/>
  <c r="BB143" i="20"/>
  <c r="AB144" i="18"/>
  <c r="AC144" i="18"/>
  <c r="N143" i="19" l="1"/>
  <c r="U143" i="22" s="1"/>
  <c r="CA143" i="19" s="1"/>
  <c r="AS144" i="18" s="1"/>
  <c r="BN144" i="19" s="1"/>
  <c r="AT145" i="18" s="1"/>
  <c r="F145" i="18"/>
  <c r="N144" i="18"/>
  <c r="BZ144" i="19"/>
  <c r="AL143" i="19"/>
  <c r="V144" i="22" s="1"/>
  <c r="O144" i="18" l="1"/>
  <c r="AE145" i="18"/>
  <c r="S145" i="19"/>
  <c r="AF145" i="19" s="1"/>
  <c r="F145" i="19" s="1"/>
  <c r="BU145" i="19" s="1"/>
  <c r="AL146" i="18" s="1"/>
  <c r="H146" i="18" s="1"/>
  <c r="BF145" i="19"/>
  <c r="AK146" i="18" s="1"/>
  <c r="AU145" i="20"/>
  <c r="U146" i="18"/>
  <c r="V146" i="18"/>
  <c r="L143" i="19"/>
  <c r="T143" i="22" s="1"/>
  <c r="BY143" i="19" s="1"/>
  <c r="AQ144" i="18" s="1"/>
  <c r="BL144" i="19" s="1"/>
  <c r="AR145" i="18" s="1"/>
  <c r="P145" i="18"/>
  <c r="BC144" i="20"/>
  <c r="Z144" i="19"/>
  <c r="M144" i="19" s="1"/>
  <c r="BM144" i="19"/>
  <c r="AA144" i="19" l="1"/>
  <c r="AD145" i="18"/>
  <c r="G146" i="18"/>
  <c r="W147" i="18" s="1"/>
  <c r="AW146" i="20"/>
  <c r="U146" i="19"/>
  <c r="AH146" i="19" s="1"/>
  <c r="H146" i="19" s="1"/>
  <c r="R146" i="22" s="1"/>
  <c r="BW146" i="19" s="1"/>
  <c r="AO147" i="18" s="1"/>
  <c r="BH146" i="19"/>
  <c r="AM147" i="18" s="1"/>
  <c r="X147" i="18"/>
  <c r="M144" i="18"/>
  <c r="BB144" i="20"/>
  <c r="Y144" i="19"/>
  <c r="AC145" i="18"/>
  <c r="AB145" i="18"/>
  <c r="AN144" i="19" l="1"/>
  <c r="X145" i="22" s="1"/>
  <c r="BS145" i="19" s="1"/>
  <c r="AJ146" i="18" s="1"/>
  <c r="F146" i="18" s="1"/>
  <c r="V147" i="18" s="1"/>
  <c r="BG146" i="19"/>
  <c r="AV146" i="20"/>
  <c r="T146" i="19"/>
  <c r="AG146" i="19" s="1"/>
  <c r="G146" i="19" s="1"/>
  <c r="BV146" i="19" s="1"/>
  <c r="AN147" i="18" s="1"/>
  <c r="J147" i="18" s="1"/>
  <c r="V147" i="19" s="1"/>
  <c r="AI147" i="19" s="1"/>
  <c r="I147" i="19" s="1"/>
  <c r="S147" i="22" s="1"/>
  <c r="BX147" i="19" s="1"/>
  <c r="I147" i="18"/>
  <c r="AX147" i="20" s="1"/>
  <c r="BZ145" i="19"/>
  <c r="N145" i="18"/>
  <c r="AL144" i="19"/>
  <c r="V145" i="22" s="1"/>
  <c r="L144" i="19"/>
  <c r="T144" i="22" s="1"/>
  <c r="BY144" i="19" s="1"/>
  <c r="AQ145" i="18" s="1"/>
  <c r="BL145" i="19" s="1"/>
  <c r="AR146" i="18" s="1"/>
  <c r="U147" i="18" l="1"/>
  <c r="AU146" i="20"/>
  <c r="N144" i="19"/>
  <c r="U144" i="22" s="1"/>
  <c r="CA144" i="19" s="1"/>
  <c r="AS145" i="18" s="1"/>
  <c r="S146" i="19"/>
  <c r="AF146" i="19" s="1"/>
  <c r="F146" i="19" s="1"/>
  <c r="BU146" i="19" s="1"/>
  <c r="AL147" i="18" s="1"/>
  <c r="H147" i="18" s="1"/>
  <c r="W148" i="18" s="1"/>
  <c r="BF146" i="19"/>
  <c r="AK147" i="18" s="1"/>
  <c r="G147" i="18" s="1"/>
  <c r="AV147" i="20" s="1"/>
  <c r="T147" i="19"/>
  <c r="AG147" i="19" s="1"/>
  <c r="G147" i="19" s="1"/>
  <c r="BV147" i="19" s="1"/>
  <c r="AN148" i="18" s="1"/>
  <c r="J148" i="18" s="1"/>
  <c r="BM145" i="19"/>
  <c r="BC145" i="20"/>
  <c r="Z145" i="19"/>
  <c r="M145" i="19" s="1"/>
  <c r="AC146" i="18"/>
  <c r="M145" i="18"/>
  <c r="U147" i="19" l="1"/>
  <c r="AH147" i="19" s="1"/>
  <c r="H147" i="19" s="1"/>
  <c r="R147" i="22" s="1"/>
  <c r="BW147" i="19" s="1"/>
  <c r="AO148" i="18" s="1"/>
  <c r="BG147" i="19"/>
  <c r="BN145" i="19"/>
  <c r="AT146" i="18" s="1"/>
  <c r="O145" i="18"/>
  <c r="BH147" i="19"/>
  <c r="AM148" i="18" s="1"/>
  <c r="AW147" i="20"/>
  <c r="X148" i="18"/>
  <c r="I148" i="18" s="1"/>
  <c r="AX148" i="20" s="1"/>
  <c r="BB145" i="20"/>
  <c r="Y145" i="19"/>
  <c r="AB146" i="18"/>
  <c r="N146" i="18"/>
  <c r="BZ146" i="19"/>
  <c r="AD146" i="18" l="1"/>
  <c r="AE146" i="18"/>
  <c r="P146" i="18" s="1"/>
  <c r="AA145" i="19"/>
  <c r="BM146" i="19"/>
  <c r="BC146" i="20"/>
  <c r="Z146" i="19"/>
  <c r="M146" i="19" s="1"/>
  <c r="AL145" i="19"/>
  <c r="V146" i="22" s="1"/>
  <c r="AN145" i="19" l="1"/>
  <c r="X146" i="22" s="1"/>
  <c r="BS146" i="19" s="1"/>
  <c r="AJ147" i="18" s="1"/>
  <c r="F147" i="18" s="1"/>
  <c r="N145" i="19"/>
  <c r="U145" i="22" s="1"/>
  <c r="CA145" i="19" s="1"/>
  <c r="AS146" i="18" s="1"/>
  <c r="L145" i="19"/>
  <c r="T145" i="22" s="1"/>
  <c r="BY145" i="19" s="1"/>
  <c r="AQ146" i="18" s="1"/>
  <c r="BN146" i="19" l="1"/>
  <c r="AT147" i="18" s="1"/>
  <c r="O146" i="18"/>
  <c r="AU147" i="20"/>
  <c r="BF147" i="19"/>
  <c r="AK148" i="18" s="1"/>
  <c r="U148" i="18"/>
  <c r="S147" i="19"/>
  <c r="AF147" i="19" s="1"/>
  <c r="F147" i="19" s="1"/>
  <c r="BU147" i="19" s="1"/>
  <c r="AL148" i="18" s="1"/>
  <c r="H148" i="18" s="1"/>
  <c r="V148" i="18"/>
  <c r="BL146" i="19"/>
  <c r="AR147" i="18" s="1"/>
  <c r="M146" i="18"/>
  <c r="G148" i="18" l="1"/>
  <c r="BH148" i="19"/>
  <c r="AM149" i="18" s="1"/>
  <c r="U148" i="19"/>
  <c r="AH148" i="19" s="1"/>
  <c r="H148" i="19" s="1"/>
  <c r="R148" i="22" s="1"/>
  <c r="BW148" i="19" s="1"/>
  <c r="AO149" i="18" s="1"/>
  <c r="K149" i="18" s="1"/>
  <c r="W149" i="18"/>
  <c r="X149" i="18"/>
  <c r="AW148" i="20"/>
  <c r="AD147" i="18"/>
  <c r="AA146" i="19"/>
  <c r="AE147" i="18"/>
  <c r="P147" i="18" s="1"/>
  <c r="Y146" i="19"/>
  <c r="AL146" i="19" s="1"/>
  <c r="BB146" i="20"/>
  <c r="AC147" i="18"/>
  <c r="AB147" i="18"/>
  <c r="AN146" i="19" l="1"/>
  <c r="X147" i="22" s="1"/>
  <c r="BS147" i="19" s="1"/>
  <c r="AJ148" i="18" s="1"/>
  <c r="F148" i="18" s="1"/>
  <c r="N146" i="19"/>
  <c r="U146" i="22" s="1"/>
  <c r="CA146" i="19" s="1"/>
  <c r="AS147" i="18" s="1"/>
  <c r="I149" i="18"/>
  <c r="AX149" i="20" s="1"/>
  <c r="T148" i="19"/>
  <c r="AG148" i="19" s="1"/>
  <c r="G148" i="19" s="1"/>
  <c r="BV148" i="19" s="1"/>
  <c r="AN149" i="18" s="1"/>
  <c r="BG148" i="19"/>
  <c r="AV148" i="20"/>
  <c r="L146" i="19"/>
  <c r="T146" i="22" s="1"/>
  <c r="BY146" i="19" s="1"/>
  <c r="AQ147" i="18" s="1"/>
  <c r="BL147" i="19" s="1"/>
  <c r="AR148" i="18" s="1"/>
  <c r="V147" i="22"/>
  <c r="BZ147" i="19"/>
  <c r="N147" i="18"/>
  <c r="BN147" i="19" l="1"/>
  <c r="AT148" i="18" s="1"/>
  <c r="O147" i="18"/>
  <c r="U149" i="18"/>
  <c r="V149" i="18"/>
  <c r="S148" i="19"/>
  <c r="AF148" i="19" s="1"/>
  <c r="F148" i="19" s="1"/>
  <c r="BU148" i="19" s="1"/>
  <c r="AL149" i="18" s="1"/>
  <c r="H149" i="18" s="1"/>
  <c r="U149" i="19" s="1"/>
  <c r="AH149" i="19" s="1"/>
  <c r="H149" i="19" s="1"/>
  <c r="R149" i="22" s="1"/>
  <c r="BW149" i="19" s="1"/>
  <c r="AO150" i="18" s="1"/>
  <c r="BF148" i="19"/>
  <c r="AK149" i="18" s="1"/>
  <c r="G149" i="18" s="1"/>
  <c r="AU148" i="20"/>
  <c r="BM147" i="19"/>
  <c r="BC147" i="20"/>
  <c r="Z147" i="19"/>
  <c r="M147" i="19" s="1"/>
  <c r="AD148" i="18"/>
  <c r="M147" i="18"/>
  <c r="AW149" i="20" l="1"/>
  <c r="W150" i="18"/>
  <c r="BH149" i="19"/>
  <c r="AM150" i="18" s="1"/>
  <c r="X150" i="18"/>
  <c r="I150" i="18" s="1"/>
  <c r="AX150" i="20" s="1"/>
  <c r="AV149" i="20"/>
  <c r="T149" i="19"/>
  <c r="AG149" i="19" s="1"/>
  <c r="G149" i="19" s="1"/>
  <c r="BV149" i="19" s="1"/>
  <c r="AN150" i="18" s="1"/>
  <c r="J150" i="18" s="1"/>
  <c r="BG149" i="19"/>
  <c r="AA147" i="19"/>
  <c r="AN147" i="19" s="1"/>
  <c r="X148" i="22" s="1"/>
  <c r="BS148" i="19" s="1"/>
  <c r="AJ149" i="18" s="1"/>
  <c r="F149" i="18" s="1"/>
  <c r="AE148" i="18"/>
  <c r="P148" i="18" s="1"/>
  <c r="N147" i="19"/>
  <c r="U147" i="22" s="1"/>
  <c r="CA147" i="19" s="1"/>
  <c r="AS148" i="18" s="1"/>
  <c r="BB147" i="20"/>
  <c r="Y147" i="19"/>
  <c r="AB148" i="18"/>
  <c r="AC148" i="18"/>
  <c r="AU149" i="20" l="1"/>
  <c r="S149" i="19"/>
  <c r="AF149" i="19" s="1"/>
  <c r="F149" i="19" s="1"/>
  <c r="BU149" i="19" s="1"/>
  <c r="AL150" i="18" s="1"/>
  <c r="BF149" i="19"/>
  <c r="AK150" i="18" s="1"/>
  <c r="U150" i="18"/>
  <c r="V150" i="18"/>
  <c r="BN148" i="19"/>
  <c r="AT149" i="18" s="1"/>
  <c r="O148" i="18"/>
  <c r="AE149" i="18" s="1"/>
  <c r="N148" i="18"/>
  <c r="BZ148" i="19"/>
  <c r="AL147" i="19"/>
  <c r="V148" i="22" s="1"/>
  <c r="AA148" i="19"/>
  <c r="G150" i="18" l="1"/>
  <c r="H150" i="18"/>
  <c r="L147" i="19"/>
  <c r="T147" i="22" s="1"/>
  <c r="BY147" i="19" s="1"/>
  <c r="AQ148" i="18" s="1"/>
  <c r="P149" i="18"/>
  <c r="BM148" i="19"/>
  <c r="BC148" i="20"/>
  <c r="Z148" i="19"/>
  <c r="M148" i="19" s="1"/>
  <c r="AN148" i="19"/>
  <c r="X149" i="22" s="1"/>
  <c r="BS149" i="19" s="1"/>
  <c r="AJ150" i="18" s="1"/>
  <c r="F150" i="18" s="1"/>
  <c r="AD149" i="18"/>
  <c r="BF150" i="19" l="1"/>
  <c r="AK151" i="18" s="1"/>
  <c r="AU150" i="20"/>
  <c r="S150" i="19"/>
  <c r="AF150" i="19" s="1"/>
  <c r="F150" i="19" s="1"/>
  <c r="BU150" i="19" s="1"/>
  <c r="U151" i="18"/>
  <c r="V151" i="18"/>
  <c r="U150" i="19"/>
  <c r="AH150" i="19" s="1"/>
  <c r="H150" i="19" s="1"/>
  <c r="R150" i="22" s="1"/>
  <c r="BW150" i="19" s="1"/>
  <c r="AW150" i="20"/>
  <c r="BH150" i="19"/>
  <c r="AM151" i="18" s="1"/>
  <c r="W151" i="18"/>
  <c r="X151" i="18"/>
  <c r="T150" i="19"/>
  <c r="AG150" i="19" s="1"/>
  <c r="G150" i="19" s="1"/>
  <c r="BV150" i="19" s="1"/>
  <c r="AN151" i="18" s="1"/>
  <c r="AV150" i="20"/>
  <c r="BG150" i="19"/>
  <c r="N148" i="19"/>
  <c r="U148" i="22" s="1"/>
  <c r="CA148" i="19" s="1"/>
  <c r="AS149" i="18" s="1"/>
  <c r="BN149" i="19" s="1"/>
  <c r="AT150" i="18" s="1"/>
  <c r="BL148" i="19"/>
  <c r="AR149" i="18" s="1"/>
  <c r="M148" i="18"/>
  <c r="AL151" i="18" l="1"/>
  <c r="H151" i="18" s="1"/>
  <c r="U151" i="19" s="1"/>
  <c r="AH151" i="19" s="1"/>
  <c r="H151" i="19" s="1"/>
  <c r="R151" i="22" s="1"/>
  <c r="BW151" i="19" s="1"/>
  <c r="I151" i="18"/>
  <c r="AX151" i="20" s="1"/>
  <c r="AW151" i="20"/>
  <c r="BU151" i="19"/>
  <c r="G151" i="18"/>
  <c r="O149" i="18"/>
  <c r="AA149" i="19" s="1"/>
  <c r="AN149" i="19" s="1"/>
  <c r="X150" i="22" s="1"/>
  <c r="BS150" i="19" s="1"/>
  <c r="AJ151" i="18" s="1"/>
  <c r="Y148" i="19"/>
  <c r="BB148" i="20"/>
  <c r="AB149" i="18"/>
  <c r="AC149" i="18"/>
  <c r="BH151" i="19" l="1"/>
  <c r="AM152" i="18" s="1"/>
  <c r="AV151" i="20"/>
  <c r="BG151" i="19"/>
  <c r="AL152" i="18" s="1"/>
  <c r="T151" i="19"/>
  <c r="AG151" i="19" s="1"/>
  <c r="G151" i="19" s="1"/>
  <c r="BV151" i="19" s="1"/>
  <c r="AN152" i="18" s="1"/>
  <c r="J152" i="18" s="1"/>
  <c r="W152" i="18"/>
  <c r="X152" i="18"/>
  <c r="F151" i="18"/>
  <c r="N149" i="19"/>
  <c r="U149" i="22" s="1"/>
  <c r="CA149" i="19" s="1"/>
  <c r="AE150" i="18"/>
  <c r="P150" i="18" s="1"/>
  <c r="BZ149" i="19"/>
  <c r="N149" i="18"/>
  <c r="AL148" i="19"/>
  <c r="V149" i="22" s="1"/>
  <c r="H152" i="18" l="1"/>
  <c r="S151" i="19"/>
  <c r="AF151" i="19" s="1"/>
  <c r="F151" i="19" s="1"/>
  <c r="AU151" i="20"/>
  <c r="BF151" i="19"/>
  <c r="AK152" i="18" s="1"/>
  <c r="U152" i="18"/>
  <c r="I152" i="18"/>
  <c r="AX152" i="20" s="1"/>
  <c r="X153" i="18"/>
  <c r="V152" i="18"/>
  <c r="L148" i="19"/>
  <c r="T148" i="22" s="1"/>
  <c r="BY148" i="19" s="1"/>
  <c r="AQ149" i="18" s="1"/>
  <c r="BL149" i="19" s="1"/>
  <c r="AR150" i="18" s="1"/>
  <c r="BC149" i="20"/>
  <c r="Z149" i="19"/>
  <c r="M149" i="19" s="1"/>
  <c r="BM149" i="19"/>
  <c r="AS150" i="18" s="1"/>
  <c r="BN150" i="19" s="1"/>
  <c r="AT151" i="18" s="1"/>
  <c r="AD150" i="18"/>
  <c r="G152" i="18" l="1"/>
  <c r="AW152" i="20"/>
  <c r="BH152" i="19"/>
  <c r="AM153" i="18" s="1"/>
  <c r="I153" i="18" s="1"/>
  <c r="U152" i="19"/>
  <c r="AH152" i="19" s="1"/>
  <c r="H152" i="19" s="1"/>
  <c r="R152" i="22" s="1"/>
  <c r="BW152" i="19" s="1"/>
  <c r="AO153" i="18" s="1"/>
  <c r="M149" i="18"/>
  <c r="AC150" i="18" s="1"/>
  <c r="O150" i="18"/>
  <c r="BB149" i="20"/>
  <c r="AB150" i="18"/>
  <c r="AX153" i="20" l="1"/>
  <c r="W153" i="18"/>
  <c r="T152" i="19"/>
  <c r="AG152" i="19" s="1"/>
  <c r="G152" i="19" s="1"/>
  <c r="BV152" i="19" s="1"/>
  <c r="AN153" i="18" s="1"/>
  <c r="AV152" i="20"/>
  <c r="BG152" i="19"/>
  <c r="Y149" i="19"/>
  <c r="AA150" i="19"/>
  <c r="AE151" i="18"/>
  <c r="AL149" i="19"/>
  <c r="V150" i="22" s="1"/>
  <c r="BZ150" i="19"/>
  <c r="N150" i="18"/>
  <c r="BC150" i="20" l="1"/>
  <c r="Z150" i="19"/>
  <c r="M150" i="19" s="1"/>
  <c r="BM150" i="19"/>
  <c r="P151" i="18"/>
  <c r="AN150" i="19"/>
  <c r="X151" i="22" s="1"/>
  <c r="BS151" i="19" s="1"/>
  <c r="AJ152" i="18" s="1"/>
  <c r="AD151" i="18"/>
  <c r="L149" i="19"/>
  <c r="T149" i="22" s="1"/>
  <c r="BY149" i="19" s="1"/>
  <c r="AQ150" i="18" s="1"/>
  <c r="F152" i="18" l="1"/>
  <c r="N150" i="19"/>
  <c r="U150" i="22" s="1"/>
  <c r="CA150" i="19" s="1"/>
  <c r="AS151" i="18" s="1"/>
  <c r="BN151" i="19" s="1"/>
  <c r="AT152" i="18" s="1"/>
  <c r="BL150" i="19"/>
  <c r="AR151" i="18" s="1"/>
  <c r="M150" i="18"/>
  <c r="BF152" i="19" l="1"/>
  <c r="AK153" i="18" s="1"/>
  <c r="AU152" i="20"/>
  <c r="S152" i="19"/>
  <c r="AF152" i="19" s="1"/>
  <c r="F152" i="19" s="1"/>
  <c r="BU152" i="19" s="1"/>
  <c r="AL153" i="18" s="1"/>
  <c r="U153" i="18"/>
  <c r="V153" i="18"/>
  <c r="O151" i="18"/>
  <c r="AA151" i="19" s="1"/>
  <c r="BB150" i="20"/>
  <c r="Y150" i="19"/>
  <c r="AB151" i="18"/>
  <c r="AC151" i="18"/>
  <c r="AN151" i="19"/>
  <c r="X152" i="22" s="1"/>
  <c r="BS152" i="19" s="1"/>
  <c r="AJ153" i="18" s="1"/>
  <c r="AE152" i="18"/>
  <c r="G153" i="18" l="1"/>
  <c r="F153" i="18"/>
  <c r="U154" i="18" s="1"/>
  <c r="H153" i="18"/>
  <c r="N151" i="19"/>
  <c r="U151" i="22" s="1"/>
  <c r="CA151" i="19" s="1"/>
  <c r="AL150" i="19"/>
  <c r="V151" i="22" s="1"/>
  <c r="P152" i="18"/>
  <c r="N151" i="18"/>
  <c r="BZ151" i="19"/>
  <c r="V154" i="18" l="1"/>
  <c r="S153" i="19"/>
  <c r="AF153" i="19" s="1"/>
  <c r="F153" i="19" s="1"/>
  <c r="BU153" i="19" s="1"/>
  <c r="AU153" i="20"/>
  <c r="BF153" i="19"/>
  <c r="AK154" i="18" s="1"/>
  <c r="G154" i="18" s="1"/>
  <c r="U153" i="19"/>
  <c r="AH153" i="19" s="1"/>
  <c r="H153" i="19" s="1"/>
  <c r="R153" i="22" s="1"/>
  <c r="BW153" i="19" s="1"/>
  <c r="BH153" i="19"/>
  <c r="AM154" i="18" s="1"/>
  <c r="AW153" i="20"/>
  <c r="X154" i="18"/>
  <c r="W154" i="18"/>
  <c r="BG153" i="19"/>
  <c r="AL154" i="18" s="1"/>
  <c r="H154" i="18" s="1"/>
  <c r="T153" i="19"/>
  <c r="AG153" i="19" s="1"/>
  <c r="G153" i="19" s="1"/>
  <c r="BV153" i="19" s="1"/>
  <c r="AN154" i="18" s="1"/>
  <c r="J154" i="18" s="1"/>
  <c r="AV153" i="20"/>
  <c r="L150" i="19"/>
  <c r="T150" i="22" s="1"/>
  <c r="BY150" i="19" s="1"/>
  <c r="AQ151" i="18" s="1"/>
  <c r="BM151" i="19"/>
  <c r="AS152" i="18" s="1"/>
  <c r="BN152" i="19" s="1"/>
  <c r="AT153" i="18" s="1"/>
  <c r="Z151" i="19"/>
  <c r="M151" i="19" s="1"/>
  <c r="BC151" i="20"/>
  <c r="AD152" i="18"/>
  <c r="AV154" i="20" l="1"/>
  <c r="T154" i="19"/>
  <c r="AG154" i="19" s="1"/>
  <c r="G154" i="19" s="1"/>
  <c r="BV154" i="19" s="1"/>
  <c r="AN155" i="18" s="1"/>
  <c r="J155" i="18" s="1"/>
  <c r="BG154" i="19"/>
  <c r="AW154" i="20"/>
  <c r="U154" i="19"/>
  <c r="AH154" i="19" s="1"/>
  <c r="H154" i="19" s="1"/>
  <c r="R154" i="22" s="1"/>
  <c r="BH154" i="19"/>
  <c r="AM155" i="18" s="1"/>
  <c r="W155" i="18"/>
  <c r="I154" i="18"/>
  <c r="AX154" i="20" s="1"/>
  <c r="O152" i="18"/>
  <c r="BL151" i="19"/>
  <c r="AR152" i="18" s="1"/>
  <c r="M151" i="18"/>
  <c r="X155" i="18" l="1"/>
  <c r="I155" i="18" s="1"/>
  <c r="AX155" i="20" s="1"/>
  <c r="Y151" i="19"/>
  <c r="BB151" i="20"/>
  <c r="AC152" i="18"/>
  <c r="AB152" i="18"/>
  <c r="AA152" i="19"/>
  <c r="AE153" i="18"/>
  <c r="P153" i="18" l="1"/>
  <c r="BZ152" i="19"/>
  <c r="N152" i="18"/>
  <c r="AN152" i="19"/>
  <c r="X153" i="22" s="1"/>
  <c r="BS153" i="19" s="1"/>
  <c r="AJ154" i="18" s="1"/>
  <c r="AL151" i="19"/>
  <c r="V152" i="22" s="1"/>
  <c r="F154" i="18" l="1"/>
  <c r="L151" i="19"/>
  <c r="T151" i="22" s="1"/>
  <c r="BY151" i="19" s="1"/>
  <c r="AQ152" i="18" s="1"/>
  <c r="BL152" i="19" s="1"/>
  <c r="AR153" i="18" s="1"/>
  <c r="BM152" i="19"/>
  <c r="BC152" i="20"/>
  <c r="Z152" i="19"/>
  <c r="M152" i="19" s="1"/>
  <c r="AD153" i="18"/>
  <c r="N152" i="19"/>
  <c r="U152" i="22" s="1"/>
  <c r="CA152" i="19" s="1"/>
  <c r="AS153" i="18" s="1"/>
  <c r="BN153" i="19" s="1"/>
  <c r="AT154" i="18" s="1"/>
  <c r="M152" i="18"/>
  <c r="BF154" i="19" l="1"/>
  <c r="AK155" i="18" s="1"/>
  <c r="S154" i="19"/>
  <c r="AF154" i="19" s="1"/>
  <c r="F154" i="19" s="1"/>
  <c r="BU154" i="19" s="1"/>
  <c r="AL155" i="18" s="1"/>
  <c r="AU154" i="20"/>
  <c r="U155" i="18"/>
  <c r="V155" i="18"/>
  <c r="O153" i="18"/>
  <c r="Y152" i="19"/>
  <c r="BB152" i="20"/>
  <c r="AB153" i="18"/>
  <c r="AC153" i="18"/>
  <c r="H155" i="18" l="1"/>
  <c r="G155" i="18"/>
  <c r="AA153" i="19"/>
  <c r="AE154" i="18"/>
  <c r="AL152" i="19"/>
  <c r="V153" i="22" s="1"/>
  <c r="N153" i="18"/>
  <c r="BZ153" i="19"/>
  <c r="T155" i="19" l="1"/>
  <c r="AG155" i="19" s="1"/>
  <c r="G155" i="19" s="1"/>
  <c r="BV155" i="19" s="1"/>
  <c r="AN156" i="18" s="1"/>
  <c r="BG155" i="19"/>
  <c r="AV155" i="20"/>
  <c r="W156" i="18"/>
  <c r="BH155" i="19"/>
  <c r="AM156" i="18" s="1"/>
  <c r="AW155" i="20"/>
  <c r="U155" i="19"/>
  <c r="AH155" i="19" s="1"/>
  <c r="H155" i="19" s="1"/>
  <c r="R155" i="22" s="1"/>
  <c r="BW155" i="19" s="1"/>
  <c r="AO156" i="18" s="1"/>
  <c r="X156" i="18"/>
  <c r="P154" i="18"/>
  <c r="Z153" i="19"/>
  <c r="M153" i="19" s="1"/>
  <c r="BM153" i="19"/>
  <c r="BC153" i="20"/>
  <c r="AN153" i="19"/>
  <c r="X154" i="22" s="1"/>
  <c r="BS154" i="19" s="1"/>
  <c r="AJ155" i="18" s="1"/>
  <c r="AD154" i="18"/>
  <c r="L152" i="19"/>
  <c r="T152" i="22" s="1"/>
  <c r="BY152" i="19" s="1"/>
  <c r="AQ153" i="18" s="1"/>
  <c r="F155" i="18" l="1"/>
  <c r="I156" i="18"/>
  <c r="AX156" i="20" s="1"/>
  <c r="N153" i="19"/>
  <c r="U153" i="22" s="1"/>
  <c r="CA153" i="19" s="1"/>
  <c r="AS154" i="18" s="1"/>
  <c r="BN154" i="19" s="1"/>
  <c r="AT155" i="18" s="1"/>
  <c r="BL153" i="19"/>
  <c r="AR154" i="18" s="1"/>
  <c r="M153" i="18"/>
  <c r="S155" i="19" l="1"/>
  <c r="AF155" i="19" s="1"/>
  <c r="F155" i="19" s="1"/>
  <c r="BU155" i="19" s="1"/>
  <c r="AL156" i="18" s="1"/>
  <c r="H156" i="18" s="1"/>
  <c r="AU155" i="20"/>
  <c r="BF155" i="19"/>
  <c r="AK156" i="18" s="1"/>
  <c r="U156" i="18"/>
  <c r="V156" i="18"/>
  <c r="O154" i="18"/>
  <c r="AA154" i="19" s="1"/>
  <c r="AN154" i="19" s="1"/>
  <c r="X155" i="22" s="1"/>
  <c r="BS155" i="19" s="1"/>
  <c r="AJ156" i="18" s="1"/>
  <c r="Y153" i="19"/>
  <c r="BB153" i="20"/>
  <c r="AB154" i="18"/>
  <c r="AC154" i="18"/>
  <c r="AE155" i="18"/>
  <c r="U156" i="19" l="1"/>
  <c r="AH156" i="19" s="1"/>
  <c r="H156" i="19" s="1"/>
  <c r="R156" i="22" s="1"/>
  <c r="BH156" i="19"/>
  <c r="AM157" i="18" s="1"/>
  <c r="AW156" i="20"/>
  <c r="X157" i="18"/>
  <c r="F156" i="18"/>
  <c r="G156" i="18"/>
  <c r="P155" i="18"/>
  <c r="AL153" i="19"/>
  <c r="V154" i="22" s="1"/>
  <c r="N154" i="18"/>
  <c r="BZ154" i="19"/>
  <c r="N154" i="19"/>
  <c r="U154" i="22" s="1"/>
  <c r="CA154" i="19" s="1"/>
  <c r="T156" i="19" l="1"/>
  <c r="AG156" i="19" s="1"/>
  <c r="G156" i="19" s="1"/>
  <c r="BV156" i="19" s="1"/>
  <c r="AN157" i="18" s="1"/>
  <c r="J157" i="18" s="1"/>
  <c r="AV156" i="20"/>
  <c r="BG156" i="19"/>
  <c r="I157" i="18"/>
  <c r="AX157" i="20" s="1"/>
  <c r="AU156" i="20"/>
  <c r="BF156" i="19"/>
  <c r="AK157" i="18" s="1"/>
  <c r="S156" i="19"/>
  <c r="AF156" i="19" s="1"/>
  <c r="F156" i="19" s="1"/>
  <c r="BU156" i="19" s="1"/>
  <c r="V157" i="18"/>
  <c r="U157" i="18"/>
  <c r="W157" i="18"/>
  <c r="L153" i="19"/>
  <c r="T153" i="22" s="1"/>
  <c r="BY153" i="19" s="1"/>
  <c r="AQ154" i="18" s="1"/>
  <c r="BM154" i="19"/>
  <c r="AS155" i="18" s="1"/>
  <c r="BN155" i="19" s="1"/>
  <c r="AT156" i="18" s="1"/>
  <c r="Z154" i="19"/>
  <c r="M154" i="19" s="1"/>
  <c r="BC154" i="20"/>
  <c r="AD155" i="18"/>
  <c r="AL157" i="18" l="1"/>
  <c r="H157" i="18" s="1"/>
  <c r="G157" i="18"/>
  <c r="O155" i="18"/>
  <c r="BL154" i="19"/>
  <c r="AR155" i="18" s="1"/>
  <c r="M154" i="18"/>
  <c r="W158" i="18" l="1"/>
  <c r="X158" i="18"/>
  <c r="T157" i="19"/>
  <c r="AG157" i="19" s="1"/>
  <c r="G157" i="19" s="1"/>
  <c r="BV157" i="19" s="1"/>
  <c r="AN158" i="18" s="1"/>
  <c r="AV157" i="20"/>
  <c r="BG157" i="19"/>
  <c r="U157" i="19"/>
  <c r="AH157" i="19" s="1"/>
  <c r="H157" i="19" s="1"/>
  <c r="R157" i="22" s="1"/>
  <c r="BW157" i="19" s="1"/>
  <c r="AO158" i="18" s="1"/>
  <c r="BH157" i="19"/>
  <c r="AM158" i="18" s="1"/>
  <c r="I158" i="18" s="1"/>
  <c r="AW157" i="20"/>
  <c r="AA155" i="19"/>
  <c r="AE156" i="18"/>
  <c r="BB154" i="20"/>
  <c r="Y154" i="19"/>
  <c r="AB155" i="18"/>
  <c r="AC155" i="18"/>
  <c r="AX158" i="20" l="1"/>
  <c r="BZ155" i="19"/>
  <c r="N155" i="18"/>
  <c r="P156" i="18"/>
  <c r="AN155" i="19"/>
  <c r="X156" i="22" s="1"/>
  <c r="BS156" i="19" s="1"/>
  <c r="AJ157" i="18" s="1"/>
  <c r="AL154" i="19"/>
  <c r="V155" i="22" s="1"/>
  <c r="L154" i="19"/>
  <c r="T154" i="22" s="1"/>
  <c r="BY154" i="19" s="1"/>
  <c r="AQ155" i="18" s="1"/>
  <c r="BL155" i="19" s="1"/>
  <c r="AR156" i="18" s="1"/>
  <c r="F157" i="18" l="1"/>
  <c r="N155" i="19"/>
  <c r="U155" i="22" s="1"/>
  <c r="CA155" i="19" s="1"/>
  <c r="M155" i="18"/>
  <c r="BC155" i="20"/>
  <c r="BM155" i="19"/>
  <c r="Z155" i="19"/>
  <c r="M155" i="19" s="1"/>
  <c r="AD156" i="18"/>
  <c r="AS156" i="18" l="1"/>
  <c r="BN156" i="19" s="1"/>
  <c r="AT157" i="18" s="1"/>
  <c r="U158" i="18"/>
  <c r="AU157" i="20"/>
  <c r="BF157" i="19"/>
  <c r="AK158" i="18" s="1"/>
  <c r="S157" i="19"/>
  <c r="AF157" i="19" s="1"/>
  <c r="F157" i="19" s="1"/>
  <c r="BU157" i="19" s="1"/>
  <c r="AL158" i="18" s="1"/>
  <c r="H158" i="18" s="1"/>
  <c r="V158" i="18"/>
  <c r="O156" i="18"/>
  <c r="Y155" i="19"/>
  <c r="BB155" i="20"/>
  <c r="AC156" i="18"/>
  <c r="AB156" i="18"/>
  <c r="AW158" i="20" l="1"/>
  <c r="BH158" i="19"/>
  <c r="AM159" i="18" s="1"/>
  <c r="U158" i="19"/>
  <c r="AH158" i="19" s="1"/>
  <c r="H158" i="19" s="1"/>
  <c r="R158" i="22" s="1"/>
  <c r="BW158" i="19" s="1"/>
  <c r="AO159" i="18" s="1"/>
  <c r="X159" i="18"/>
  <c r="G158" i="18"/>
  <c r="W159" i="18" s="1"/>
  <c r="AL155" i="19"/>
  <c r="V156" i="22" s="1"/>
  <c r="BZ156" i="19"/>
  <c r="N156" i="18"/>
  <c r="AA156" i="19"/>
  <c r="AE157" i="18"/>
  <c r="AV158" i="20" l="1"/>
  <c r="BG158" i="19"/>
  <c r="T158" i="19"/>
  <c r="AG158" i="19" s="1"/>
  <c r="G158" i="19" s="1"/>
  <c r="BV158" i="19" s="1"/>
  <c r="AN159" i="18" s="1"/>
  <c r="J159" i="18" s="1"/>
  <c r="I159" i="18"/>
  <c r="AX159" i="20" s="1"/>
  <c r="AN156" i="19"/>
  <c r="X157" i="22" s="1"/>
  <c r="BS157" i="19" s="1"/>
  <c r="AJ158" i="18" s="1"/>
  <c r="BC156" i="20"/>
  <c r="Z156" i="19"/>
  <c r="M156" i="19" s="1"/>
  <c r="BM156" i="19"/>
  <c r="AD157" i="18"/>
  <c r="P157" i="18"/>
  <c r="L155" i="19"/>
  <c r="T155" i="22" s="1"/>
  <c r="BY155" i="19" s="1"/>
  <c r="AQ156" i="18" s="1"/>
  <c r="F158" i="18" l="1"/>
  <c r="N156" i="19"/>
  <c r="U156" i="22" s="1"/>
  <c r="CA156" i="19" s="1"/>
  <c r="AS157" i="18" s="1"/>
  <c r="BN157" i="19" s="1"/>
  <c r="AT158" i="18" s="1"/>
  <c r="BL156" i="19"/>
  <c r="AR157" i="18" s="1"/>
  <c r="M156" i="18"/>
  <c r="BF158" i="19" l="1"/>
  <c r="AK159" i="18" s="1"/>
  <c r="S158" i="19"/>
  <c r="AF158" i="19" s="1"/>
  <c r="F158" i="19" s="1"/>
  <c r="BU158" i="19" s="1"/>
  <c r="AL159" i="18" s="1"/>
  <c r="H159" i="18" s="1"/>
  <c r="AU158" i="20"/>
  <c r="U159" i="18"/>
  <c r="V159" i="18"/>
  <c r="Y156" i="19"/>
  <c r="BB156" i="20"/>
  <c r="AB157" i="18"/>
  <c r="AC157" i="18"/>
  <c r="O157" i="18"/>
  <c r="U159" i="19" l="1"/>
  <c r="AH159" i="19" s="1"/>
  <c r="H159" i="19" s="1"/>
  <c r="R159" i="22" s="1"/>
  <c r="BW159" i="19" s="1"/>
  <c r="BH159" i="19"/>
  <c r="AM160" i="18" s="1"/>
  <c r="AW159" i="20"/>
  <c r="X160" i="18"/>
  <c r="G159" i="18"/>
  <c r="BZ157" i="19"/>
  <c r="N157" i="18"/>
  <c r="AA157" i="19"/>
  <c r="AE158" i="18"/>
  <c r="AD158" i="18"/>
  <c r="AL156" i="19"/>
  <c r="V157" i="22" s="1"/>
  <c r="AV159" i="20" l="1"/>
  <c r="T159" i="19"/>
  <c r="AG159" i="19" s="1"/>
  <c r="G159" i="19" s="1"/>
  <c r="BV159" i="19" s="1"/>
  <c r="AN160" i="18" s="1"/>
  <c r="J160" i="18" s="1"/>
  <c r="Y161" i="18" s="1"/>
  <c r="BG159" i="19"/>
  <c r="I160" i="18"/>
  <c r="AX160" i="20" s="1"/>
  <c r="W160" i="18"/>
  <c r="P158" i="18"/>
  <c r="AN157" i="19"/>
  <c r="X158" i="22" s="1"/>
  <c r="BS158" i="19" s="1"/>
  <c r="AJ159" i="18" s="1"/>
  <c r="N157" i="19"/>
  <c r="U157" i="22" s="1"/>
  <c r="CA157" i="19" s="1"/>
  <c r="AS158" i="18" s="1"/>
  <c r="BN158" i="19" s="1"/>
  <c r="AT159" i="18" s="1"/>
  <c r="BC157" i="20"/>
  <c r="Z157" i="19"/>
  <c r="M157" i="19" s="1"/>
  <c r="BM157" i="19"/>
  <c r="L156" i="19"/>
  <c r="T156" i="22" s="1"/>
  <c r="BY156" i="19" s="1"/>
  <c r="AQ157" i="18" s="1"/>
  <c r="F159" i="18" l="1"/>
  <c r="O158" i="18"/>
  <c r="BL157" i="19"/>
  <c r="AR158" i="18" s="1"/>
  <c r="M157" i="18"/>
  <c r="S159" i="19" l="1"/>
  <c r="AF159" i="19" s="1"/>
  <c r="F159" i="19" s="1"/>
  <c r="BU159" i="19" s="1"/>
  <c r="AL160" i="18" s="1"/>
  <c r="AU159" i="20"/>
  <c r="BF159" i="19"/>
  <c r="AK160" i="18" s="1"/>
  <c r="U160" i="18"/>
  <c r="V160" i="18"/>
  <c r="AA158" i="19"/>
  <c r="Y157" i="19"/>
  <c r="BB157" i="20"/>
  <c r="AB158" i="18"/>
  <c r="AC158" i="18"/>
  <c r="AE159" i="18"/>
  <c r="G160" i="18" l="1"/>
  <c r="H160" i="18"/>
  <c r="P159" i="18"/>
  <c r="AL157" i="19"/>
  <c r="V158" i="22" s="1"/>
  <c r="BZ158" i="19"/>
  <c r="N158" i="18"/>
  <c r="AN158" i="19"/>
  <c r="X159" i="22" s="1"/>
  <c r="BS159" i="19" s="1"/>
  <c r="AJ160" i="18" s="1"/>
  <c r="F160" i="18" s="1"/>
  <c r="V161" i="18" l="1"/>
  <c r="AU160" i="20"/>
  <c r="S160" i="19"/>
  <c r="AF160" i="19" s="1"/>
  <c r="F160" i="19" s="1"/>
  <c r="BU160" i="19" s="1"/>
  <c r="BF160" i="19"/>
  <c r="AK161" i="18" s="1"/>
  <c r="G161" i="18" s="1"/>
  <c r="U161" i="18"/>
  <c r="U160" i="19"/>
  <c r="AH160" i="19" s="1"/>
  <c r="H160" i="19" s="1"/>
  <c r="R160" i="22" s="1"/>
  <c r="BW160" i="19" s="1"/>
  <c r="AO161" i="18" s="1"/>
  <c r="K161" i="18" s="1"/>
  <c r="BH160" i="19"/>
  <c r="AM161" i="18" s="1"/>
  <c r="AW160" i="20"/>
  <c r="W161" i="18"/>
  <c r="X161" i="18"/>
  <c r="AV160" i="20"/>
  <c r="T160" i="19"/>
  <c r="AG160" i="19" s="1"/>
  <c r="G160" i="19" s="1"/>
  <c r="BV160" i="19" s="1"/>
  <c r="AN161" i="18" s="1"/>
  <c r="BG160" i="19"/>
  <c r="N158" i="19"/>
  <c r="U158" i="22" s="1"/>
  <c r="CA158" i="19" s="1"/>
  <c r="L157" i="19"/>
  <c r="T157" i="22" s="1"/>
  <c r="BY157" i="19" s="1"/>
  <c r="AQ158" i="18" s="1"/>
  <c r="BM158" i="19"/>
  <c r="Z158" i="19"/>
  <c r="M158" i="19" s="1"/>
  <c r="BC158" i="20"/>
  <c r="AD159" i="18"/>
  <c r="AL161" i="18" l="1"/>
  <c r="AS159" i="18"/>
  <c r="BN159" i="19" s="1"/>
  <c r="AT160" i="18" s="1"/>
  <c r="I161" i="18"/>
  <c r="AX161" i="20" s="1"/>
  <c r="T161" i="19"/>
  <c r="AG161" i="19" s="1"/>
  <c r="G161" i="19" s="1"/>
  <c r="BV161" i="19" s="1"/>
  <c r="AN162" i="18" s="1"/>
  <c r="BG161" i="19"/>
  <c r="AV161" i="20"/>
  <c r="BL158" i="19"/>
  <c r="AR159" i="18" s="1"/>
  <c r="M158" i="18"/>
  <c r="H161" i="18" l="1"/>
  <c r="O159" i="18"/>
  <c r="AE160" i="18" s="1"/>
  <c r="Y158" i="19"/>
  <c r="BB158" i="20"/>
  <c r="AB159" i="18"/>
  <c r="AC159" i="18"/>
  <c r="AA159" i="19"/>
  <c r="U161" i="19" l="1"/>
  <c r="AH161" i="19" s="1"/>
  <c r="H161" i="19" s="1"/>
  <c r="R161" i="22" s="1"/>
  <c r="BW161" i="19" s="1"/>
  <c r="AW161" i="20"/>
  <c r="BH161" i="19"/>
  <c r="AM162" i="18" s="1"/>
  <c r="X162" i="18"/>
  <c r="W162" i="18"/>
  <c r="BZ159" i="19"/>
  <c r="N159" i="18"/>
  <c r="P160" i="18"/>
  <c r="AN159" i="19"/>
  <c r="X160" i="22" s="1"/>
  <c r="BS160" i="19" s="1"/>
  <c r="AJ161" i="18" s="1"/>
  <c r="AL158" i="19"/>
  <c r="V159" i="22" s="1"/>
  <c r="I162" i="18" l="1"/>
  <c r="AX162" i="20" s="1"/>
  <c r="F161" i="18"/>
  <c r="L158" i="19"/>
  <c r="T158" i="22" s="1"/>
  <c r="BY158" i="19" s="1"/>
  <c r="AQ159" i="18" s="1"/>
  <c r="BC159" i="20"/>
  <c r="BM159" i="19"/>
  <c r="Z159" i="19"/>
  <c r="M159" i="19" s="1"/>
  <c r="AD160" i="18"/>
  <c r="N159" i="19"/>
  <c r="U159" i="22" s="1"/>
  <c r="CA159" i="19" s="1"/>
  <c r="U162" i="18" l="1"/>
  <c r="S161" i="19"/>
  <c r="AF161" i="19" s="1"/>
  <c r="F161" i="19" s="1"/>
  <c r="BU161" i="19" s="1"/>
  <c r="AL162" i="18" s="1"/>
  <c r="H162" i="18" s="1"/>
  <c r="BF161" i="19"/>
  <c r="AK162" i="18" s="1"/>
  <c r="AU161" i="20"/>
  <c r="V162" i="18"/>
  <c r="AS160" i="18"/>
  <c r="BN160" i="19" s="1"/>
  <c r="AT161" i="18" s="1"/>
  <c r="BL159" i="19"/>
  <c r="AR160" i="18" s="1"/>
  <c r="M159" i="18"/>
  <c r="G162" i="18" l="1"/>
  <c r="W163" i="18" s="1"/>
  <c r="U162" i="19"/>
  <c r="AH162" i="19" s="1"/>
  <c r="H162" i="19" s="1"/>
  <c r="R162" i="22" s="1"/>
  <c r="BW162" i="19" s="1"/>
  <c r="AW162" i="20"/>
  <c r="BH162" i="19"/>
  <c r="AM163" i="18" s="1"/>
  <c r="X163" i="18"/>
  <c r="O160" i="18"/>
  <c r="AA160" i="19" s="1"/>
  <c r="Y159" i="19"/>
  <c r="BB159" i="20"/>
  <c r="AB160" i="18"/>
  <c r="AC160" i="18"/>
  <c r="AE161" i="18" l="1"/>
  <c r="I163" i="18"/>
  <c r="AX163" i="20" s="1"/>
  <c r="T162" i="19"/>
  <c r="AG162" i="19" s="1"/>
  <c r="G162" i="19" s="1"/>
  <c r="BV162" i="19" s="1"/>
  <c r="AN163" i="18" s="1"/>
  <c r="J163" i="18" s="1"/>
  <c r="AV162" i="20"/>
  <c r="BG162" i="19"/>
  <c r="P161" i="18"/>
  <c r="AN160" i="19"/>
  <c r="X161" i="22" s="1"/>
  <c r="BS161" i="19" s="1"/>
  <c r="AJ162" i="18" s="1"/>
  <c r="AL159" i="19"/>
  <c r="V160" i="22" s="1"/>
  <c r="N160" i="18"/>
  <c r="BZ160" i="19"/>
  <c r="F162" i="18" l="1"/>
  <c r="BC160" i="20"/>
  <c r="Z160" i="19"/>
  <c r="M160" i="19" s="1"/>
  <c r="BM160" i="19"/>
  <c r="AD161" i="18"/>
  <c r="L159" i="19"/>
  <c r="T159" i="22" s="1"/>
  <c r="BY159" i="19" s="1"/>
  <c r="AQ160" i="18" s="1"/>
  <c r="N160" i="19"/>
  <c r="U160" i="22" s="1"/>
  <c r="CA160" i="19" s="1"/>
  <c r="AS161" i="18" s="1"/>
  <c r="BN161" i="19" s="1"/>
  <c r="AT162" i="18" s="1"/>
  <c r="S162" i="19" l="1"/>
  <c r="AF162" i="19" s="1"/>
  <c r="F162" i="19" s="1"/>
  <c r="BU162" i="19" s="1"/>
  <c r="AL163" i="18" s="1"/>
  <c r="AU162" i="20"/>
  <c r="BF162" i="19"/>
  <c r="AK163" i="18" s="1"/>
  <c r="U163" i="18"/>
  <c r="V163" i="18"/>
  <c r="BL160" i="19"/>
  <c r="AR161" i="18" s="1"/>
  <c r="M160" i="18"/>
  <c r="O161" i="18"/>
  <c r="G163" i="18" l="1"/>
  <c r="H163" i="18"/>
  <c r="AA161" i="19"/>
  <c r="AE162" i="18"/>
  <c r="Y160" i="19"/>
  <c r="BB160" i="20"/>
  <c r="AB161" i="18"/>
  <c r="AC161" i="18"/>
  <c r="W164" i="18" l="1"/>
  <c r="AW163" i="20"/>
  <c r="BH163" i="19"/>
  <c r="AM164" i="18" s="1"/>
  <c r="U163" i="19"/>
  <c r="AH163" i="19" s="1"/>
  <c r="H163" i="19" s="1"/>
  <c r="R163" i="22" s="1"/>
  <c r="BW163" i="19" s="1"/>
  <c r="AO164" i="18" s="1"/>
  <c r="X164" i="18"/>
  <c r="T163" i="19"/>
  <c r="AG163" i="19" s="1"/>
  <c r="G163" i="19" s="1"/>
  <c r="BV163" i="19" s="1"/>
  <c r="AN164" i="18" s="1"/>
  <c r="BG163" i="19"/>
  <c r="AV163" i="20"/>
  <c r="AL160" i="19"/>
  <c r="V161" i="22" s="1"/>
  <c r="N161" i="18"/>
  <c r="BZ161" i="19"/>
  <c r="P162" i="18"/>
  <c r="AN161" i="19"/>
  <c r="X162" i="22" s="1"/>
  <c r="BS162" i="19" s="1"/>
  <c r="AJ163" i="18" s="1"/>
  <c r="F163" i="18" l="1"/>
  <c r="I164" i="18"/>
  <c r="AX164" i="20" s="1"/>
  <c r="N161" i="19"/>
  <c r="U161" i="22" s="1"/>
  <c r="CA161" i="19" s="1"/>
  <c r="AS162" i="18" s="1"/>
  <c r="BN162" i="19" s="1"/>
  <c r="AT163" i="18" s="1"/>
  <c r="Z161" i="19"/>
  <c r="M161" i="19" s="1"/>
  <c r="BM161" i="19"/>
  <c r="BC161" i="20"/>
  <c r="AD162" i="18"/>
  <c r="L160" i="19"/>
  <c r="T160" i="22" s="1"/>
  <c r="BY160" i="19" s="1"/>
  <c r="AQ161" i="18" s="1"/>
  <c r="S163" i="19" l="1"/>
  <c r="AF163" i="19" s="1"/>
  <c r="F163" i="19" s="1"/>
  <c r="BU163" i="19" s="1"/>
  <c r="AL164" i="18" s="1"/>
  <c r="H164" i="18" s="1"/>
  <c r="AU163" i="20"/>
  <c r="BF163" i="19"/>
  <c r="AK164" i="18" s="1"/>
  <c r="U164" i="18"/>
  <c r="V164" i="18"/>
  <c r="BL161" i="19"/>
  <c r="AR162" i="18" s="1"/>
  <c r="M161" i="18"/>
  <c r="O162" i="18"/>
  <c r="G164" i="18" l="1"/>
  <c r="BH164" i="19"/>
  <c r="AM165" i="18" s="1"/>
  <c r="U164" i="19"/>
  <c r="AH164" i="19" s="1"/>
  <c r="H164" i="19" s="1"/>
  <c r="R164" i="22" s="1"/>
  <c r="BW164" i="19" s="1"/>
  <c r="AW164" i="20"/>
  <c r="X165" i="18"/>
  <c r="W165" i="18"/>
  <c r="AA162" i="19"/>
  <c r="AE163" i="18"/>
  <c r="BB161" i="20"/>
  <c r="Y161" i="19"/>
  <c r="AB162" i="18"/>
  <c r="AC162" i="18"/>
  <c r="I165" i="18" l="1"/>
  <c r="AX165" i="20" s="1"/>
  <c r="AV164" i="20"/>
  <c r="T164" i="19"/>
  <c r="AG164" i="19" s="1"/>
  <c r="G164" i="19" s="1"/>
  <c r="BV164" i="19" s="1"/>
  <c r="AN165" i="18" s="1"/>
  <c r="BG164" i="19"/>
  <c r="AL161" i="19"/>
  <c r="V162" i="22" s="1"/>
  <c r="P163" i="18"/>
  <c r="N162" i="18"/>
  <c r="BZ162" i="19"/>
  <c r="AN162" i="19"/>
  <c r="X163" i="22" s="1"/>
  <c r="BS163" i="19" s="1"/>
  <c r="AJ164" i="18" s="1"/>
  <c r="F164" i="18" l="1"/>
  <c r="N162" i="19"/>
  <c r="U162" i="22" s="1"/>
  <c r="CA162" i="19" s="1"/>
  <c r="L161" i="19"/>
  <c r="T161" i="22" s="1"/>
  <c r="BY161" i="19" s="1"/>
  <c r="AQ162" i="18" s="1"/>
  <c r="BM162" i="19"/>
  <c r="AS163" i="18" s="1"/>
  <c r="BN163" i="19" s="1"/>
  <c r="AT164" i="18" s="1"/>
  <c r="BC162" i="20"/>
  <c r="Z162" i="19"/>
  <c r="M162" i="19" s="1"/>
  <c r="AD163" i="18"/>
  <c r="AU164" i="20" l="1"/>
  <c r="S164" i="19"/>
  <c r="AF164" i="19" s="1"/>
  <c r="F164" i="19" s="1"/>
  <c r="BU164" i="19" s="1"/>
  <c r="AL165" i="18" s="1"/>
  <c r="H165" i="18" s="1"/>
  <c r="BF164" i="19"/>
  <c r="AK165" i="18" s="1"/>
  <c r="U165" i="18"/>
  <c r="V165" i="18"/>
  <c r="BL162" i="19"/>
  <c r="AR163" i="18" s="1"/>
  <c r="M162" i="18"/>
  <c r="O163" i="18"/>
  <c r="G165" i="18" l="1"/>
  <c r="BH165" i="19"/>
  <c r="AM166" i="18" s="1"/>
  <c r="AW165" i="20"/>
  <c r="U165" i="19"/>
  <c r="AH165" i="19" s="1"/>
  <c r="H165" i="19" s="1"/>
  <c r="R165" i="22" s="1"/>
  <c r="BW165" i="19" s="1"/>
  <c r="X166" i="18"/>
  <c r="W166" i="18"/>
  <c r="BB162" i="20"/>
  <c r="AB163" i="18"/>
  <c r="AC163" i="18"/>
  <c r="Y162" i="19"/>
  <c r="AL162" i="19" s="1"/>
  <c r="V163" i="22" s="1"/>
  <c r="AA163" i="19"/>
  <c r="AE164" i="18"/>
  <c r="L162" i="19"/>
  <c r="T162" i="22" s="1"/>
  <c r="BY162" i="19" s="1"/>
  <c r="AQ163" i="18" s="1"/>
  <c r="AV165" i="20" l="1"/>
  <c r="T165" i="19"/>
  <c r="AG165" i="19" s="1"/>
  <c r="G165" i="19" s="1"/>
  <c r="BV165" i="19" s="1"/>
  <c r="AN166" i="18" s="1"/>
  <c r="J166" i="18" s="1"/>
  <c r="BG165" i="19"/>
  <c r="I166" i="18"/>
  <c r="AX166" i="20" s="1"/>
  <c r="N163" i="18"/>
  <c r="BZ163" i="19"/>
  <c r="BL163" i="19"/>
  <c r="AR164" i="18" s="1"/>
  <c r="M163" i="18"/>
  <c r="AN163" i="19"/>
  <c r="X164" i="22" s="1"/>
  <c r="BS164" i="19" s="1"/>
  <c r="AJ165" i="18" s="1"/>
  <c r="N163" i="19"/>
  <c r="U163" i="22" s="1"/>
  <c r="CA163" i="19" s="1"/>
  <c r="P164" i="18"/>
  <c r="F165" i="18" l="1"/>
  <c r="AD164" i="18"/>
  <c r="BC163" i="20"/>
  <c r="BM163" i="19"/>
  <c r="AS164" i="18" s="1"/>
  <c r="Z163" i="19"/>
  <c r="M163" i="19" s="1"/>
  <c r="BB163" i="20"/>
  <c r="Y163" i="19"/>
  <c r="AB164" i="18"/>
  <c r="AC164" i="18"/>
  <c r="AU165" i="20" l="1"/>
  <c r="S165" i="19"/>
  <c r="AF165" i="19" s="1"/>
  <c r="F165" i="19" s="1"/>
  <c r="BU165" i="19" s="1"/>
  <c r="AL166" i="18" s="1"/>
  <c r="BF165" i="19"/>
  <c r="AK166" i="18" s="1"/>
  <c r="U166" i="18"/>
  <c r="V166" i="18"/>
  <c r="BN164" i="19"/>
  <c r="AT165" i="18" s="1"/>
  <c r="O164" i="18"/>
  <c r="AA164" i="19" s="1"/>
  <c r="BZ164" i="19"/>
  <c r="N164" i="18"/>
  <c r="AL163" i="19"/>
  <c r="V164" i="22" s="1"/>
  <c r="AE165" i="18"/>
  <c r="H166" i="18" l="1"/>
  <c r="G166" i="18"/>
  <c r="AN164" i="19"/>
  <c r="X165" i="22" s="1"/>
  <c r="BS165" i="19" s="1"/>
  <c r="AJ166" i="18" s="1"/>
  <c r="Z164" i="19"/>
  <c r="M164" i="19" s="1"/>
  <c r="BC164" i="20"/>
  <c r="BM164" i="19"/>
  <c r="P165" i="18"/>
  <c r="L163" i="19"/>
  <c r="T163" i="22" s="1"/>
  <c r="BY163" i="19" s="1"/>
  <c r="AQ164" i="18" s="1"/>
  <c r="AD165" i="18"/>
  <c r="N164" i="19" l="1"/>
  <c r="U164" i="22" s="1"/>
  <c r="CA164" i="19" s="1"/>
  <c r="AS165" i="18" s="1"/>
  <c r="BN165" i="19" s="1"/>
  <c r="AT166" i="18" s="1"/>
  <c r="X167" i="18"/>
  <c r="BH166" i="19"/>
  <c r="AM167" i="18" s="1"/>
  <c r="I167" i="18" s="1"/>
  <c r="AX167" i="20" s="1"/>
  <c r="AW166" i="20"/>
  <c r="U166" i="19"/>
  <c r="AH166" i="19" s="1"/>
  <c r="H166" i="19" s="1"/>
  <c r="R166" i="22" s="1"/>
  <c r="BW166" i="19" s="1"/>
  <c r="AO167" i="18" s="1"/>
  <c r="K167" i="18" s="1"/>
  <c r="W167" i="18"/>
  <c r="AV166" i="20"/>
  <c r="T166" i="19"/>
  <c r="AG166" i="19" s="1"/>
  <c r="G166" i="19" s="1"/>
  <c r="BV166" i="19" s="1"/>
  <c r="AN167" i="18" s="1"/>
  <c r="J167" i="18" s="1"/>
  <c r="Y168" i="18" s="1"/>
  <c r="BG166" i="19"/>
  <c r="F166" i="18"/>
  <c r="BL164" i="19"/>
  <c r="AR165" i="18" s="1"/>
  <c r="M164" i="18"/>
  <c r="O165" i="18" l="1"/>
  <c r="AA165" i="19" s="1"/>
  <c r="BF166" i="19"/>
  <c r="AK167" i="18" s="1"/>
  <c r="S166" i="19"/>
  <c r="AF166" i="19" s="1"/>
  <c r="F166" i="19" s="1"/>
  <c r="BU166" i="19" s="1"/>
  <c r="AU166" i="20"/>
  <c r="U167" i="18"/>
  <c r="AL167" i="18"/>
  <c r="V167" i="18"/>
  <c r="AN165" i="19"/>
  <c r="X166" i="22" s="1"/>
  <c r="BS166" i="19" s="1"/>
  <c r="AJ167" i="18" s="1"/>
  <c r="Y164" i="19"/>
  <c r="BB164" i="20"/>
  <c r="AB165" i="18"/>
  <c r="AC165" i="18"/>
  <c r="AE166" i="18"/>
  <c r="F167" i="18" l="1"/>
  <c r="U168" i="18" s="1"/>
  <c r="G167" i="18"/>
  <c r="H167" i="18"/>
  <c r="N165" i="19"/>
  <c r="U165" i="22" s="1"/>
  <c r="CA165" i="19" s="1"/>
  <c r="P166" i="18"/>
  <c r="AL164" i="19"/>
  <c r="V165" i="22" s="1"/>
  <c r="N165" i="18"/>
  <c r="BZ165" i="19"/>
  <c r="T167" i="19" l="1"/>
  <c r="AG167" i="19" s="1"/>
  <c r="G167" i="19" s="1"/>
  <c r="BV167" i="19" s="1"/>
  <c r="AN168" i="18" s="1"/>
  <c r="J168" i="18" s="1"/>
  <c r="AV167" i="20"/>
  <c r="BG167" i="19"/>
  <c r="X168" i="18"/>
  <c r="BH167" i="19"/>
  <c r="AM168" i="18" s="1"/>
  <c r="AW167" i="20"/>
  <c r="U167" i="19"/>
  <c r="AH167" i="19" s="1"/>
  <c r="H167" i="19" s="1"/>
  <c r="R167" i="22" s="1"/>
  <c r="BW167" i="19" s="1"/>
  <c r="AO168" i="18" s="1"/>
  <c r="K168" i="18" s="1"/>
  <c r="W168" i="18"/>
  <c r="V168" i="18"/>
  <c r="BF167" i="19"/>
  <c r="AK168" i="18" s="1"/>
  <c r="AU167" i="20"/>
  <c r="S167" i="19"/>
  <c r="AF167" i="19" s="1"/>
  <c r="F167" i="19" s="1"/>
  <c r="BU167" i="19" s="1"/>
  <c r="L164" i="19"/>
  <c r="T164" i="22" s="1"/>
  <c r="BY164" i="19" s="1"/>
  <c r="AQ165" i="18" s="1"/>
  <c r="BL165" i="19" s="1"/>
  <c r="AR166" i="18" s="1"/>
  <c r="BC165" i="20"/>
  <c r="BM165" i="19"/>
  <c r="AS166" i="18" s="1"/>
  <c r="BN166" i="19" s="1"/>
  <c r="AT167" i="18" s="1"/>
  <c r="Z165" i="19"/>
  <c r="M165" i="19" s="1"/>
  <c r="AD166" i="18"/>
  <c r="G168" i="18" l="1"/>
  <c r="AL168" i="18"/>
  <c r="BU168" i="19"/>
  <c r="I168" i="18"/>
  <c r="AX168" i="20" s="1"/>
  <c r="M165" i="18"/>
  <c r="O166" i="18"/>
  <c r="Y165" i="19"/>
  <c r="BB165" i="20"/>
  <c r="AB166" i="18"/>
  <c r="AC166" i="18"/>
  <c r="H168" i="18" l="1"/>
  <c r="T168" i="19"/>
  <c r="AG168" i="19" s="1"/>
  <c r="G168" i="19" s="1"/>
  <c r="BV168" i="19" s="1"/>
  <c r="AN169" i="18" s="1"/>
  <c r="J169" i="18" s="1"/>
  <c r="AV168" i="20"/>
  <c r="BG168" i="19"/>
  <c r="AL169" i="18" s="1"/>
  <c r="AA166" i="19"/>
  <c r="AE167" i="18"/>
  <c r="AL165" i="19"/>
  <c r="V166" i="22" s="1"/>
  <c r="N166" i="18"/>
  <c r="BZ166" i="19"/>
  <c r="W169" i="18" l="1"/>
  <c r="H169" i="18" s="1"/>
  <c r="AW168" i="20"/>
  <c r="BH168" i="19"/>
  <c r="AM169" i="18" s="1"/>
  <c r="U168" i="19"/>
  <c r="AH168" i="19" s="1"/>
  <c r="H168" i="19" s="1"/>
  <c r="R168" i="22" s="1"/>
  <c r="BW168" i="19" s="1"/>
  <c r="AO169" i="18" s="1"/>
  <c r="K169" i="18" s="1"/>
  <c r="Z170" i="18" s="1"/>
  <c r="X169" i="18"/>
  <c r="P167" i="18"/>
  <c r="Z166" i="19"/>
  <c r="M166" i="19" s="1"/>
  <c r="BM166" i="19"/>
  <c r="BC166" i="20"/>
  <c r="AN166" i="19"/>
  <c r="X167" i="22" s="1"/>
  <c r="BS167" i="19" s="1"/>
  <c r="AJ168" i="18" s="1"/>
  <c r="AD167" i="18"/>
  <c r="L165" i="19"/>
  <c r="T165" i="22" s="1"/>
  <c r="BY165" i="19" s="1"/>
  <c r="AQ166" i="18" s="1"/>
  <c r="I169" i="18" l="1"/>
  <c r="AX169" i="20" s="1"/>
  <c r="AW169" i="20"/>
  <c r="U169" i="19"/>
  <c r="AH169" i="19" s="1"/>
  <c r="H169" i="19" s="1"/>
  <c r="R169" i="22" s="1"/>
  <c r="BW169" i="19" s="1"/>
  <c r="AO170" i="18" s="1"/>
  <c r="K170" i="18" s="1"/>
  <c r="BH169" i="19"/>
  <c r="AM170" i="18" s="1"/>
  <c r="F168" i="18"/>
  <c r="N166" i="19"/>
  <c r="U166" i="22" s="1"/>
  <c r="CA166" i="19" s="1"/>
  <c r="AS167" i="18" s="1"/>
  <c r="O167" i="18" s="1"/>
  <c r="AA167" i="19" s="1"/>
  <c r="BL166" i="19"/>
  <c r="AR167" i="18" s="1"/>
  <c r="M166" i="18"/>
  <c r="X170" i="18" l="1"/>
  <c r="I170" i="18"/>
  <c r="AX170" i="20" s="1"/>
  <c r="AU168" i="20"/>
  <c r="S168" i="19"/>
  <c r="AF168" i="19" s="1"/>
  <c r="F168" i="19" s="1"/>
  <c r="BF168" i="19"/>
  <c r="AK169" i="18" s="1"/>
  <c r="U169" i="18"/>
  <c r="V169" i="18"/>
  <c r="BN167" i="19"/>
  <c r="AT168" i="18" s="1"/>
  <c r="BB166" i="20"/>
  <c r="Y166" i="19"/>
  <c r="AB167" i="18"/>
  <c r="AC167" i="18"/>
  <c r="AN167" i="19"/>
  <c r="X168" i="22" s="1"/>
  <c r="BS168" i="19" s="1"/>
  <c r="AJ169" i="18" s="1"/>
  <c r="AE168" i="18"/>
  <c r="G169" i="18" l="1"/>
  <c r="F169" i="18"/>
  <c r="U170" i="18" s="1"/>
  <c r="N167" i="19"/>
  <c r="U167" i="22" s="1"/>
  <c r="CA167" i="19" s="1"/>
  <c r="AL166" i="19"/>
  <c r="V167" i="22" s="1"/>
  <c r="N167" i="18"/>
  <c r="BZ167" i="19"/>
  <c r="P168" i="18"/>
  <c r="V170" i="18" l="1"/>
  <c r="AV169" i="20"/>
  <c r="BG169" i="19"/>
  <c r="T169" i="19"/>
  <c r="AG169" i="19" s="1"/>
  <c r="G169" i="19" s="1"/>
  <c r="BV169" i="19" s="1"/>
  <c r="AN170" i="18" s="1"/>
  <c r="J170" i="18" s="1"/>
  <c r="Y171" i="18" s="1"/>
  <c r="W170" i="18"/>
  <c r="AU169" i="20"/>
  <c r="BF169" i="19"/>
  <c r="AK170" i="18" s="1"/>
  <c r="S169" i="19"/>
  <c r="AF169" i="19" s="1"/>
  <c r="F169" i="19" s="1"/>
  <c r="BU169" i="19" s="1"/>
  <c r="L166" i="19"/>
  <c r="T166" i="22" s="1"/>
  <c r="BY166" i="19" s="1"/>
  <c r="AQ167" i="18" s="1"/>
  <c r="BL167" i="19" s="1"/>
  <c r="AR168" i="18" s="1"/>
  <c r="BC167" i="20"/>
  <c r="BM167" i="19"/>
  <c r="AS168" i="18" s="1"/>
  <c r="BN168" i="19" s="1"/>
  <c r="AT169" i="18" s="1"/>
  <c r="Z167" i="19"/>
  <c r="M167" i="19" s="1"/>
  <c r="AD168" i="18"/>
  <c r="AL170" i="18" l="1"/>
  <c r="H170" i="18" s="1"/>
  <c r="BU170" i="19"/>
  <c r="G170" i="18"/>
  <c r="M167" i="18"/>
  <c r="O168" i="18"/>
  <c r="Y167" i="19"/>
  <c r="BB167" i="20"/>
  <c r="AB168" i="18"/>
  <c r="AC168" i="18"/>
  <c r="W171" i="18" l="1"/>
  <c r="BU171" i="19" s="1"/>
  <c r="AW170" i="20"/>
  <c r="U170" i="19"/>
  <c r="AH170" i="19" s="1"/>
  <c r="H170" i="19" s="1"/>
  <c r="R170" i="22" s="1"/>
  <c r="BW170" i="19" s="1"/>
  <c r="AO171" i="18" s="1"/>
  <c r="K171" i="18" s="1"/>
  <c r="BH170" i="19"/>
  <c r="AM171" i="18" s="1"/>
  <c r="X171" i="18"/>
  <c r="AV170" i="20"/>
  <c r="BG170" i="19"/>
  <c r="AL171" i="18" s="1"/>
  <c r="T170" i="19"/>
  <c r="AG170" i="19" s="1"/>
  <c r="G170" i="19" s="1"/>
  <c r="BV170" i="19" s="1"/>
  <c r="AN171" i="18" s="1"/>
  <c r="J171" i="18" s="1"/>
  <c r="AL167" i="19"/>
  <c r="V168" i="22" s="1"/>
  <c r="BZ168" i="19"/>
  <c r="N168" i="18"/>
  <c r="AA168" i="19"/>
  <c r="AE169" i="18"/>
  <c r="I171" i="18" l="1"/>
  <c r="AX171" i="20" s="1"/>
  <c r="H171" i="18"/>
  <c r="BC168" i="20"/>
  <c r="Z168" i="19"/>
  <c r="M168" i="19" s="1"/>
  <c r="BM168" i="19"/>
  <c r="AD169" i="18"/>
  <c r="P169" i="18"/>
  <c r="AN168" i="19"/>
  <c r="X169" i="22" s="1"/>
  <c r="BS169" i="19" s="1"/>
  <c r="AJ170" i="18" s="1"/>
  <c r="N168" i="19"/>
  <c r="U168" i="22" s="1"/>
  <c r="CA168" i="19" s="1"/>
  <c r="AS169" i="18" s="1"/>
  <c r="BN169" i="19" s="1"/>
  <c r="AT170" i="18" s="1"/>
  <c r="L167" i="19"/>
  <c r="T167" i="22" s="1"/>
  <c r="BY167" i="19" s="1"/>
  <c r="AQ168" i="18" s="1"/>
  <c r="X172" i="18" l="1"/>
  <c r="F170" i="18"/>
  <c r="BH171" i="19"/>
  <c r="AM172" i="18" s="1"/>
  <c r="I172" i="18" s="1"/>
  <c r="AX172" i="20" s="1"/>
  <c r="U171" i="19"/>
  <c r="AH171" i="19" s="1"/>
  <c r="H171" i="19" s="1"/>
  <c r="R171" i="22" s="1"/>
  <c r="BW171" i="19" s="1"/>
  <c r="AO172" i="18" s="1"/>
  <c r="K172" i="18" s="1"/>
  <c r="AW171" i="20"/>
  <c r="BL168" i="19"/>
  <c r="AR169" i="18" s="1"/>
  <c r="M168" i="18"/>
  <c r="O169" i="18"/>
  <c r="U171" i="18" l="1"/>
  <c r="BF170" i="19"/>
  <c r="AK171" i="18" s="1"/>
  <c r="G171" i="18" s="1"/>
  <c r="S170" i="19"/>
  <c r="AF170" i="19" s="1"/>
  <c r="F170" i="19" s="1"/>
  <c r="AU170" i="20"/>
  <c r="V171" i="18"/>
  <c r="AA169" i="19"/>
  <c r="AE170" i="18"/>
  <c r="Y168" i="19"/>
  <c r="BB168" i="20"/>
  <c r="AB169" i="18"/>
  <c r="AC169" i="18"/>
  <c r="AV171" i="20" l="1"/>
  <c r="BG171" i="19"/>
  <c r="AL172" i="18" s="1"/>
  <c r="T171" i="19"/>
  <c r="AG171" i="19" s="1"/>
  <c r="G171" i="19" s="1"/>
  <c r="BV171" i="19" s="1"/>
  <c r="AN172" i="18" s="1"/>
  <c r="W172" i="18"/>
  <c r="AL168" i="19"/>
  <c r="V169" i="22" s="1"/>
  <c r="P170" i="18"/>
  <c r="AN169" i="19"/>
  <c r="X170" i="22" s="1"/>
  <c r="BS170" i="19" s="1"/>
  <c r="AJ171" i="18" s="1"/>
  <c r="N169" i="18"/>
  <c r="BZ169" i="19"/>
  <c r="H172" i="18" l="1"/>
  <c r="F171" i="18"/>
  <c r="L168" i="19"/>
  <c r="T168" i="22" s="1"/>
  <c r="BY168" i="19" s="1"/>
  <c r="AQ169" i="18" s="1"/>
  <c r="BL169" i="19" s="1"/>
  <c r="AR170" i="18" s="1"/>
  <c r="N169" i="19"/>
  <c r="U169" i="22" s="1"/>
  <c r="CA169" i="19" s="1"/>
  <c r="Z169" i="19"/>
  <c r="M169" i="19" s="1"/>
  <c r="BM169" i="19"/>
  <c r="BC169" i="20"/>
  <c r="AD170" i="18"/>
  <c r="AU171" i="20" l="1"/>
  <c r="S171" i="19"/>
  <c r="AF171" i="19" s="1"/>
  <c r="F171" i="19" s="1"/>
  <c r="BF171" i="19"/>
  <c r="AK172" i="18" s="1"/>
  <c r="V172" i="18"/>
  <c r="U172" i="18"/>
  <c r="AS170" i="18"/>
  <c r="BN170" i="19" s="1"/>
  <c r="AT171" i="18" s="1"/>
  <c r="U172" i="19"/>
  <c r="AH172" i="19" s="1"/>
  <c r="H172" i="19" s="1"/>
  <c r="R172" i="22" s="1"/>
  <c r="BW172" i="19" s="1"/>
  <c r="AO173" i="18" s="1"/>
  <c r="AW172" i="20"/>
  <c r="BH172" i="19"/>
  <c r="AM173" i="18" s="1"/>
  <c r="X173" i="18"/>
  <c r="M169" i="18"/>
  <c r="Y169" i="19"/>
  <c r="BB169" i="20"/>
  <c r="AB170" i="18"/>
  <c r="AC170" i="18"/>
  <c r="I173" i="18" l="1"/>
  <c r="AX173" i="20" s="1"/>
  <c r="G172" i="18"/>
  <c r="O170" i="18"/>
  <c r="AA170" i="19" s="1"/>
  <c r="N170" i="18"/>
  <c r="BZ170" i="19"/>
  <c r="AL169" i="19"/>
  <c r="V170" i="22" s="1"/>
  <c r="AE171" i="18" l="1"/>
  <c r="AV172" i="20"/>
  <c r="T172" i="19"/>
  <c r="AG172" i="19" s="1"/>
  <c r="G172" i="19" s="1"/>
  <c r="BV172" i="19" s="1"/>
  <c r="AN173" i="18" s="1"/>
  <c r="J173" i="18" s="1"/>
  <c r="BG172" i="19"/>
  <c r="W173" i="18"/>
  <c r="P171" i="18"/>
  <c r="AN170" i="19"/>
  <c r="X171" i="22" s="1"/>
  <c r="BS171" i="19" s="1"/>
  <c r="AJ172" i="18" s="1"/>
  <c r="BM170" i="19"/>
  <c r="Z170" i="19"/>
  <c r="M170" i="19" s="1"/>
  <c r="BC170" i="20"/>
  <c r="AD171" i="18"/>
  <c r="L169" i="19"/>
  <c r="T169" i="22" s="1"/>
  <c r="BY169" i="19" s="1"/>
  <c r="AQ170" i="18" s="1"/>
  <c r="F172" i="18" l="1"/>
  <c r="BL170" i="19"/>
  <c r="AR171" i="18" s="1"/>
  <c r="M170" i="18"/>
  <c r="N170" i="19"/>
  <c r="U170" i="22" s="1"/>
  <c r="CA170" i="19" s="1"/>
  <c r="AS171" i="18" s="1"/>
  <c r="BN171" i="19" s="1"/>
  <c r="AT172" i="18" s="1"/>
  <c r="AU172" i="20" l="1"/>
  <c r="BF172" i="19"/>
  <c r="AK173" i="18" s="1"/>
  <c r="S172" i="19"/>
  <c r="AF172" i="19" s="1"/>
  <c r="F172" i="19" s="1"/>
  <c r="BU172" i="19" s="1"/>
  <c r="AL173" i="18" s="1"/>
  <c r="U173" i="18"/>
  <c r="V173" i="18"/>
  <c r="O171" i="18"/>
  <c r="BB170" i="20"/>
  <c r="Y170" i="19"/>
  <c r="AC171" i="18"/>
  <c r="AB171" i="18"/>
  <c r="H173" i="18" l="1"/>
  <c r="G173" i="18"/>
  <c r="N171" i="18"/>
  <c r="BZ171" i="19"/>
  <c r="AL170" i="19"/>
  <c r="V171" i="22" s="1"/>
  <c r="AA171" i="19"/>
  <c r="AN171" i="19" s="1"/>
  <c r="AE172" i="18"/>
  <c r="P172" i="18" s="1"/>
  <c r="AD172" i="18"/>
  <c r="BG173" i="19" l="1"/>
  <c r="AV173" i="20"/>
  <c r="T173" i="19"/>
  <c r="AG173" i="19" s="1"/>
  <c r="G173" i="19" s="1"/>
  <c r="BV173" i="19" s="1"/>
  <c r="AN174" i="18" s="1"/>
  <c r="J174" i="18" s="1"/>
  <c r="U173" i="19"/>
  <c r="AH173" i="19" s="1"/>
  <c r="H173" i="19" s="1"/>
  <c r="R173" i="22" s="1"/>
  <c r="BW173" i="19" s="1"/>
  <c r="AO174" i="18" s="1"/>
  <c r="BH173" i="19"/>
  <c r="AM174" i="18" s="1"/>
  <c r="AW173" i="20"/>
  <c r="X174" i="18"/>
  <c r="W174" i="18"/>
  <c r="N171" i="19"/>
  <c r="U171" i="22" s="1"/>
  <c r="CA171" i="19" s="1"/>
  <c r="X172" i="22"/>
  <c r="BS172" i="19" s="1"/>
  <c r="AJ173" i="18" s="1"/>
  <c r="L170" i="19"/>
  <c r="T170" i="22" s="1"/>
  <c r="BY170" i="19" s="1"/>
  <c r="AQ171" i="18" s="1"/>
  <c r="Z171" i="19"/>
  <c r="M171" i="19" s="1"/>
  <c r="BC171" i="20"/>
  <c r="BM171" i="19"/>
  <c r="I174" i="18" l="1"/>
  <c r="AX174" i="20" s="1"/>
  <c r="F173" i="18"/>
  <c r="AS172" i="18"/>
  <c r="BN172" i="19" s="1"/>
  <c r="AT173" i="18" s="1"/>
  <c r="BL171" i="19"/>
  <c r="AR172" i="18" s="1"/>
  <c r="M171" i="18"/>
  <c r="O172" i="18" l="1"/>
  <c r="AU173" i="20"/>
  <c r="S173" i="19"/>
  <c r="AF173" i="19" s="1"/>
  <c r="F173" i="19" s="1"/>
  <c r="BU173" i="19" s="1"/>
  <c r="AL174" i="18" s="1"/>
  <c r="BF173" i="19"/>
  <c r="AK174" i="18" s="1"/>
  <c r="V174" i="18"/>
  <c r="U174" i="18"/>
  <c r="AA172" i="19"/>
  <c r="AE173" i="18"/>
  <c r="BB171" i="20"/>
  <c r="Y171" i="19"/>
  <c r="AC172" i="18"/>
  <c r="AB172" i="18"/>
  <c r="H174" i="18" l="1"/>
  <c r="G174" i="18"/>
  <c r="AL171" i="19"/>
  <c r="V172" i="22" s="1"/>
  <c r="AN172" i="19"/>
  <c r="X173" i="22" s="1"/>
  <c r="BS173" i="19" s="1"/>
  <c r="AJ174" i="18" s="1"/>
  <c r="N172" i="18"/>
  <c r="BZ172" i="19"/>
  <c r="P173" i="18"/>
  <c r="BG174" i="19" l="1"/>
  <c r="T174" i="19"/>
  <c r="AG174" i="19" s="1"/>
  <c r="G174" i="19" s="1"/>
  <c r="BV174" i="19" s="1"/>
  <c r="AN175" i="18" s="1"/>
  <c r="J175" i="18" s="1"/>
  <c r="AV174" i="20"/>
  <c r="F174" i="18"/>
  <c r="U174" i="19"/>
  <c r="AH174" i="19" s="1"/>
  <c r="H174" i="19" s="1"/>
  <c r="R174" i="22" s="1"/>
  <c r="BW174" i="19" s="1"/>
  <c r="BH174" i="19"/>
  <c r="AM175" i="18" s="1"/>
  <c r="AW174" i="20"/>
  <c r="W175" i="18"/>
  <c r="X175" i="18"/>
  <c r="L171" i="19"/>
  <c r="T171" i="22" s="1"/>
  <c r="BY171" i="19" s="1"/>
  <c r="AQ172" i="18" s="1"/>
  <c r="BL172" i="19" s="1"/>
  <c r="AR173" i="18" s="1"/>
  <c r="BM172" i="19"/>
  <c r="Z172" i="19"/>
  <c r="M172" i="19" s="1"/>
  <c r="BC172" i="20"/>
  <c r="AD173" i="18"/>
  <c r="N172" i="19"/>
  <c r="U172" i="22" s="1"/>
  <c r="CA172" i="19" s="1"/>
  <c r="AS173" i="18" s="1"/>
  <c r="BN173" i="19" s="1"/>
  <c r="AT174" i="18" s="1"/>
  <c r="S174" i="19" l="1"/>
  <c r="AF174" i="19" s="1"/>
  <c r="F174" i="19" s="1"/>
  <c r="BU174" i="19" s="1"/>
  <c r="AU174" i="20"/>
  <c r="BF174" i="19"/>
  <c r="AK175" i="18" s="1"/>
  <c r="U175" i="18"/>
  <c r="I175" i="18"/>
  <c r="AX175" i="20" s="1"/>
  <c r="V175" i="18"/>
  <c r="AL175" i="18"/>
  <c r="H175" i="18" s="1"/>
  <c r="X176" i="18" s="1"/>
  <c r="M172" i="18"/>
  <c r="O173" i="18"/>
  <c r="BB172" i="20"/>
  <c r="Y172" i="19"/>
  <c r="AB173" i="18"/>
  <c r="AC173" i="18"/>
  <c r="G175" i="18" l="1"/>
  <c r="AW175" i="20"/>
  <c r="BH175" i="19"/>
  <c r="AM176" i="18" s="1"/>
  <c r="I176" i="18" s="1"/>
  <c r="AX176" i="20" s="1"/>
  <c r="U175" i="19"/>
  <c r="AH175" i="19" s="1"/>
  <c r="H175" i="19" s="1"/>
  <c r="R175" i="22" s="1"/>
  <c r="BW175" i="19" s="1"/>
  <c r="AO176" i="18" s="1"/>
  <c r="K176" i="18" s="1"/>
  <c r="AL172" i="19"/>
  <c r="V173" i="22" s="1"/>
  <c r="BZ173" i="19"/>
  <c r="N173" i="18"/>
  <c r="AA173" i="19"/>
  <c r="AE174" i="18"/>
  <c r="W176" i="18" l="1"/>
  <c r="AV175" i="20"/>
  <c r="BG175" i="19"/>
  <c r="T175" i="19"/>
  <c r="AG175" i="19" s="1"/>
  <c r="G175" i="19" s="1"/>
  <c r="BV175" i="19" s="1"/>
  <c r="AN176" i="18" s="1"/>
  <c r="J176" i="18" s="1"/>
  <c r="Z177" i="18" s="1"/>
  <c r="AN173" i="19"/>
  <c r="X174" i="22" s="1"/>
  <c r="BS174" i="19" s="1"/>
  <c r="AJ175" i="18" s="1"/>
  <c r="BC173" i="20"/>
  <c r="Z173" i="19"/>
  <c r="M173" i="19" s="1"/>
  <c r="BM173" i="19"/>
  <c r="AD174" i="18"/>
  <c r="L172" i="19"/>
  <c r="T172" i="22" s="1"/>
  <c r="BY172" i="19" s="1"/>
  <c r="AQ173" i="18" s="1"/>
  <c r="P174" i="18"/>
  <c r="F175" i="18" l="1"/>
  <c r="BL173" i="19"/>
  <c r="AR174" i="18" s="1"/>
  <c r="M173" i="18"/>
  <c r="N173" i="19"/>
  <c r="U173" i="22" s="1"/>
  <c r="CA173" i="19" s="1"/>
  <c r="AS174" i="18" s="1"/>
  <c r="BN174" i="19" s="1"/>
  <c r="AT175" i="18" s="1"/>
  <c r="AU175" i="20" l="1"/>
  <c r="BF175" i="19"/>
  <c r="AK176" i="18" s="1"/>
  <c r="S175" i="19"/>
  <c r="AF175" i="19" s="1"/>
  <c r="F175" i="19" s="1"/>
  <c r="BU175" i="19" s="1"/>
  <c r="AL176" i="18" s="1"/>
  <c r="H176" i="18" s="1"/>
  <c r="V176" i="18"/>
  <c r="U176" i="18"/>
  <c r="O174" i="18"/>
  <c r="BB173" i="20"/>
  <c r="Y173" i="19"/>
  <c r="AB174" i="18"/>
  <c r="AC174" i="18"/>
  <c r="U176" i="19" l="1"/>
  <c r="AH176" i="19" s="1"/>
  <c r="H176" i="19" s="1"/>
  <c r="R176" i="22" s="1"/>
  <c r="BW176" i="19" s="1"/>
  <c r="AO177" i="18" s="1"/>
  <c r="K177" i="18" s="1"/>
  <c r="AW176" i="20"/>
  <c r="BH176" i="19"/>
  <c r="AM177" i="18" s="1"/>
  <c r="X177" i="18"/>
  <c r="G176" i="18"/>
  <c r="AL173" i="19"/>
  <c r="V174" i="22" s="1"/>
  <c r="N174" i="18"/>
  <c r="BZ174" i="19"/>
  <c r="AA174" i="19"/>
  <c r="AE175" i="18"/>
  <c r="AD175" i="18"/>
  <c r="I177" i="18" l="1"/>
  <c r="AX177" i="20" s="1"/>
  <c r="T176" i="19"/>
  <c r="AG176" i="19" s="1"/>
  <c r="G176" i="19" s="1"/>
  <c r="BV176" i="19" s="1"/>
  <c r="AN177" i="18" s="1"/>
  <c r="J177" i="18" s="1"/>
  <c r="AV176" i="20"/>
  <c r="BG176" i="19"/>
  <c r="W177" i="18"/>
  <c r="L173" i="19"/>
  <c r="T173" i="22" s="1"/>
  <c r="BY173" i="19" s="1"/>
  <c r="AQ174" i="18" s="1"/>
  <c r="BL174" i="19" s="1"/>
  <c r="AR175" i="18" s="1"/>
  <c r="AN174" i="19"/>
  <c r="X175" i="22" s="1"/>
  <c r="BS175" i="19" s="1"/>
  <c r="AJ176" i="18" s="1"/>
  <c r="P175" i="18"/>
  <c r="BM174" i="19"/>
  <c r="Z174" i="19"/>
  <c r="M174" i="19" s="1"/>
  <c r="BC174" i="20"/>
  <c r="N174" i="19" l="1"/>
  <c r="U174" i="22" s="1"/>
  <c r="CA174" i="19" s="1"/>
  <c r="AS175" i="18" s="1"/>
  <c r="BN175" i="19" s="1"/>
  <c r="AT176" i="18" s="1"/>
  <c r="BU177" i="19"/>
  <c r="F176" i="18"/>
  <c r="M174" i="18"/>
  <c r="BB174" i="20"/>
  <c r="Y174" i="19"/>
  <c r="AB175" i="18"/>
  <c r="AC175" i="18"/>
  <c r="S176" i="19" l="1"/>
  <c r="AF176" i="19" s="1"/>
  <c r="F176" i="19" s="1"/>
  <c r="BU176" i="19" s="1"/>
  <c r="AL177" i="18" s="1"/>
  <c r="BF176" i="19"/>
  <c r="AK177" i="18" s="1"/>
  <c r="AU176" i="20"/>
  <c r="U177" i="18"/>
  <c r="V177" i="18"/>
  <c r="O175" i="18"/>
  <c r="AD176" i="18" s="1"/>
  <c r="AL174" i="19"/>
  <c r="V175" i="22" s="1"/>
  <c r="BZ175" i="19"/>
  <c r="N175" i="18"/>
  <c r="AA175" i="19"/>
  <c r="AE176" i="18" l="1"/>
  <c r="G177" i="18"/>
  <c r="H177" i="18"/>
  <c r="L174" i="19"/>
  <c r="T174" i="22" s="1"/>
  <c r="BY174" i="19" s="1"/>
  <c r="AQ175" i="18" s="1"/>
  <c r="BL175" i="19" s="1"/>
  <c r="AR176" i="18" s="1"/>
  <c r="AN175" i="19"/>
  <c r="X176" i="22" s="1"/>
  <c r="BS176" i="19" s="1"/>
  <c r="AJ177" i="18" s="1"/>
  <c r="BM175" i="19"/>
  <c r="Z175" i="19"/>
  <c r="M175" i="19" s="1"/>
  <c r="BC175" i="20"/>
  <c r="P176" i="18"/>
  <c r="W178" i="18" l="1"/>
  <c r="U177" i="19"/>
  <c r="AH177" i="19" s="1"/>
  <c r="H177" i="19" s="1"/>
  <c r="R177" i="22" s="1"/>
  <c r="BW177" i="19" s="1"/>
  <c r="AO178" i="18" s="1"/>
  <c r="K178" i="18" s="1"/>
  <c r="BH177" i="19"/>
  <c r="AM178" i="18" s="1"/>
  <c r="AW177" i="20"/>
  <c r="X178" i="18"/>
  <c r="F177" i="18"/>
  <c r="BG177" i="19"/>
  <c r="AL178" i="18" s="1"/>
  <c r="H178" i="18" s="1"/>
  <c r="T177" i="19"/>
  <c r="AG177" i="19" s="1"/>
  <c r="G177" i="19" s="1"/>
  <c r="BV177" i="19" s="1"/>
  <c r="AN178" i="18" s="1"/>
  <c r="AV177" i="20"/>
  <c r="M175" i="18"/>
  <c r="AC176" i="18"/>
  <c r="BB175" i="20"/>
  <c r="Y175" i="19"/>
  <c r="AB176" i="18"/>
  <c r="N175" i="19"/>
  <c r="U175" i="22" s="1"/>
  <c r="CA175" i="19" s="1"/>
  <c r="AS176" i="18" s="1"/>
  <c r="BF177" i="19" l="1"/>
  <c r="AK178" i="18" s="1"/>
  <c r="AU177" i="20"/>
  <c r="S177" i="19"/>
  <c r="AF177" i="19" s="1"/>
  <c r="F177" i="19" s="1"/>
  <c r="U178" i="18"/>
  <c r="I178" i="18"/>
  <c r="AX178" i="20" s="1"/>
  <c r="BU178" i="19"/>
  <c r="BH178" i="19"/>
  <c r="AM179" i="18" s="1"/>
  <c r="U178" i="19"/>
  <c r="AH178" i="19" s="1"/>
  <c r="H178" i="19" s="1"/>
  <c r="R178" i="22" s="1"/>
  <c r="BW178" i="19" s="1"/>
  <c r="AW178" i="20"/>
  <c r="V178" i="18"/>
  <c r="AL175" i="19"/>
  <c r="V176" i="22" s="1"/>
  <c r="BN176" i="19"/>
  <c r="AT177" i="18" s="1"/>
  <c r="O176" i="18"/>
  <c r="BZ176" i="19"/>
  <c r="N176" i="18"/>
  <c r="X179" i="18" l="1"/>
  <c r="I179" i="18" s="1"/>
  <c r="AX179" i="20" s="1"/>
  <c r="G178" i="18"/>
  <c r="BM176" i="19"/>
  <c r="Z176" i="19"/>
  <c r="M176" i="19" s="1"/>
  <c r="BC176" i="20"/>
  <c r="L175" i="19"/>
  <c r="T175" i="22" s="1"/>
  <c r="BY175" i="19" s="1"/>
  <c r="AQ176" i="18" s="1"/>
  <c r="AA176" i="19"/>
  <c r="AD177" i="18"/>
  <c r="AE177" i="18"/>
  <c r="T178" i="19" l="1"/>
  <c r="AG178" i="19" s="1"/>
  <c r="G178" i="19" s="1"/>
  <c r="BV178" i="19" s="1"/>
  <c r="AN179" i="18" s="1"/>
  <c r="J179" i="18" s="1"/>
  <c r="BG178" i="19"/>
  <c r="AL179" i="18" s="1"/>
  <c r="AV178" i="20"/>
  <c r="W179" i="18"/>
  <c r="P177" i="18"/>
  <c r="BL176" i="19"/>
  <c r="AR177" i="18" s="1"/>
  <c r="M176" i="18"/>
  <c r="AN176" i="19"/>
  <c r="X177" i="22" s="1"/>
  <c r="BS177" i="19" s="1"/>
  <c r="AJ178" i="18" s="1"/>
  <c r="BU179" i="19" l="1"/>
  <c r="H179" i="18"/>
  <c r="F178" i="18"/>
  <c r="Y176" i="19"/>
  <c r="BB176" i="20"/>
  <c r="AB177" i="18"/>
  <c r="AC177" i="18"/>
  <c r="N176" i="19"/>
  <c r="U176" i="22" s="1"/>
  <c r="CA176" i="19" s="1"/>
  <c r="AS177" i="18" s="1"/>
  <c r="BF178" i="19" l="1"/>
  <c r="AK179" i="18" s="1"/>
  <c r="S178" i="19"/>
  <c r="AF178" i="19" s="1"/>
  <c r="F178" i="19" s="1"/>
  <c r="AU178" i="20"/>
  <c r="U179" i="18"/>
  <c r="V179" i="18"/>
  <c r="BH179" i="19"/>
  <c r="AM180" i="18" s="1"/>
  <c r="AW179" i="20"/>
  <c r="U179" i="19"/>
  <c r="AH179" i="19" s="1"/>
  <c r="H179" i="19" s="1"/>
  <c r="R179" i="22" s="1"/>
  <c r="BW179" i="19" s="1"/>
  <c r="AO180" i="18" s="1"/>
  <c r="X180" i="18"/>
  <c r="N177" i="18"/>
  <c r="BZ177" i="19"/>
  <c r="BN177" i="19"/>
  <c r="AT178" i="18" s="1"/>
  <c r="O177" i="18"/>
  <c r="AL176" i="19"/>
  <c r="V177" i="22" s="1"/>
  <c r="I180" i="18" l="1"/>
  <c r="AX180" i="20" s="1"/>
  <c r="G179" i="18"/>
  <c r="AA177" i="19"/>
  <c r="AD178" i="18"/>
  <c r="AE178" i="18"/>
  <c r="L176" i="19"/>
  <c r="T176" i="22" s="1"/>
  <c r="BY176" i="19" s="1"/>
  <c r="AQ177" i="18" s="1"/>
  <c r="Z177" i="19"/>
  <c r="M177" i="19" s="1"/>
  <c r="BM177" i="19"/>
  <c r="BC177" i="20"/>
  <c r="T179" i="19" l="1"/>
  <c r="AG179" i="19" s="1"/>
  <c r="G179" i="19" s="1"/>
  <c r="BV179" i="19" s="1"/>
  <c r="AN180" i="18" s="1"/>
  <c r="AV179" i="20"/>
  <c r="BG179" i="19"/>
  <c r="AL180" i="18" s="1"/>
  <c r="W180" i="18"/>
  <c r="BL177" i="19"/>
  <c r="AR178" i="18" s="1"/>
  <c r="M177" i="18"/>
  <c r="AN177" i="19"/>
  <c r="X178" i="22" s="1"/>
  <c r="BS178" i="19" s="1"/>
  <c r="AJ179" i="18" s="1"/>
  <c r="P178" i="18"/>
  <c r="F179" i="18" l="1"/>
  <c r="BU180" i="19"/>
  <c r="H180" i="18"/>
  <c r="N177" i="19"/>
  <c r="U177" i="22" s="1"/>
  <c r="CA177" i="19" s="1"/>
  <c r="AS178" i="18" s="1"/>
  <c r="BB177" i="20"/>
  <c r="Y177" i="19"/>
  <c r="AB178" i="18"/>
  <c r="AC178" i="18"/>
  <c r="U180" i="19" l="1"/>
  <c r="AH180" i="19" s="1"/>
  <c r="H180" i="19" s="1"/>
  <c r="R180" i="22" s="1"/>
  <c r="BW180" i="19" s="1"/>
  <c r="AO181" i="18" s="1"/>
  <c r="AW180" i="20"/>
  <c r="BH180" i="19"/>
  <c r="AM181" i="18" s="1"/>
  <c r="X181" i="18"/>
  <c r="BF179" i="19"/>
  <c r="AK180" i="18" s="1"/>
  <c r="AU179" i="20"/>
  <c r="S179" i="19"/>
  <c r="AF179" i="19" s="1"/>
  <c r="F179" i="19" s="1"/>
  <c r="U180" i="18"/>
  <c r="V180" i="18"/>
  <c r="BN178" i="19"/>
  <c r="AT179" i="18" s="1"/>
  <c r="O178" i="18"/>
  <c r="AL177" i="19"/>
  <c r="V178" i="22" s="1"/>
  <c r="L177" i="19"/>
  <c r="T177" i="22" s="1"/>
  <c r="BY177" i="19" s="1"/>
  <c r="AQ178" i="18" s="1"/>
  <c r="BL178" i="19" s="1"/>
  <c r="AR179" i="18" s="1"/>
  <c r="BZ178" i="19"/>
  <c r="N178" i="18"/>
  <c r="G180" i="18" l="1"/>
  <c r="I181" i="18"/>
  <c r="AX181" i="20" s="1"/>
  <c r="AA178" i="19"/>
  <c r="AE179" i="18"/>
  <c r="P179" i="18" s="1"/>
  <c r="BC178" i="20"/>
  <c r="BM178" i="19"/>
  <c r="Z178" i="19"/>
  <c r="M178" i="19" s="1"/>
  <c r="AD179" i="18"/>
  <c r="M178" i="18"/>
  <c r="BG180" i="19" l="1"/>
  <c r="AL181" i="18" s="1"/>
  <c r="T180" i="19"/>
  <c r="AG180" i="19" s="1"/>
  <c r="G180" i="19" s="1"/>
  <c r="BV180" i="19" s="1"/>
  <c r="AN181" i="18" s="1"/>
  <c r="J181" i="18" s="1"/>
  <c r="AV180" i="20"/>
  <c r="W181" i="18"/>
  <c r="AN178" i="19"/>
  <c r="X179" i="22" s="1"/>
  <c r="BS179" i="19" s="1"/>
  <c r="AJ180" i="18" s="1"/>
  <c r="BB178" i="20"/>
  <c r="Y178" i="19"/>
  <c r="AC179" i="18"/>
  <c r="AB179" i="18"/>
  <c r="H181" i="18" l="1"/>
  <c r="X182" i="18" s="1"/>
  <c r="F180" i="18"/>
  <c r="BH181" i="19"/>
  <c r="N178" i="19"/>
  <c r="U178" i="22" s="1"/>
  <c r="CA178" i="19" s="1"/>
  <c r="AS179" i="18" s="1"/>
  <c r="BZ179" i="19"/>
  <c r="N179" i="18"/>
  <c r="AL178" i="19"/>
  <c r="V179" i="22" s="1"/>
  <c r="L178" i="19"/>
  <c r="T178" i="22" s="1"/>
  <c r="BY178" i="19" s="1"/>
  <c r="AQ179" i="18" s="1"/>
  <c r="BL179" i="19" s="1"/>
  <c r="AR180" i="18" s="1"/>
  <c r="AW181" i="20" l="1"/>
  <c r="U181" i="19"/>
  <c r="AH181" i="19" s="1"/>
  <c r="H181" i="19" s="1"/>
  <c r="R181" i="22" s="1"/>
  <c r="BW181" i="19" s="1"/>
  <c r="I182" i="18"/>
  <c r="AX182" i="20" s="1"/>
  <c r="BF180" i="19"/>
  <c r="AK181" i="18" s="1"/>
  <c r="AU180" i="20"/>
  <c r="S180" i="19"/>
  <c r="AF180" i="19" s="1"/>
  <c r="F180" i="19" s="1"/>
  <c r="U181" i="18"/>
  <c r="V181" i="18"/>
  <c r="BN179" i="19"/>
  <c r="AT180" i="18" s="1"/>
  <c r="O179" i="18"/>
  <c r="M179" i="18"/>
  <c r="Z179" i="19"/>
  <c r="M179" i="19" s="1"/>
  <c r="BM179" i="19"/>
  <c r="BC179" i="20"/>
  <c r="G181" i="18" l="1"/>
  <c r="AV181" i="20" s="1"/>
  <c r="BG181" i="19"/>
  <c r="W182" i="18"/>
  <c r="H182" i="18" s="1"/>
  <c r="AA179" i="19"/>
  <c r="AN179" i="19" s="1"/>
  <c r="X180" i="22" s="1"/>
  <c r="BS180" i="19" s="1"/>
  <c r="AJ181" i="18" s="1"/>
  <c r="F181" i="18" s="1"/>
  <c r="AE180" i="18"/>
  <c r="P180" i="18" s="1"/>
  <c r="AD180" i="18"/>
  <c r="N179" i="19"/>
  <c r="U179" i="22" s="1"/>
  <c r="CA179" i="19" s="1"/>
  <c r="AS180" i="18" s="1"/>
  <c r="BN180" i="19" s="1"/>
  <c r="AT181" i="18" s="1"/>
  <c r="BB179" i="20"/>
  <c r="Y179" i="19"/>
  <c r="AB180" i="18"/>
  <c r="AC180" i="18"/>
  <c r="T181" i="19" l="1"/>
  <c r="AG181" i="19" s="1"/>
  <c r="G181" i="19" s="1"/>
  <c r="BV181" i="19" s="1"/>
  <c r="S181" i="19"/>
  <c r="AF181" i="19" s="1"/>
  <c r="F181" i="19" s="1"/>
  <c r="BU181" i="19" s="1"/>
  <c r="AU181" i="20"/>
  <c r="BF181" i="19"/>
  <c r="BH182" i="19"/>
  <c r="AW182" i="20"/>
  <c r="U182" i="19"/>
  <c r="AH182" i="19" s="1"/>
  <c r="H182" i="19" s="1"/>
  <c r="R182" i="22" s="1"/>
  <c r="V182" i="18"/>
  <c r="U182" i="18"/>
  <c r="F182" i="18" s="1"/>
  <c r="O180" i="18"/>
  <c r="AE181" i="18" s="1"/>
  <c r="L179" i="19"/>
  <c r="T179" i="22" s="1"/>
  <c r="BY179" i="19" s="1"/>
  <c r="AQ180" i="18" s="1"/>
  <c r="BL180" i="19" s="1"/>
  <c r="AR181" i="18" s="1"/>
  <c r="AL179" i="19"/>
  <c r="V180" i="22" s="1"/>
  <c r="BZ180" i="19"/>
  <c r="N180" i="18"/>
  <c r="AA180" i="19" l="1"/>
  <c r="BF182" i="19"/>
  <c r="S182" i="19"/>
  <c r="AF182" i="19" s="1"/>
  <c r="F182" i="19" s="1"/>
  <c r="BU182" i="19" s="1"/>
  <c r="AU182" i="20"/>
  <c r="G182" i="18"/>
  <c r="BM180" i="19"/>
  <c r="BC180" i="20"/>
  <c r="Z180" i="19"/>
  <c r="M180" i="19" s="1"/>
  <c r="M180" i="18"/>
  <c r="AD181" i="18"/>
  <c r="AN180" i="19"/>
  <c r="X181" i="22" s="1"/>
  <c r="BS181" i="19" s="1"/>
  <c r="P181" i="18"/>
  <c r="AV182" i="20" l="1"/>
  <c r="T182" i="19"/>
  <c r="AG182" i="19" s="1"/>
  <c r="G182" i="19" s="1"/>
  <c r="BV182" i="19" s="1"/>
  <c r="BG182" i="19"/>
  <c r="BB180" i="20"/>
  <c r="Y180" i="19"/>
  <c r="AB181" i="18"/>
  <c r="N180" i="19"/>
  <c r="U180" i="22" s="1"/>
  <c r="CA180" i="19" s="1"/>
  <c r="AS181" i="18" s="1"/>
  <c r="BN181" i="19" s="1"/>
  <c r="AC181" i="18"/>
  <c r="N181" i="18" l="1"/>
  <c r="BZ181" i="19"/>
  <c r="O181" i="18"/>
  <c r="AL180" i="19"/>
  <c r="V181" i="22" s="1"/>
  <c r="L180" i="19" l="1"/>
  <c r="T180" i="22" s="1"/>
  <c r="BY180" i="19" s="1"/>
  <c r="AQ181" i="18" s="1"/>
  <c r="Z181" i="19"/>
  <c r="M181" i="19" s="1"/>
  <c r="BC181" i="20"/>
  <c r="BM181" i="19"/>
  <c r="AA181" i="19"/>
  <c r="AE182" i="18"/>
  <c r="P182" i="18" s="1"/>
  <c r="AD182" i="18"/>
  <c r="O182" i="18" s="1"/>
  <c r="AA182" i="19" s="1"/>
  <c r="AN182" i="19" s="1"/>
  <c r="N182" i="19" s="1"/>
  <c r="U182" i="22" s="1"/>
  <c r="CA182" i="19" s="1"/>
  <c r="AN181" i="19" l="1"/>
  <c r="X182" i="22" s="1"/>
  <c r="BS182" i="19" s="1"/>
  <c r="BL181" i="19"/>
  <c r="M181" i="18"/>
  <c r="N181" i="19" l="1"/>
  <c r="U181" i="22" s="1"/>
  <c r="CA181" i="19" s="1"/>
  <c r="BB181" i="20"/>
  <c r="Y181" i="19"/>
  <c r="AB182" i="18"/>
  <c r="M182" i="18" s="1"/>
  <c r="AC182" i="18"/>
  <c r="BB182" i="20" l="1"/>
  <c r="Y182" i="19"/>
  <c r="AL182" i="19" s="1"/>
  <c r="L182" i="19" s="1"/>
  <c r="T182" i="22" s="1"/>
  <c r="BY182" i="19" s="1"/>
  <c r="AL181" i="19"/>
  <c r="V182" i="22" s="1"/>
  <c r="BZ182" i="19"/>
  <c r="N182" i="18"/>
  <c r="L181" i="19" l="1"/>
  <c r="T181" i="22" s="1"/>
  <c r="BY181" i="19" s="1"/>
  <c r="BC182" i="20"/>
  <c r="Z182" i="19"/>
  <c r="M182" i="19" s="1"/>
  <c r="BM182" i="19"/>
</calcChain>
</file>

<file path=xl/sharedStrings.xml><?xml version="1.0" encoding="utf-8"?>
<sst xmlns="http://schemas.openxmlformats.org/spreadsheetml/2006/main" count="474" uniqueCount="242">
  <si>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</si>
  <si>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</si>
  <si>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</si>
  <si>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</si>
  <si>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</si>
  <si>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</si>
  <si>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</si>
  <si>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</si>
  <si>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</si>
  <si>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</si>
  <si>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</si>
  <si>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</si>
  <si>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</si>
  <si>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</si>
  <si>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</si>
  <si>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</si>
  <si>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</si>
  <si>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</si>
  <si>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</si>
  <si>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</si>
  <si>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</si>
  <si>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</si>
  <si>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</si>
  <si>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</si>
  <si>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</si>
  <si>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</si>
  <si>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</si>
  <si>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</si>
  <si>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</si>
  <si>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</si>
  <si>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</si>
  <si>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</si>
  <si>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</si>
  <si>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</si>
  <si>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</si>
  <si>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</si>
  <si>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</si>
  <si>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</si>
  <si>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</si>
  <si>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</si>
  <si>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</si>
  <si>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</si>
  <si>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</si>
  <si>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</si>
  <si>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</si>
  <si>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</si>
  <si>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</si>
  <si>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</si>
  <si>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</si>
  <si>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</si>
  <si>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</si>
  <si>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</si>
  <si>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</si>
  <si>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</si>
  <si>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</si>
  <si>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</si>
  <si>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</si>
  <si>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</si>
  <si>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</si>
  <si>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</si>
  <si>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</si>
  <si>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</si>
  <si>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</si>
  <si>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</si>
  <si>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</si>
  <si>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</si>
  <si>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</si>
  <si>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</si>
  <si>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</si>
  <si>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</si>
  <si>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</si>
  <si>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</si>
  <si>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</si>
  <si>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</si>
  <si>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</si>
  <si>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</si>
  <si>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</si>
  <si>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</si>
  <si>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</si>
  <si>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</si>
  <si>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</si>
  <si>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</si>
  <si>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</si>
  <si>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</si>
  <si>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</si>
  <si>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</si>
  <si>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</si>
  <si>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</si>
  <si>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</si>
  <si>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</si>
  <si>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</si>
  <si>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</si>
  <si>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</si>
  <si>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</si>
  <si>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</si>
  <si>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</si>
  <si>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</si>
  <si>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</si>
  <si>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</si>
  <si>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</si>
  <si>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</si>
  <si>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</si>
  <si>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</si>
  <si>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</si>
  <si>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</si>
  <si>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</si>
  <si>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</si>
  <si>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</si>
  <si>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</si>
  <si>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</si>
  <si>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</si>
  <si>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</si>
  <si>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</si>
  <si>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</si>
  <si>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</si>
  <si>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</si>
  <si>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</si>
  <si>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</si>
  <si>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</si>
  <si>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</si>
  <si>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</si>
  <si>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</si>
  <si>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</si>
  <si>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</si>
  <si>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</si>
  <si>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</si>
  <si>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</si>
  <si>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</si>
  <si>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</si>
  <si>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</si>
  <si>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</si>
  <si>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</si>
  <si>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</si>
  <si>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</si>
  <si>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</si>
  <si>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</si>
  <si>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</si>
  <si>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</si>
  <si>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</si>
  <si>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</si>
  <si>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</si>
  <si>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</si>
  <si>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</si>
  <si>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</si>
  <si>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</si>
  <si>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</si>
  <si>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</si>
  <si>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</si>
  <si>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</si>
  <si>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</si>
  <si>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</si>
  <si>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</si>
  <si>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</si>
  <si>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</si>
  <si>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</si>
  <si>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</si>
  <si>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</si>
  <si>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</si>
  <si>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</si>
  <si>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</si>
  <si>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</si>
  <si>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</si>
  <si>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</si>
  <si>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</si>
  <si>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</si>
  <si>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</si>
  <si>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</si>
  <si>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</si>
  <si>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</si>
  <si>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</si>
  <si>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</si>
  <si>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</si>
  <si>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</si>
  <si>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</si>
  <si>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</si>
  <si>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</si>
  <si>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</si>
  <si>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</si>
  <si>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</si>
  <si>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</si>
  <si>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</si>
  <si>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</si>
  <si>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</si>
  <si>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</si>
  <si>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</si>
  <si>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</si>
  <si>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</t>
    <phoneticPr fontId="1" type="noConversion"/>
  </si>
  <si>
    <t>v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</si>
  <si>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</si>
  <si>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</si>
  <si>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</si>
  <si>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v_f</t>
    <phoneticPr fontId="1" type="noConversion"/>
  </si>
  <si>
    <t>b</t>
    <phoneticPr fontId="1" type="noConversion"/>
  </si>
  <si>
    <t>dr^2</t>
    <phoneticPr fontId="1" type="noConversion"/>
  </si>
  <si>
    <t>db^2</t>
    <phoneticPr fontId="1" type="noConversion"/>
  </si>
  <si>
    <t>lambda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</si>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</sst>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0.3999755851924192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7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8" borderId="1" xfId="0" applyFill="1" applyBorder="1">
      <alignment vertical="center"/>
    </xf>
    <xf numFmtId="0" fontId="14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2" borderId="1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CFF"/>
      <color rgb="FFFF00FF"/>
      <color rgb="FFFF99FF"/>
      <color rgb="FF99C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10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78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78"/>
      <c r="B3" s="6" t="s">
        <v>25</v>
      </c>
      <c r="C3" s="7" t="s">
        <v>92</v>
      </c>
      <c r="D3" s="6" t="s">
        <v>38</v>
      </c>
    </row>
    <row r="4" spans="1:4" ht="14.25" x14ac:dyDescent="0.15">
      <c r="A4" s="78"/>
      <c r="B4" s="16" t="s">
        <v>26</v>
      </c>
      <c r="C4" s="17" t="s">
        <v>72</v>
      </c>
      <c r="D4" s="18"/>
    </row>
    <row r="5" spans="1:4" ht="14.25" x14ac:dyDescent="0.15">
      <c r="A5" s="78"/>
      <c r="B5" s="6" t="s">
        <v>31</v>
      </c>
      <c r="C5" s="7" t="s">
        <v>32</v>
      </c>
      <c r="D5" s="6" t="s">
        <v>40</v>
      </c>
    </row>
    <row r="6" spans="1:4" ht="14.25" x14ac:dyDescent="0.15">
      <c r="A6" s="78"/>
      <c r="B6" s="6" t="s">
        <v>51</v>
      </c>
      <c r="C6" s="7" t="s">
        <v>53</v>
      </c>
      <c r="D6" s="6" t="s">
        <v>40</v>
      </c>
    </row>
    <row r="7" spans="1:4" ht="14.25" x14ac:dyDescent="0.15">
      <c r="A7" s="78"/>
      <c r="B7" s="6" t="s">
        <v>52</v>
      </c>
      <c r="C7" s="7" t="s">
        <v>54</v>
      </c>
      <c r="D7" s="6" t="s">
        <v>40</v>
      </c>
    </row>
    <row r="8" spans="1:4" ht="14.25" x14ac:dyDescent="0.15">
      <c r="A8" s="78"/>
      <c r="B8" s="6" t="s">
        <v>55</v>
      </c>
      <c r="C8" s="7" t="s">
        <v>56</v>
      </c>
      <c r="D8" s="6" t="s">
        <v>40</v>
      </c>
    </row>
    <row r="9" spans="1:4" ht="14.25" x14ac:dyDescent="0.15">
      <c r="A9" s="78"/>
      <c r="B9" s="6" t="s">
        <v>63</v>
      </c>
      <c r="C9" s="14" t="s">
        <v>64</v>
      </c>
      <c r="D9" s="6" t="s">
        <v>65</v>
      </c>
    </row>
    <row r="10" spans="1:4" ht="14.25" x14ac:dyDescent="0.15">
      <c r="A10" s="78" t="s">
        <v>43</v>
      </c>
      <c r="B10" s="6" t="s">
        <v>60</v>
      </c>
      <c r="C10" s="7">
        <v>58</v>
      </c>
      <c r="D10" s="6"/>
    </row>
    <row r="11" spans="1:4" ht="14.25" x14ac:dyDescent="0.15">
      <c r="A11" s="78"/>
      <c r="B11" s="6" t="s">
        <v>35</v>
      </c>
      <c r="C11" s="7">
        <v>0</v>
      </c>
      <c r="D11" s="6" t="s">
        <v>36</v>
      </c>
    </row>
    <row r="12" spans="1:4" ht="14.25" x14ac:dyDescent="0.15">
      <c r="A12" s="78"/>
      <c r="B12" s="6" t="s">
        <v>61</v>
      </c>
      <c r="C12" s="15" t="s">
        <v>68</v>
      </c>
      <c r="D12" s="6" t="s">
        <v>37</v>
      </c>
    </row>
    <row r="13" spans="1:4" ht="14.25" x14ac:dyDescent="0.15">
      <c r="A13" s="78"/>
      <c r="B13" s="6" t="s">
        <v>69</v>
      </c>
      <c r="C13" s="7">
        <v>1800</v>
      </c>
      <c r="D13" s="6"/>
    </row>
    <row r="14" spans="1:4" ht="14.25" x14ac:dyDescent="0.15">
      <c r="A14" s="78"/>
      <c r="B14" s="16" t="s">
        <v>70</v>
      </c>
      <c r="C14" s="17" t="s">
        <v>71</v>
      </c>
      <c r="D14" s="16" t="s">
        <v>33</v>
      </c>
    </row>
    <row r="15" spans="1:4" ht="14.25" x14ac:dyDescent="0.15">
      <c r="A15" s="78"/>
      <c r="B15" s="6" t="s">
        <v>62</v>
      </c>
      <c r="C15" s="7">
        <v>2</v>
      </c>
      <c r="D15" s="6" t="s">
        <v>34</v>
      </c>
    </row>
    <row r="16" spans="1:4" ht="14.25" x14ac:dyDescent="0.15">
      <c r="A16" s="78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78"/>
      <c r="B17" s="6" t="s">
        <v>90</v>
      </c>
      <c r="C17" s="7">
        <v>450</v>
      </c>
      <c r="D17" s="6"/>
    </row>
    <row r="18" spans="1:4" ht="14.25" x14ac:dyDescent="0.15">
      <c r="A18" s="78"/>
      <c r="B18" s="6" t="s">
        <v>91</v>
      </c>
      <c r="C18" s="7" t="s">
        <v>99</v>
      </c>
      <c r="D18" s="6" t="s">
        <v>38</v>
      </c>
    </row>
    <row r="19" spans="1:4" ht="14.25" x14ac:dyDescent="0.15">
      <c r="A19" s="78"/>
      <c r="B19" s="6" t="s">
        <v>86</v>
      </c>
      <c r="C19" s="7">
        <v>0</v>
      </c>
      <c r="D19" s="6" t="s">
        <v>87</v>
      </c>
    </row>
    <row r="20" spans="1:4" ht="14.25" x14ac:dyDescent="0.15">
      <c r="A20" s="78"/>
      <c r="B20" s="6" t="s">
        <v>221</v>
      </c>
      <c r="C20" s="7"/>
      <c r="D20" s="6"/>
    </row>
    <row r="21" spans="1:4" ht="14.25" x14ac:dyDescent="0.15">
      <c r="A21" s="79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80"/>
      <c r="B22" s="6" t="s">
        <v>86</v>
      </c>
      <c r="C22" s="7">
        <v>0</v>
      </c>
      <c r="D22" s="6" t="s">
        <v>87</v>
      </c>
    </row>
    <row r="23" spans="1:4" ht="14.25" x14ac:dyDescent="0.15">
      <c r="A23" s="80"/>
      <c r="B23" s="6" t="s">
        <v>80</v>
      </c>
      <c r="C23" s="7"/>
      <c r="D23" s="6"/>
    </row>
    <row r="24" spans="1:4" ht="14.25" x14ac:dyDescent="0.15">
      <c r="A24" s="80"/>
      <c r="B24" s="6" t="s">
        <v>80</v>
      </c>
      <c r="C24" s="7"/>
      <c r="D24" s="6"/>
    </row>
    <row r="25" spans="1:4" ht="14.25" x14ac:dyDescent="0.15">
      <c r="A25" s="80"/>
      <c r="B25" s="6" t="s">
        <v>80</v>
      </c>
      <c r="C25" s="7"/>
      <c r="D25" s="6"/>
    </row>
    <row r="26" spans="1:4" ht="14.25" customHeight="1" x14ac:dyDescent="0.15">
      <c r="A26" s="75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76"/>
      <c r="B27" s="6" t="s">
        <v>91</v>
      </c>
      <c r="C27" s="7" t="s">
        <v>115</v>
      </c>
      <c r="D27" s="6" t="s">
        <v>116</v>
      </c>
    </row>
    <row r="28" spans="1:4" ht="14.25" x14ac:dyDescent="0.15">
      <c r="A28" s="76"/>
      <c r="B28" s="6" t="s">
        <v>77</v>
      </c>
      <c r="C28" s="7" t="s">
        <v>100</v>
      </c>
      <c r="D28" s="6" t="s">
        <v>101</v>
      </c>
    </row>
    <row r="29" spans="1:4" ht="14.25" x14ac:dyDescent="0.15">
      <c r="A29" s="76"/>
      <c r="B29" s="6" t="s">
        <v>86</v>
      </c>
      <c r="C29" s="7">
        <v>1</v>
      </c>
      <c r="D29" s="6" t="s">
        <v>87</v>
      </c>
    </row>
    <row r="30" spans="1:4" ht="28.5" x14ac:dyDescent="0.15">
      <c r="A30" s="76"/>
      <c r="B30" s="6" t="s">
        <v>70</v>
      </c>
      <c r="C30" s="7">
        <v>15</v>
      </c>
      <c r="D30" s="22" t="s">
        <v>131</v>
      </c>
    </row>
    <row r="31" spans="1:4" ht="14.25" x14ac:dyDescent="0.15">
      <c r="A31" s="77"/>
      <c r="B31" s="6" t="s">
        <v>127</v>
      </c>
      <c r="C31" s="7" t="s">
        <v>132</v>
      </c>
      <c r="D31" s="6"/>
    </row>
    <row r="32" spans="1:4" ht="14.25" x14ac:dyDescent="0.15">
      <c r="A32" s="75" t="s">
        <v>136</v>
      </c>
      <c r="B32" s="6" t="s">
        <v>137</v>
      </c>
      <c r="C32" s="7" t="s">
        <v>139</v>
      </c>
      <c r="D32" s="6"/>
    </row>
    <row r="33" spans="1:4" ht="14.25" x14ac:dyDescent="0.15">
      <c r="A33" s="76"/>
      <c r="B33" s="6" t="s">
        <v>133</v>
      </c>
      <c r="C33" s="7">
        <v>1</v>
      </c>
      <c r="D33" s="6"/>
    </row>
    <row r="34" spans="1:4" ht="14.25" x14ac:dyDescent="0.15">
      <c r="A34" s="76"/>
      <c r="B34" s="6" t="s">
        <v>134</v>
      </c>
      <c r="C34" s="7">
        <v>1</v>
      </c>
      <c r="D34" s="6"/>
    </row>
    <row r="35" spans="1:4" ht="14.25" x14ac:dyDescent="0.15">
      <c r="A35" s="76"/>
      <c r="B35" s="6" t="s">
        <v>135</v>
      </c>
      <c r="C35" s="7">
        <v>1</v>
      </c>
      <c r="D35" s="6"/>
    </row>
    <row r="36" spans="1:4" ht="14.25" x14ac:dyDescent="0.15">
      <c r="A36" s="76"/>
      <c r="B36" s="6" t="s">
        <v>138</v>
      </c>
      <c r="C36" s="7">
        <v>0</v>
      </c>
      <c r="D36" s="6" t="s">
        <v>87</v>
      </c>
    </row>
    <row r="37" spans="1:4" ht="14.25" x14ac:dyDescent="0.15">
      <c r="A37" s="77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6"/>
  <sheetViews>
    <sheetView workbookViewId="0">
      <selection activeCell="A5" sqref="A5:A16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75" t="s">
        <v>42</v>
      </c>
      <c r="B2" s="6" t="s">
        <v>140</v>
      </c>
      <c r="C2" s="7" t="s">
        <v>144</v>
      </c>
      <c r="D2" s="6"/>
    </row>
    <row r="3" spans="1:9" ht="15" x14ac:dyDescent="0.15">
      <c r="A3" s="76"/>
      <c r="B3" s="6" t="s">
        <v>141</v>
      </c>
      <c r="C3" s="7" t="s">
        <v>143</v>
      </c>
      <c r="D3" s="6"/>
      <c r="H3" s="67" t="s">
        <v>211</v>
      </c>
      <c r="I3" s="68" t="e">
        <f>Links!A198+'On-Ramps'!K183+ATM_Conf!C12*'On-Ramps'!BM182+ATM_Conf!C13*Links!DC182+C14*'On-Ramps'!BV183</f>
        <v>#DIV/0!</v>
      </c>
    </row>
    <row r="4" spans="1:9" ht="14.25" x14ac:dyDescent="0.15">
      <c r="A4" s="77"/>
      <c r="B4" s="6" t="s">
        <v>142</v>
      </c>
      <c r="C4" s="7" t="s">
        <v>159</v>
      </c>
      <c r="D4" s="6"/>
    </row>
    <row r="5" spans="1:9" ht="14.25" x14ac:dyDescent="0.15">
      <c r="A5" s="78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78"/>
      <c r="B6" s="6" t="s">
        <v>178</v>
      </c>
      <c r="C6" s="7">
        <v>700</v>
      </c>
      <c r="D6" s="6"/>
    </row>
    <row r="7" spans="1:9" ht="14.25" x14ac:dyDescent="0.15">
      <c r="A7" s="78"/>
      <c r="B7" s="6" t="s">
        <v>179</v>
      </c>
      <c r="C7" s="7">
        <v>800</v>
      </c>
      <c r="D7" s="6" t="s">
        <v>180</v>
      </c>
    </row>
    <row r="8" spans="1:9" ht="14.25" x14ac:dyDescent="0.15">
      <c r="A8" s="78"/>
      <c r="B8" s="6" t="s">
        <v>181</v>
      </c>
      <c r="C8" s="7"/>
      <c r="D8" s="6"/>
    </row>
    <row r="9" spans="1:9" ht="14.25" x14ac:dyDescent="0.15">
      <c r="A9" s="78"/>
      <c r="B9" s="6" t="s">
        <v>182</v>
      </c>
      <c r="C9" s="14"/>
      <c r="D9" s="6"/>
    </row>
    <row r="10" spans="1:9" ht="14.25" x14ac:dyDescent="0.15">
      <c r="A10" s="78"/>
      <c r="B10" s="6" t="s">
        <v>184</v>
      </c>
      <c r="C10" s="14"/>
      <c r="D10" s="6"/>
    </row>
    <row r="11" spans="1:9" ht="14.25" x14ac:dyDescent="0.15">
      <c r="A11" s="78"/>
      <c r="B11" s="6" t="s">
        <v>185</v>
      </c>
      <c r="C11" s="14"/>
      <c r="D11" s="6" t="s">
        <v>183</v>
      </c>
    </row>
    <row r="12" spans="1:9" ht="14.25" x14ac:dyDescent="0.15">
      <c r="A12" s="78"/>
      <c r="B12" s="6" t="s">
        <v>209</v>
      </c>
      <c r="C12" s="14">
        <v>0</v>
      </c>
      <c r="D12" s="6" t="s">
        <v>215</v>
      </c>
    </row>
    <row r="13" spans="1:9" ht="14.25" x14ac:dyDescent="0.15">
      <c r="A13" s="78"/>
      <c r="B13" s="6" t="s">
        <v>218</v>
      </c>
      <c r="C13" s="14">
        <v>0</v>
      </c>
      <c r="D13" s="6" t="s">
        <v>216</v>
      </c>
    </row>
    <row r="14" spans="1:9" ht="14.25" x14ac:dyDescent="0.15">
      <c r="A14" s="78"/>
      <c r="B14" s="6" t="s">
        <v>210</v>
      </c>
      <c r="C14" s="14">
        <v>0</v>
      </c>
      <c r="D14" s="6" t="s">
        <v>217</v>
      </c>
    </row>
    <row r="15" spans="1:9" ht="14.25" x14ac:dyDescent="0.15">
      <c r="A15" s="78"/>
      <c r="B15" s="6" t="s">
        <v>219</v>
      </c>
      <c r="C15" s="14">
        <v>0</v>
      </c>
      <c r="D15" s="6" t="s">
        <v>220</v>
      </c>
    </row>
    <row r="16" spans="1:9" ht="14.25" x14ac:dyDescent="0.15">
      <c r="A16" s="78"/>
      <c r="B16" s="6" t="s">
        <v>222</v>
      </c>
      <c r="C16" s="14"/>
      <c r="D16" s="6" t="s">
        <v>223</v>
      </c>
    </row>
  </sheetData>
  <mergeCells count="2">
    <mergeCell ref="A2:A4"/>
    <mergeCell ref="A5:A1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/>
  </sheetViews>
  <sheetFormatPr defaultRowHeight="13.5" x14ac:dyDescent="0.15"/>
  <cols>
    <col min="2" max="2" width="12.875" customWidth="1"/>
    <col min="6" max="6" width="11" customWidth="1"/>
  </cols>
  <sheetData>
    <row r="1" spans="1:8" ht="15" x14ac:dyDescent="0.15">
      <c r="A1" s="71" t="s">
        <v>224</v>
      </c>
      <c r="B1" s="71" t="s">
        <v>225</v>
      </c>
      <c r="C1" s="71" t="s">
        <v>226</v>
      </c>
      <c r="D1" s="71" t="s">
        <v>227</v>
      </c>
      <c r="E1" s="71" t="s">
        <v>228</v>
      </c>
      <c r="F1" s="71" t="s">
        <v>229</v>
      </c>
      <c r="G1" s="71" t="s">
        <v>230</v>
      </c>
      <c r="H1" s="71" t="s">
        <v>231</v>
      </c>
    </row>
    <row r="2" spans="1:8" x14ac:dyDescent="0.15">
      <c r="A2" s="69"/>
      <c r="B2" s="69"/>
      <c r="C2" s="69"/>
      <c r="D2" s="69"/>
      <c r="E2" s="70"/>
      <c r="F2" s="70"/>
      <c r="G2" s="70"/>
      <c r="H2" s="70"/>
    </row>
    <row r="3" spans="1:8" x14ac:dyDescent="0.15">
      <c r="A3" s="69"/>
      <c r="B3" s="69"/>
      <c r="C3" s="69"/>
      <c r="D3" s="69"/>
      <c r="E3" s="70"/>
      <c r="F3" s="70"/>
      <c r="G3" s="70"/>
      <c r="H3" s="70"/>
    </row>
    <row r="4" spans="1:8" x14ac:dyDescent="0.15">
      <c r="A4" s="69"/>
      <c r="B4" s="69"/>
      <c r="C4" s="69"/>
      <c r="D4" s="69"/>
      <c r="E4" s="70"/>
      <c r="F4" s="70"/>
      <c r="G4" s="70"/>
      <c r="H4" s="70"/>
    </row>
    <row r="5" spans="1:8" x14ac:dyDescent="0.15">
      <c r="A5" s="69"/>
      <c r="B5" s="69"/>
      <c r="C5" s="69"/>
      <c r="D5" s="69"/>
      <c r="E5" s="70"/>
      <c r="F5" s="70"/>
      <c r="G5" s="70"/>
      <c r="H5" s="70"/>
    </row>
    <row r="6" spans="1:8" x14ac:dyDescent="0.15">
      <c r="A6" s="69"/>
      <c r="B6" s="69"/>
      <c r="C6" s="69"/>
      <c r="D6" s="69"/>
      <c r="E6" s="70"/>
      <c r="F6" s="70"/>
      <c r="G6" s="70"/>
      <c r="H6" s="70"/>
    </row>
    <row r="7" spans="1:8" x14ac:dyDescent="0.15">
      <c r="A7" s="69"/>
      <c r="B7" s="69"/>
      <c r="C7" s="69"/>
      <c r="D7" s="69"/>
      <c r="E7" s="70"/>
      <c r="F7" s="70"/>
      <c r="G7" s="70"/>
      <c r="H7" s="70"/>
    </row>
    <row r="8" spans="1:8" x14ac:dyDescent="0.15">
      <c r="A8" s="69"/>
      <c r="B8" s="69"/>
      <c r="C8" s="69"/>
      <c r="D8" s="69"/>
      <c r="E8" s="70"/>
      <c r="F8" s="70"/>
      <c r="G8" s="70"/>
      <c r="H8" s="70"/>
    </row>
    <row r="9" spans="1:8" x14ac:dyDescent="0.15">
      <c r="A9" s="69"/>
      <c r="B9" s="69"/>
      <c r="C9" s="69"/>
      <c r="D9" s="69"/>
      <c r="E9" s="70"/>
      <c r="F9" s="70"/>
      <c r="G9" s="70"/>
      <c r="H9" s="70"/>
    </row>
    <row r="10" spans="1:8" x14ac:dyDescent="0.15">
      <c r="A10" s="69"/>
      <c r="B10" s="69"/>
      <c r="C10" s="69"/>
      <c r="D10" s="69"/>
      <c r="E10" s="70"/>
      <c r="F10" s="70"/>
      <c r="G10" s="70"/>
      <c r="H10" s="70"/>
    </row>
    <row r="11" spans="1:8" x14ac:dyDescent="0.15">
      <c r="A11" s="69"/>
      <c r="B11" s="69"/>
      <c r="C11" s="69"/>
      <c r="D11" s="69"/>
      <c r="E11" s="70"/>
      <c r="F11" s="70"/>
      <c r="G11" s="70"/>
      <c r="H11" s="70"/>
    </row>
    <row r="12" spans="1:8" x14ac:dyDescent="0.15">
      <c r="A12" s="69"/>
      <c r="B12" s="69"/>
      <c r="C12" s="69"/>
      <c r="D12" s="69"/>
      <c r="E12" s="70"/>
      <c r="F12" s="70"/>
      <c r="G12" s="70"/>
      <c r="H12" s="70"/>
    </row>
    <row r="13" spans="1:8" x14ac:dyDescent="0.15">
      <c r="A13" s="69"/>
      <c r="B13" s="69"/>
      <c r="C13" s="69"/>
      <c r="D13" s="69"/>
      <c r="E13" s="70"/>
      <c r="F13" s="70"/>
      <c r="G13" s="70"/>
      <c r="H13" s="70"/>
    </row>
    <row r="14" spans="1:8" x14ac:dyDescent="0.15">
      <c r="A14" s="69"/>
      <c r="B14" s="69"/>
      <c r="C14" s="69"/>
      <c r="D14" s="69"/>
      <c r="E14" s="70"/>
      <c r="F14" s="70"/>
      <c r="G14" s="70"/>
      <c r="H14" s="70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Q205"/>
  <sheetViews>
    <sheetView topLeftCell="A166" zoomScale="70" zoomScaleNormal="70" workbookViewId="0">
      <selection activeCell="AS182" sqref="AS182"/>
    </sheetView>
  </sheetViews>
  <sheetFormatPr defaultRowHeight="13.5" x14ac:dyDescent="0.15"/>
  <sheetData>
    <row r="1" spans="1:121" ht="14.25" x14ac:dyDescent="0.15">
      <c r="A1" s="81" t="s">
        <v>190</v>
      </c>
      <c r="B1" s="83" t="s">
        <v>168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 t="s">
        <v>186</v>
      </c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 t="s">
        <v>187</v>
      </c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 t="s">
        <v>191</v>
      </c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 t="s">
        <v>188</v>
      </c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 t="s">
        <v>189</v>
      </c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 t="s">
        <v>192</v>
      </c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4" t="s">
        <v>194</v>
      </c>
      <c r="DD1" s="84"/>
      <c r="DE1" s="84"/>
      <c r="DF1" s="84"/>
      <c r="DG1" s="84"/>
      <c r="DH1" s="84"/>
      <c r="DI1" s="84"/>
      <c r="DJ1" s="84"/>
      <c r="DK1" s="84"/>
      <c r="DL1" s="84"/>
      <c r="DM1" s="84"/>
      <c r="DN1" s="84"/>
      <c r="DO1" s="84"/>
      <c r="DP1" s="84"/>
      <c r="DQ1" s="84"/>
    </row>
    <row r="2" spans="1:121" ht="14.25" x14ac:dyDescent="0.15">
      <c r="A2" s="82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  <c r="N2" s="41">
        <v>13</v>
      </c>
      <c r="O2" s="41">
        <v>14</v>
      </c>
      <c r="P2" s="41">
        <v>15</v>
      </c>
      <c r="Q2" s="41">
        <v>1</v>
      </c>
      <c r="R2" s="41">
        <v>2</v>
      </c>
      <c r="S2" s="41">
        <v>3</v>
      </c>
      <c r="T2" s="41">
        <v>4</v>
      </c>
      <c r="U2" s="41">
        <v>5</v>
      </c>
      <c r="V2" s="41">
        <v>6</v>
      </c>
      <c r="W2" s="41">
        <v>7</v>
      </c>
      <c r="X2" s="41">
        <v>8</v>
      </c>
      <c r="Y2" s="41">
        <v>9</v>
      </c>
      <c r="Z2" s="41">
        <v>10</v>
      </c>
      <c r="AA2" s="41">
        <v>11</v>
      </c>
      <c r="AB2" s="41">
        <v>12</v>
      </c>
      <c r="AC2" s="41">
        <v>13</v>
      </c>
      <c r="AD2" s="41">
        <v>14</v>
      </c>
      <c r="AE2" s="41">
        <v>15</v>
      </c>
      <c r="AF2" s="41">
        <v>1</v>
      </c>
      <c r="AG2" s="41">
        <v>2</v>
      </c>
      <c r="AH2" s="41">
        <v>3</v>
      </c>
      <c r="AI2" s="41">
        <v>4</v>
      </c>
      <c r="AJ2" s="41">
        <v>5</v>
      </c>
      <c r="AK2" s="41">
        <v>6</v>
      </c>
      <c r="AL2" s="41">
        <v>7</v>
      </c>
      <c r="AM2" s="41">
        <v>8</v>
      </c>
      <c r="AN2" s="41">
        <v>9</v>
      </c>
      <c r="AO2" s="41">
        <v>10</v>
      </c>
      <c r="AP2" s="41">
        <v>11</v>
      </c>
      <c r="AQ2" s="41">
        <v>12</v>
      </c>
      <c r="AR2" s="41">
        <v>13</v>
      </c>
      <c r="AS2" s="41">
        <v>14</v>
      </c>
      <c r="AT2" s="41">
        <v>15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10</v>
      </c>
      <c r="BE2" s="41">
        <v>11</v>
      </c>
      <c r="BF2" s="41">
        <v>12</v>
      </c>
      <c r="BG2" s="41">
        <v>13</v>
      </c>
      <c r="BH2" s="41">
        <v>14</v>
      </c>
      <c r="BI2" s="41">
        <v>15</v>
      </c>
      <c r="BJ2" s="41">
        <v>1</v>
      </c>
      <c r="BK2" s="41">
        <v>2</v>
      </c>
      <c r="BL2" s="41">
        <v>3</v>
      </c>
      <c r="BM2" s="41">
        <v>4</v>
      </c>
      <c r="BN2" s="41">
        <v>5</v>
      </c>
      <c r="BO2" s="41">
        <v>6</v>
      </c>
      <c r="BP2" s="41">
        <v>7</v>
      </c>
      <c r="BQ2" s="41">
        <v>8</v>
      </c>
      <c r="BR2" s="41">
        <v>9</v>
      </c>
      <c r="BS2" s="41">
        <v>10</v>
      </c>
      <c r="BT2" s="41">
        <v>11</v>
      </c>
      <c r="BU2" s="41">
        <v>12</v>
      </c>
      <c r="BV2" s="41">
        <v>13</v>
      </c>
      <c r="BW2" s="41">
        <v>14</v>
      </c>
      <c r="BX2" s="41">
        <v>15</v>
      </c>
      <c r="BY2" s="41">
        <v>1</v>
      </c>
      <c r="BZ2" s="41">
        <v>2</v>
      </c>
      <c r="CA2" s="41">
        <v>3</v>
      </c>
      <c r="CB2" s="41">
        <v>4</v>
      </c>
      <c r="CC2" s="41">
        <v>5</v>
      </c>
      <c r="CD2" s="41">
        <v>6</v>
      </c>
      <c r="CE2" s="41">
        <v>7</v>
      </c>
      <c r="CF2" s="41">
        <v>8</v>
      </c>
      <c r="CG2" s="41">
        <v>9</v>
      </c>
      <c r="CH2" s="41">
        <v>10</v>
      </c>
      <c r="CI2" s="41">
        <v>11</v>
      </c>
      <c r="CJ2" s="41">
        <v>12</v>
      </c>
      <c r="CK2" s="41">
        <v>13</v>
      </c>
      <c r="CL2" s="41">
        <v>14</v>
      </c>
      <c r="CM2" s="41">
        <v>15</v>
      </c>
      <c r="CN2" s="41">
        <v>1</v>
      </c>
      <c r="CO2" s="41">
        <v>2</v>
      </c>
      <c r="CP2" s="41">
        <v>3</v>
      </c>
      <c r="CQ2" s="41">
        <v>4</v>
      </c>
      <c r="CR2" s="41">
        <v>5</v>
      </c>
      <c r="CS2" s="41">
        <v>6</v>
      </c>
      <c r="CT2" s="41">
        <v>7</v>
      </c>
      <c r="CU2" s="41">
        <v>8</v>
      </c>
      <c r="CV2" s="41">
        <v>9</v>
      </c>
      <c r="CW2" s="41">
        <v>10</v>
      </c>
      <c r="CX2" s="41">
        <v>11</v>
      </c>
      <c r="CY2" s="41">
        <v>12</v>
      </c>
      <c r="CZ2" s="41">
        <v>13</v>
      </c>
      <c r="DA2" s="41">
        <v>14</v>
      </c>
      <c r="DB2" s="41">
        <v>15</v>
      </c>
      <c r="DC2" s="51">
        <v>1</v>
      </c>
      <c r="DD2" s="51">
        <v>2</v>
      </c>
      <c r="DE2" s="51">
        <v>3</v>
      </c>
      <c r="DF2" s="51">
        <v>4</v>
      </c>
      <c r="DG2" s="51">
        <v>5</v>
      </c>
      <c r="DH2" s="51">
        <v>6</v>
      </c>
      <c r="DI2" s="51">
        <v>7</v>
      </c>
      <c r="DJ2" s="51">
        <v>8</v>
      </c>
      <c r="DK2" s="51">
        <v>9</v>
      </c>
      <c r="DL2" s="51">
        <v>10</v>
      </c>
      <c r="DM2" s="51">
        <v>11</v>
      </c>
      <c r="DN2" s="51">
        <v>12</v>
      </c>
      <c r="DO2" s="51">
        <v>13</v>
      </c>
      <c r="DP2" s="51">
        <v>14</v>
      </c>
      <c r="DQ2" s="51">
        <v>15</v>
      </c>
    </row>
    <row r="3" spans="1:121" ht="14.25" x14ac:dyDescent="0.15">
      <c r="A3" s="48">
        <v>1</v>
      </c>
      <c r="B3" s="45" t="e">
        <f>Q3*AF3*B$191</f>
        <v>#DIV/0!</v>
      </c>
      <c r="C3" s="45" t="e">
        <f t="shared" ref="C3:P3" si="0">R3*AG3*C$191</f>
        <v>#DIV/0!</v>
      </c>
      <c r="D3" s="45" t="e">
        <f t="shared" si="0"/>
        <v>#DIV/0!</v>
      </c>
      <c r="E3" s="45" t="e">
        <f t="shared" si="0"/>
        <v>#DIV/0!</v>
      </c>
      <c r="F3" s="45" t="e">
        <f t="shared" si="0"/>
        <v>#DIV/0!</v>
      </c>
      <c r="G3" s="45" t="e">
        <f t="shared" si="0"/>
        <v>#DIV/0!</v>
      </c>
      <c r="H3" s="45" t="e">
        <f t="shared" si="0"/>
        <v>#DIV/0!</v>
      </c>
      <c r="I3" s="45" t="e">
        <f t="shared" si="0"/>
        <v>#DIV/0!</v>
      </c>
      <c r="J3" s="45" t="e">
        <f t="shared" si="0"/>
        <v>#DIV/0!</v>
      </c>
      <c r="K3" s="45" t="e">
        <f t="shared" si="0"/>
        <v>#DIV/0!</v>
      </c>
      <c r="L3" s="45" t="e">
        <f t="shared" si="0"/>
        <v>#DIV/0!</v>
      </c>
      <c r="M3" s="45" t="e">
        <f t="shared" si="0"/>
        <v>#DIV/0!</v>
      </c>
      <c r="N3" s="45" t="e">
        <f t="shared" si="0"/>
        <v>#DIV/0!</v>
      </c>
      <c r="O3" s="45" t="e">
        <f>Links!B3</f>
        <v>#DIV/0!</v>
      </c>
      <c r="P3" s="45" t="e">
        <f t="shared" si="0"/>
        <v>#DIV/0!</v>
      </c>
      <c r="Q3" s="51" t="e">
        <f>(B204-B203+B205)/(B191*Q191)</f>
        <v>#DIV/0!</v>
      </c>
      <c r="R3" s="51" t="e">
        <f t="shared" ref="R3:AE3" si="1">(C204-C203+C205)/(C191*R191)</f>
        <v>#DIV/0!</v>
      </c>
      <c r="S3" s="51" t="e">
        <f t="shared" si="1"/>
        <v>#DIV/0!</v>
      </c>
      <c r="T3" s="51" t="e">
        <f t="shared" si="1"/>
        <v>#DIV/0!</v>
      </c>
      <c r="U3" s="51" t="e">
        <f t="shared" si="1"/>
        <v>#DIV/0!</v>
      </c>
      <c r="V3" s="51" t="e">
        <f t="shared" si="1"/>
        <v>#DIV/0!</v>
      </c>
      <c r="W3" s="51" t="e">
        <f t="shared" si="1"/>
        <v>#DIV/0!</v>
      </c>
      <c r="X3" s="51" t="e">
        <f t="shared" si="1"/>
        <v>#DIV/0!</v>
      </c>
      <c r="Y3" s="51" t="e">
        <f t="shared" si="1"/>
        <v>#DIV/0!</v>
      </c>
      <c r="Z3" s="51" t="e">
        <f t="shared" si="1"/>
        <v>#DIV/0!</v>
      </c>
      <c r="AA3" s="51" t="e">
        <f t="shared" si="1"/>
        <v>#DIV/0!</v>
      </c>
      <c r="AB3" s="51" t="e">
        <f t="shared" si="1"/>
        <v>#DIV/0!</v>
      </c>
      <c r="AC3" s="51" t="e">
        <f t="shared" si="1"/>
        <v>#DIV/0!</v>
      </c>
      <c r="AD3" s="51" t="e">
        <f t="shared" si="1"/>
        <v>#DIV/0!</v>
      </c>
      <c r="AE3" s="51" t="e">
        <f t="shared" si="1"/>
        <v>#DIV/0!</v>
      </c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</row>
    <row r="4" spans="1:121" ht="14.25" x14ac:dyDescent="0.15">
      <c r="A4" s="48">
        <v>2</v>
      </c>
      <c r="B4" s="45" t="e">
        <f t="shared" ref="B4:B67" si="2">Q4*AF4*B$191</f>
        <v>#DIV/0!</v>
      </c>
      <c r="C4" s="45" t="e">
        <f t="shared" ref="C4:C67" si="3">R4*AG4*C$191</f>
        <v>#DIV/0!</v>
      </c>
      <c r="D4" s="45" t="e">
        <f t="shared" ref="D4:D67" si="4">S4*AH4*D$191</f>
        <v>#DIV/0!</v>
      </c>
      <c r="E4" s="45" t="e">
        <f t="shared" ref="E4:E67" si="5">T4*AI4*E$191</f>
        <v>#DIV/0!</v>
      </c>
      <c r="F4" s="45" t="e">
        <f t="shared" ref="F4:F67" si="6">U4*AJ4*F$191</f>
        <v>#DIV/0!</v>
      </c>
      <c r="G4" s="45" t="e">
        <f t="shared" ref="G4:G67" si="7">V4*AK4*G$191</f>
        <v>#DIV/0!</v>
      </c>
      <c r="H4" s="45" t="e">
        <f t="shared" ref="H4:H67" si="8">W4*AL4*H$191</f>
        <v>#DIV/0!</v>
      </c>
      <c r="I4" s="45" t="e">
        <f t="shared" ref="I4:I67" si="9">X4*AM4*I$191</f>
        <v>#DIV/0!</v>
      </c>
      <c r="J4" s="45" t="e">
        <f t="shared" ref="J4:J67" si="10">Y4*AN4*J$191</f>
        <v>#DIV/0!</v>
      </c>
      <c r="K4" s="45" t="e">
        <f t="shared" ref="K4:K67" si="11">Z4*AO4*K$191</f>
        <v>#DIV/0!</v>
      </c>
      <c r="L4" s="45" t="e">
        <f t="shared" ref="L4:L67" si="12">AA4*AP4*L$191</f>
        <v>#DIV/0!</v>
      </c>
      <c r="M4" s="45" t="e">
        <f t="shared" ref="M4:M67" si="13">AB4*AQ4*M$191</f>
        <v>#DIV/0!</v>
      </c>
      <c r="N4" s="45" t="e">
        <f t="shared" ref="N4:N67" si="14">AC4*AR4*N$191</f>
        <v>#DIV/0!</v>
      </c>
      <c r="O4" s="45" t="e">
        <f t="shared" ref="O4:O67" si="15">AD4*AS4*O$191</f>
        <v>#DIV/0!</v>
      </c>
      <c r="P4" s="45" t="e">
        <f t="shared" ref="P4:P67" si="16">AE4*AT4*P$191</f>
        <v>#DIV/0!</v>
      </c>
      <c r="Q4" s="55" t="e">
        <f>Q3+ATM_Conf!$C$5*(B3)/(Links!B$191*Links!Q$191)</f>
        <v>#DIV/0!</v>
      </c>
      <c r="R4" s="55" t="e">
        <f>R3+ATM_Conf!$C$5*(C3-B3)/(Links!C$191*Links!R$191)</f>
        <v>#DIV/0!</v>
      </c>
      <c r="S4" s="55" t="e">
        <f>S3+ATM_Conf!$C$5*(D3-C3)/(Links!D$191*Links!S$191)</f>
        <v>#DIV/0!</v>
      </c>
      <c r="T4" s="55" t="e">
        <f>T3+ATM_Conf!$C$5*(E3-D3)/(Links!E$191*Links!T$191)</f>
        <v>#DIV/0!</v>
      </c>
      <c r="U4" s="55" t="e">
        <f>U3+ATM_Conf!$C$5*(F3-E3)/(Links!F$191*Links!U$191)</f>
        <v>#DIV/0!</v>
      </c>
      <c r="V4" s="55" t="e">
        <f>V3+ATM_Conf!$C$5*(G3-F3)/(Links!G$191*Links!V$191)</f>
        <v>#DIV/0!</v>
      </c>
      <c r="W4" s="55" t="e">
        <f>W3+ATM_Conf!$C$5*(H3-G3)/(Links!H$191*Links!W$191)</f>
        <v>#DIV/0!</v>
      </c>
      <c r="X4" s="55" t="e">
        <f>X3+ATM_Conf!$C$5*(I3-H3)/(Links!I$191*Links!X$191)</f>
        <v>#DIV/0!</v>
      </c>
      <c r="Y4" s="55" t="e">
        <f>Y3+ATM_Conf!$C$5*(J3)/(Links!J$191*Links!Y$191)</f>
        <v>#DIV/0!</v>
      </c>
      <c r="Z4" s="55" t="e">
        <f>Z3+ATM_Conf!$C$5*(K3-J3)/(Links!K$191*Links!Z$191)</f>
        <v>#DIV/0!</v>
      </c>
      <c r="AA4" s="55" t="e">
        <f>AA3+ATM_Conf!$C$5*(L3-K3)/(Links!L$191*Links!AA$191)</f>
        <v>#DIV/0!</v>
      </c>
      <c r="AB4" s="55" t="e">
        <f>AB3+ATM_Conf!$C$5*(M3-L3)/(Links!M$191*Links!AB$191)</f>
        <v>#DIV/0!</v>
      </c>
      <c r="AC4" s="55" t="e">
        <f>AC3+ATM_Conf!$C$5*(N3-M3)/(Links!N$191*Links!AC$191)</f>
        <v>#DIV/0!</v>
      </c>
      <c r="AD4" s="55" t="e">
        <f>AD3+ATM_Conf!$C$5*(O3-N3)/(Links!O$191*Links!AD$191)</f>
        <v>#DIV/0!</v>
      </c>
      <c r="AE4" s="55" t="e">
        <f>AE3+ATM_Conf!$C$5*(P3-O3)/(Links!P$191*Links!AE$191)</f>
        <v>#DIV/0!</v>
      </c>
      <c r="AF4" s="45" t="e">
        <f>AF3+(ATM_Conf!$C$5/ATM_Conf!$C$8)*(Links!AU3*EXP((-(Links!Q3/Links!BJ3)^Links!BY3)/Links!BY3)-Links!AF3)-(ATM_Conf!$C$9*ATM_Conf!$C$5/(ATM_Conf!$C$8*Links!Q$191))*(Nodes!BO3-Links!Q3)/(Links!Q3/ATM_Conf!$C$10)</f>
        <v>#DIV/0!</v>
      </c>
      <c r="AG4" s="45" t="e">
        <f>AG3+(ATM_Conf!$C$5/ATM_Conf!$C$8)*(Links!AV3*EXP((-(Links!R3/Links!BK3)^Links!BZ3)/Links!BZ3)-Links!AG3)+(ATM_Conf!$C$5/Links!R$191)*Links!AG3*(Nodes!BB3-Links!AG3)-(ATM_Conf!$C$9*ATM_Conf!$C$5/(ATM_Conf!$C$8*Links!R$191))*(Nodes!BP3-Links!R3)/(Links!R3/ATM_Conf!$C$10)</f>
        <v>#DIV/0!</v>
      </c>
      <c r="AH4" s="45" t="e">
        <f>AH3+(ATM_Conf!$C$5/ATM_Conf!$C$8)*(Links!AW3*EXP((-(Links!S3/Links!BL3)^Links!CA3)/Links!CA3)-Links!AH3)+(ATM_Conf!$C$5/Links!S$191)*Links!AH3*(Nodes!BC3-Links!AH3)-(ATM_Conf!$C$9*ATM_Conf!$C$5/(ATM_Conf!$C$8*Links!S$191))*(Nodes!BQ3-Links!S3)/(Links!S3/ATM_Conf!$C$10)</f>
        <v>#DIV/0!</v>
      </c>
      <c r="AI4" s="45" t="e">
        <f>AI3+(ATM_Conf!$C$5/ATM_Conf!$C$8)*(Links!AX3*EXP((-(Links!T3/Links!BM3)^Links!CB3)/Links!CB3)-Links!AI3)+(ATM_Conf!$C$5/Links!T$191)*Links!AI3*(Nodes!BD3-Links!AI3)-(ATM_Conf!$C$9*ATM_Conf!$C$5/(ATM_Conf!$C$8*Links!T$191))*(Nodes!BR3-Links!T3)/(Links!T3/ATM_Conf!$C$10)</f>
        <v>#DIV/0!</v>
      </c>
      <c r="AJ4" s="45" t="e">
        <f>AJ3+(ATM_Conf!$C$5/ATM_Conf!$C$8)*(Links!AY3*EXP((-(Links!U3/Links!BN3)^Links!CC3)/Links!CC3)-Links!AJ3)+(ATM_Conf!$C$5/Links!U$191)*Links!AJ3*(Nodes!BE3-Links!AJ3)-(ATM_Conf!$C$9*ATM_Conf!$C$5/(ATM_Conf!$C$8*Links!U$191))*(Nodes!BS3-Links!U3)/(Links!U3/ATM_Conf!$C$10)</f>
        <v>#DIV/0!</v>
      </c>
      <c r="AK4" s="45" t="e">
        <f>AK3+(ATM_Conf!$C$5/ATM_Conf!$C$8)*(Links!AZ3*EXP((-(Links!V3/Links!BO3)^Links!CD3)/Links!CD3)-Links!AK3)+(ATM_Conf!$C$5/Links!V$191)*Links!AK3*(Nodes!BF3-Links!AK3)-(ATM_Conf!$C$9*ATM_Conf!$C$5/(ATM_Conf!$C$8*Links!V$191))*(Nodes!BT3-Links!V3)/(Links!V3/ATM_Conf!$C$10)</f>
        <v>#DIV/0!</v>
      </c>
      <c r="AL4" s="45" t="e">
        <f>AL3+(ATM_Conf!$C$5/ATM_Conf!$C$8)*(Links!BA3*EXP((-(Links!W3/Links!BP3)^Links!CE3)/Links!CE3)-Links!AL3)+(ATM_Conf!$C$5/Links!W$191)*Links!AL3*(Nodes!BG3-Links!AL3)-(ATM_Conf!$C$9*ATM_Conf!$C$5/(ATM_Conf!$C$8*Links!W$191))*(Nodes!BU3-Links!W3)/(Links!W3/ATM_Conf!$C$10)</f>
        <v>#DIV/0!</v>
      </c>
      <c r="AM4" s="45" t="e">
        <f>AM3+(ATM_Conf!$C$5/ATM_Conf!$C$8)*(Links!BB3*EXP((-(Links!X3/Links!BQ3)^Links!CF3)/Links!CF3)-Links!AM3)+(ATM_Conf!$C$5/Links!X$191)*Links!AM3*(Nodes!BH3-Links!AM3)</f>
        <v>#DIV/0!</v>
      </c>
      <c r="AN4" s="45" t="e">
        <f>AN3+(ATM_Conf!$C$5/ATM_Conf!$C$8)*(Links!BC3*EXP((-(Links!Y3/Links!BR3)^Links!CG3)/Links!CG3)-Links!AN3)-(ATM_Conf!$C$9*ATM_Conf!$C$5/(ATM_Conf!$C$8*Links!Y$191))*(Nodes!BV3-Links!Y3)/(Links!Y3/ATM_Conf!$C$10)</f>
        <v>#DIV/0!</v>
      </c>
      <c r="AO4" s="45" t="e">
        <f>AO3+(ATM_Conf!$C$5/ATM_Conf!$C$8)*(Links!BD3*EXP((-(Links!Z3/Links!BS3)^Links!CH3)/Links!CH3)-Links!AO3)+(ATM_Conf!$C$5/Links!Z$191)*Links!AO3*(Nodes!BI3-Links!AO3)-(ATM_Conf!$C$9*ATM_Conf!$C$5/(ATM_Conf!$C$8*Links!Z$191))*(Nodes!BW3-Links!Z3)/(Links!Z3/ATM_Conf!$C$10)</f>
        <v>#DIV/0!</v>
      </c>
      <c r="AP4" s="45" t="e">
        <f>AP3+(ATM_Conf!$C$5/ATM_Conf!$C$8)*(Links!BE3*EXP((-(Links!AA3/Links!BT3)^Links!CI3)/Links!CI3)-Links!AP3)+(ATM_Conf!$C$5/Links!AA$191)*Links!AP3*(Nodes!BJ3-Links!AP3)-(ATM_Conf!$C$9*ATM_Conf!$C$5/(ATM_Conf!$C$8*Links!AA$191))*(Nodes!BX3-Links!AA3)/(Links!AA3/ATM_Conf!$C$10)</f>
        <v>#DIV/0!</v>
      </c>
      <c r="AQ4" s="45" t="e">
        <f>AQ3+(ATM_Conf!$C$5/ATM_Conf!$C$8)*(Links!BF3*EXP((-(Links!AB3/Links!BU3)^Links!CJ3)/Links!CJ3)-Links!AQ3)+(ATM_Conf!$C$5/Links!AB$191)*Links!AQ3*(Nodes!BK3-Links!AQ3)-(ATM_Conf!$C$9*ATM_Conf!$C$5/(ATM_Conf!$C$8*Links!AB$191))*(Nodes!BY3-Links!AB3)/(Links!AB3/ATM_Conf!$C$10)</f>
        <v>#DIV/0!</v>
      </c>
      <c r="AR4" s="45" t="e">
        <f>AR3+(ATM_Conf!$C$5/ATM_Conf!$C$8)*(Links!BG3*EXP((-(Links!AC3/Links!BV3)^Links!CK3)/Links!CK3)-Links!AR3)+(ATM_Conf!$C$5/Links!AC$191)*Links!AR3*(Nodes!BL3-Links!AR3)-(ATM_Conf!$C$9*ATM_Conf!$C$5/(ATM_Conf!$C$8*Links!AC$191))*(Nodes!BZ3-Links!AC3)/(Links!AC3/ATM_Conf!$C$10)</f>
        <v>#DIV/0!</v>
      </c>
      <c r="AS4" s="45" t="e">
        <f>AS3+(ATM_Conf!$C$5/ATM_Conf!$C$8)*(Links!BH3*EXP((-(Links!AD3/Links!BW3)^Links!CL3)/Links!CL3)-Links!AS3)+(ATM_Conf!$C$5/Links!AD$191)*Links!AS3*(Nodes!BM3-Links!AS3)-(ATM_Conf!$C$9*ATM_Conf!$C$5/(ATM_Conf!$C$8*Links!AD$191))*(Nodes!CA3-Links!AD3)/(Links!AD3/ATM_Conf!$C$10)</f>
        <v>#DIV/0!</v>
      </c>
      <c r="AT4" s="45" t="e">
        <f>AT3+(ATM_Conf!$C$5/ATM_Conf!$C$8)*(Links!BI3*EXP((-(Links!AE3/Links!BX3)^Links!CM3)/Links!CM3)-Links!AT3)+(ATM_Conf!$C$5/Links!AE$191)*Links!AT3*(Nodes!BN3-Links!AT3)</f>
        <v>#DIV/0!</v>
      </c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45">
        <f>CN$3</f>
        <v>0</v>
      </c>
      <c r="CO4" s="45">
        <f t="shared" ref="CO4:DB4" si="17">CO$3</f>
        <v>0</v>
      </c>
      <c r="CP4" s="45">
        <f t="shared" si="17"/>
        <v>0</v>
      </c>
      <c r="CQ4" s="45">
        <f t="shared" si="17"/>
        <v>0</v>
      </c>
      <c r="CR4" s="45">
        <f t="shared" si="17"/>
        <v>0</v>
      </c>
      <c r="CS4" s="45">
        <f t="shared" si="17"/>
        <v>0</v>
      </c>
      <c r="CT4" s="45">
        <f t="shared" si="17"/>
        <v>0</v>
      </c>
      <c r="CU4" s="45">
        <f t="shared" si="17"/>
        <v>0</v>
      </c>
      <c r="CV4" s="45">
        <f t="shared" si="17"/>
        <v>0</v>
      </c>
      <c r="CW4" s="45">
        <f t="shared" si="17"/>
        <v>0</v>
      </c>
      <c r="CX4" s="45">
        <f t="shared" si="17"/>
        <v>0</v>
      </c>
      <c r="CY4" s="45">
        <f t="shared" si="17"/>
        <v>0</v>
      </c>
      <c r="CZ4" s="45">
        <f t="shared" si="17"/>
        <v>0</v>
      </c>
      <c r="DA4" s="45">
        <f t="shared" si="17"/>
        <v>0</v>
      </c>
      <c r="DB4" s="45">
        <f t="shared" si="17"/>
        <v>0</v>
      </c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</row>
    <row r="5" spans="1:121" ht="14.25" x14ac:dyDescent="0.15">
      <c r="A5" s="48">
        <v>3</v>
      </c>
      <c r="B5" s="45" t="e">
        <f t="shared" si="2"/>
        <v>#DIV/0!</v>
      </c>
      <c r="C5" s="45" t="e">
        <f t="shared" si="3"/>
        <v>#DIV/0!</v>
      </c>
      <c r="D5" s="45" t="e">
        <f t="shared" si="4"/>
        <v>#DIV/0!</v>
      </c>
      <c r="E5" s="45" t="e">
        <f t="shared" si="5"/>
        <v>#DIV/0!</v>
      </c>
      <c r="F5" s="45" t="e">
        <f t="shared" si="6"/>
        <v>#DIV/0!</v>
      </c>
      <c r="G5" s="45" t="e">
        <f t="shared" si="7"/>
        <v>#DIV/0!</v>
      </c>
      <c r="H5" s="45" t="e">
        <f t="shared" si="8"/>
        <v>#DIV/0!</v>
      </c>
      <c r="I5" s="45" t="e">
        <f t="shared" si="9"/>
        <v>#DIV/0!</v>
      </c>
      <c r="J5" s="45" t="e">
        <f t="shared" si="10"/>
        <v>#DIV/0!</v>
      </c>
      <c r="K5" s="45" t="e">
        <f t="shared" si="11"/>
        <v>#DIV/0!</v>
      </c>
      <c r="L5" s="45" t="e">
        <f t="shared" si="12"/>
        <v>#DIV/0!</v>
      </c>
      <c r="M5" s="45" t="e">
        <f t="shared" si="13"/>
        <v>#DIV/0!</v>
      </c>
      <c r="N5" s="45" t="e">
        <f t="shared" si="14"/>
        <v>#DIV/0!</v>
      </c>
      <c r="O5" s="45" t="e">
        <f t="shared" si="15"/>
        <v>#DIV/0!</v>
      </c>
      <c r="P5" s="45" t="e">
        <f t="shared" si="16"/>
        <v>#DIV/0!</v>
      </c>
      <c r="Q5" s="55" t="e">
        <f>Q4+ATM_Conf!$C$5*(B4)/(Links!B$191*Links!Q$191)</f>
        <v>#DIV/0!</v>
      </c>
      <c r="R5" s="55" t="e">
        <f>R4+ATM_Conf!$C$5*(C4-B4)/(Links!C$191*Links!R$191)</f>
        <v>#DIV/0!</v>
      </c>
      <c r="S5" s="55" t="e">
        <f>S4+ATM_Conf!$C$5*(D4-C4)/(Links!D$191*Links!S$191)</f>
        <v>#DIV/0!</v>
      </c>
      <c r="T5" s="55" t="e">
        <f>T4+ATM_Conf!$C$5*(E4-D4)/(Links!E$191*Links!T$191)</f>
        <v>#DIV/0!</v>
      </c>
      <c r="U5" s="55" t="e">
        <f>U4+ATM_Conf!$C$5*(F4-E4)/(Links!F$191*Links!U$191)</f>
        <v>#DIV/0!</v>
      </c>
      <c r="V5" s="55" t="e">
        <f>V4+ATM_Conf!$C$5*(G4-F4)/(Links!G$191*Links!V$191)</f>
        <v>#DIV/0!</v>
      </c>
      <c r="W5" s="55" t="e">
        <f>W4+ATM_Conf!$C$5*(H4-G4)/(Links!H$191*Links!W$191)</f>
        <v>#DIV/0!</v>
      </c>
      <c r="X5" s="55" t="e">
        <f>X4+ATM_Conf!$C$5*(I4-H4)/(Links!I$191*Links!X$191)</f>
        <v>#DIV/0!</v>
      </c>
      <c r="Y5" s="55" t="e">
        <f>Y4+ATM_Conf!$C$5*(J4)/(Links!J$191*Links!Y$191)</f>
        <v>#DIV/0!</v>
      </c>
      <c r="Z5" s="55" t="e">
        <f>Z4+ATM_Conf!$C$5*(K4-J4)/(Links!K$191*Links!Z$191)</f>
        <v>#DIV/0!</v>
      </c>
      <c r="AA5" s="55" t="e">
        <f>AA4+ATM_Conf!$C$5*(L4-K4)/(Links!L$191*Links!AA$191)</f>
        <v>#DIV/0!</v>
      </c>
      <c r="AB5" s="55" t="e">
        <f>AB4+ATM_Conf!$C$5*(M4-L4)/(Links!M$191*Links!AB$191)</f>
        <v>#DIV/0!</v>
      </c>
      <c r="AC5" s="55" t="e">
        <f>AC4+ATM_Conf!$C$5*(N4-M4)/(Links!N$191*Links!AC$191)</f>
        <v>#DIV/0!</v>
      </c>
      <c r="AD5" s="55" t="e">
        <f>AD4+ATM_Conf!$C$5*(O4-N4)/(Links!O$191*Links!AD$191)</f>
        <v>#DIV/0!</v>
      </c>
      <c r="AE5" s="55" t="e">
        <f>AE4+ATM_Conf!$C$5*(P4-O4)/(Links!P$191*Links!AE$191)</f>
        <v>#DIV/0!</v>
      </c>
      <c r="AF5" s="45" t="e">
        <f>AF4+(ATM_Conf!$C$5/ATM_Conf!$C$8)*(Links!AU4*EXP((-(Links!Q4/Links!BJ4)^Links!BY4)/Links!BY4)-Links!AF4)-(ATM_Conf!$C$9*ATM_Conf!$C$5/(ATM_Conf!$C$8*Links!Q$191))*(Nodes!BO4-Links!Q4)/(Links!Q4/ATM_Conf!$C$10)</f>
        <v>#DIV/0!</v>
      </c>
      <c r="AG5" s="45" t="e">
        <f>AG4+(ATM_Conf!$C$5/ATM_Conf!$C$8)*(Links!AV4*EXP((-(Links!R4/Links!BK4)^Links!BZ4)/Links!BZ4)-Links!AG4)+(ATM_Conf!$C$5/Links!R$191)*Links!AG4*(Nodes!BB4-Links!AG4)-(ATM_Conf!$C$9*ATM_Conf!$C$5/(ATM_Conf!$C$8*Links!R$191))*(Nodes!BP4-Links!R4)/(Links!R4/ATM_Conf!$C$10)</f>
        <v>#DIV/0!</v>
      </c>
      <c r="AH5" s="45" t="e">
        <f>AH4+(ATM_Conf!$C$5/ATM_Conf!$C$8)*(Links!AW4*EXP((-(Links!S4/Links!BL4)^Links!CA4)/Links!CA4)-Links!AH4)+(ATM_Conf!$C$5/Links!S$191)*Links!AH4*(Nodes!BC4-Links!AH4)-(ATM_Conf!$C$9*ATM_Conf!$C$5/(ATM_Conf!$C$8*Links!S$191))*(Nodes!BQ4-Links!S4)/(Links!S4/ATM_Conf!$C$10)</f>
        <v>#DIV/0!</v>
      </c>
      <c r="AI5" s="45" t="e">
        <f>AI4+(ATM_Conf!$C$5/ATM_Conf!$C$8)*(Links!AX4*EXP((-(Links!T4/Links!BM4)^Links!CB4)/Links!CB4)-Links!AI4)+(ATM_Conf!$C$5/Links!T$191)*Links!AI4*(Nodes!BD4-Links!AI4)-(ATM_Conf!$C$9*ATM_Conf!$C$5/(ATM_Conf!$C$8*Links!T$191))*(Nodes!BR4-Links!T4)/(Links!T4/ATM_Conf!$C$10)</f>
        <v>#DIV/0!</v>
      </c>
      <c r="AJ5" s="45" t="e">
        <f>AJ4+(ATM_Conf!$C$5/ATM_Conf!$C$8)*(Links!AY4*EXP((-(Links!U4/Links!BN4)^Links!CC4)/Links!CC4)-Links!AJ4)+(ATM_Conf!$C$5/Links!U$191)*Links!AJ4*(Nodes!BE4-Links!AJ4)-(ATM_Conf!$C$9*ATM_Conf!$C$5/(ATM_Conf!$C$8*Links!U$191))*(Nodes!BS4-Links!U4)/(Links!U4/ATM_Conf!$C$10)</f>
        <v>#DIV/0!</v>
      </c>
      <c r="AK5" s="45" t="e">
        <f>AK4+(ATM_Conf!$C$5/ATM_Conf!$C$8)*(Links!AZ4*EXP((-(Links!V4/Links!BO4)^Links!CD4)/Links!CD4)-Links!AK4)+(ATM_Conf!$C$5/Links!V$191)*Links!AK4*(Nodes!BF4-Links!AK4)-(ATM_Conf!$C$9*ATM_Conf!$C$5/(ATM_Conf!$C$8*Links!V$191))*(Nodes!BT4-Links!V4)/(Links!V4/ATM_Conf!$C$10)</f>
        <v>#DIV/0!</v>
      </c>
      <c r="AL5" s="45" t="e">
        <f>AL4+(ATM_Conf!$C$5/ATM_Conf!$C$8)*(Links!BA4*EXP((-(Links!W4/Links!BP4)^Links!CE4)/Links!CE4)-Links!AL4)+(ATM_Conf!$C$5/Links!W$191)*Links!AL4*(Nodes!BG4-Links!AL4)-(ATM_Conf!$C$9*ATM_Conf!$C$5/(ATM_Conf!$C$8*Links!W$191))*(Nodes!BU4-Links!W4)/(Links!W4/ATM_Conf!$C$10)</f>
        <v>#DIV/0!</v>
      </c>
      <c r="AM5" s="45" t="e">
        <f>AM4+(ATM_Conf!$C$5/ATM_Conf!$C$8)*(Links!BB4*EXP((-(Links!X4/Links!BQ4)^Links!CF4)/Links!CF4)-Links!AM4)+(ATM_Conf!$C$5/Links!X$191)*Links!AM4*(Nodes!BH4-Links!AM4)</f>
        <v>#DIV/0!</v>
      </c>
      <c r="AN5" s="45" t="e">
        <f>AN4+(ATM_Conf!$C$5/ATM_Conf!$C$8)*(Links!BC4*EXP((-(Links!Y4/Links!BR4)^Links!CG4)/Links!CG4)-Links!AN4)-(ATM_Conf!$C$9*ATM_Conf!$C$5/(ATM_Conf!$C$8*Links!Y$191))*(Nodes!BV4-Links!Y4)/(Links!Y4/ATM_Conf!$C$10)</f>
        <v>#DIV/0!</v>
      </c>
      <c r="AO5" s="45" t="e">
        <f>AO4+(ATM_Conf!$C$5/ATM_Conf!$C$8)*(Links!BD4*EXP((-(Links!Z4/Links!BS4)^Links!CH4)/Links!CH4)-Links!AO4)+(ATM_Conf!$C$5/Links!Z$191)*Links!AO4*(Nodes!BI4-Links!AO4)-(ATM_Conf!$C$9*ATM_Conf!$C$5/(ATM_Conf!$C$8*Links!Z$191))*(Nodes!BW4-Links!Z4)/(Links!Z4/ATM_Conf!$C$10)</f>
        <v>#DIV/0!</v>
      </c>
      <c r="AP5" s="45" t="e">
        <f>AP4+(ATM_Conf!$C$5/ATM_Conf!$C$8)*(Links!BE4*EXP((-(Links!AA4/Links!BT4)^Links!CI4)/Links!CI4)-Links!AP4)+(ATM_Conf!$C$5/Links!AA$191)*Links!AP4*(Nodes!BJ4-Links!AP4)-(ATM_Conf!$C$9*ATM_Conf!$C$5/(ATM_Conf!$C$8*Links!AA$191))*(Nodes!BX4-Links!AA4)/(Links!AA4/ATM_Conf!$C$10)</f>
        <v>#DIV/0!</v>
      </c>
      <c r="AQ5" s="45" t="e">
        <f>AQ4+(ATM_Conf!$C$5/ATM_Conf!$C$8)*(Links!BF4*EXP((-(Links!AB4/Links!BU4)^Links!CJ4)/Links!CJ4)-Links!AQ4)+(ATM_Conf!$C$5/Links!AB$191)*Links!AQ4*(Nodes!BK4-Links!AQ4)-(ATM_Conf!$C$9*ATM_Conf!$C$5/(ATM_Conf!$C$8*Links!AB$191))*(Nodes!BY4-Links!AB4)/(Links!AB4/ATM_Conf!$C$10)</f>
        <v>#DIV/0!</v>
      </c>
      <c r="AR5" s="45" t="e">
        <f>AR4+(ATM_Conf!$C$5/ATM_Conf!$C$8)*(Links!BG4*EXP((-(Links!AC4/Links!BV4)^Links!CK4)/Links!CK4)-Links!AR4)+(ATM_Conf!$C$5/Links!AC$191)*Links!AR4*(Nodes!BL4-Links!AR4)-(ATM_Conf!$C$9*ATM_Conf!$C$5/(ATM_Conf!$C$8*Links!AC$191))*(Nodes!BZ4-Links!AC4)/(Links!AC4/ATM_Conf!$C$10)</f>
        <v>#DIV/0!</v>
      </c>
      <c r="AS5" s="45" t="e">
        <f>AS4+(ATM_Conf!$C$5/ATM_Conf!$C$8)*(Links!BH4*EXP((-(Links!AD4/Links!BW4)^Links!CL4)/Links!CL4)-Links!AS4)+(ATM_Conf!$C$5/Links!AD$191)*Links!AS4*(Nodes!BM4-Links!AS4)-(ATM_Conf!$C$9*ATM_Conf!$C$5/(ATM_Conf!$C$8*Links!AD$191))*(Nodes!CA4-Links!AD4)/(Links!AD4/ATM_Conf!$C$10)</f>
        <v>#DIV/0!</v>
      </c>
      <c r="AT5" s="45" t="e">
        <f>AT4+(ATM_Conf!$C$5/ATM_Conf!$C$8)*(Links!BI4*EXP((-(Links!AE4/Links!BX4)^Links!CM4)/Links!CM4)-Links!AT4)+(ATM_Conf!$C$5/Links!AE$191)*Links!AT4*(Nodes!BN4-Links!AT4)</f>
        <v>#DIV/0!</v>
      </c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45">
        <f t="shared" ref="CN5:DB14" si="18">CN$3</f>
        <v>0</v>
      </c>
      <c r="CO5" s="45">
        <f t="shared" si="18"/>
        <v>0</v>
      </c>
      <c r="CP5" s="45">
        <f t="shared" si="18"/>
        <v>0</v>
      </c>
      <c r="CQ5" s="45">
        <f t="shared" si="18"/>
        <v>0</v>
      </c>
      <c r="CR5" s="45">
        <f t="shared" si="18"/>
        <v>0</v>
      </c>
      <c r="CS5" s="45">
        <f t="shared" si="18"/>
        <v>0</v>
      </c>
      <c r="CT5" s="45">
        <f t="shared" si="18"/>
        <v>0</v>
      </c>
      <c r="CU5" s="45">
        <f t="shared" si="18"/>
        <v>0</v>
      </c>
      <c r="CV5" s="45">
        <f t="shared" si="18"/>
        <v>0</v>
      </c>
      <c r="CW5" s="45">
        <f t="shared" si="18"/>
        <v>0</v>
      </c>
      <c r="CX5" s="45">
        <f t="shared" si="18"/>
        <v>0</v>
      </c>
      <c r="CY5" s="45">
        <f t="shared" si="18"/>
        <v>0</v>
      </c>
      <c r="CZ5" s="45">
        <f t="shared" si="18"/>
        <v>0</v>
      </c>
      <c r="DA5" s="45">
        <f t="shared" si="18"/>
        <v>0</v>
      </c>
      <c r="DB5" s="45">
        <f t="shared" si="18"/>
        <v>0</v>
      </c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</row>
    <row r="6" spans="1:121" ht="14.25" x14ac:dyDescent="0.15">
      <c r="A6" s="48">
        <v>4</v>
      </c>
      <c r="B6" s="45" t="e">
        <f t="shared" si="2"/>
        <v>#DIV/0!</v>
      </c>
      <c r="C6" s="45" t="e">
        <f t="shared" si="3"/>
        <v>#DIV/0!</v>
      </c>
      <c r="D6" s="45" t="e">
        <f t="shared" si="4"/>
        <v>#DIV/0!</v>
      </c>
      <c r="E6" s="45" t="e">
        <f t="shared" si="5"/>
        <v>#DIV/0!</v>
      </c>
      <c r="F6" s="45" t="e">
        <f t="shared" si="6"/>
        <v>#DIV/0!</v>
      </c>
      <c r="G6" s="45" t="e">
        <f t="shared" si="7"/>
        <v>#DIV/0!</v>
      </c>
      <c r="H6" s="45" t="e">
        <f t="shared" si="8"/>
        <v>#DIV/0!</v>
      </c>
      <c r="I6" s="45" t="e">
        <f t="shared" si="9"/>
        <v>#DIV/0!</v>
      </c>
      <c r="J6" s="45" t="e">
        <f t="shared" si="10"/>
        <v>#DIV/0!</v>
      </c>
      <c r="K6" s="45" t="e">
        <f t="shared" si="11"/>
        <v>#DIV/0!</v>
      </c>
      <c r="L6" s="45" t="e">
        <f t="shared" si="12"/>
        <v>#DIV/0!</v>
      </c>
      <c r="M6" s="45" t="e">
        <f t="shared" si="13"/>
        <v>#DIV/0!</v>
      </c>
      <c r="N6" s="45" t="e">
        <f t="shared" si="14"/>
        <v>#DIV/0!</v>
      </c>
      <c r="O6" s="45" t="e">
        <f t="shared" si="15"/>
        <v>#DIV/0!</v>
      </c>
      <c r="P6" s="45" t="e">
        <f t="shared" si="16"/>
        <v>#DIV/0!</v>
      </c>
      <c r="Q6" s="55" t="e">
        <f>Q5+ATM_Conf!$C$5*(B5)/(Links!B$191*Links!Q$191)</f>
        <v>#DIV/0!</v>
      </c>
      <c r="R6" s="55" t="e">
        <f>R5+ATM_Conf!$C$5*(C5-B5)/(Links!C$191*Links!R$191)</f>
        <v>#DIV/0!</v>
      </c>
      <c r="S6" s="55" t="e">
        <f>S5+ATM_Conf!$C$5*(D5-C5)/(Links!D$191*Links!S$191)</f>
        <v>#DIV/0!</v>
      </c>
      <c r="T6" s="55" t="e">
        <f>T5+ATM_Conf!$C$5*(E5-D5)/(Links!E$191*Links!T$191)</f>
        <v>#DIV/0!</v>
      </c>
      <c r="U6" s="55" t="e">
        <f>U5+ATM_Conf!$C$5*(F5-E5)/(Links!F$191*Links!U$191)</f>
        <v>#DIV/0!</v>
      </c>
      <c r="V6" s="55" t="e">
        <f>V5+ATM_Conf!$C$5*(G5-F5)/(Links!G$191*Links!V$191)</f>
        <v>#DIV/0!</v>
      </c>
      <c r="W6" s="55" t="e">
        <f>W5+ATM_Conf!$C$5*(H5-G5)/(Links!H$191*Links!W$191)</f>
        <v>#DIV/0!</v>
      </c>
      <c r="X6" s="55" t="e">
        <f>X5+ATM_Conf!$C$5*(I5-H5)/(Links!I$191*Links!X$191)</f>
        <v>#DIV/0!</v>
      </c>
      <c r="Y6" s="55" t="e">
        <f>Y5+ATM_Conf!$C$5*(J5)/(Links!J$191*Links!Y$191)</f>
        <v>#DIV/0!</v>
      </c>
      <c r="Z6" s="55" t="e">
        <f>Z5+ATM_Conf!$C$5*(K5-J5)/(Links!K$191*Links!Z$191)</f>
        <v>#DIV/0!</v>
      </c>
      <c r="AA6" s="55" t="e">
        <f>AA5+ATM_Conf!$C$5*(L5-K5)/(Links!L$191*Links!AA$191)</f>
        <v>#DIV/0!</v>
      </c>
      <c r="AB6" s="55" t="e">
        <f>AB5+ATM_Conf!$C$5*(M5-L5)/(Links!M$191*Links!AB$191)</f>
        <v>#DIV/0!</v>
      </c>
      <c r="AC6" s="55" t="e">
        <f>AC5+ATM_Conf!$C$5*(N5-M5)/(Links!N$191*Links!AC$191)</f>
        <v>#DIV/0!</v>
      </c>
      <c r="AD6" s="55" t="e">
        <f>AD5+ATM_Conf!$C$5*(O5-N5)/(Links!O$191*Links!AD$191)</f>
        <v>#DIV/0!</v>
      </c>
      <c r="AE6" s="55" t="e">
        <f>AE5+ATM_Conf!$C$5*(P5-O5)/(Links!P$191*Links!AE$191)</f>
        <v>#DIV/0!</v>
      </c>
      <c r="AF6" s="45" t="e">
        <f>AF5+(ATM_Conf!$C$5/ATM_Conf!$C$8)*(Links!AU5*EXP((-(Links!Q5/Links!BJ5)^Links!BY5)/Links!BY5)-Links!AF5)-(ATM_Conf!$C$9*ATM_Conf!$C$5/(ATM_Conf!$C$8*Links!Q$191))*(Nodes!BO5-Links!Q5)/(Links!Q5/ATM_Conf!$C$10)</f>
        <v>#DIV/0!</v>
      </c>
      <c r="AG6" s="45" t="e">
        <f>AG5+(ATM_Conf!$C$5/ATM_Conf!$C$8)*(Links!AV5*EXP((-(Links!R5/Links!BK5)^Links!BZ5)/Links!BZ5)-Links!AG5)+(ATM_Conf!$C$5/Links!R$191)*Links!AG5*(Nodes!BB5-Links!AG5)-(ATM_Conf!$C$9*ATM_Conf!$C$5/(ATM_Conf!$C$8*Links!R$191))*(Nodes!BP5-Links!R5)/(Links!R5/ATM_Conf!$C$10)</f>
        <v>#DIV/0!</v>
      </c>
      <c r="AH6" s="45" t="e">
        <f>AH5+(ATM_Conf!$C$5/ATM_Conf!$C$8)*(Links!AW5*EXP((-(Links!S5/Links!BL5)^Links!CA5)/Links!CA5)-Links!AH5)+(ATM_Conf!$C$5/Links!S$191)*Links!AH5*(Nodes!BC5-Links!AH5)-(ATM_Conf!$C$9*ATM_Conf!$C$5/(ATM_Conf!$C$8*Links!S$191))*(Nodes!BQ5-Links!S5)/(Links!S5/ATM_Conf!$C$10)</f>
        <v>#DIV/0!</v>
      </c>
      <c r="AI6" s="45" t="e">
        <f>AI5+(ATM_Conf!$C$5/ATM_Conf!$C$8)*(Links!AX5*EXP((-(Links!T5/Links!BM5)^Links!CB5)/Links!CB5)-Links!AI5)+(ATM_Conf!$C$5/Links!T$191)*Links!AI5*(Nodes!BD5-Links!AI5)-(ATM_Conf!$C$9*ATM_Conf!$C$5/(ATM_Conf!$C$8*Links!T$191))*(Nodes!BR5-Links!T5)/(Links!T5/ATM_Conf!$C$10)</f>
        <v>#DIV/0!</v>
      </c>
      <c r="AJ6" s="45" t="e">
        <f>AJ5+(ATM_Conf!$C$5/ATM_Conf!$C$8)*(Links!AY5*EXP((-(Links!U5/Links!BN5)^Links!CC5)/Links!CC5)-Links!AJ5)+(ATM_Conf!$C$5/Links!U$191)*Links!AJ5*(Nodes!BE5-Links!AJ5)-(ATM_Conf!$C$9*ATM_Conf!$C$5/(ATM_Conf!$C$8*Links!U$191))*(Nodes!BS5-Links!U5)/(Links!U5/ATM_Conf!$C$10)</f>
        <v>#DIV/0!</v>
      </c>
      <c r="AK6" s="45" t="e">
        <f>AK5+(ATM_Conf!$C$5/ATM_Conf!$C$8)*(Links!AZ5*EXP((-(Links!V5/Links!BO5)^Links!CD5)/Links!CD5)-Links!AK5)+(ATM_Conf!$C$5/Links!V$191)*Links!AK5*(Nodes!BF5-Links!AK5)-(ATM_Conf!$C$9*ATM_Conf!$C$5/(ATM_Conf!$C$8*Links!V$191))*(Nodes!BT5-Links!V5)/(Links!V5/ATM_Conf!$C$10)</f>
        <v>#DIV/0!</v>
      </c>
      <c r="AL6" s="45" t="e">
        <f>AL5+(ATM_Conf!$C$5/ATM_Conf!$C$8)*(Links!BA5*EXP((-(Links!W5/Links!BP5)^Links!CE5)/Links!CE5)-Links!AL5)+(ATM_Conf!$C$5/Links!W$191)*Links!AL5*(Nodes!BG5-Links!AL5)-(ATM_Conf!$C$9*ATM_Conf!$C$5/(ATM_Conf!$C$8*Links!W$191))*(Nodes!BU5-Links!W5)/(Links!W5/ATM_Conf!$C$10)</f>
        <v>#DIV/0!</v>
      </c>
      <c r="AM6" s="45" t="e">
        <f>AM5+(ATM_Conf!$C$5/ATM_Conf!$C$8)*(Links!BB5*EXP((-(Links!X5/Links!BQ5)^Links!CF5)/Links!CF5)-Links!AM5)+(ATM_Conf!$C$5/Links!X$191)*Links!AM5*(Nodes!BH5-Links!AM5)</f>
        <v>#DIV/0!</v>
      </c>
      <c r="AN6" s="45" t="e">
        <f>AN5+(ATM_Conf!$C$5/ATM_Conf!$C$8)*(Links!BC5*EXP((-(Links!Y5/Links!BR5)^Links!CG5)/Links!CG5)-Links!AN5)-(ATM_Conf!$C$9*ATM_Conf!$C$5/(ATM_Conf!$C$8*Links!Y$191))*(Nodes!BV5-Links!Y5)/(Links!Y5/ATM_Conf!$C$10)</f>
        <v>#DIV/0!</v>
      </c>
      <c r="AO6" s="45" t="e">
        <f>AO5+(ATM_Conf!$C$5/ATM_Conf!$C$8)*(Links!BD5*EXP((-(Links!Z5/Links!BS5)^Links!CH5)/Links!CH5)-Links!AO5)+(ATM_Conf!$C$5/Links!Z$191)*Links!AO5*(Nodes!BI5-Links!AO5)-(ATM_Conf!$C$9*ATM_Conf!$C$5/(ATM_Conf!$C$8*Links!Z$191))*(Nodes!BW5-Links!Z5)/(Links!Z5/ATM_Conf!$C$10)</f>
        <v>#DIV/0!</v>
      </c>
      <c r="AP6" s="45" t="e">
        <f>AP5+(ATM_Conf!$C$5/ATM_Conf!$C$8)*(Links!BE5*EXP((-(Links!AA5/Links!BT5)^Links!CI5)/Links!CI5)-Links!AP5)+(ATM_Conf!$C$5/Links!AA$191)*Links!AP5*(Nodes!BJ5-Links!AP5)-(ATM_Conf!$C$9*ATM_Conf!$C$5/(ATM_Conf!$C$8*Links!AA$191))*(Nodes!BX5-Links!AA5)/(Links!AA5/ATM_Conf!$C$10)</f>
        <v>#DIV/0!</v>
      </c>
      <c r="AQ6" s="45" t="e">
        <f>AQ5+(ATM_Conf!$C$5/ATM_Conf!$C$8)*(Links!BF5*EXP((-(Links!AB5/Links!BU5)^Links!CJ5)/Links!CJ5)-Links!AQ5)+(ATM_Conf!$C$5/Links!AB$191)*Links!AQ5*(Nodes!BK5-Links!AQ5)-(ATM_Conf!$C$9*ATM_Conf!$C$5/(ATM_Conf!$C$8*Links!AB$191))*(Nodes!BY5-Links!AB5)/(Links!AB5/ATM_Conf!$C$10)</f>
        <v>#DIV/0!</v>
      </c>
      <c r="AR6" s="45" t="e">
        <f>AR5+(ATM_Conf!$C$5/ATM_Conf!$C$8)*(Links!BG5*EXP((-(Links!AC5/Links!BV5)^Links!CK5)/Links!CK5)-Links!AR5)+(ATM_Conf!$C$5/Links!AC$191)*Links!AR5*(Nodes!BL5-Links!AR5)-(ATM_Conf!$C$9*ATM_Conf!$C$5/(ATM_Conf!$C$8*Links!AC$191))*(Nodes!BZ5-Links!AC5)/(Links!AC5/ATM_Conf!$C$10)</f>
        <v>#DIV/0!</v>
      </c>
      <c r="AS6" s="45" t="e">
        <f>AS5+(ATM_Conf!$C$5/ATM_Conf!$C$8)*(Links!BH5*EXP((-(Links!AD5/Links!BW5)^Links!CL5)/Links!CL5)-Links!AS5)+(ATM_Conf!$C$5/Links!AD$191)*Links!AS5*(Nodes!BM5-Links!AS5)-(ATM_Conf!$C$9*ATM_Conf!$C$5/(ATM_Conf!$C$8*Links!AD$191))*(Nodes!CA5-Links!AD5)/(Links!AD5/ATM_Conf!$C$10)</f>
        <v>#DIV/0!</v>
      </c>
      <c r="AT6" s="45" t="e">
        <f>AT5+(ATM_Conf!$C$5/ATM_Conf!$C$8)*(Links!BI5*EXP((-(Links!AE5/Links!BX5)^Links!CM5)/Links!CM5)-Links!AT5)+(ATM_Conf!$C$5/Links!AE$191)*Links!AT5*(Nodes!BN5-Links!AT5)</f>
        <v>#DIV/0!</v>
      </c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45">
        <f t="shared" si="18"/>
        <v>0</v>
      </c>
      <c r="CO6" s="45">
        <f t="shared" si="18"/>
        <v>0</v>
      </c>
      <c r="CP6" s="45">
        <f t="shared" si="18"/>
        <v>0</v>
      </c>
      <c r="CQ6" s="45">
        <f t="shared" si="18"/>
        <v>0</v>
      </c>
      <c r="CR6" s="45">
        <f t="shared" si="18"/>
        <v>0</v>
      </c>
      <c r="CS6" s="45">
        <f t="shared" si="18"/>
        <v>0</v>
      </c>
      <c r="CT6" s="45">
        <f t="shared" si="18"/>
        <v>0</v>
      </c>
      <c r="CU6" s="45">
        <f t="shared" si="18"/>
        <v>0</v>
      </c>
      <c r="CV6" s="45">
        <f t="shared" si="18"/>
        <v>0</v>
      </c>
      <c r="CW6" s="45">
        <f t="shared" si="18"/>
        <v>0</v>
      </c>
      <c r="CX6" s="45">
        <f t="shared" si="18"/>
        <v>0</v>
      </c>
      <c r="CY6" s="45">
        <f t="shared" si="18"/>
        <v>0</v>
      </c>
      <c r="CZ6" s="45">
        <f t="shared" si="18"/>
        <v>0</v>
      </c>
      <c r="DA6" s="45">
        <f t="shared" si="18"/>
        <v>0</v>
      </c>
      <c r="DB6" s="45">
        <f t="shared" si="18"/>
        <v>0</v>
      </c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</row>
    <row r="7" spans="1:121" ht="14.25" x14ac:dyDescent="0.15">
      <c r="A7" s="48">
        <v>5</v>
      </c>
      <c r="B7" s="45" t="e">
        <f t="shared" si="2"/>
        <v>#DIV/0!</v>
      </c>
      <c r="C7" s="45" t="e">
        <f t="shared" si="3"/>
        <v>#DIV/0!</v>
      </c>
      <c r="D7" s="45" t="e">
        <f t="shared" si="4"/>
        <v>#DIV/0!</v>
      </c>
      <c r="E7" s="45" t="e">
        <f t="shared" si="5"/>
        <v>#DIV/0!</v>
      </c>
      <c r="F7" s="45" t="e">
        <f t="shared" si="6"/>
        <v>#DIV/0!</v>
      </c>
      <c r="G7" s="45" t="e">
        <f t="shared" si="7"/>
        <v>#DIV/0!</v>
      </c>
      <c r="H7" s="45" t="e">
        <f t="shared" si="8"/>
        <v>#DIV/0!</v>
      </c>
      <c r="I7" s="45" t="e">
        <f t="shared" si="9"/>
        <v>#DIV/0!</v>
      </c>
      <c r="J7" s="45" t="e">
        <f t="shared" si="10"/>
        <v>#DIV/0!</v>
      </c>
      <c r="K7" s="45" t="e">
        <f t="shared" si="11"/>
        <v>#DIV/0!</v>
      </c>
      <c r="L7" s="45" t="e">
        <f t="shared" si="12"/>
        <v>#DIV/0!</v>
      </c>
      <c r="M7" s="45" t="e">
        <f t="shared" si="13"/>
        <v>#DIV/0!</v>
      </c>
      <c r="N7" s="45" t="e">
        <f t="shared" si="14"/>
        <v>#DIV/0!</v>
      </c>
      <c r="O7" s="45" t="e">
        <f t="shared" si="15"/>
        <v>#DIV/0!</v>
      </c>
      <c r="P7" s="45" t="e">
        <f t="shared" si="16"/>
        <v>#DIV/0!</v>
      </c>
      <c r="Q7" s="55" t="e">
        <f>Q6+ATM_Conf!$C$5*(B6)/(Links!B$191*Links!Q$191)</f>
        <v>#DIV/0!</v>
      </c>
      <c r="R7" s="55" t="e">
        <f>R6+ATM_Conf!$C$5*(C6-B6)/(Links!C$191*Links!R$191)</f>
        <v>#DIV/0!</v>
      </c>
      <c r="S7" s="55" t="e">
        <f>S6+ATM_Conf!$C$5*(D6-C6)/(Links!D$191*Links!S$191)</f>
        <v>#DIV/0!</v>
      </c>
      <c r="T7" s="55" t="e">
        <f>T6+ATM_Conf!$C$5*(E6-D6)/(Links!E$191*Links!T$191)</f>
        <v>#DIV/0!</v>
      </c>
      <c r="U7" s="55" t="e">
        <f>U6+ATM_Conf!$C$5*(F6-E6)/(Links!F$191*Links!U$191)</f>
        <v>#DIV/0!</v>
      </c>
      <c r="V7" s="55" t="e">
        <f>V6+ATM_Conf!$C$5*(G6-F6)/(Links!G$191*Links!V$191)</f>
        <v>#DIV/0!</v>
      </c>
      <c r="W7" s="55" t="e">
        <f>W6+ATM_Conf!$C$5*(H6-G6)/(Links!H$191*Links!W$191)</f>
        <v>#DIV/0!</v>
      </c>
      <c r="X7" s="55" t="e">
        <f>X6+ATM_Conf!$C$5*(I6-H6)/(Links!I$191*Links!X$191)</f>
        <v>#DIV/0!</v>
      </c>
      <c r="Y7" s="55" t="e">
        <f>Y6+ATM_Conf!$C$5*(J6)/(Links!J$191*Links!Y$191)</f>
        <v>#DIV/0!</v>
      </c>
      <c r="Z7" s="55" t="e">
        <f>Z6+ATM_Conf!$C$5*(K6-J6)/(Links!K$191*Links!Z$191)</f>
        <v>#DIV/0!</v>
      </c>
      <c r="AA7" s="55" t="e">
        <f>AA6+ATM_Conf!$C$5*(L6-K6)/(Links!L$191*Links!AA$191)</f>
        <v>#DIV/0!</v>
      </c>
      <c r="AB7" s="55" t="e">
        <f>AB6+ATM_Conf!$C$5*(M6-L6)/(Links!M$191*Links!AB$191)</f>
        <v>#DIV/0!</v>
      </c>
      <c r="AC7" s="55" t="e">
        <f>AC6+ATM_Conf!$C$5*(N6-M6)/(Links!N$191*Links!AC$191)</f>
        <v>#DIV/0!</v>
      </c>
      <c r="AD7" s="55" t="e">
        <f>AD6+ATM_Conf!$C$5*(O6-N6)/(Links!O$191*Links!AD$191)</f>
        <v>#DIV/0!</v>
      </c>
      <c r="AE7" s="55" t="e">
        <f>AE6+ATM_Conf!$C$5*(P6-O6)/(Links!P$191*Links!AE$191)</f>
        <v>#DIV/0!</v>
      </c>
      <c r="AF7" s="45" t="e">
        <f>AF6+(ATM_Conf!$C$5/ATM_Conf!$C$8)*(Links!AU6*EXP((-(Links!Q6/Links!BJ6)^Links!BY6)/Links!BY6)-Links!AF6)-(ATM_Conf!$C$9*ATM_Conf!$C$5/(ATM_Conf!$C$8*Links!Q$191))*(Nodes!BO6-Links!Q6)/(Links!Q6/ATM_Conf!$C$10)</f>
        <v>#DIV/0!</v>
      </c>
      <c r="AG7" s="45" t="e">
        <f>AG6+(ATM_Conf!$C$5/ATM_Conf!$C$8)*(Links!AV6*EXP((-(Links!R6/Links!BK6)^Links!BZ6)/Links!BZ6)-Links!AG6)+(ATM_Conf!$C$5/Links!R$191)*Links!AG6*(Nodes!BB6-Links!AG6)-(ATM_Conf!$C$9*ATM_Conf!$C$5/(ATM_Conf!$C$8*Links!R$191))*(Nodes!BP6-Links!R6)/(Links!R6/ATM_Conf!$C$10)</f>
        <v>#DIV/0!</v>
      </c>
      <c r="AH7" s="45" t="e">
        <f>AH6+(ATM_Conf!$C$5/ATM_Conf!$C$8)*(Links!AW6*EXP((-(Links!S6/Links!BL6)^Links!CA6)/Links!CA6)-Links!AH6)+(ATM_Conf!$C$5/Links!S$191)*Links!AH6*(Nodes!BC6-Links!AH6)-(ATM_Conf!$C$9*ATM_Conf!$C$5/(ATM_Conf!$C$8*Links!S$191))*(Nodes!BQ6-Links!S6)/(Links!S6/ATM_Conf!$C$10)</f>
        <v>#DIV/0!</v>
      </c>
      <c r="AI7" s="45" t="e">
        <f>AI6+(ATM_Conf!$C$5/ATM_Conf!$C$8)*(Links!AX6*EXP((-(Links!T6/Links!BM6)^Links!CB6)/Links!CB6)-Links!AI6)+(ATM_Conf!$C$5/Links!T$191)*Links!AI6*(Nodes!BD6-Links!AI6)-(ATM_Conf!$C$9*ATM_Conf!$C$5/(ATM_Conf!$C$8*Links!T$191))*(Nodes!BR6-Links!T6)/(Links!T6/ATM_Conf!$C$10)</f>
        <v>#DIV/0!</v>
      </c>
      <c r="AJ7" s="45" t="e">
        <f>AJ6+(ATM_Conf!$C$5/ATM_Conf!$C$8)*(Links!AY6*EXP((-(Links!U6/Links!BN6)^Links!CC6)/Links!CC6)-Links!AJ6)+(ATM_Conf!$C$5/Links!U$191)*Links!AJ6*(Nodes!BE6-Links!AJ6)-(ATM_Conf!$C$9*ATM_Conf!$C$5/(ATM_Conf!$C$8*Links!U$191))*(Nodes!BS6-Links!U6)/(Links!U6/ATM_Conf!$C$10)</f>
        <v>#DIV/0!</v>
      </c>
      <c r="AK7" s="45" t="e">
        <f>AK6+(ATM_Conf!$C$5/ATM_Conf!$C$8)*(Links!AZ6*EXP((-(Links!V6/Links!BO6)^Links!CD6)/Links!CD6)-Links!AK6)+(ATM_Conf!$C$5/Links!V$191)*Links!AK6*(Nodes!BF6-Links!AK6)-(ATM_Conf!$C$9*ATM_Conf!$C$5/(ATM_Conf!$C$8*Links!V$191))*(Nodes!BT6-Links!V6)/(Links!V6/ATM_Conf!$C$10)</f>
        <v>#DIV/0!</v>
      </c>
      <c r="AL7" s="45" t="e">
        <f>AL6+(ATM_Conf!$C$5/ATM_Conf!$C$8)*(Links!BA6*EXP((-(Links!W6/Links!BP6)^Links!CE6)/Links!CE6)-Links!AL6)+(ATM_Conf!$C$5/Links!W$191)*Links!AL6*(Nodes!BG6-Links!AL6)-(ATM_Conf!$C$9*ATM_Conf!$C$5/(ATM_Conf!$C$8*Links!W$191))*(Nodes!BU6-Links!W6)/(Links!W6/ATM_Conf!$C$10)</f>
        <v>#DIV/0!</v>
      </c>
      <c r="AM7" s="45" t="e">
        <f>AM6+(ATM_Conf!$C$5/ATM_Conf!$C$8)*(Links!BB6*EXP((-(Links!X6/Links!BQ6)^Links!CF6)/Links!CF6)-Links!AM6)+(ATM_Conf!$C$5/Links!X$191)*Links!AM6*(Nodes!BH6-Links!AM6)</f>
        <v>#DIV/0!</v>
      </c>
      <c r="AN7" s="45" t="e">
        <f>AN6+(ATM_Conf!$C$5/ATM_Conf!$C$8)*(Links!BC6*EXP((-(Links!Y6/Links!BR6)^Links!CG6)/Links!CG6)-Links!AN6)-(ATM_Conf!$C$9*ATM_Conf!$C$5/(ATM_Conf!$C$8*Links!Y$191))*(Nodes!BV6-Links!Y6)/(Links!Y6/ATM_Conf!$C$10)</f>
        <v>#DIV/0!</v>
      </c>
      <c r="AO7" s="45" t="e">
        <f>AO6+(ATM_Conf!$C$5/ATM_Conf!$C$8)*(Links!BD6*EXP((-(Links!Z6/Links!BS6)^Links!CH6)/Links!CH6)-Links!AO6)+(ATM_Conf!$C$5/Links!Z$191)*Links!AO6*(Nodes!BI6-Links!AO6)-(ATM_Conf!$C$9*ATM_Conf!$C$5/(ATM_Conf!$C$8*Links!Z$191))*(Nodes!BW6-Links!Z6)/(Links!Z6/ATM_Conf!$C$10)</f>
        <v>#DIV/0!</v>
      </c>
      <c r="AP7" s="45" t="e">
        <f>AP6+(ATM_Conf!$C$5/ATM_Conf!$C$8)*(Links!BE6*EXP((-(Links!AA6/Links!BT6)^Links!CI6)/Links!CI6)-Links!AP6)+(ATM_Conf!$C$5/Links!AA$191)*Links!AP6*(Nodes!BJ6-Links!AP6)-(ATM_Conf!$C$9*ATM_Conf!$C$5/(ATM_Conf!$C$8*Links!AA$191))*(Nodes!BX6-Links!AA6)/(Links!AA6/ATM_Conf!$C$10)</f>
        <v>#DIV/0!</v>
      </c>
      <c r="AQ7" s="45" t="e">
        <f>AQ6+(ATM_Conf!$C$5/ATM_Conf!$C$8)*(Links!BF6*EXP((-(Links!AB6/Links!BU6)^Links!CJ6)/Links!CJ6)-Links!AQ6)+(ATM_Conf!$C$5/Links!AB$191)*Links!AQ6*(Nodes!BK6-Links!AQ6)-(ATM_Conf!$C$9*ATM_Conf!$C$5/(ATM_Conf!$C$8*Links!AB$191))*(Nodes!BY6-Links!AB6)/(Links!AB6/ATM_Conf!$C$10)</f>
        <v>#DIV/0!</v>
      </c>
      <c r="AR7" s="45" t="e">
        <f>AR6+(ATM_Conf!$C$5/ATM_Conf!$C$8)*(Links!BG6*EXP((-(Links!AC6/Links!BV6)^Links!CK6)/Links!CK6)-Links!AR6)+(ATM_Conf!$C$5/Links!AC$191)*Links!AR6*(Nodes!BL6-Links!AR6)-(ATM_Conf!$C$9*ATM_Conf!$C$5/(ATM_Conf!$C$8*Links!AC$191))*(Nodes!BZ6-Links!AC6)/(Links!AC6/ATM_Conf!$C$10)</f>
        <v>#DIV/0!</v>
      </c>
      <c r="AS7" s="45" t="e">
        <f>AS6+(ATM_Conf!$C$5/ATM_Conf!$C$8)*(Links!BH6*EXP((-(Links!AD6/Links!BW6)^Links!CL6)/Links!CL6)-Links!AS6)+(ATM_Conf!$C$5/Links!AD$191)*Links!AS6*(Nodes!BM6-Links!AS6)-(ATM_Conf!$C$9*ATM_Conf!$C$5/(ATM_Conf!$C$8*Links!AD$191))*(Nodes!CA6-Links!AD6)/(Links!AD6/ATM_Conf!$C$10)</f>
        <v>#DIV/0!</v>
      </c>
      <c r="AT7" s="45" t="e">
        <f>AT6+(ATM_Conf!$C$5/ATM_Conf!$C$8)*(Links!BI6*EXP((-(Links!AE6/Links!BX6)^Links!CM6)/Links!CM6)-Links!AT6)+(ATM_Conf!$C$5/Links!AE$191)*Links!AT6*(Nodes!BN6-Links!AT6)</f>
        <v>#DIV/0!</v>
      </c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45">
        <f t="shared" si="18"/>
        <v>0</v>
      </c>
      <c r="CO7" s="45">
        <f t="shared" si="18"/>
        <v>0</v>
      </c>
      <c r="CP7" s="45">
        <f t="shared" si="18"/>
        <v>0</v>
      </c>
      <c r="CQ7" s="45">
        <f t="shared" si="18"/>
        <v>0</v>
      </c>
      <c r="CR7" s="45">
        <f t="shared" si="18"/>
        <v>0</v>
      </c>
      <c r="CS7" s="45">
        <f t="shared" si="18"/>
        <v>0</v>
      </c>
      <c r="CT7" s="45">
        <f t="shared" si="18"/>
        <v>0</v>
      </c>
      <c r="CU7" s="45">
        <f t="shared" si="18"/>
        <v>0</v>
      </c>
      <c r="CV7" s="45">
        <f t="shared" si="18"/>
        <v>0</v>
      </c>
      <c r="CW7" s="45">
        <f t="shared" si="18"/>
        <v>0</v>
      </c>
      <c r="CX7" s="45">
        <f t="shared" si="18"/>
        <v>0</v>
      </c>
      <c r="CY7" s="45">
        <f t="shared" si="18"/>
        <v>0</v>
      </c>
      <c r="CZ7" s="45">
        <f t="shared" si="18"/>
        <v>0</v>
      </c>
      <c r="DA7" s="45">
        <f t="shared" si="18"/>
        <v>0</v>
      </c>
      <c r="DB7" s="45">
        <f t="shared" si="18"/>
        <v>0</v>
      </c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</row>
    <row r="8" spans="1:121" ht="14.25" x14ac:dyDescent="0.15">
      <c r="A8" s="48">
        <v>6</v>
      </c>
      <c r="B8" s="45" t="e">
        <f t="shared" si="2"/>
        <v>#DIV/0!</v>
      </c>
      <c r="C8" s="45" t="e">
        <f t="shared" si="3"/>
        <v>#DIV/0!</v>
      </c>
      <c r="D8" s="45" t="e">
        <f t="shared" si="4"/>
        <v>#DIV/0!</v>
      </c>
      <c r="E8" s="45" t="e">
        <f t="shared" si="5"/>
        <v>#DIV/0!</v>
      </c>
      <c r="F8" s="45" t="e">
        <f t="shared" si="6"/>
        <v>#DIV/0!</v>
      </c>
      <c r="G8" s="45" t="e">
        <f t="shared" si="7"/>
        <v>#DIV/0!</v>
      </c>
      <c r="H8" s="45" t="e">
        <f t="shared" si="8"/>
        <v>#DIV/0!</v>
      </c>
      <c r="I8" s="45" t="e">
        <f t="shared" si="9"/>
        <v>#DIV/0!</v>
      </c>
      <c r="J8" s="45" t="e">
        <f t="shared" si="10"/>
        <v>#DIV/0!</v>
      </c>
      <c r="K8" s="45" t="e">
        <f t="shared" si="11"/>
        <v>#DIV/0!</v>
      </c>
      <c r="L8" s="45" t="e">
        <f t="shared" si="12"/>
        <v>#DIV/0!</v>
      </c>
      <c r="M8" s="45" t="e">
        <f t="shared" si="13"/>
        <v>#DIV/0!</v>
      </c>
      <c r="N8" s="45" t="e">
        <f t="shared" si="14"/>
        <v>#DIV/0!</v>
      </c>
      <c r="O8" s="45" t="e">
        <f t="shared" si="15"/>
        <v>#DIV/0!</v>
      </c>
      <c r="P8" s="45" t="e">
        <f t="shared" si="16"/>
        <v>#DIV/0!</v>
      </c>
      <c r="Q8" s="55" t="e">
        <f>Q7+ATM_Conf!$C$5*(B7)/(Links!B$191*Links!Q$191)</f>
        <v>#DIV/0!</v>
      </c>
      <c r="R8" s="55" t="e">
        <f>R7+ATM_Conf!$C$5*(C7-B7)/(Links!C$191*Links!R$191)</f>
        <v>#DIV/0!</v>
      </c>
      <c r="S8" s="55" t="e">
        <f>S7+ATM_Conf!$C$5*(D7-C7)/(Links!D$191*Links!S$191)</f>
        <v>#DIV/0!</v>
      </c>
      <c r="T8" s="55" t="e">
        <f>T7+ATM_Conf!$C$5*(E7-D7)/(Links!E$191*Links!T$191)</f>
        <v>#DIV/0!</v>
      </c>
      <c r="U8" s="55" t="e">
        <f>U7+ATM_Conf!$C$5*(F7-E7)/(Links!F$191*Links!U$191)</f>
        <v>#DIV/0!</v>
      </c>
      <c r="V8" s="55" t="e">
        <f>V7+ATM_Conf!$C$5*(G7-F7)/(Links!G$191*Links!V$191)</f>
        <v>#DIV/0!</v>
      </c>
      <c r="W8" s="55" t="e">
        <f>W7+ATM_Conf!$C$5*(H7-G7)/(Links!H$191*Links!W$191)</f>
        <v>#DIV/0!</v>
      </c>
      <c r="X8" s="55" t="e">
        <f>X7+ATM_Conf!$C$5*(I7-H7)/(Links!I$191*Links!X$191)</f>
        <v>#DIV/0!</v>
      </c>
      <c r="Y8" s="55" t="e">
        <f>Y7+ATM_Conf!$C$5*(J7)/(Links!J$191*Links!Y$191)</f>
        <v>#DIV/0!</v>
      </c>
      <c r="Z8" s="55" t="e">
        <f>Z7+ATM_Conf!$C$5*(K7-J7)/(Links!K$191*Links!Z$191)</f>
        <v>#DIV/0!</v>
      </c>
      <c r="AA8" s="55" t="e">
        <f>AA7+ATM_Conf!$C$5*(L7-K7)/(Links!L$191*Links!AA$191)</f>
        <v>#DIV/0!</v>
      </c>
      <c r="AB8" s="55" t="e">
        <f>AB7+ATM_Conf!$C$5*(M7-L7)/(Links!M$191*Links!AB$191)</f>
        <v>#DIV/0!</v>
      </c>
      <c r="AC8" s="55" t="e">
        <f>AC7+ATM_Conf!$C$5*(N7-M7)/(Links!N$191*Links!AC$191)</f>
        <v>#DIV/0!</v>
      </c>
      <c r="AD8" s="55" t="e">
        <f>AD7+ATM_Conf!$C$5*(O7-N7)/(Links!O$191*Links!AD$191)</f>
        <v>#DIV/0!</v>
      </c>
      <c r="AE8" s="55" t="e">
        <f>AE7+ATM_Conf!$C$5*(P7-O7)/(Links!P$191*Links!AE$191)</f>
        <v>#DIV/0!</v>
      </c>
      <c r="AF8" s="45" t="e">
        <f>AF7+(ATM_Conf!$C$5/ATM_Conf!$C$8)*(Links!AU7*EXP((-(Links!Q7/Links!BJ7)^Links!BY7)/Links!BY7)-Links!AF7)-(ATM_Conf!$C$9*ATM_Conf!$C$5/(ATM_Conf!$C$8*Links!Q$191))*(Nodes!BO7-Links!Q7)/(Links!Q7/ATM_Conf!$C$10)</f>
        <v>#DIV/0!</v>
      </c>
      <c r="AG8" s="45" t="e">
        <f>AG7+(ATM_Conf!$C$5/ATM_Conf!$C$8)*(Links!AV7*EXP((-(Links!R7/Links!BK7)^Links!BZ7)/Links!BZ7)-Links!AG7)+(ATM_Conf!$C$5/Links!R$191)*Links!AG7*(Nodes!BB7-Links!AG7)-(ATM_Conf!$C$9*ATM_Conf!$C$5/(ATM_Conf!$C$8*Links!R$191))*(Nodes!BP7-Links!R7)/(Links!R7/ATM_Conf!$C$10)</f>
        <v>#DIV/0!</v>
      </c>
      <c r="AH8" s="45" t="e">
        <f>AH7+(ATM_Conf!$C$5/ATM_Conf!$C$8)*(Links!AW7*EXP((-(Links!S7/Links!BL7)^Links!CA7)/Links!CA7)-Links!AH7)+(ATM_Conf!$C$5/Links!S$191)*Links!AH7*(Nodes!BC7-Links!AH7)-(ATM_Conf!$C$9*ATM_Conf!$C$5/(ATM_Conf!$C$8*Links!S$191))*(Nodes!BQ7-Links!S7)/(Links!S7/ATM_Conf!$C$10)</f>
        <v>#DIV/0!</v>
      </c>
      <c r="AI8" s="45" t="e">
        <f>AI7+(ATM_Conf!$C$5/ATM_Conf!$C$8)*(Links!AX7*EXP((-(Links!T7/Links!BM7)^Links!CB7)/Links!CB7)-Links!AI7)+(ATM_Conf!$C$5/Links!T$191)*Links!AI7*(Nodes!BD7-Links!AI7)-(ATM_Conf!$C$9*ATM_Conf!$C$5/(ATM_Conf!$C$8*Links!T$191))*(Nodes!BR7-Links!T7)/(Links!T7/ATM_Conf!$C$10)</f>
        <v>#DIV/0!</v>
      </c>
      <c r="AJ8" s="45" t="e">
        <f>AJ7+(ATM_Conf!$C$5/ATM_Conf!$C$8)*(Links!AY7*EXP((-(Links!U7/Links!BN7)^Links!CC7)/Links!CC7)-Links!AJ7)+(ATM_Conf!$C$5/Links!U$191)*Links!AJ7*(Nodes!BE7-Links!AJ7)-(ATM_Conf!$C$9*ATM_Conf!$C$5/(ATM_Conf!$C$8*Links!U$191))*(Nodes!BS7-Links!U7)/(Links!U7/ATM_Conf!$C$10)</f>
        <v>#DIV/0!</v>
      </c>
      <c r="AK8" s="45" t="e">
        <f>AK7+(ATM_Conf!$C$5/ATM_Conf!$C$8)*(Links!AZ7*EXP((-(Links!V7/Links!BO7)^Links!CD7)/Links!CD7)-Links!AK7)+(ATM_Conf!$C$5/Links!V$191)*Links!AK7*(Nodes!BF7-Links!AK7)-(ATM_Conf!$C$9*ATM_Conf!$C$5/(ATM_Conf!$C$8*Links!V$191))*(Nodes!BT7-Links!V7)/(Links!V7/ATM_Conf!$C$10)</f>
        <v>#DIV/0!</v>
      </c>
      <c r="AL8" s="45" t="e">
        <f>AL7+(ATM_Conf!$C$5/ATM_Conf!$C$8)*(Links!BA7*EXP((-(Links!W7/Links!BP7)^Links!CE7)/Links!CE7)-Links!AL7)+(ATM_Conf!$C$5/Links!W$191)*Links!AL7*(Nodes!BG7-Links!AL7)-(ATM_Conf!$C$9*ATM_Conf!$C$5/(ATM_Conf!$C$8*Links!W$191))*(Nodes!BU7-Links!W7)/(Links!W7/ATM_Conf!$C$10)</f>
        <v>#DIV/0!</v>
      </c>
      <c r="AM8" s="45" t="e">
        <f>AM7+(ATM_Conf!$C$5/ATM_Conf!$C$8)*(Links!BB7*EXP((-(Links!X7/Links!BQ7)^Links!CF7)/Links!CF7)-Links!AM7)+(ATM_Conf!$C$5/Links!X$191)*Links!AM7*(Nodes!BH7-Links!AM7)</f>
        <v>#DIV/0!</v>
      </c>
      <c r="AN8" s="45" t="e">
        <f>AN7+(ATM_Conf!$C$5/ATM_Conf!$C$8)*(Links!BC7*EXP((-(Links!Y7/Links!BR7)^Links!CG7)/Links!CG7)-Links!AN7)-(ATM_Conf!$C$9*ATM_Conf!$C$5/(ATM_Conf!$C$8*Links!Y$191))*(Nodes!BV7-Links!Y7)/(Links!Y7/ATM_Conf!$C$10)</f>
        <v>#DIV/0!</v>
      </c>
      <c r="AO8" s="45" t="e">
        <f>AO7+(ATM_Conf!$C$5/ATM_Conf!$C$8)*(Links!BD7*EXP((-(Links!Z7/Links!BS7)^Links!CH7)/Links!CH7)-Links!AO7)+(ATM_Conf!$C$5/Links!Z$191)*Links!AO7*(Nodes!BI7-Links!AO7)-(ATM_Conf!$C$9*ATM_Conf!$C$5/(ATM_Conf!$C$8*Links!Z$191))*(Nodes!BW7-Links!Z7)/(Links!Z7/ATM_Conf!$C$10)</f>
        <v>#DIV/0!</v>
      </c>
      <c r="AP8" s="45" t="e">
        <f>AP7+(ATM_Conf!$C$5/ATM_Conf!$C$8)*(Links!BE7*EXP((-(Links!AA7/Links!BT7)^Links!CI7)/Links!CI7)-Links!AP7)+(ATM_Conf!$C$5/Links!AA$191)*Links!AP7*(Nodes!BJ7-Links!AP7)-(ATM_Conf!$C$9*ATM_Conf!$C$5/(ATM_Conf!$C$8*Links!AA$191))*(Nodes!BX7-Links!AA7)/(Links!AA7/ATM_Conf!$C$10)</f>
        <v>#DIV/0!</v>
      </c>
      <c r="AQ8" s="45" t="e">
        <f>AQ7+(ATM_Conf!$C$5/ATM_Conf!$C$8)*(Links!BF7*EXP((-(Links!AB7/Links!BU7)^Links!CJ7)/Links!CJ7)-Links!AQ7)+(ATM_Conf!$C$5/Links!AB$191)*Links!AQ7*(Nodes!BK7-Links!AQ7)-(ATM_Conf!$C$9*ATM_Conf!$C$5/(ATM_Conf!$C$8*Links!AB$191))*(Nodes!BY7-Links!AB7)/(Links!AB7/ATM_Conf!$C$10)</f>
        <v>#DIV/0!</v>
      </c>
      <c r="AR8" s="45" t="e">
        <f>AR7+(ATM_Conf!$C$5/ATM_Conf!$C$8)*(Links!BG7*EXP((-(Links!AC7/Links!BV7)^Links!CK7)/Links!CK7)-Links!AR7)+(ATM_Conf!$C$5/Links!AC$191)*Links!AR7*(Nodes!BL7-Links!AR7)-(ATM_Conf!$C$9*ATM_Conf!$C$5/(ATM_Conf!$C$8*Links!AC$191))*(Nodes!BZ7-Links!AC7)/(Links!AC7/ATM_Conf!$C$10)</f>
        <v>#DIV/0!</v>
      </c>
      <c r="AS8" s="45" t="e">
        <f>AS7+(ATM_Conf!$C$5/ATM_Conf!$C$8)*(Links!BH7*EXP((-(Links!AD7/Links!BW7)^Links!CL7)/Links!CL7)-Links!AS7)+(ATM_Conf!$C$5/Links!AD$191)*Links!AS7*(Nodes!BM7-Links!AS7)-(ATM_Conf!$C$9*ATM_Conf!$C$5/(ATM_Conf!$C$8*Links!AD$191))*(Nodes!CA7-Links!AD7)/(Links!AD7/ATM_Conf!$C$10)</f>
        <v>#DIV/0!</v>
      </c>
      <c r="AT8" s="45" t="e">
        <f>AT7+(ATM_Conf!$C$5/ATM_Conf!$C$8)*(Links!BI7*EXP((-(Links!AE7/Links!BX7)^Links!CM7)/Links!CM7)-Links!AT7)+(ATM_Conf!$C$5/Links!AE$191)*Links!AT7*(Nodes!BN7-Links!AT7)</f>
        <v>#DIV/0!</v>
      </c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45">
        <f t="shared" si="18"/>
        <v>0</v>
      </c>
      <c r="CO8" s="45">
        <f t="shared" si="18"/>
        <v>0</v>
      </c>
      <c r="CP8" s="45">
        <f t="shared" si="18"/>
        <v>0</v>
      </c>
      <c r="CQ8" s="45">
        <f t="shared" si="18"/>
        <v>0</v>
      </c>
      <c r="CR8" s="45">
        <f t="shared" si="18"/>
        <v>0</v>
      </c>
      <c r="CS8" s="45">
        <f t="shared" si="18"/>
        <v>0</v>
      </c>
      <c r="CT8" s="45">
        <f t="shared" si="18"/>
        <v>0</v>
      </c>
      <c r="CU8" s="45">
        <f t="shared" si="18"/>
        <v>0</v>
      </c>
      <c r="CV8" s="45">
        <f t="shared" si="18"/>
        <v>0</v>
      </c>
      <c r="CW8" s="45">
        <f t="shared" si="18"/>
        <v>0</v>
      </c>
      <c r="CX8" s="45">
        <f t="shared" si="18"/>
        <v>0</v>
      </c>
      <c r="CY8" s="45">
        <f t="shared" si="18"/>
        <v>0</v>
      </c>
      <c r="CZ8" s="45">
        <f t="shared" si="18"/>
        <v>0</v>
      </c>
      <c r="DA8" s="45">
        <f t="shared" si="18"/>
        <v>0</v>
      </c>
      <c r="DB8" s="45">
        <f t="shared" si="18"/>
        <v>0</v>
      </c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</row>
    <row r="9" spans="1:121" ht="14.25" x14ac:dyDescent="0.15">
      <c r="A9" s="48">
        <v>7</v>
      </c>
      <c r="B9" s="45" t="e">
        <f t="shared" si="2"/>
        <v>#DIV/0!</v>
      </c>
      <c r="C9" s="45" t="e">
        <f t="shared" si="3"/>
        <v>#DIV/0!</v>
      </c>
      <c r="D9" s="45" t="e">
        <f t="shared" si="4"/>
        <v>#DIV/0!</v>
      </c>
      <c r="E9" s="45" t="e">
        <f t="shared" si="5"/>
        <v>#DIV/0!</v>
      </c>
      <c r="F9" s="45" t="e">
        <f t="shared" si="6"/>
        <v>#DIV/0!</v>
      </c>
      <c r="G9" s="45" t="e">
        <f t="shared" si="7"/>
        <v>#DIV/0!</v>
      </c>
      <c r="H9" s="45" t="e">
        <f t="shared" si="8"/>
        <v>#DIV/0!</v>
      </c>
      <c r="I9" s="45" t="e">
        <f t="shared" si="9"/>
        <v>#DIV/0!</v>
      </c>
      <c r="J9" s="45" t="e">
        <f t="shared" si="10"/>
        <v>#DIV/0!</v>
      </c>
      <c r="K9" s="45" t="e">
        <f t="shared" si="11"/>
        <v>#DIV/0!</v>
      </c>
      <c r="L9" s="45" t="e">
        <f t="shared" si="12"/>
        <v>#DIV/0!</v>
      </c>
      <c r="M9" s="45" t="e">
        <f t="shared" si="13"/>
        <v>#DIV/0!</v>
      </c>
      <c r="N9" s="45" t="e">
        <f t="shared" si="14"/>
        <v>#DIV/0!</v>
      </c>
      <c r="O9" s="45" t="e">
        <f t="shared" si="15"/>
        <v>#DIV/0!</v>
      </c>
      <c r="P9" s="45" t="e">
        <f t="shared" si="16"/>
        <v>#DIV/0!</v>
      </c>
      <c r="Q9" s="55" t="e">
        <f>Q8+ATM_Conf!$C$5*(B8)/(Links!B$191*Links!Q$191)</f>
        <v>#DIV/0!</v>
      </c>
      <c r="R9" s="55" t="e">
        <f>R8+ATM_Conf!$C$5*(C8-B8)/(Links!C$191*Links!R$191)</f>
        <v>#DIV/0!</v>
      </c>
      <c r="S9" s="55" t="e">
        <f>S8+ATM_Conf!$C$5*(D8-C8)/(Links!D$191*Links!S$191)</f>
        <v>#DIV/0!</v>
      </c>
      <c r="T9" s="55" t="e">
        <f>T8+ATM_Conf!$C$5*(E8-D8)/(Links!E$191*Links!T$191)</f>
        <v>#DIV/0!</v>
      </c>
      <c r="U9" s="55" t="e">
        <f>U8+ATM_Conf!$C$5*(F8-E8)/(Links!F$191*Links!U$191)</f>
        <v>#DIV/0!</v>
      </c>
      <c r="V9" s="55" t="e">
        <f>V8+ATM_Conf!$C$5*(G8-F8)/(Links!G$191*Links!V$191)</f>
        <v>#DIV/0!</v>
      </c>
      <c r="W9" s="55" t="e">
        <f>W8+ATM_Conf!$C$5*(H8-G8)/(Links!H$191*Links!W$191)</f>
        <v>#DIV/0!</v>
      </c>
      <c r="X9" s="55" t="e">
        <f>X8+ATM_Conf!$C$5*(I8-H8)/(Links!I$191*Links!X$191)</f>
        <v>#DIV/0!</v>
      </c>
      <c r="Y9" s="55" t="e">
        <f>Y8+ATM_Conf!$C$5*(J8)/(Links!J$191*Links!Y$191)</f>
        <v>#DIV/0!</v>
      </c>
      <c r="Z9" s="55" t="e">
        <f>Z8+ATM_Conf!$C$5*(K8-J8)/(Links!K$191*Links!Z$191)</f>
        <v>#DIV/0!</v>
      </c>
      <c r="AA9" s="55" t="e">
        <f>AA8+ATM_Conf!$C$5*(L8-K8)/(Links!L$191*Links!AA$191)</f>
        <v>#DIV/0!</v>
      </c>
      <c r="AB9" s="55" t="e">
        <f>AB8+ATM_Conf!$C$5*(M8-L8)/(Links!M$191*Links!AB$191)</f>
        <v>#DIV/0!</v>
      </c>
      <c r="AC9" s="55" t="e">
        <f>AC8+ATM_Conf!$C$5*(N8-M8)/(Links!N$191*Links!AC$191)</f>
        <v>#DIV/0!</v>
      </c>
      <c r="AD9" s="55" t="e">
        <f>AD8+ATM_Conf!$C$5*(O8-N8)/(Links!O$191*Links!AD$191)</f>
        <v>#DIV/0!</v>
      </c>
      <c r="AE9" s="55" t="e">
        <f>AE8+ATM_Conf!$C$5*(P8-O8)/(Links!P$191*Links!AE$191)</f>
        <v>#DIV/0!</v>
      </c>
      <c r="AF9" s="45" t="e">
        <f>AF8+(ATM_Conf!$C$5/ATM_Conf!$C$8)*(Links!AU8*EXP((-(Links!Q8/Links!BJ8)^Links!BY8)/Links!BY8)-Links!AF8)-(ATM_Conf!$C$9*ATM_Conf!$C$5/(ATM_Conf!$C$8*Links!Q$191))*(Nodes!BO8-Links!Q8)/(Links!Q8/ATM_Conf!$C$10)</f>
        <v>#DIV/0!</v>
      </c>
      <c r="AG9" s="45" t="e">
        <f>AG8+(ATM_Conf!$C$5/ATM_Conf!$C$8)*(Links!AV8*EXP((-(Links!R8/Links!BK8)^Links!BZ8)/Links!BZ8)-Links!AG8)+(ATM_Conf!$C$5/Links!R$191)*Links!AG8*(Nodes!BB8-Links!AG8)-(ATM_Conf!$C$9*ATM_Conf!$C$5/(ATM_Conf!$C$8*Links!R$191))*(Nodes!BP8-Links!R8)/(Links!R8/ATM_Conf!$C$10)</f>
        <v>#DIV/0!</v>
      </c>
      <c r="AH9" s="45" t="e">
        <f>AH8+(ATM_Conf!$C$5/ATM_Conf!$C$8)*(Links!AW8*EXP((-(Links!S8/Links!BL8)^Links!CA8)/Links!CA8)-Links!AH8)+(ATM_Conf!$C$5/Links!S$191)*Links!AH8*(Nodes!BC8-Links!AH8)-(ATM_Conf!$C$9*ATM_Conf!$C$5/(ATM_Conf!$C$8*Links!S$191))*(Nodes!BQ8-Links!S8)/(Links!S8/ATM_Conf!$C$10)</f>
        <v>#DIV/0!</v>
      </c>
      <c r="AI9" s="45" t="e">
        <f>AI8+(ATM_Conf!$C$5/ATM_Conf!$C$8)*(Links!AX8*EXP((-(Links!T8/Links!BM8)^Links!CB8)/Links!CB8)-Links!AI8)+(ATM_Conf!$C$5/Links!T$191)*Links!AI8*(Nodes!BD8-Links!AI8)-(ATM_Conf!$C$9*ATM_Conf!$C$5/(ATM_Conf!$C$8*Links!T$191))*(Nodes!BR8-Links!T8)/(Links!T8/ATM_Conf!$C$10)</f>
        <v>#DIV/0!</v>
      </c>
      <c r="AJ9" s="45" t="e">
        <f>AJ8+(ATM_Conf!$C$5/ATM_Conf!$C$8)*(Links!AY8*EXP((-(Links!U8/Links!BN8)^Links!CC8)/Links!CC8)-Links!AJ8)+(ATM_Conf!$C$5/Links!U$191)*Links!AJ8*(Nodes!BE8-Links!AJ8)-(ATM_Conf!$C$9*ATM_Conf!$C$5/(ATM_Conf!$C$8*Links!U$191))*(Nodes!BS8-Links!U8)/(Links!U8/ATM_Conf!$C$10)</f>
        <v>#DIV/0!</v>
      </c>
      <c r="AK9" s="45" t="e">
        <f>AK8+(ATM_Conf!$C$5/ATM_Conf!$C$8)*(Links!AZ8*EXP((-(Links!V8/Links!BO8)^Links!CD8)/Links!CD8)-Links!AK8)+(ATM_Conf!$C$5/Links!V$191)*Links!AK8*(Nodes!BF8-Links!AK8)-(ATM_Conf!$C$9*ATM_Conf!$C$5/(ATM_Conf!$C$8*Links!V$191))*(Nodes!BT8-Links!V8)/(Links!V8/ATM_Conf!$C$10)</f>
        <v>#DIV/0!</v>
      </c>
      <c r="AL9" s="45" t="e">
        <f>AL8+(ATM_Conf!$C$5/ATM_Conf!$C$8)*(Links!BA8*EXP((-(Links!W8/Links!BP8)^Links!CE8)/Links!CE8)-Links!AL8)+(ATM_Conf!$C$5/Links!W$191)*Links!AL8*(Nodes!BG8-Links!AL8)-(ATM_Conf!$C$9*ATM_Conf!$C$5/(ATM_Conf!$C$8*Links!W$191))*(Nodes!BU8-Links!W8)/(Links!W8/ATM_Conf!$C$10)</f>
        <v>#DIV/0!</v>
      </c>
      <c r="AM9" s="45" t="e">
        <f>AM8+(ATM_Conf!$C$5/ATM_Conf!$C$8)*(Links!BB8*EXP((-(Links!X8/Links!BQ8)^Links!CF8)/Links!CF8)-Links!AM8)+(ATM_Conf!$C$5/Links!X$191)*Links!AM8*(Nodes!BH8-Links!AM8)</f>
        <v>#DIV/0!</v>
      </c>
      <c r="AN9" s="45" t="e">
        <f>AN8+(ATM_Conf!$C$5/ATM_Conf!$C$8)*(Links!BC8*EXP((-(Links!Y8/Links!BR8)^Links!CG8)/Links!CG8)-Links!AN8)-(ATM_Conf!$C$9*ATM_Conf!$C$5/(ATM_Conf!$C$8*Links!Y$191))*(Nodes!BV8-Links!Y8)/(Links!Y8/ATM_Conf!$C$10)</f>
        <v>#DIV/0!</v>
      </c>
      <c r="AO9" s="45" t="e">
        <f>AO8+(ATM_Conf!$C$5/ATM_Conf!$C$8)*(Links!BD8*EXP((-(Links!Z8/Links!BS8)^Links!CH8)/Links!CH8)-Links!AO8)+(ATM_Conf!$C$5/Links!Z$191)*Links!AO8*(Nodes!BI8-Links!AO8)-(ATM_Conf!$C$9*ATM_Conf!$C$5/(ATM_Conf!$C$8*Links!Z$191))*(Nodes!BW8-Links!Z8)/(Links!Z8/ATM_Conf!$C$10)</f>
        <v>#DIV/0!</v>
      </c>
      <c r="AP9" s="45" t="e">
        <f>AP8+(ATM_Conf!$C$5/ATM_Conf!$C$8)*(Links!BE8*EXP((-(Links!AA8/Links!BT8)^Links!CI8)/Links!CI8)-Links!AP8)+(ATM_Conf!$C$5/Links!AA$191)*Links!AP8*(Nodes!BJ8-Links!AP8)-(ATM_Conf!$C$9*ATM_Conf!$C$5/(ATM_Conf!$C$8*Links!AA$191))*(Nodes!BX8-Links!AA8)/(Links!AA8/ATM_Conf!$C$10)</f>
        <v>#DIV/0!</v>
      </c>
      <c r="AQ9" s="45" t="e">
        <f>AQ8+(ATM_Conf!$C$5/ATM_Conf!$C$8)*(Links!BF8*EXP((-(Links!AB8/Links!BU8)^Links!CJ8)/Links!CJ8)-Links!AQ8)+(ATM_Conf!$C$5/Links!AB$191)*Links!AQ8*(Nodes!BK8-Links!AQ8)-(ATM_Conf!$C$9*ATM_Conf!$C$5/(ATM_Conf!$C$8*Links!AB$191))*(Nodes!BY8-Links!AB8)/(Links!AB8/ATM_Conf!$C$10)</f>
        <v>#DIV/0!</v>
      </c>
      <c r="AR9" s="45" t="e">
        <f>AR8+(ATM_Conf!$C$5/ATM_Conf!$C$8)*(Links!BG8*EXP((-(Links!AC8/Links!BV8)^Links!CK8)/Links!CK8)-Links!AR8)+(ATM_Conf!$C$5/Links!AC$191)*Links!AR8*(Nodes!BL8-Links!AR8)-(ATM_Conf!$C$9*ATM_Conf!$C$5/(ATM_Conf!$C$8*Links!AC$191))*(Nodes!BZ8-Links!AC8)/(Links!AC8/ATM_Conf!$C$10)</f>
        <v>#DIV/0!</v>
      </c>
      <c r="AS9" s="45" t="e">
        <f>AS8+(ATM_Conf!$C$5/ATM_Conf!$C$8)*(Links!BH8*EXP((-(Links!AD8/Links!BW8)^Links!CL8)/Links!CL8)-Links!AS8)+(ATM_Conf!$C$5/Links!AD$191)*Links!AS8*(Nodes!BM8-Links!AS8)-(ATM_Conf!$C$9*ATM_Conf!$C$5/(ATM_Conf!$C$8*Links!AD$191))*(Nodes!CA8-Links!AD8)/(Links!AD8/ATM_Conf!$C$10)</f>
        <v>#DIV/0!</v>
      </c>
      <c r="AT9" s="45" t="e">
        <f>AT8+(ATM_Conf!$C$5/ATM_Conf!$C$8)*(Links!BI8*EXP((-(Links!AE8/Links!BX8)^Links!CM8)/Links!CM8)-Links!AT8)+(ATM_Conf!$C$5/Links!AE$191)*Links!AT8*(Nodes!BN8-Links!AT8)</f>
        <v>#DIV/0!</v>
      </c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45">
        <f t="shared" si="18"/>
        <v>0</v>
      </c>
      <c r="CO9" s="45">
        <f t="shared" si="18"/>
        <v>0</v>
      </c>
      <c r="CP9" s="45">
        <f t="shared" si="18"/>
        <v>0</v>
      </c>
      <c r="CQ9" s="45">
        <f t="shared" si="18"/>
        <v>0</v>
      </c>
      <c r="CR9" s="45">
        <f t="shared" si="18"/>
        <v>0</v>
      </c>
      <c r="CS9" s="45">
        <f t="shared" si="18"/>
        <v>0</v>
      </c>
      <c r="CT9" s="45">
        <f t="shared" si="18"/>
        <v>0</v>
      </c>
      <c r="CU9" s="45">
        <f t="shared" si="18"/>
        <v>0</v>
      </c>
      <c r="CV9" s="45">
        <f t="shared" si="18"/>
        <v>0</v>
      </c>
      <c r="CW9" s="45">
        <f t="shared" si="18"/>
        <v>0</v>
      </c>
      <c r="CX9" s="45">
        <f t="shared" si="18"/>
        <v>0</v>
      </c>
      <c r="CY9" s="45">
        <f t="shared" si="18"/>
        <v>0</v>
      </c>
      <c r="CZ9" s="45">
        <f t="shared" si="18"/>
        <v>0</v>
      </c>
      <c r="DA9" s="45">
        <f t="shared" si="18"/>
        <v>0</v>
      </c>
      <c r="DB9" s="45">
        <f t="shared" si="18"/>
        <v>0</v>
      </c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</row>
    <row r="10" spans="1:121" ht="14.25" x14ac:dyDescent="0.15">
      <c r="A10" s="48">
        <v>8</v>
      </c>
      <c r="B10" s="45" t="e">
        <f t="shared" si="2"/>
        <v>#DIV/0!</v>
      </c>
      <c r="C10" s="45" t="e">
        <f t="shared" si="3"/>
        <v>#DIV/0!</v>
      </c>
      <c r="D10" s="45" t="e">
        <f t="shared" si="4"/>
        <v>#DIV/0!</v>
      </c>
      <c r="E10" s="45" t="e">
        <f t="shared" si="5"/>
        <v>#DIV/0!</v>
      </c>
      <c r="F10" s="45" t="e">
        <f t="shared" si="6"/>
        <v>#DIV/0!</v>
      </c>
      <c r="G10" s="45" t="e">
        <f t="shared" si="7"/>
        <v>#DIV/0!</v>
      </c>
      <c r="H10" s="45" t="e">
        <f t="shared" si="8"/>
        <v>#DIV/0!</v>
      </c>
      <c r="I10" s="45" t="e">
        <f t="shared" si="9"/>
        <v>#DIV/0!</v>
      </c>
      <c r="J10" s="45" t="e">
        <f t="shared" si="10"/>
        <v>#DIV/0!</v>
      </c>
      <c r="K10" s="45" t="e">
        <f t="shared" si="11"/>
        <v>#DIV/0!</v>
      </c>
      <c r="L10" s="45" t="e">
        <f t="shared" si="12"/>
        <v>#DIV/0!</v>
      </c>
      <c r="M10" s="45" t="e">
        <f t="shared" si="13"/>
        <v>#DIV/0!</v>
      </c>
      <c r="N10" s="45" t="e">
        <f t="shared" si="14"/>
        <v>#DIV/0!</v>
      </c>
      <c r="O10" s="45" t="e">
        <f t="shared" si="15"/>
        <v>#DIV/0!</v>
      </c>
      <c r="P10" s="45" t="e">
        <f t="shared" si="16"/>
        <v>#DIV/0!</v>
      </c>
      <c r="Q10" s="55" t="e">
        <f>Q9+ATM_Conf!$C$5*(B9)/(Links!B$191*Links!Q$191)</f>
        <v>#DIV/0!</v>
      </c>
      <c r="R10" s="55" t="e">
        <f>R9+ATM_Conf!$C$5*(C9-B9)/(Links!C$191*Links!R$191)</f>
        <v>#DIV/0!</v>
      </c>
      <c r="S10" s="55" t="e">
        <f>S9+ATM_Conf!$C$5*(D9-C9)/(Links!D$191*Links!S$191)</f>
        <v>#DIV/0!</v>
      </c>
      <c r="T10" s="55" t="e">
        <f>T9+ATM_Conf!$C$5*(E9-D9)/(Links!E$191*Links!T$191)</f>
        <v>#DIV/0!</v>
      </c>
      <c r="U10" s="55" t="e">
        <f>U9+ATM_Conf!$C$5*(F9-E9)/(Links!F$191*Links!U$191)</f>
        <v>#DIV/0!</v>
      </c>
      <c r="V10" s="55" t="e">
        <f>V9+ATM_Conf!$C$5*(G9-F9)/(Links!G$191*Links!V$191)</f>
        <v>#DIV/0!</v>
      </c>
      <c r="W10" s="55" t="e">
        <f>W9+ATM_Conf!$C$5*(H9-G9)/(Links!H$191*Links!W$191)</f>
        <v>#DIV/0!</v>
      </c>
      <c r="X10" s="55" t="e">
        <f>X9+ATM_Conf!$C$5*(I9-H9)/(Links!I$191*Links!X$191)</f>
        <v>#DIV/0!</v>
      </c>
      <c r="Y10" s="55" t="e">
        <f>Y9+ATM_Conf!$C$5*(J9)/(Links!J$191*Links!Y$191)</f>
        <v>#DIV/0!</v>
      </c>
      <c r="Z10" s="55" t="e">
        <f>Z9+ATM_Conf!$C$5*(K9-J9)/(Links!K$191*Links!Z$191)</f>
        <v>#DIV/0!</v>
      </c>
      <c r="AA10" s="55" t="e">
        <f>AA9+ATM_Conf!$C$5*(L9-K9)/(Links!L$191*Links!AA$191)</f>
        <v>#DIV/0!</v>
      </c>
      <c r="AB10" s="55" t="e">
        <f>AB9+ATM_Conf!$C$5*(M9-L9)/(Links!M$191*Links!AB$191)</f>
        <v>#DIV/0!</v>
      </c>
      <c r="AC10" s="55" t="e">
        <f>AC9+ATM_Conf!$C$5*(N9-M9)/(Links!N$191*Links!AC$191)</f>
        <v>#DIV/0!</v>
      </c>
      <c r="AD10" s="55" t="e">
        <f>AD9+ATM_Conf!$C$5*(O9-N9)/(Links!O$191*Links!AD$191)</f>
        <v>#DIV/0!</v>
      </c>
      <c r="AE10" s="55" t="e">
        <f>AE9+ATM_Conf!$C$5*(P9-O9)/(Links!P$191*Links!AE$191)</f>
        <v>#DIV/0!</v>
      </c>
      <c r="AF10" s="45" t="e">
        <f>AF9+(ATM_Conf!$C$5/ATM_Conf!$C$8)*(Links!AU9*EXP((-(Links!Q9/Links!BJ9)^Links!BY9)/Links!BY9)-Links!AF9)-(ATM_Conf!$C$9*ATM_Conf!$C$5/(ATM_Conf!$C$8*Links!Q$191))*(Nodes!BO9-Links!Q9)/(Links!Q9/ATM_Conf!$C$10)</f>
        <v>#DIV/0!</v>
      </c>
      <c r="AG10" s="45" t="e">
        <f>AG9+(ATM_Conf!$C$5/ATM_Conf!$C$8)*(Links!AV9*EXP((-(Links!R9/Links!BK9)^Links!BZ9)/Links!BZ9)-Links!AG9)+(ATM_Conf!$C$5/Links!R$191)*Links!AG9*(Nodes!BB9-Links!AG9)-(ATM_Conf!$C$9*ATM_Conf!$C$5/(ATM_Conf!$C$8*Links!R$191))*(Nodes!BP9-Links!R9)/(Links!R9/ATM_Conf!$C$10)</f>
        <v>#DIV/0!</v>
      </c>
      <c r="AH10" s="45" t="e">
        <f>AH9+(ATM_Conf!$C$5/ATM_Conf!$C$8)*(Links!AW9*EXP((-(Links!S9/Links!BL9)^Links!CA9)/Links!CA9)-Links!AH9)+(ATM_Conf!$C$5/Links!S$191)*Links!AH9*(Nodes!BC9-Links!AH9)-(ATM_Conf!$C$9*ATM_Conf!$C$5/(ATM_Conf!$C$8*Links!S$191))*(Nodes!BQ9-Links!S9)/(Links!S9/ATM_Conf!$C$10)</f>
        <v>#DIV/0!</v>
      </c>
      <c r="AI10" s="45" t="e">
        <f>AI9+(ATM_Conf!$C$5/ATM_Conf!$C$8)*(Links!AX9*EXP((-(Links!T9/Links!BM9)^Links!CB9)/Links!CB9)-Links!AI9)+(ATM_Conf!$C$5/Links!T$191)*Links!AI9*(Nodes!BD9-Links!AI9)-(ATM_Conf!$C$9*ATM_Conf!$C$5/(ATM_Conf!$C$8*Links!T$191))*(Nodes!BR9-Links!T9)/(Links!T9/ATM_Conf!$C$10)</f>
        <v>#DIV/0!</v>
      </c>
      <c r="AJ10" s="45" t="e">
        <f>AJ9+(ATM_Conf!$C$5/ATM_Conf!$C$8)*(Links!AY9*EXP((-(Links!U9/Links!BN9)^Links!CC9)/Links!CC9)-Links!AJ9)+(ATM_Conf!$C$5/Links!U$191)*Links!AJ9*(Nodes!BE9-Links!AJ9)-(ATM_Conf!$C$9*ATM_Conf!$C$5/(ATM_Conf!$C$8*Links!U$191))*(Nodes!BS9-Links!U9)/(Links!U9/ATM_Conf!$C$10)</f>
        <v>#DIV/0!</v>
      </c>
      <c r="AK10" s="45" t="e">
        <f>AK9+(ATM_Conf!$C$5/ATM_Conf!$C$8)*(Links!AZ9*EXP((-(Links!V9/Links!BO9)^Links!CD9)/Links!CD9)-Links!AK9)+(ATM_Conf!$C$5/Links!V$191)*Links!AK9*(Nodes!BF9-Links!AK9)-(ATM_Conf!$C$9*ATM_Conf!$C$5/(ATM_Conf!$C$8*Links!V$191))*(Nodes!BT9-Links!V9)/(Links!V9/ATM_Conf!$C$10)</f>
        <v>#DIV/0!</v>
      </c>
      <c r="AL10" s="45" t="e">
        <f>AL9+(ATM_Conf!$C$5/ATM_Conf!$C$8)*(Links!BA9*EXP((-(Links!W9/Links!BP9)^Links!CE9)/Links!CE9)-Links!AL9)+(ATM_Conf!$C$5/Links!W$191)*Links!AL9*(Nodes!BG9-Links!AL9)-(ATM_Conf!$C$9*ATM_Conf!$C$5/(ATM_Conf!$C$8*Links!W$191))*(Nodes!BU9-Links!W9)/(Links!W9/ATM_Conf!$C$10)</f>
        <v>#DIV/0!</v>
      </c>
      <c r="AM10" s="45" t="e">
        <f>AM9+(ATM_Conf!$C$5/ATM_Conf!$C$8)*(Links!BB9*EXP((-(Links!X9/Links!BQ9)^Links!CF9)/Links!CF9)-Links!AM9)+(ATM_Conf!$C$5/Links!X$191)*Links!AM9*(Nodes!BH9-Links!AM9)</f>
        <v>#DIV/0!</v>
      </c>
      <c r="AN10" s="45" t="e">
        <f>AN9+(ATM_Conf!$C$5/ATM_Conf!$C$8)*(Links!BC9*EXP((-(Links!Y9/Links!BR9)^Links!CG9)/Links!CG9)-Links!AN9)-(ATM_Conf!$C$9*ATM_Conf!$C$5/(ATM_Conf!$C$8*Links!Y$191))*(Nodes!BV9-Links!Y9)/(Links!Y9/ATM_Conf!$C$10)</f>
        <v>#DIV/0!</v>
      </c>
      <c r="AO10" s="45" t="e">
        <f>AO9+(ATM_Conf!$C$5/ATM_Conf!$C$8)*(Links!BD9*EXP((-(Links!Z9/Links!BS9)^Links!CH9)/Links!CH9)-Links!AO9)+(ATM_Conf!$C$5/Links!Z$191)*Links!AO9*(Nodes!BI9-Links!AO9)-(ATM_Conf!$C$9*ATM_Conf!$C$5/(ATM_Conf!$C$8*Links!Z$191))*(Nodes!BW9-Links!Z9)/(Links!Z9/ATM_Conf!$C$10)</f>
        <v>#DIV/0!</v>
      </c>
      <c r="AP10" s="45" t="e">
        <f>AP9+(ATM_Conf!$C$5/ATM_Conf!$C$8)*(Links!BE9*EXP((-(Links!AA9/Links!BT9)^Links!CI9)/Links!CI9)-Links!AP9)+(ATM_Conf!$C$5/Links!AA$191)*Links!AP9*(Nodes!BJ9-Links!AP9)-(ATM_Conf!$C$9*ATM_Conf!$C$5/(ATM_Conf!$C$8*Links!AA$191))*(Nodes!BX9-Links!AA9)/(Links!AA9/ATM_Conf!$C$10)</f>
        <v>#DIV/0!</v>
      </c>
      <c r="AQ10" s="45" t="e">
        <f>AQ9+(ATM_Conf!$C$5/ATM_Conf!$C$8)*(Links!BF9*EXP((-(Links!AB9/Links!BU9)^Links!CJ9)/Links!CJ9)-Links!AQ9)+(ATM_Conf!$C$5/Links!AB$191)*Links!AQ9*(Nodes!BK9-Links!AQ9)-(ATM_Conf!$C$9*ATM_Conf!$C$5/(ATM_Conf!$C$8*Links!AB$191))*(Nodes!BY9-Links!AB9)/(Links!AB9/ATM_Conf!$C$10)</f>
        <v>#DIV/0!</v>
      </c>
      <c r="AR10" s="45" t="e">
        <f>AR9+(ATM_Conf!$C$5/ATM_Conf!$C$8)*(Links!BG9*EXP((-(Links!AC9/Links!BV9)^Links!CK9)/Links!CK9)-Links!AR9)+(ATM_Conf!$C$5/Links!AC$191)*Links!AR9*(Nodes!BL9-Links!AR9)-(ATM_Conf!$C$9*ATM_Conf!$C$5/(ATM_Conf!$C$8*Links!AC$191))*(Nodes!BZ9-Links!AC9)/(Links!AC9/ATM_Conf!$C$10)</f>
        <v>#DIV/0!</v>
      </c>
      <c r="AS10" s="45" t="e">
        <f>AS9+(ATM_Conf!$C$5/ATM_Conf!$C$8)*(Links!BH9*EXP((-(Links!AD9/Links!BW9)^Links!CL9)/Links!CL9)-Links!AS9)+(ATM_Conf!$C$5/Links!AD$191)*Links!AS9*(Nodes!BM9-Links!AS9)-(ATM_Conf!$C$9*ATM_Conf!$C$5/(ATM_Conf!$C$8*Links!AD$191))*(Nodes!CA9-Links!AD9)/(Links!AD9/ATM_Conf!$C$10)</f>
        <v>#DIV/0!</v>
      </c>
      <c r="AT10" s="45" t="e">
        <f>AT9+(ATM_Conf!$C$5/ATM_Conf!$C$8)*(Links!BI9*EXP((-(Links!AE9/Links!BX9)^Links!CM9)/Links!CM9)-Links!AT9)+(ATM_Conf!$C$5/Links!AE$191)*Links!AT9*(Nodes!BN9-Links!AT9)</f>
        <v>#DIV/0!</v>
      </c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45">
        <f t="shared" si="18"/>
        <v>0</v>
      </c>
      <c r="CO10" s="45">
        <f t="shared" si="18"/>
        <v>0</v>
      </c>
      <c r="CP10" s="45">
        <f t="shared" si="18"/>
        <v>0</v>
      </c>
      <c r="CQ10" s="45">
        <f t="shared" si="18"/>
        <v>0</v>
      </c>
      <c r="CR10" s="45">
        <f t="shared" si="18"/>
        <v>0</v>
      </c>
      <c r="CS10" s="45">
        <f t="shared" si="18"/>
        <v>0</v>
      </c>
      <c r="CT10" s="45">
        <f t="shared" si="18"/>
        <v>0</v>
      </c>
      <c r="CU10" s="45">
        <f t="shared" si="18"/>
        <v>0</v>
      </c>
      <c r="CV10" s="45">
        <f t="shared" si="18"/>
        <v>0</v>
      </c>
      <c r="CW10" s="45">
        <f t="shared" si="18"/>
        <v>0</v>
      </c>
      <c r="CX10" s="45">
        <f t="shared" si="18"/>
        <v>0</v>
      </c>
      <c r="CY10" s="45">
        <f t="shared" si="18"/>
        <v>0</v>
      </c>
      <c r="CZ10" s="45">
        <f t="shared" si="18"/>
        <v>0</v>
      </c>
      <c r="DA10" s="45">
        <f t="shared" si="18"/>
        <v>0</v>
      </c>
      <c r="DB10" s="45">
        <f t="shared" si="18"/>
        <v>0</v>
      </c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</row>
    <row r="11" spans="1:121" ht="14.25" x14ac:dyDescent="0.15">
      <c r="A11" s="48">
        <v>9</v>
      </c>
      <c r="B11" s="45" t="e">
        <f t="shared" si="2"/>
        <v>#DIV/0!</v>
      </c>
      <c r="C11" s="45" t="e">
        <f t="shared" si="3"/>
        <v>#DIV/0!</v>
      </c>
      <c r="D11" s="45" t="e">
        <f t="shared" si="4"/>
        <v>#DIV/0!</v>
      </c>
      <c r="E11" s="45" t="e">
        <f t="shared" si="5"/>
        <v>#DIV/0!</v>
      </c>
      <c r="F11" s="45" t="e">
        <f t="shared" si="6"/>
        <v>#DIV/0!</v>
      </c>
      <c r="G11" s="45" t="e">
        <f t="shared" si="7"/>
        <v>#DIV/0!</v>
      </c>
      <c r="H11" s="45" t="e">
        <f t="shared" si="8"/>
        <v>#DIV/0!</v>
      </c>
      <c r="I11" s="45" t="e">
        <f t="shared" si="9"/>
        <v>#DIV/0!</v>
      </c>
      <c r="J11" s="45" t="e">
        <f t="shared" si="10"/>
        <v>#DIV/0!</v>
      </c>
      <c r="K11" s="45" t="e">
        <f t="shared" si="11"/>
        <v>#DIV/0!</v>
      </c>
      <c r="L11" s="45" t="e">
        <f t="shared" si="12"/>
        <v>#DIV/0!</v>
      </c>
      <c r="M11" s="45" t="e">
        <f t="shared" si="13"/>
        <v>#DIV/0!</v>
      </c>
      <c r="N11" s="45" t="e">
        <f t="shared" si="14"/>
        <v>#DIV/0!</v>
      </c>
      <c r="O11" s="45" t="e">
        <f t="shared" si="15"/>
        <v>#DIV/0!</v>
      </c>
      <c r="P11" s="45" t="e">
        <f t="shared" si="16"/>
        <v>#DIV/0!</v>
      </c>
      <c r="Q11" s="55" t="e">
        <f>Q10+ATM_Conf!$C$5*(B10)/(Links!B$191*Links!Q$191)</f>
        <v>#DIV/0!</v>
      </c>
      <c r="R11" s="55" t="e">
        <f>R10+ATM_Conf!$C$5*(C10-B10)/(Links!C$191*Links!R$191)</f>
        <v>#DIV/0!</v>
      </c>
      <c r="S11" s="55" t="e">
        <f>S10+ATM_Conf!$C$5*(D10-C10)/(Links!D$191*Links!S$191)</f>
        <v>#DIV/0!</v>
      </c>
      <c r="T11" s="55" t="e">
        <f>T10+ATM_Conf!$C$5*(E10-D10)/(Links!E$191*Links!T$191)</f>
        <v>#DIV/0!</v>
      </c>
      <c r="U11" s="55" t="e">
        <f>U10+ATM_Conf!$C$5*(F10-E10)/(Links!F$191*Links!U$191)</f>
        <v>#DIV/0!</v>
      </c>
      <c r="V11" s="55" t="e">
        <f>V10+ATM_Conf!$C$5*(G10-F10)/(Links!G$191*Links!V$191)</f>
        <v>#DIV/0!</v>
      </c>
      <c r="W11" s="55" t="e">
        <f>W10+ATM_Conf!$C$5*(H10-G10)/(Links!H$191*Links!W$191)</f>
        <v>#DIV/0!</v>
      </c>
      <c r="X11" s="55" t="e">
        <f>X10+ATM_Conf!$C$5*(I10-H10)/(Links!I$191*Links!X$191)</f>
        <v>#DIV/0!</v>
      </c>
      <c r="Y11" s="55" t="e">
        <f>Y10+ATM_Conf!$C$5*(J10)/(Links!J$191*Links!Y$191)</f>
        <v>#DIV/0!</v>
      </c>
      <c r="Z11" s="55" t="e">
        <f>Z10+ATM_Conf!$C$5*(K10-J10)/(Links!K$191*Links!Z$191)</f>
        <v>#DIV/0!</v>
      </c>
      <c r="AA11" s="55" t="e">
        <f>AA10+ATM_Conf!$C$5*(L10-K10)/(Links!L$191*Links!AA$191)</f>
        <v>#DIV/0!</v>
      </c>
      <c r="AB11" s="55" t="e">
        <f>AB10+ATM_Conf!$C$5*(M10-L10)/(Links!M$191*Links!AB$191)</f>
        <v>#DIV/0!</v>
      </c>
      <c r="AC11" s="55" t="e">
        <f>AC10+ATM_Conf!$C$5*(N10-M10)/(Links!N$191*Links!AC$191)</f>
        <v>#DIV/0!</v>
      </c>
      <c r="AD11" s="55" t="e">
        <f>AD10+ATM_Conf!$C$5*(O10-N10)/(Links!O$191*Links!AD$191)</f>
        <v>#DIV/0!</v>
      </c>
      <c r="AE11" s="55" t="e">
        <f>AE10+ATM_Conf!$C$5*(P10-O10)/(Links!P$191*Links!AE$191)</f>
        <v>#DIV/0!</v>
      </c>
      <c r="AF11" s="45" t="e">
        <f>AF10+(ATM_Conf!$C$5/ATM_Conf!$C$8)*(Links!AU10*EXP((-(Links!Q10/Links!BJ10)^Links!BY10)/Links!BY10)-Links!AF10)-(ATM_Conf!$C$9*ATM_Conf!$C$5/(ATM_Conf!$C$8*Links!Q$191))*(Nodes!BO10-Links!Q10)/(Links!Q10/ATM_Conf!$C$10)</f>
        <v>#DIV/0!</v>
      </c>
      <c r="AG11" s="45" t="e">
        <f>AG10+(ATM_Conf!$C$5/ATM_Conf!$C$8)*(Links!AV10*EXP((-(Links!R10/Links!BK10)^Links!BZ10)/Links!BZ10)-Links!AG10)+(ATM_Conf!$C$5/Links!R$191)*Links!AG10*(Nodes!BB10-Links!AG10)-(ATM_Conf!$C$9*ATM_Conf!$C$5/(ATM_Conf!$C$8*Links!R$191))*(Nodes!BP10-Links!R10)/(Links!R10/ATM_Conf!$C$10)</f>
        <v>#DIV/0!</v>
      </c>
      <c r="AH11" s="45" t="e">
        <f>AH10+(ATM_Conf!$C$5/ATM_Conf!$C$8)*(Links!AW10*EXP((-(Links!S10/Links!BL10)^Links!CA10)/Links!CA10)-Links!AH10)+(ATM_Conf!$C$5/Links!S$191)*Links!AH10*(Nodes!BC10-Links!AH10)-(ATM_Conf!$C$9*ATM_Conf!$C$5/(ATM_Conf!$C$8*Links!S$191))*(Nodes!BQ10-Links!S10)/(Links!S10/ATM_Conf!$C$10)</f>
        <v>#DIV/0!</v>
      </c>
      <c r="AI11" s="45" t="e">
        <f>AI10+(ATM_Conf!$C$5/ATM_Conf!$C$8)*(Links!AX10*EXP((-(Links!T10/Links!BM10)^Links!CB10)/Links!CB10)-Links!AI10)+(ATM_Conf!$C$5/Links!T$191)*Links!AI10*(Nodes!BD10-Links!AI10)-(ATM_Conf!$C$9*ATM_Conf!$C$5/(ATM_Conf!$C$8*Links!T$191))*(Nodes!BR10-Links!T10)/(Links!T10/ATM_Conf!$C$10)</f>
        <v>#DIV/0!</v>
      </c>
      <c r="AJ11" s="45" t="e">
        <f>AJ10+(ATM_Conf!$C$5/ATM_Conf!$C$8)*(Links!AY10*EXP((-(Links!U10/Links!BN10)^Links!CC10)/Links!CC10)-Links!AJ10)+(ATM_Conf!$C$5/Links!U$191)*Links!AJ10*(Nodes!BE10-Links!AJ10)-(ATM_Conf!$C$9*ATM_Conf!$C$5/(ATM_Conf!$C$8*Links!U$191))*(Nodes!BS10-Links!U10)/(Links!U10/ATM_Conf!$C$10)</f>
        <v>#DIV/0!</v>
      </c>
      <c r="AK11" s="45" t="e">
        <f>AK10+(ATM_Conf!$C$5/ATM_Conf!$C$8)*(Links!AZ10*EXP((-(Links!V10/Links!BO10)^Links!CD10)/Links!CD10)-Links!AK10)+(ATM_Conf!$C$5/Links!V$191)*Links!AK10*(Nodes!BF10-Links!AK10)-(ATM_Conf!$C$9*ATM_Conf!$C$5/(ATM_Conf!$C$8*Links!V$191))*(Nodes!BT10-Links!V10)/(Links!V10/ATM_Conf!$C$10)</f>
        <v>#DIV/0!</v>
      </c>
      <c r="AL11" s="45" t="e">
        <f>AL10+(ATM_Conf!$C$5/ATM_Conf!$C$8)*(Links!BA10*EXP((-(Links!W10/Links!BP10)^Links!CE10)/Links!CE10)-Links!AL10)+(ATM_Conf!$C$5/Links!W$191)*Links!AL10*(Nodes!BG10-Links!AL10)-(ATM_Conf!$C$9*ATM_Conf!$C$5/(ATM_Conf!$C$8*Links!W$191))*(Nodes!BU10-Links!W10)/(Links!W10/ATM_Conf!$C$10)</f>
        <v>#DIV/0!</v>
      </c>
      <c r="AM11" s="45" t="e">
        <f>AM10+(ATM_Conf!$C$5/ATM_Conf!$C$8)*(Links!BB10*EXP((-(Links!X10/Links!BQ10)^Links!CF10)/Links!CF10)-Links!AM10)+(ATM_Conf!$C$5/Links!X$191)*Links!AM10*(Nodes!BH10-Links!AM10)</f>
        <v>#DIV/0!</v>
      </c>
      <c r="AN11" s="45" t="e">
        <f>AN10+(ATM_Conf!$C$5/ATM_Conf!$C$8)*(Links!BC10*EXP((-(Links!Y10/Links!BR10)^Links!CG10)/Links!CG10)-Links!AN10)-(ATM_Conf!$C$9*ATM_Conf!$C$5/(ATM_Conf!$C$8*Links!Y$191))*(Nodes!BV10-Links!Y10)/(Links!Y10/ATM_Conf!$C$10)</f>
        <v>#DIV/0!</v>
      </c>
      <c r="AO11" s="45" t="e">
        <f>AO10+(ATM_Conf!$C$5/ATM_Conf!$C$8)*(Links!BD10*EXP((-(Links!Z10/Links!BS10)^Links!CH10)/Links!CH10)-Links!AO10)+(ATM_Conf!$C$5/Links!Z$191)*Links!AO10*(Nodes!BI10-Links!AO10)-(ATM_Conf!$C$9*ATM_Conf!$C$5/(ATM_Conf!$C$8*Links!Z$191))*(Nodes!BW10-Links!Z10)/(Links!Z10/ATM_Conf!$C$10)</f>
        <v>#DIV/0!</v>
      </c>
      <c r="AP11" s="45" t="e">
        <f>AP10+(ATM_Conf!$C$5/ATM_Conf!$C$8)*(Links!BE10*EXP((-(Links!AA10/Links!BT10)^Links!CI10)/Links!CI10)-Links!AP10)+(ATM_Conf!$C$5/Links!AA$191)*Links!AP10*(Nodes!BJ10-Links!AP10)-(ATM_Conf!$C$9*ATM_Conf!$C$5/(ATM_Conf!$C$8*Links!AA$191))*(Nodes!BX10-Links!AA10)/(Links!AA10/ATM_Conf!$C$10)</f>
        <v>#DIV/0!</v>
      </c>
      <c r="AQ11" s="45" t="e">
        <f>AQ10+(ATM_Conf!$C$5/ATM_Conf!$C$8)*(Links!BF10*EXP((-(Links!AB10/Links!BU10)^Links!CJ10)/Links!CJ10)-Links!AQ10)+(ATM_Conf!$C$5/Links!AB$191)*Links!AQ10*(Nodes!BK10-Links!AQ10)-(ATM_Conf!$C$9*ATM_Conf!$C$5/(ATM_Conf!$C$8*Links!AB$191))*(Nodes!BY10-Links!AB10)/(Links!AB10/ATM_Conf!$C$10)</f>
        <v>#DIV/0!</v>
      </c>
      <c r="AR11" s="45" t="e">
        <f>AR10+(ATM_Conf!$C$5/ATM_Conf!$C$8)*(Links!BG10*EXP((-(Links!AC10/Links!BV10)^Links!CK10)/Links!CK10)-Links!AR10)+(ATM_Conf!$C$5/Links!AC$191)*Links!AR10*(Nodes!BL10-Links!AR10)-(ATM_Conf!$C$9*ATM_Conf!$C$5/(ATM_Conf!$C$8*Links!AC$191))*(Nodes!BZ10-Links!AC10)/(Links!AC10/ATM_Conf!$C$10)</f>
        <v>#DIV/0!</v>
      </c>
      <c r="AS11" s="45" t="e">
        <f>AS10+(ATM_Conf!$C$5/ATM_Conf!$C$8)*(Links!BH10*EXP((-(Links!AD10/Links!BW10)^Links!CL10)/Links!CL10)-Links!AS10)+(ATM_Conf!$C$5/Links!AD$191)*Links!AS10*(Nodes!BM10-Links!AS10)-(ATM_Conf!$C$9*ATM_Conf!$C$5/(ATM_Conf!$C$8*Links!AD$191))*(Nodes!CA10-Links!AD10)/(Links!AD10/ATM_Conf!$C$10)</f>
        <v>#DIV/0!</v>
      </c>
      <c r="AT11" s="45" t="e">
        <f>AT10+(ATM_Conf!$C$5/ATM_Conf!$C$8)*(Links!BI10*EXP((-(Links!AE10/Links!BX10)^Links!CM10)/Links!CM10)-Links!AT10)+(ATM_Conf!$C$5/Links!AE$191)*Links!AT10*(Nodes!BN10-Links!AT10)</f>
        <v>#DIV/0!</v>
      </c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45">
        <f t="shared" si="18"/>
        <v>0</v>
      </c>
      <c r="CO11" s="45">
        <f t="shared" si="18"/>
        <v>0</v>
      </c>
      <c r="CP11" s="45">
        <f t="shared" si="18"/>
        <v>0</v>
      </c>
      <c r="CQ11" s="45">
        <f t="shared" si="18"/>
        <v>0</v>
      </c>
      <c r="CR11" s="45">
        <f t="shared" si="18"/>
        <v>0</v>
      </c>
      <c r="CS11" s="45">
        <f t="shared" si="18"/>
        <v>0</v>
      </c>
      <c r="CT11" s="45">
        <f t="shared" si="18"/>
        <v>0</v>
      </c>
      <c r="CU11" s="45">
        <f t="shared" si="18"/>
        <v>0</v>
      </c>
      <c r="CV11" s="45">
        <f t="shared" si="18"/>
        <v>0</v>
      </c>
      <c r="CW11" s="45">
        <f t="shared" si="18"/>
        <v>0</v>
      </c>
      <c r="CX11" s="45">
        <f t="shared" si="18"/>
        <v>0</v>
      </c>
      <c r="CY11" s="45">
        <f t="shared" si="18"/>
        <v>0</v>
      </c>
      <c r="CZ11" s="45">
        <f t="shared" si="18"/>
        <v>0</v>
      </c>
      <c r="DA11" s="45">
        <f t="shared" si="18"/>
        <v>0</v>
      </c>
      <c r="DB11" s="45">
        <f t="shared" si="18"/>
        <v>0</v>
      </c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</row>
    <row r="12" spans="1:121" ht="14.25" x14ac:dyDescent="0.15">
      <c r="A12" s="48">
        <v>10</v>
      </c>
      <c r="B12" s="45" t="e">
        <f t="shared" si="2"/>
        <v>#DIV/0!</v>
      </c>
      <c r="C12" s="45" t="e">
        <f t="shared" si="3"/>
        <v>#DIV/0!</v>
      </c>
      <c r="D12" s="45" t="e">
        <f t="shared" si="4"/>
        <v>#DIV/0!</v>
      </c>
      <c r="E12" s="45" t="e">
        <f t="shared" si="5"/>
        <v>#DIV/0!</v>
      </c>
      <c r="F12" s="45" t="e">
        <f t="shared" si="6"/>
        <v>#DIV/0!</v>
      </c>
      <c r="G12" s="45" t="e">
        <f t="shared" si="7"/>
        <v>#DIV/0!</v>
      </c>
      <c r="H12" s="45" t="e">
        <f t="shared" si="8"/>
        <v>#DIV/0!</v>
      </c>
      <c r="I12" s="45" t="e">
        <f t="shared" si="9"/>
        <v>#DIV/0!</v>
      </c>
      <c r="J12" s="45" t="e">
        <f t="shared" si="10"/>
        <v>#DIV/0!</v>
      </c>
      <c r="K12" s="45" t="e">
        <f t="shared" si="11"/>
        <v>#DIV/0!</v>
      </c>
      <c r="L12" s="45" t="e">
        <f t="shared" si="12"/>
        <v>#DIV/0!</v>
      </c>
      <c r="M12" s="45" t="e">
        <f t="shared" si="13"/>
        <v>#DIV/0!</v>
      </c>
      <c r="N12" s="45" t="e">
        <f t="shared" si="14"/>
        <v>#DIV/0!</v>
      </c>
      <c r="O12" s="45" t="e">
        <f t="shared" si="15"/>
        <v>#DIV/0!</v>
      </c>
      <c r="P12" s="45" t="e">
        <f t="shared" si="16"/>
        <v>#DIV/0!</v>
      </c>
      <c r="Q12" s="55" t="e">
        <f>Q11+ATM_Conf!$C$5*(B11)/(Links!B$191*Links!Q$191)</f>
        <v>#DIV/0!</v>
      </c>
      <c r="R12" s="55" t="e">
        <f>R11+ATM_Conf!$C$5*(C11-B11)/(Links!C$191*Links!R$191)</f>
        <v>#DIV/0!</v>
      </c>
      <c r="S12" s="55" t="e">
        <f>S11+ATM_Conf!$C$5*(D11-C11)/(Links!D$191*Links!S$191)</f>
        <v>#DIV/0!</v>
      </c>
      <c r="T12" s="55" t="e">
        <f>T11+ATM_Conf!$C$5*(E11-D11)/(Links!E$191*Links!T$191)</f>
        <v>#DIV/0!</v>
      </c>
      <c r="U12" s="55" t="e">
        <f>U11+ATM_Conf!$C$5*(F11-E11)/(Links!F$191*Links!U$191)</f>
        <v>#DIV/0!</v>
      </c>
      <c r="V12" s="55" t="e">
        <f>V11+ATM_Conf!$C$5*(G11-F11)/(Links!G$191*Links!V$191)</f>
        <v>#DIV/0!</v>
      </c>
      <c r="W12" s="55" t="e">
        <f>W11+ATM_Conf!$C$5*(H11-G11)/(Links!H$191*Links!W$191)</f>
        <v>#DIV/0!</v>
      </c>
      <c r="X12" s="55" t="e">
        <f>X11+ATM_Conf!$C$5*(I11-H11)/(Links!I$191*Links!X$191)</f>
        <v>#DIV/0!</v>
      </c>
      <c r="Y12" s="55" t="e">
        <f>Y11+ATM_Conf!$C$5*(J11)/(Links!J$191*Links!Y$191)</f>
        <v>#DIV/0!</v>
      </c>
      <c r="Z12" s="55" t="e">
        <f>Z11+ATM_Conf!$C$5*(K11-J11)/(Links!K$191*Links!Z$191)</f>
        <v>#DIV/0!</v>
      </c>
      <c r="AA12" s="55" t="e">
        <f>AA11+ATM_Conf!$C$5*(L11-K11)/(Links!L$191*Links!AA$191)</f>
        <v>#DIV/0!</v>
      </c>
      <c r="AB12" s="55" t="e">
        <f>AB11+ATM_Conf!$C$5*(M11-L11)/(Links!M$191*Links!AB$191)</f>
        <v>#DIV/0!</v>
      </c>
      <c r="AC12" s="55" t="e">
        <f>AC11+ATM_Conf!$C$5*(N11-M11)/(Links!N$191*Links!AC$191)</f>
        <v>#DIV/0!</v>
      </c>
      <c r="AD12" s="55" t="e">
        <f>AD11+ATM_Conf!$C$5*(O11-N11)/(Links!O$191*Links!AD$191)</f>
        <v>#DIV/0!</v>
      </c>
      <c r="AE12" s="55" t="e">
        <f>AE11+ATM_Conf!$C$5*(P11-O11)/(Links!P$191*Links!AE$191)</f>
        <v>#DIV/0!</v>
      </c>
      <c r="AF12" s="45" t="e">
        <f>AF11+(ATM_Conf!$C$5/ATM_Conf!$C$8)*(Links!AU11*EXP((-(Links!Q11/Links!BJ11)^Links!BY11)/Links!BY11)-Links!AF11)-(ATM_Conf!$C$9*ATM_Conf!$C$5/(ATM_Conf!$C$8*Links!Q$191))*(Nodes!BO11-Links!Q11)/(Links!Q11/ATM_Conf!$C$10)</f>
        <v>#DIV/0!</v>
      </c>
      <c r="AG12" s="45" t="e">
        <f>AG11+(ATM_Conf!$C$5/ATM_Conf!$C$8)*(Links!AV11*EXP((-(Links!R11/Links!BK11)^Links!BZ11)/Links!BZ11)-Links!AG11)+(ATM_Conf!$C$5/Links!R$191)*Links!AG11*(Nodes!BB11-Links!AG11)-(ATM_Conf!$C$9*ATM_Conf!$C$5/(ATM_Conf!$C$8*Links!R$191))*(Nodes!BP11-Links!R11)/(Links!R11/ATM_Conf!$C$10)</f>
        <v>#DIV/0!</v>
      </c>
      <c r="AH12" s="45" t="e">
        <f>AH11+(ATM_Conf!$C$5/ATM_Conf!$C$8)*(Links!AW11*EXP((-(Links!S11/Links!BL11)^Links!CA11)/Links!CA11)-Links!AH11)+(ATM_Conf!$C$5/Links!S$191)*Links!AH11*(Nodes!BC11-Links!AH11)-(ATM_Conf!$C$9*ATM_Conf!$C$5/(ATM_Conf!$C$8*Links!S$191))*(Nodes!BQ11-Links!S11)/(Links!S11/ATM_Conf!$C$10)</f>
        <v>#DIV/0!</v>
      </c>
      <c r="AI12" s="45" t="e">
        <f>AI11+(ATM_Conf!$C$5/ATM_Conf!$C$8)*(Links!AX11*EXP((-(Links!T11/Links!BM11)^Links!CB11)/Links!CB11)-Links!AI11)+(ATM_Conf!$C$5/Links!T$191)*Links!AI11*(Nodes!BD11-Links!AI11)-(ATM_Conf!$C$9*ATM_Conf!$C$5/(ATM_Conf!$C$8*Links!T$191))*(Nodes!BR11-Links!T11)/(Links!T11/ATM_Conf!$C$10)</f>
        <v>#DIV/0!</v>
      </c>
      <c r="AJ12" s="45" t="e">
        <f>AJ11+(ATM_Conf!$C$5/ATM_Conf!$C$8)*(Links!AY11*EXP((-(Links!U11/Links!BN11)^Links!CC11)/Links!CC11)-Links!AJ11)+(ATM_Conf!$C$5/Links!U$191)*Links!AJ11*(Nodes!BE11-Links!AJ11)-(ATM_Conf!$C$9*ATM_Conf!$C$5/(ATM_Conf!$C$8*Links!U$191))*(Nodes!BS11-Links!U11)/(Links!U11/ATM_Conf!$C$10)</f>
        <v>#DIV/0!</v>
      </c>
      <c r="AK12" s="45" t="e">
        <f>AK11+(ATM_Conf!$C$5/ATM_Conf!$C$8)*(Links!AZ11*EXP((-(Links!V11/Links!BO11)^Links!CD11)/Links!CD11)-Links!AK11)+(ATM_Conf!$C$5/Links!V$191)*Links!AK11*(Nodes!BF11-Links!AK11)-(ATM_Conf!$C$9*ATM_Conf!$C$5/(ATM_Conf!$C$8*Links!V$191))*(Nodes!BT11-Links!V11)/(Links!V11/ATM_Conf!$C$10)</f>
        <v>#DIV/0!</v>
      </c>
      <c r="AL12" s="45" t="e">
        <f>AL11+(ATM_Conf!$C$5/ATM_Conf!$C$8)*(Links!BA11*EXP((-(Links!W11/Links!BP11)^Links!CE11)/Links!CE11)-Links!AL11)+(ATM_Conf!$C$5/Links!W$191)*Links!AL11*(Nodes!BG11-Links!AL11)-(ATM_Conf!$C$9*ATM_Conf!$C$5/(ATM_Conf!$C$8*Links!W$191))*(Nodes!BU11-Links!W11)/(Links!W11/ATM_Conf!$C$10)</f>
        <v>#DIV/0!</v>
      </c>
      <c r="AM12" s="45" t="e">
        <f>AM11+(ATM_Conf!$C$5/ATM_Conf!$C$8)*(Links!BB11*EXP((-(Links!X11/Links!BQ11)^Links!CF11)/Links!CF11)-Links!AM11)+(ATM_Conf!$C$5/Links!X$191)*Links!AM11*(Nodes!BH11-Links!AM11)</f>
        <v>#DIV/0!</v>
      </c>
      <c r="AN12" s="45" t="e">
        <f>AN11+(ATM_Conf!$C$5/ATM_Conf!$C$8)*(Links!BC11*EXP((-(Links!Y11/Links!BR11)^Links!CG11)/Links!CG11)-Links!AN11)-(ATM_Conf!$C$9*ATM_Conf!$C$5/(ATM_Conf!$C$8*Links!Y$191))*(Nodes!BV11-Links!Y11)/(Links!Y11/ATM_Conf!$C$10)</f>
        <v>#DIV/0!</v>
      </c>
      <c r="AO12" s="45" t="e">
        <f>AO11+(ATM_Conf!$C$5/ATM_Conf!$C$8)*(Links!BD11*EXP((-(Links!Z11/Links!BS11)^Links!CH11)/Links!CH11)-Links!AO11)+(ATM_Conf!$C$5/Links!Z$191)*Links!AO11*(Nodes!BI11-Links!AO11)-(ATM_Conf!$C$9*ATM_Conf!$C$5/(ATM_Conf!$C$8*Links!Z$191))*(Nodes!BW11-Links!Z11)/(Links!Z11/ATM_Conf!$C$10)</f>
        <v>#DIV/0!</v>
      </c>
      <c r="AP12" s="45" t="e">
        <f>AP11+(ATM_Conf!$C$5/ATM_Conf!$C$8)*(Links!BE11*EXP((-(Links!AA11/Links!BT11)^Links!CI11)/Links!CI11)-Links!AP11)+(ATM_Conf!$C$5/Links!AA$191)*Links!AP11*(Nodes!BJ11-Links!AP11)-(ATM_Conf!$C$9*ATM_Conf!$C$5/(ATM_Conf!$C$8*Links!AA$191))*(Nodes!BX11-Links!AA11)/(Links!AA11/ATM_Conf!$C$10)</f>
        <v>#DIV/0!</v>
      </c>
      <c r="AQ12" s="45" t="e">
        <f>AQ11+(ATM_Conf!$C$5/ATM_Conf!$C$8)*(Links!BF11*EXP((-(Links!AB11/Links!BU11)^Links!CJ11)/Links!CJ11)-Links!AQ11)+(ATM_Conf!$C$5/Links!AB$191)*Links!AQ11*(Nodes!BK11-Links!AQ11)-(ATM_Conf!$C$9*ATM_Conf!$C$5/(ATM_Conf!$C$8*Links!AB$191))*(Nodes!BY11-Links!AB11)/(Links!AB11/ATM_Conf!$C$10)</f>
        <v>#DIV/0!</v>
      </c>
      <c r="AR12" s="45" t="e">
        <f>AR11+(ATM_Conf!$C$5/ATM_Conf!$C$8)*(Links!BG11*EXP((-(Links!AC11/Links!BV11)^Links!CK11)/Links!CK11)-Links!AR11)+(ATM_Conf!$C$5/Links!AC$191)*Links!AR11*(Nodes!BL11-Links!AR11)-(ATM_Conf!$C$9*ATM_Conf!$C$5/(ATM_Conf!$C$8*Links!AC$191))*(Nodes!BZ11-Links!AC11)/(Links!AC11/ATM_Conf!$C$10)</f>
        <v>#DIV/0!</v>
      </c>
      <c r="AS12" s="45" t="e">
        <f>AS11+(ATM_Conf!$C$5/ATM_Conf!$C$8)*(Links!BH11*EXP((-(Links!AD11/Links!BW11)^Links!CL11)/Links!CL11)-Links!AS11)+(ATM_Conf!$C$5/Links!AD$191)*Links!AS11*(Nodes!BM11-Links!AS11)-(ATM_Conf!$C$9*ATM_Conf!$C$5/(ATM_Conf!$C$8*Links!AD$191))*(Nodes!CA11-Links!AD11)/(Links!AD11/ATM_Conf!$C$10)</f>
        <v>#DIV/0!</v>
      </c>
      <c r="AT12" s="45" t="e">
        <f>AT11+(ATM_Conf!$C$5/ATM_Conf!$C$8)*(Links!BI11*EXP((-(Links!AE11/Links!BX11)^Links!CM11)/Links!CM11)-Links!AT11)+(ATM_Conf!$C$5/Links!AE$191)*Links!AT11*(Nodes!BN11-Links!AT11)</f>
        <v>#DIV/0!</v>
      </c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45">
        <f t="shared" si="18"/>
        <v>0</v>
      </c>
      <c r="CO12" s="45">
        <f t="shared" si="18"/>
        <v>0</v>
      </c>
      <c r="CP12" s="45">
        <f t="shared" si="18"/>
        <v>0</v>
      </c>
      <c r="CQ12" s="45">
        <f t="shared" si="18"/>
        <v>0</v>
      </c>
      <c r="CR12" s="45">
        <f t="shared" si="18"/>
        <v>0</v>
      </c>
      <c r="CS12" s="45">
        <f t="shared" si="18"/>
        <v>0</v>
      </c>
      <c r="CT12" s="45">
        <f t="shared" si="18"/>
        <v>0</v>
      </c>
      <c r="CU12" s="45">
        <f t="shared" si="18"/>
        <v>0</v>
      </c>
      <c r="CV12" s="45">
        <f t="shared" si="18"/>
        <v>0</v>
      </c>
      <c r="CW12" s="45">
        <f t="shared" si="18"/>
        <v>0</v>
      </c>
      <c r="CX12" s="45">
        <f t="shared" si="18"/>
        <v>0</v>
      </c>
      <c r="CY12" s="45">
        <f t="shared" si="18"/>
        <v>0</v>
      </c>
      <c r="CZ12" s="45">
        <f t="shared" si="18"/>
        <v>0</v>
      </c>
      <c r="DA12" s="45">
        <f t="shared" si="18"/>
        <v>0</v>
      </c>
      <c r="DB12" s="45">
        <f t="shared" si="18"/>
        <v>0</v>
      </c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</row>
    <row r="13" spans="1:121" ht="14.25" x14ac:dyDescent="0.15">
      <c r="A13" s="48">
        <v>11</v>
      </c>
      <c r="B13" s="45" t="e">
        <f t="shared" si="2"/>
        <v>#DIV/0!</v>
      </c>
      <c r="C13" s="45" t="e">
        <f t="shared" si="3"/>
        <v>#DIV/0!</v>
      </c>
      <c r="D13" s="45" t="e">
        <f t="shared" si="4"/>
        <v>#DIV/0!</v>
      </c>
      <c r="E13" s="45" t="e">
        <f t="shared" si="5"/>
        <v>#DIV/0!</v>
      </c>
      <c r="F13" s="45" t="e">
        <f t="shared" si="6"/>
        <v>#DIV/0!</v>
      </c>
      <c r="G13" s="45" t="e">
        <f t="shared" si="7"/>
        <v>#DIV/0!</v>
      </c>
      <c r="H13" s="45" t="e">
        <f t="shared" si="8"/>
        <v>#DIV/0!</v>
      </c>
      <c r="I13" s="45" t="e">
        <f t="shared" si="9"/>
        <v>#DIV/0!</v>
      </c>
      <c r="J13" s="45" t="e">
        <f t="shared" si="10"/>
        <v>#DIV/0!</v>
      </c>
      <c r="K13" s="45" t="e">
        <f t="shared" si="11"/>
        <v>#DIV/0!</v>
      </c>
      <c r="L13" s="45" t="e">
        <f t="shared" si="12"/>
        <v>#DIV/0!</v>
      </c>
      <c r="M13" s="45" t="e">
        <f t="shared" si="13"/>
        <v>#DIV/0!</v>
      </c>
      <c r="N13" s="45" t="e">
        <f t="shared" si="14"/>
        <v>#DIV/0!</v>
      </c>
      <c r="O13" s="45" t="e">
        <f t="shared" si="15"/>
        <v>#DIV/0!</v>
      </c>
      <c r="P13" s="45" t="e">
        <f t="shared" si="16"/>
        <v>#DIV/0!</v>
      </c>
      <c r="Q13" s="55" t="e">
        <f>Q12+ATM_Conf!$C$5*(B12)/(Links!B$191*Links!Q$191)</f>
        <v>#DIV/0!</v>
      </c>
      <c r="R13" s="55" t="e">
        <f>R12+ATM_Conf!$C$5*(C12-B12)/(Links!C$191*Links!R$191)</f>
        <v>#DIV/0!</v>
      </c>
      <c r="S13" s="55" t="e">
        <f>S12+ATM_Conf!$C$5*(D12-C12)/(Links!D$191*Links!S$191)</f>
        <v>#DIV/0!</v>
      </c>
      <c r="T13" s="55" t="e">
        <f>T12+ATM_Conf!$C$5*(E12-D12)/(Links!E$191*Links!T$191)</f>
        <v>#DIV/0!</v>
      </c>
      <c r="U13" s="55" t="e">
        <f>U12+ATM_Conf!$C$5*(F12-E12)/(Links!F$191*Links!U$191)</f>
        <v>#DIV/0!</v>
      </c>
      <c r="V13" s="55" t="e">
        <f>V12+ATM_Conf!$C$5*(G12-F12)/(Links!G$191*Links!V$191)</f>
        <v>#DIV/0!</v>
      </c>
      <c r="W13" s="55" t="e">
        <f>W12+ATM_Conf!$C$5*(H12-G12)/(Links!H$191*Links!W$191)</f>
        <v>#DIV/0!</v>
      </c>
      <c r="X13" s="55" t="e">
        <f>X12+ATM_Conf!$C$5*(I12-H12)/(Links!I$191*Links!X$191)</f>
        <v>#DIV/0!</v>
      </c>
      <c r="Y13" s="55" t="e">
        <f>Y12+ATM_Conf!$C$5*(J12)/(Links!J$191*Links!Y$191)</f>
        <v>#DIV/0!</v>
      </c>
      <c r="Z13" s="55" t="e">
        <f>Z12+ATM_Conf!$C$5*(K12-J12)/(Links!K$191*Links!Z$191)</f>
        <v>#DIV/0!</v>
      </c>
      <c r="AA13" s="55" t="e">
        <f>AA12+ATM_Conf!$C$5*(L12-K12)/(Links!L$191*Links!AA$191)</f>
        <v>#DIV/0!</v>
      </c>
      <c r="AB13" s="55" t="e">
        <f>AB12+ATM_Conf!$C$5*(M12-L12)/(Links!M$191*Links!AB$191)</f>
        <v>#DIV/0!</v>
      </c>
      <c r="AC13" s="55" t="e">
        <f>AC12+ATM_Conf!$C$5*(N12-M12)/(Links!N$191*Links!AC$191)</f>
        <v>#DIV/0!</v>
      </c>
      <c r="AD13" s="55" t="e">
        <f>AD12+ATM_Conf!$C$5*(O12-N12)/(Links!O$191*Links!AD$191)</f>
        <v>#DIV/0!</v>
      </c>
      <c r="AE13" s="55" t="e">
        <f>AE12+ATM_Conf!$C$5*(P12-O12)/(Links!P$191*Links!AE$191)</f>
        <v>#DIV/0!</v>
      </c>
      <c r="AF13" s="45" t="e">
        <f>AF12+(ATM_Conf!$C$5/ATM_Conf!$C$8)*(Links!AU12*EXP((-(Links!Q12/Links!BJ12)^Links!BY12)/Links!BY12)-Links!AF12)-(ATM_Conf!$C$9*ATM_Conf!$C$5/(ATM_Conf!$C$8*Links!Q$191))*(Nodes!BO12-Links!Q12)/(Links!Q12/ATM_Conf!$C$10)</f>
        <v>#DIV/0!</v>
      </c>
      <c r="AG13" s="45" t="e">
        <f>AG12+(ATM_Conf!$C$5/ATM_Conf!$C$8)*(Links!AV12*EXP((-(Links!R12/Links!BK12)^Links!BZ12)/Links!BZ12)-Links!AG12)+(ATM_Conf!$C$5/Links!R$191)*Links!AG12*(Nodes!BB12-Links!AG12)-(ATM_Conf!$C$9*ATM_Conf!$C$5/(ATM_Conf!$C$8*Links!R$191))*(Nodes!BP12-Links!R12)/(Links!R12/ATM_Conf!$C$10)</f>
        <v>#DIV/0!</v>
      </c>
      <c r="AH13" s="45" t="e">
        <f>AH12+(ATM_Conf!$C$5/ATM_Conf!$C$8)*(Links!AW12*EXP((-(Links!S12/Links!BL12)^Links!CA12)/Links!CA12)-Links!AH12)+(ATM_Conf!$C$5/Links!S$191)*Links!AH12*(Nodes!BC12-Links!AH12)-(ATM_Conf!$C$9*ATM_Conf!$C$5/(ATM_Conf!$C$8*Links!S$191))*(Nodes!BQ12-Links!S12)/(Links!S12/ATM_Conf!$C$10)</f>
        <v>#DIV/0!</v>
      </c>
      <c r="AI13" s="45" t="e">
        <f>AI12+(ATM_Conf!$C$5/ATM_Conf!$C$8)*(Links!AX12*EXP((-(Links!T12/Links!BM12)^Links!CB12)/Links!CB12)-Links!AI12)+(ATM_Conf!$C$5/Links!T$191)*Links!AI12*(Nodes!BD12-Links!AI12)-(ATM_Conf!$C$9*ATM_Conf!$C$5/(ATM_Conf!$C$8*Links!T$191))*(Nodes!BR12-Links!T12)/(Links!T12/ATM_Conf!$C$10)</f>
        <v>#DIV/0!</v>
      </c>
      <c r="AJ13" s="45" t="e">
        <f>AJ12+(ATM_Conf!$C$5/ATM_Conf!$C$8)*(Links!AY12*EXP((-(Links!U12/Links!BN12)^Links!CC12)/Links!CC12)-Links!AJ12)+(ATM_Conf!$C$5/Links!U$191)*Links!AJ12*(Nodes!BE12-Links!AJ12)-(ATM_Conf!$C$9*ATM_Conf!$C$5/(ATM_Conf!$C$8*Links!U$191))*(Nodes!BS12-Links!U12)/(Links!U12/ATM_Conf!$C$10)</f>
        <v>#DIV/0!</v>
      </c>
      <c r="AK13" s="45" t="e">
        <f>AK12+(ATM_Conf!$C$5/ATM_Conf!$C$8)*(Links!AZ12*EXP((-(Links!V12/Links!BO12)^Links!CD12)/Links!CD12)-Links!AK12)+(ATM_Conf!$C$5/Links!V$191)*Links!AK12*(Nodes!BF12-Links!AK12)-(ATM_Conf!$C$9*ATM_Conf!$C$5/(ATM_Conf!$C$8*Links!V$191))*(Nodes!BT12-Links!V12)/(Links!V12/ATM_Conf!$C$10)</f>
        <v>#DIV/0!</v>
      </c>
      <c r="AL13" s="45" t="e">
        <f>AL12+(ATM_Conf!$C$5/ATM_Conf!$C$8)*(Links!BA12*EXP((-(Links!W12/Links!BP12)^Links!CE12)/Links!CE12)-Links!AL12)+(ATM_Conf!$C$5/Links!W$191)*Links!AL12*(Nodes!BG12-Links!AL12)-(ATM_Conf!$C$9*ATM_Conf!$C$5/(ATM_Conf!$C$8*Links!W$191))*(Nodes!BU12-Links!W12)/(Links!W12/ATM_Conf!$C$10)</f>
        <v>#DIV/0!</v>
      </c>
      <c r="AM13" s="45" t="e">
        <f>AM12+(ATM_Conf!$C$5/ATM_Conf!$C$8)*(Links!BB12*EXP((-(Links!X12/Links!BQ12)^Links!CF12)/Links!CF12)-Links!AM12)+(ATM_Conf!$C$5/Links!X$191)*Links!AM12*(Nodes!BH12-Links!AM12)</f>
        <v>#DIV/0!</v>
      </c>
      <c r="AN13" s="45" t="e">
        <f>AN12+(ATM_Conf!$C$5/ATM_Conf!$C$8)*(Links!BC12*EXP((-(Links!Y12/Links!BR12)^Links!CG12)/Links!CG12)-Links!AN12)-(ATM_Conf!$C$9*ATM_Conf!$C$5/(ATM_Conf!$C$8*Links!Y$191))*(Nodes!BV12-Links!Y12)/(Links!Y12/ATM_Conf!$C$10)</f>
        <v>#DIV/0!</v>
      </c>
      <c r="AO13" s="45" t="e">
        <f>AO12+(ATM_Conf!$C$5/ATM_Conf!$C$8)*(Links!BD12*EXP((-(Links!Z12/Links!BS12)^Links!CH12)/Links!CH12)-Links!AO12)+(ATM_Conf!$C$5/Links!Z$191)*Links!AO12*(Nodes!BI12-Links!AO12)-(ATM_Conf!$C$9*ATM_Conf!$C$5/(ATM_Conf!$C$8*Links!Z$191))*(Nodes!BW12-Links!Z12)/(Links!Z12/ATM_Conf!$C$10)</f>
        <v>#DIV/0!</v>
      </c>
      <c r="AP13" s="45" t="e">
        <f>AP12+(ATM_Conf!$C$5/ATM_Conf!$C$8)*(Links!BE12*EXP((-(Links!AA12/Links!BT12)^Links!CI12)/Links!CI12)-Links!AP12)+(ATM_Conf!$C$5/Links!AA$191)*Links!AP12*(Nodes!BJ12-Links!AP12)-(ATM_Conf!$C$9*ATM_Conf!$C$5/(ATM_Conf!$C$8*Links!AA$191))*(Nodes!BX12-Links!AA12)/(Links!AA12/ATM_Conf!$C$10)</f>
        <v>#DIV/0!</v>
      </c>
      <c r="AQ13" s="45" t="e">
        <f>AQ12+(ATM_Conf!$C$5/ATM_Conf!$C$8)*(Links!BF12*EXP((-(Links!AB12/Links!BU12)^Links!CJ12)/Links!CJ12)-Links!AQ12)+(ATM_Conf!$C$5/Links!AB$191)*Links!AQ12*(Nodes!BK12-Links!AQ12)-(ATM_Conf!$C$9*ATM_Conf!$C$5/(ATM_Conf!$C$8*Links!AB$191))*(Nodes!BY12-Links!AB12)/(Links!AB12/ATM_Conf!$C$10)</f>
        <v>#DIV/0!</v>
      </c>
      <c r="AR13" s="45" t="e">
        <f>AR12+(ATM_Conf!$C$5/ATM_Conf!$C$8)*(Links!BG12*EXP((-(Links!AC12/Links!BV12)^Links!CK12)/Links!CK12)-Links!AR12)+(ATM_Conf!$C$5/Links!AC$191)*Links!AR12*(Nodes!BL12-Links!AR12)-(ATM_Conf!$C$9*ATM_Conf!$C$5/(ATM_Conf!$C$8*Links!AC$191))*(Nodes!BZ12-Links!AC12)/(Links!AC12/ATM_Conf!$C$10)</f>
        <v>#DIV/0!</v>
      </c>
      <c r="AS13" s="45" t="e">
        <f>AS12+(ATM_Conf!$C$5/ATM_Conf!$C$8)*(Links!BH12*EXP((-(Links!AD12/Links!BW12)^Links!CL12)/Links!CL12)-Links!AS12)+(ATM_Conf!$C$5/Links!AD$191)*Links!AS12*(Nodes!BM12-Links!AS12)-(ATM_Conf!$C$9*ATM_Conf!$C$5/(ATM_Conf!$C$8*Links!AD$191))*(Nodes!CA12-Links!AD12)/(Links!AD12/ATM_Conf!$C$10)</f>
        <v>#DIV/0!</v>
      </c>
      <c r="AT13" s="45" t="e">
        <f>AT12+(ATM_Conf!$C$5/ATM_Conf!$C$8)*(Links!BI12*EXP((-(Links!AE12/Links!BX12)^Links!CM12)/Links!CM12)-Links!AT12)+(ATM_Conf!$C$5/Links!AE$191)*Links!AT12*(Nodes!BN12-Links!AT12)</f>
        <v>#DIV/0!</v>
      </c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45">
        <f t="shared" si="18"/>
        <v>0</v>
      </c>
      <c r="CO13" s="45">
        <f t="shared" si="18"/>
        <v>0</v>
      </c>
      <c r="CP13" s="45">
        <f t="shared" si="18"/>
        <v>0</v>
      </c>
      <c r="CQ13" s="45">
        <f t="shared" si="18"/>
        <v>0</v>
      </c>
      <c r="CR13" s="45">
        <f t="shared" si="18"/>
        <v>0</v>
      </c>
      <c r="CS13" s="45">
        <f t="shared" si="18"/>
        <v>0</v>
      </c>
      <c r="CT13" s="45">
        <f t="shared" si="18"/>
        <v>0</v>
      </c>
      <c r="CU13" s="45">
        <f t="shared" si="18"/>
        <v>0</v>
      </c>
      <c r="CV13" s="45">
        <f t="shared" si="18"/>
        <v>0</v>
      </c>
      <c r="CW13" s="45">
        <f t="shared" si="18"/>
        <v>0</v>
      </c>
      <c r="CX13" s="45">
        <f t="shared" si="18"/>
        <v>0</v>
      </c>
      <c r="CY13" s="45">
        <f t="shared" si="18"/>
        <v>0</v>
      </c>
      <c r="CZ13" s="45">
        <f t="shared" si="18"/>
        <v>0</v>
      </c>
      <c r="DA13" s="45">
        <f t="shared" si="18"/>
        <v>0</v>
      </c>
      <c r="DB13" s="45">
        <f t="shared" si="18"/>
        <v>0</v>
      </c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</row>
    <row r="14" spans="1:121" ht="14.25" x14ac:dyDescent="0.15">
      <c r="A14" s="48">
        <v>12</v>
      </c>
      <c r="B14" s="45" t="e">
        <f t="shared" si="2"/>
        <v>#DIV/0!</v>
      </c>
      <c r="C14" s="45" t="e">
        <f t="shared" si="3"/>
        <v>#DIV/0!</v>
      </c>
      <c r="D14" s="45" t="e">
        <f t="shared" si="4"/>
        <v>#DIV/0!</v>
      </c>
      <c r="E14" s="45" t="e">
        <f t="shared" si="5"/>
        <v>#DIV/0!</v>
      </c>
      <c r="F14" s="45" t="e">
        <f t="shared" si="6"/>
        <v>#DIV/0!</v>
      </c>
      <c r="G14" s="45" t="e">
        <f t="shared" si="7"/>
        <v>#DIV/0!</v>
      </c>
      <c r="H14" s="45" t="e">
        <f t="shared" si="8"/>
        <v>#DIV/0!</v>
      </c>
      <c r="I14" s="45" t="e">
        <f t="shared" si="9"/>
        <v>#DIV/0!</v>
      </c>
      <c r="J14" s="45" t="e">
        <f t="shared" si="10"/>
        <v>#DIV/0!</v>
      </c>
      <c r="K14" s="45" t="e">
        <f t="shared" si="11"/>
        <v>#DIV/0!</v>
      </c>
      <c r="L14" s="45" t="e">
        <f t="shared" si="12"/>
        <v>#DIV/0!</v>
      </c>
      <c r="M14" s="45" t="e">
        <f t="shared" si="13"/>
        <v>#DIV/0!</v>
      </c>
      <c r="N14" s="45" t="e">
        <f t="shared" si="14"/>
        <v>#DIV/0!</v>
      </c>
      <c r="O14" s="45" t="e">
        <f t="shared" si="15"/>
        <v>#DIV/0!</v>
      </c>
      <c r="P14" s="45" t="e">
        <f t="shared" si="16"/>
        <v>#DIV/0!</v>
      </c>
      <c r="Q14" s="55" t="e">
        <f>Q13+ATM_Conf!$C$5*(B13)/(Links!B$191*Links!Q$191)</f>
        <v>#DIV/0!</v>
      </c>
      <c r="R14" s="55" t="e">
        <f>R13+ATM_Conf!$C$5*(C13-B13)/(Links!C$191*Links!R$191)</f>
        <v>#DIV/0!</v>
      </c>
      <c r="S14" s="55" t="e">
        <f>S13+ATM_Conf!$C$5*(D13-C13)/(Links!D$191*Links!S$191)</f>
        <v>#DIV/0!</v>
      </c>
      <c r="T14" s="55" t="e">
        <f>T13+ATM_Conf!$C$5*(E13-D13)/(Links!E$191*Links!T$191)</f>
        <v>#DIV/0!</v>
      </c>
      <c r="U14" s="55" t="e">
        <f>U13+ATM_Conf!$C$5*(F13-E13)/(Links!F$191*Links!U$191)</f>
        <v>#DIV/0!</v>
      </c>
      <c r="V14" s="55" t="e">
        <f>V13+ATM_Conf!$C$5*(G13-F13)/(Links!G$191*Links!V$191)</f>
        <v>#DIV/0!</v>
      </c>
      <c r="W14" s="55" t="e">
        <f>W13+ATM_Conf!$C$5*(H13-G13)/(Links!H$191*Links!W$191)</f>
        <v>#DIV/0!</v>
      </c>
      <c r="X14" s="55" t="e">
        <f>X13+ATM_Conf!$C$5*(I13-H13)/(Links!I$191*Links!X$191)</f>
        <v>#DIV/0!</v>
      </c>
      <c r="Y14" s="55" t="e">
        <f>Y13+ATM_Conf!$C$5*(J13)/(Links!J$191*Links!Y$191)</f>
        <v>#DIV/0!</v>
      </c>
      <c r="Z14" s="55" t="e">
        <f>Z13+ATM_Conf!$C$5*(K13-J13)/(Links!K$191*Links!Z$191)</f>
        <v>#DIV/0!</v>
      </c>
      <c r="AA14" s="55" t="e">
        <f>AA13+ATM_Conf!$C$5*(L13-K13)/(Links!L$191*Links!AA$191)</f>
        <v>#DIV/0!</v>
      </c>
      <c r="AB14" s="55" t="e">
        <f>AB13+ATM_Conf!$C$5*(M13-L13)/(Links!M$191*Links!AB$191)</f>
        <v>#DIV/0!</v>
      </c>
      <c r="AC14" s="55" t="e">
        <f>AC13+ATM_Conf!$C$5*(N13-M13)/(Links!N$191*Links!AC$191)</f>
        <v>#DIV/0!</v>
      </c>
      <c r="AD14" s="55" t="e">
        <f>AD13+ATM_Conf!$C$5*(O13-N13)/(Links!O$191*Links!AD$191)</f>
        <v>#DIV/0!</v>
      </c>
      <c r="AE14" s="55" t="e">
        <f>AE13+ATM_Conf!$C$5*(P13-O13)/(Links!P$191*Links!AE$191)</f>
        <v>#DIV/0!</v>
      </c>
      <c r="AF14" s="45" t="e">
        <f>AF13+(ATM_Conf!$C$5/ATM_Conf!$C$8)*(Links!AU13*EXP((-(Links!Q13/Links!BJ13)^Links!BY13)/Links!BY13)-Links!AF13)-(ATM_Conf!$C$9*ATM_Conf!$C$5/(ATM_Conf!$C$8*Links!Q$191))*(Nodes!BO13-Links!Q13)/(Links!Q13/ATM_Conf!$C$10)</f>
        <v>#DIV/0!</v>
      </c>
      <c r="AG14" s="45" t="e">
        <f>AG13+(ATM_Conf!$C$5/ATM_Conf!$C$8)*(Links!AV13*EXP((-(Links!R13/Links!BK13)^Links!BZ13)/Links!BZ13)-Links!AG13)+(ATM_Conf!$C$5/Links!R$191)*Links!AG13*(Nodes!BB13-Links!AG13)-(ATM_Conf!$C$9*ATM_Conf!$C$5/(ATM_Conf!$C$8*Links!R$191))*(Nodes!BP13-Links!R13)/(Links!R13/ATM_Conf!$C$10)</f>
        <v>#DIV/0!</v>
      </c>
      <c r="AH14" s="45" t="e">
        <f>AH13+(ATM_Conf!$C$5/ATM_Conf!$C$8)*(Links!AW13*EXP((-(Links!S13/Links!BL13)^Links!CA13)/Links!CA13)-Links!AH13)+(ATM_Conf!$C$5/Links!S$191)*Links!AH13*(Nodes!BC13-Links!AH13)-(ATM_Conf!$C$9*ATM_Conf!$C$5/(ATM_Conf!$C$8*Links!S$191))*(Nodes!BQ13-Links!S13)/(Links!S13/ATM_Conf!$C$10)</f>
        <v>#DIV/0!</v>
      </c>
      <c r="AI14" s="45" t="e">
        <f>AI13+(ATM_Conf!$C$5/ATM_Conf!$C$8)*(Links!AX13*EXP((-(Links!T13/Links!BM13)^Links!CB13)/Links!CB13)-Links!AI13)+(ATM_Conf!$C$5/Links!T$191)*Links!AI13*(Nodes!BD13-Links!AI13)-(ATM_Conf!$C$9*ATM_Conf!$C$5/(ATM_Conf!$C$8*Links!T$191))*(Nodes!BR13-Links!T13)/(Links!T13/ATM_Conf!$C$10)</f>
        <v>#DIV/0!</v>
      </c>
      <c r="AJ14" s="45" t="e">
        <f>AJ13+(ATM_Conf!$C$5/ATM_Conf!$C$8)*(Links!AY13*EXP((-(Links!U13/Links!BN13)^Links!CC13)/Links!CC13)-Links!AJ13)+(ATM_Conf!$C$5/Links!U$191)*Links!AJ13*(Nodes!BE13-Links!AJ13)-(ATM_Conf!$C$9*ATM_Conf!$C$5/(ATM_Conf!$C$8*Links!U$191))*(Nodes!BS13-Links!U13)/(Links!U13/ATM_Conf!$C$10)</f>
        <v>#DIV/0!</v>
      </c>
      <c r="AK14" s="45" t="e">
        <f>AK13+(ATM_Conf!$C$5/ATM_Conf!$C$8)*(Links!AZ13*EXP((-(Links!V13/Links!BO13)^Links!CD13)/Links!CD13)-Links!AK13)+(ATM_Conf!$C$5/Links!V$191)*Links!AK13*(Nodes!BF13-Links!AK13)-(ATM_Conf!$C$9*ATM_Conf!$C$5/(ATM_Conf!$C$8*Links!V$191))*(Nodes!BT13-Links!V13)/(Links!V13/ATM_Conf!$C$10)</f>
        <v>#DIV/0!</v>
      </c>
      <c r="AL14" s="45" t="e">
        <f>AL13+(ATM_Conf!$C$5/ATM_Conf!$C$8)*(Links!BA13*EXP((-(Links!W13/Links!BP13)^Links!CE13)/Links!CE13)-Links!AL13)+(ATM_Conf!$C$5/Links!W$191)*Links!AL13*(Nodes!BG13-Links!AL13)-(ATM_Conf!$C$9*ATM_Conf!$C$5/(ATM_Conf!$C$8*Links!W$191))*(Nodes!BU13-Links!W13)/(Links!W13/ATM_Conf!$C$10)</f>
        <v>#DIV/0!</v>
      </c>
      <c r="AM14" s="45" t="e">
        <f>AM13+(ATM_Conf!$C$5/ATM_Conf!$C$8)*(Links!BB13*EXP((-(Links!X13/Links!BQ13)^Links!CF13)/Links!CF13)-Links!AM13)+(ATM_Conf!$C$5/Links!X$191)*Links!AM13*(Nodes!BH13-Links!AM13)</f>
        <v>#DIV/0!</v>
      </c>
      <c r="AN14" s="45" t="e">
        <f>AN13+(ATM_Conf!$C$5/ATM_Conf!$C$8)*(Links!BC13*EXP((-(Links!Y13/Links!BR13)^Links!CG13)/Links!CG13)-Links!AN13)-(ATM_Conf!$C$9*ATM_Conf!$C$5/(ATM_Conf!$C$8*Links!Y$191))*(Nodes!BV13-Links!Y13)/(Links!Y13/ATM_Conf!$C$10)</f>
        <v>#DIV/0!</v>
      </c>
      <c r="AO14" s="45" t="e">
        <f>AO13+(ATM_Conf!$C$5/ATM_Conf!$C$8)*(Links!BD13*EXP((-(Links!Z13/Links!BS13)^Links!CH13)/Links!CH13)-Links!AO13)+(ATM_Conf!$C$5/Links!Z$191)*Links!AO13*(Nodes!BI13-Links!AO13)-(ATM_Conf!$C$9*ATM_Conf!$C$5/(ATM_Conf!$C$8*Links!Z$191))*(Nodes!BW13-Links!Z13)/(Links!Z13/ATM_Conf!$C$10)</f>
        <v>#DIV/0!</v>
      </c>
      <c r="AP14" s="45" t="e">
        <f>AP13+(ATM_Conf!$C$5/ATM_Conf!$C$8)*(Links!BE13*EXP((-(Links!AA13/Links!BT13)^Links!CI13)/Links!CI13)-Links!AP13)+(ATM_Conf!$C$5/Links!AA$191)*Links!AP13*(Nodes!BJ13-Links!AP13)-(ATM_Conf!$C$9*ATM_Conf!$C$5/(ATM_Conf!$C$8*Links!AA$191))*(Nodes!BX13-Links!AA13)/(Links!AA13/ATM_Conf!$C$10)</f>
        <v>#DIV/0!</v>
      </c>
      <c r="AQ14" s="45" t="e">
        <f>AQ13+(ATM_Conf!$C$5/ATM_Conf!$C$8)*(Links!BF13*EXP((-(Links!AB13/Links!BU13)^Links!CJ13)/Links!CJ13)-Links!AQ13)+(ATM_Conf!$C$5/Links!AB$191)*Links!AQ13*(Nodes!BK13-Links!AQ13)-(ATM_Conf!$C$9*ATM_Conf!$C$5/(ATM_Conf!$C$8*Links!AB$191))*(Nodes!BY13-Links!AB13)/(Links!AB13/ATM_Conf!$C$10)</f>
        <v>#DIV/0!</v>
      </c>
      <c r="AR14" s="45" t="e">
        <f>AR13+(ATM_Conf!$C$5/ATM_Conf!$C$8)*(Links!BG13*EXP((-(Links!AC13/Links!BV13)^Links!CK13)/Links!CK13)-Links!AR13)+(ATM_Conf!$C$5/Links!AC$191)*Links!AR13*(Nodes!BL13-Links!AR13)-(ATM_Conf!$C$9*ATM_Conf!$C$5/(ATM_Conf!$C$8*Links!AC$191))*(Nodes!BZ13-Links!AC13)/(Links!AC13/ATM_Conf!$C$10)</f>
        <v>#DIV/0!</v>
      </c>
      <c r="AS14" s="45" t="e">
        <f>AS13+(ATM_Conf!$C$5/ATM_Conf!$C$8)*(Links!BH13*EXP((-(Links!AD13/Links!BW13)^Links!CL13)/Links!CL13)-Links!AS13)+(ATM_Conf!$C$5/Links!AD$191)*Links!AS13*(Nodes!BM13-Links!AS13)-(ATM_Conf!$C$9*ATM_Conf!$C$5/(ATM_Conf!$C$8*Links!AD$191))*(Nodes!CA13-Links!AD13)/(Links!AD13/ATM_Conf!$C$10)</f>
        <v>#DIV/0!</v>
      </c>
      <c r="AT14" s="45" t="e">
        <f>AT13+(ATM_Conf!$C$5/ATM_Conf!$C$8)*(Links!BI13*EXP((-(Links!AE13/Links!BX13)^Links!CM13)/Links!CM13)-Links!AT13)+(ATM_Conf!$C$5/Links!AE$191)*Links!AT13*(Nodes!BN13-Links!AT13)</f>
        <v>#DIV/0!</v>
      </c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45">
        <f t="shared" si="18"/>
        <v>0</v>
      </c>
      <c r="CO14" s="45">
        <f t="shared" si="18"/>
        <v>0</v>
      </c>
      <c r="CP14" s="45">
        <f t="shared" si="18"/>
        <v>0</v>
      </c>
      <c r="CQ14" s="45">
        <f t="shared" si="18"/>
        <v>0</v>
      </c>
      <c r="CR14" s="45">
        <f t="shared" si="18"/>
        <v>0</v>
      </c>
      <c r="CS14" s="45">
        <f t="shared" si="18"/>
        <v>0</v>
      </c>
      <c r="CT14" s="45">
        <f t="shared" si="18"/>
        <v>0</v>
      </c>
      <c r="CU14" s="45">
        <f t="shared" si="18"/>
        <v>0</v>
      </c>
      <c r="CV14" s="45">
        <f t="shared" si="18"/>
        <v>0</v>
      </c>
      <c r="CW14" s="45">
        <f t="shared" si="18"/>
        <v>0</v>
      </c>
      <c r="CX14" s="45">
        <f t="shared" si="18"/>
        <v>0</v>
      </c>
      <c r="CY14" s="45">
        <f t="shared" si="18"/>
        <v>0</v>
      </c>
      <c r="CZ14" s="45">
        <f t="shared" si="18"/>
        <v>0</v>
      </c>
      <c r="DA14" s="45">
        <f t="shared" si="18"/>
        <v>0</v>
      </c>
      <c r="DB14" s="45">
        <f t="shared" si="18"/>
        <v>0</v>
      </c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</row>
    <row r="15" spans="1:121" ht="14.25" x14ac:dyDescent="0.15">
      <c r="A15" s="48">
        <v>13</v>
      </c>
      <c r="B15" s="45" t="e">
        <f t="shared" si="2"/>
        <v>#DIV/0!</v>
      </c>
      <c r="C15" s="45" t="e">
        <f t="shared" si="3"/>
        <v>#DIV/0!</v>
      </c>
      <c r="D15" s="45" t="e">
        <f t="shared" si="4"/>
        <v>#DIV/0!</v>
      </c>
      <c r="E15" s="45" t="e">
        <f t="shared" si="5"/>
        <v>#DIV/0!</v>
      </c>
      <c r="F15" s="45" t="e">
        <f t="shared" si="6"/>
        <v>#DIV/0!</v>
      </c>
      <c r="G15" s="45" t="e">
        <f t="shared" si="7"/>
        <v>#DIV/0!</v>
      </c>
      <c r="H15" s="45" t="e">
        <f t="shared" si="8"/>
        <v>#DIV/0!</v>
      </c>
      <c r="I15" s="45" t="e">
        <f t="shared" si="9"/>
        <v>#DIV/0!</v>
      </c>
      <c r="J15" s="45" t="e">
        <f t="shared" si="10"/>
        <v>#DIV/0!</v>
      </c>
      <c r="K15" s="45" t="e">
        <f t="shared" si="11"/>
        <v>#DIV/0!</v>
      </c>
      <c r="L15" s="45" t="e">
        <f t="shared" si="12"/>
        <v>#DIV/0!</v>
      </c>
      <c r="M15" s="45" t="e">
        <f t="shared" si="13"/>
        <v>#DIV/0!</v>
      </c>
      <c r="N15" s="45" t="e">
        <f t="shared" si="14"/>
        <v>#DIV/0!</v>
      </c>
      <c r="O15" s="45" t="e">
        <f t="shared" si="15"/>
        <v>#DIV/0!</v>
      </c>
      <c r="P15" s="45" t="e">
        <f t="shared" si="16"/>
        <v>#DIV/0!</v>
      </c>
      <c r="Q15" s="55" t="e">
        <f>Q14+ATM_Conf!$C$5*(B14)/(Links!B$191*Links!Q$191)</f>
        <v>#DIV/0!</v>
      </c>
      <c r="R15" s="55" t="e">
        <f>R14+ATM_Conf!$C$5*(C14-B14)/(Links!C$191*Links!R$191)</f>
        <v>#DIV/0!</v>
      </c>
      <c r="S15" s="55" t="e">
        <f>S14+ATM_Conf!$C$5*(D14-C14)/(Links!D$191*Links!S$191)</f>
        <v>#DIV/0!</v>
      </c>
      <c r="T15" s="55" t="e">
        <f>T14+ATM_Conf!$C$5*(E14-D14)/(Links!E$191*Links!T$191)</f>
        <v>#DIV/0!</v>
      </c>
      <c r="U15" s="55" t="e">
        <f>U14+ATM_Conf!$C$5*(F14-E14)/(Links!F$191*Links!U$191)</f>
        <v>#DIV/0!</v>
      </c>
      <c r="V15" s="55" t="e">
        <f>V14+ATM_Conf!$C$5*(G14-F14)/(Links!G$191*Links!V$191)</f>
        <v>#DIV/0!</v>
      </c>
      <c r="W15" s="55" t="e">
        <f>W14+ATM_Conf!$C$5*(H14-G14)/(Links!H$191*Links!W$191)</f>
        <v>#DIV/0!</v>
      </c>
      <c r="X15" s="55" t="e">
        <f>X14+ATM_Conf!$C$5*(I14-H14)/(Links!I$191*Links!X$191)</f>
        <v>#DIV/0!</v>
      </c>
      <c r="Y15" s="55" t="e">
        <f>Y14+ATM_Conf!$C$5*(J14)/(Links!J$191*Links!Y$191)</f>
        <v>#DIV/0!</v>
      </c>
      <c r="Z15" s="55" t="e">
        <f>Z14+ATM_Conf!$C$5*(K14-J14)/(Links!K$191*Links!Z$191)</f>
        <v>#DIV/0!</v>
      </c>
      <c r="AA15" s="55" t="e">
        <f>AA14+ATM_Conf!$C$5*(L14-K14)/(Links!L$191*Links!AA$191)</f>
        <v>#DIV/0!</v>
      </c>
      <c r="AB15" s="55" t="e">
        <f>AB14+ATM_Conf!$C$5*(M14-L14)/(Links!M$191*Links!AB$191)</f>
        <v>#DIV/0!</v>
      </c>
      <c r="AC15" s="55" t="e">
        <f>AC14+ATM_Conf!$C$5*(N14-M14)/(Links!N$191*Links!AC$191)</f>
        <v>#DIV/0!</v>
      </c>
      <c r="AD15" s="55" t="e">
        <f>AD14+ATM_Conf!$C$5*(O14-N14)/(Links!O$191*Links!AD$191)</f>
        <v>#DIV/0!</v>
      </c>
      <c r="AE15" s="55" t="e">
        <f>AE14+ATM_Conf!$C$5*(P14-O14)/(Links!P$191*Links!AE$191)</f>
        <v>#DIV/0!</v>
      </c>
      <c r="AF15" s="45" t="e">
        <f>AF14+(ATM_Conf!$C$5/ATM_Conf!$C$8)*(Links!AU14*EXP((-(Links!Q14/Links!BJ14)^Links!BY14)/Links!BY14)-Links!AF14)-(ATM_Conf!$C$9*ATM_Conf!$C$5/(ATM_Conf!$C$8*Links!Q$191))*(Nodes!BO14-Links!Q14)/(Links!Q14/ATM_Conf!$C$10)</f>
        <v>#DIV/0!</v>
      </c>
      <c r="AG15" s="45" t="e">
        <f>AG14+(ATM_Conf!$C$5/ATM_Conf!$C$8)*(Links!AV14*EXP((-(Links!R14/Links!BK14)^Links!BZ14)/Links!BZ14)-Links!AG14)+(ATM_Conf!$C$5/Links!R$191)*Links!AG14*(Nodes!BB14-Links!AG14)-(ATM_Conf!$C$9*ATM_Conf!$C$5/(ATM_Conf!$C$8*Links!R$191))*(Nodes!BP14-Links!R14)/(Links!R14/ATM_Conf!$C$10)</f>
        <v>#DIV/0!</v>
      </c>
      <c r="AH15" s="45" t="e">
        <f>AH14+(ATM_Conf!$C$5/ATM_Conf!$C$8)*(Links!AW14*EXP((-(Links!S14/Links!BL14)^Links!CA14)/Links!CA14)-Links!AH14)+(ATM_Conf!$C$5/Links!S$191)*Links!AH14*(Nodes!BC14-Links!AH14)-(ATM_Conf!$C$9*ATM_Conf!$C$5/(ATM_Conf!$C$8*Links!S$191))*(Nodes!BQ14-Links!S14)/(Links!S14/ATM_Conf!$C$10)</f>
        <v>#DIV/0!</v>
      </c>
      <c r="AI15" s="45" t="e">
        <f>AI14+(ATM_Conf!$C$5/ATM_Conf!$C$8)*(Links!AX14*EXP((-(Links!T14/Links!BM14)^Links!CB14)/Links!CB14)-Links!AI14)+(ATM_Conf!$C$5/Links!T$191)*Links!AI14*(Nodes!BD14-Links!AI14)-(ATM_Conf!$C$9*ATM_Conf!$C$5/(ATM_Conf!$C$8*Links!T$191))*(Nodes!BR14-Links!T14)/(Links!T14/ATM_Conf!$C$10)</f>
        <v>#DIV/0!</v>
      </c>
      <c r="AJ15" s="45" t="e">
        <f>AJ14+(ATM_Conf!$C$5/ATM_Conf!$C$8)*(Links!AY14*EXP((-(Links!U14/Links!BN14)^Links!CC14)/Links!CC14)-Links!AJ14)+(ATM_Conf!$C$5/Links!U$191)*Links!AJ14*(Nodes!BE14-Links!AJ14)-(ATM_Conf!$C$9*ATM_Conf!$C$5/(ATM_Conf!$C$8*Links!U$191))*(Nodes!BS14-Links!U14)/(Links!U14/ATM_Conf!$C$10)</f>
        <v>#DIV/0!</v>
      </c>
      <c r="AK15" s="45" t="e">
        <f>AK14+(ATM_Conf!$C$5/ATM_Conf!$C$8)*(Links!AZ14*EXP((-(Links!V14/Links!BO14)^Links!CD14)/Links!CD14)-Links!AK14)+(ATM_Conf!$C$5/Links!V$191)*Links!AK14*(Nodes!BF14-Links!AK14)-(ATM_Conf!$C$9*ATM_Conf!$C$5/(ATM_Conf!$C$8*Links!V$191))*(Nodes!BT14-Links!V14)/(Links!V14/ATM_Conf!$C$10)</f>
        <v>#DIV/0!</v>
      </c>
      <c r="AL15" s="45" t="e">
        <f>AL14+(ATM_Conf!$C$5/ATM_Conf!$C$8)*(Links!BA14*EXP((-(Links!W14/Links!BP14)^Links!CE14)/Links!CE14)-Links!AL14)+(ATM_Conf!$C$5/Links!W$191)*Links!AL14*(Nodes!BG14-Links!AL14)-(ATM_Conf!$C$9*ATM_Conf!$C$5/(ATM_Conf!$C$8*Links!W$191))*(Nodes!BU14-Links!W14)/(Links!W14/ATM_Conf!$C$10)</f>
        <v>#DIV/0!</v>
      </c>
      <c r="AM15" s="45" t="e">
        <f>AM14+(ATM_Conf!$C$5/ATM_Conf!$C$8)*(Links!BB14*EXP((-(Links!X14/Links!BQ14)^Links!CF14)/Links!CF14)-Links!AM14)+(ATM_Conf!$C$5/Links!X$191)*Links!AM14*(Nodes!BH14-Links!AM14)</f>
        <v>#DIV/0!</v>
      </c>
      <c r="AN15" s="45" t="e">
        <f>AN14+(ATM_Conf!$C$5/ATM_Conf!$C$8)*(Links!BC14*EXP((-(Links!Y14/Links!BR14)^Links!CG14)/Links!CG14)-Links!AN14)-(ATM_Conf!$C$9*ATM_Conf!$C$5/(ATM_Conf!$C$8*Links!Y$191))*(Nodes!BV14-Links!Y14)/(Links!Y14/ATM_Conf!$C$10)</f>
        <v>#DIV/0!</v>
      </c>
      <c r="AO15" s="45" t="e">
        <f>AO14+(ATM_Conf!$C$5/ATM_Conf!$C$8)*(Links!BD14*EXP((-(Links!Z14/Links!BS14)^Links!CH14)/Links!CH14)-Links!AO14)+(ATM_Conf!$C$5/Links!Z$191)*Links!AO14*(Nodes!BI14-Links!AO14)-(ATM_Conf!$C$9*ATM_Conf!$C$5/(ATM_Conf!$C$8*Links!Z$191))*(Nodes!BW14-Links!Z14)/(Links!Z14/ATM_Conf!$C$10)</f>
        <v>#DIV/0!</v>
      </c>
      <c r="AP15" s="45" t="e">
        <f>AP14+(ATM_Conf!$C$5/ATM_Conf!$C$8)*(Links!BE14*EXP((-(Links!AA14/Links!BT14)^Links!CI14)/Links!CI14)-Links!AP14)+(ATM_Conf!$C$5/Links!AA$191)*Links!AP14*(Nodes!BJ14-Links!AP14)-(ATM_Conf!$C$9*ATM_Conf!$C$5/(ATM_Conf!$C$8*Links!AA$191))*(Nodes!BX14-Links!AA14)/(Links!AA14/ATM_Conf!$C$10)</f>
        <v>#DIV/0!</v>
      </c>
      <c r="AQ15" s="45" t="e">
        <f>AQ14+(ATM_Conf!$C$5/ATM_Conf!$C$8)*(Links!BF14*EXP((-(Links!AB14/Links!BU14)^Links!CJ14)/Links!CJ14)-Links!AQ14)+(ATM_Conf!$C$5/Links!AB$191)*Links!AQ14*(Nodes!BK14-Links!AQ14)-(ATM_Conf!$C$9*ATM_Conf!$C$5/(ATM_Conf!$C$8*Links!AB$191))*(Nodes!BY14-Links!AB14)/(Links!AB14/ATM_Conf!$C$10)</f>
        <v>#DIV/0!</v>
      </c>
      <c r="AR15" s="45" t="e">
        <f>AR14+(ATM_Conf!$C$5/ATM_Conf!$C$8)*(Links!BG14*EXP((-(Links!AC14/Links!BV14)^Links!CK14)/Links!CK14)-Links!AR14)+(ATM_Conf!$C$5/Links!AC$191)*Links!AR14*(Nodes!BL14-Links!AR14)-(ATM_Conf!$C$9*ATM_Conf!$C$5/(ATM_Conf!$C$8*Links!AC$191))*(Nodes!BZ14-Links!AC14)/(Links!AC14/ATM_Conf!$C$10)</f>
        <v>#DIV/0!</v>
      </c>
      <c r="AS15" s="45" t="e">
        <f>AS14+(ATM_Conf!$C$5/ATM_Conf!$C$8)*(Links!BH14*EXP((-(Links!AD14/Links!BW14)^Links!CL14)/Links!CL14)-Links!AS14)+(ATM_Conf!$C$5/Links!AD$191)*Links!AS14*(Nodes!BM14-Links!AS14)-(ATM_Conf!$C$9*ATM_Conf!$C$5/(ATM_Conf!$C$8*Links!AD$191))*(Nodes!CA14-Links!AD14)/(Links!AD14/ATM_Conf!$C$10)</f>
        <v>#DIV/0!</v>
      </c>
      <c r="AT15" s="45" t="e">
        <f>AT14+(ATM_Conf!$C$5/ATM_Conf!$C$8)*(Links!BI14*EXP((-(Links!AE14/Links!BX14)^Links!CM14)/Links!CM14)-Links!AT14)+(ATM_Conf!$C$5/Links!AE$191)*Links!AT14*(Nodes!BN14-Links!AT14)</f>
        <v>#DIV/0!</v>
      </c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53">
        <f>(CN15-CN3)^2</f>
        <v>0</v>
      </c>
      <c r="DD15" s="53">
        <f t="shared" ref="DD15:DQ15" si="19">(CO15-CO3)^2</f>
        <v>0</v>
      </c>
      <c r="DE15" s="53">
        <f t="shared" si="19"/>
        <v>0</v>
      </c>
      <c r="DF15" s="53">
        <f t="shared" si="19"/>
        <v>0</v>
      </c>
      <c r="DG15" s="53">
        <f t="shared" si="19"/>
        <v>0</v>
      </c>
      <c r="DH15" s="53">
        <f t="shared" si="19"/>
        <v>0</v>
      </c>
      <c r="DI15" s="53">
        <f t="shared" si="19"/>
        <v>0</v>
      </c>
      <c r="DJ15" s="53">
        <f t="shared" si="19"/>
        <v>0</v>
      </c>
      <c r="DK15" s="53">
        <f t="shared" si="19"/>
        <v>0</v>
      </c>
      <c r="DL15" s="53">
        <f t="shared" si="19"/>
        <v>0</v>
      </c>
      <c r="DM15" s="53">
        <f t="shared" si="19"/>
        <v>0</v>
      </c>
      <c r="DN15" s="53">
        <f t="shared" si="19"/>
        <v>0</v>
      </c>
      <c r="DO15" s="53">
        <f t="shared" si="19"/>
        <v>0</v>
      </c>
      <c r="DP15" s="53">
        <f t="shared" si="19"/>
        <v>0</v>
      </c>
      <c r="DQ15" s="53">
        <f t="shared" si="19"/>
        <v>0</v>
      </c>
    </row>
    <row r="16" spans="1:121" ht="14.25" x14ac:dyDescent="0.15">
      <c r="A16" s="48">
        <v>14</v>
      </c>
      <c r="B16" s="45" t="e">
        <f t="shared" si="2"/>
        <v>#DIV/0!</v>
      </c>
      <c r="C16" s="45" t="e">
        <f t="shared" si="3"/>
        <v>#DIV/0!</v>
      </c>
      <c r="D16" s="45" t="e">
        <f t="shared" si="4"/>
        <v>#DIV/0!</v>
      </c>
      <c r="E16" s="45" t="e">
        <f t="shared" si="5"/>
        <v>#DIV/0!</v>
      </c>
      <c r="F16" s="45" t="e">
        <f t="shared" si="6"/>
        <v>#DIV/0!</v>
      </c>
      <c r="G16" s="45" t="e">
        <f t="shared" si="7"/>
        <v>#DIV/0!</v>
      </c>
      <c r="H16" s="45" t="e">
        <f t="shared" si="8"/>
        <v>#DIV/0!</v>
      </c>
      <c r="I16" s="45" t="e">
        <f t="shared" si="9"/>
        <v>#DIV/0!</v>
      </c>
      <c r="J16" s="45" t="e">
        <f t="shared" si="10"/>
        <v>#DIV/0!</v>
      </c>
      <c r="K16" s="45" t="e">
        <f t="shared" si="11"/>
        <v>#DIV/0!</v>
      </c>
      <c r="L16" s="45" t="e">
        <f t="shared" si="12"/>
        <v>#DIV/0!</v>
      </c>
      <c r="M16" s="45" t="e">
        <f t="shared" si="13"/>
        <v>#DIV/0!</v>
      </c>
      <c r="N16" s="45" t="e">
        <f t="shared" si="14"/>
        <v>#DIV/0!</v>
      </c>
      <c r="O16" s="45" t="e">
        <f t="shared" si="15"/>
        <v>#DIV/0!</v>
      </c>
      <c r="P16" s="45" t="e">
        <f t="shared" si="16"/>
        <v>#DIV/0!</v>
      </c>
      <c r="Q16" s="55" t="e">
        <f>Q15+ATM_Conf!$C$5*(B15)/(Links!B$191*Links!Q$191)</f>
        <v>#DIV/0!</v>
      </c>
      <c r="R16" s="55" t="e">
        <f>R15+ATM_Conf!$C$5*(C15-B15)/(Links!C$191*Links!R$191)</f>
        <v>#DIV/0!</v>
      </c>
      <c r="S16" s="55" t="e">
        <f>S15+ATM_Conf!$C$5*(D15-C15)/(Links!D$191*Links!S$191)</f>
        <v>#DIV/0!</v>
      </c>
      <c r="T16" s="55" t="e">
        <f>T15+ATM_Conf!$C$5*(E15-D15)/(Links!E$191*Links!T$191)</f>
        <v>#DIV/0!</v>
      </c>
      <c r="U16" s="55" t="e">
        <f>U15+ATM_Conf!$C$5*(F15-E15)/(Links!F$191*Links!U$191)</f>
        <v>#DIV/0!</v>
      </c>
      <c r="V16" s="55" t="e">
        <f>V15+ATM_Conf!$C$5*(G15-F15)/(Links!G$191*Links!V$191)</f>
        <v>#DIV/0!</v>
      </c>
      <c r="W16" s="55" t="e">
        <f>W15+ATM_Conf!$C$5*(H15-G15)/(Links!H$191*Links!W$191)</f>
        <v>#DIV/0!</v>
      </c>
      <c r="X16" s="55" t="e">
        <f>X15+ATM_Conf!$C$5*(I15-H15)/(Links!I$191*Links!X$191)</f>
        <v>#DIV/0!</v>
      </c>
      <c r="Y16" s="55" t="e">
        <f>Y15+ATM_Conf!$C$5*(J15)/(Links!J$191*Links!Y$191)</f>
        <v>#DIV/0!</v>
      </c>
      <c r="Z16" s="55" t="e">
        <f>Z15+ATM_Conf!$C$5*(K15-J15)/(Links!K$191*Links!Z$191)</f>
        <v>#DIV/0!</v>
      </c>
      <c r="AA16" s="55" t="e">
        <f>AA15+ATM_Conf!$C$5*(L15-K15)/(Links!L$191*Links!AA$191)</f>
        <v>#DIV/0!</v>
      </c>
      <c r="AB16" s="55" t="e">
        <f>AB15+ATM_Conf!$C$5*(M15-L15)/(Links!M$191*Links!AB$191)</f>
        <v>#DIV/0!</v>
      </c>
      <c r="AC16" s="55" t="e">
        <f>AC15+ATM_Conf!$C$5*(N15-M15)/(Links!N$191*Links!AC$191)</f>
        <v>#DIV/0!</v>
      </c>
      <c r="AD16" s="55" t="e">
        <f>AD15+ATM_Conf!$C$5*(O15-N15)/(Links!O$191*Links!AD$191)</f>
        <v>#DIV/0!</v>
      </c>
      <c r="AE16" s="55" t="e">
        <f>AE15+ATM_Conf!$C$5*(P15-O15)/(Links!P$191*Links!AE$191)</f>
        <v>#DIV/0!</v>
      </c>
      <c r="AF16" s="45" t="e">
        <f>AF15+(ATM_Conf!$C$5/ATM_Conf!$C$8)*(Links!AU15*EXP((-(Links!Q15/Links!BJ15)^Links!BY15)/Links!BY15)-Links!AF15)-(ATM_Conf!$C$9*ATM_Conf!$C$5/(ATM_Conf!$C$8*Links!Q$191))*(Nodes!BO15-Links!Q15)/(Links!Q15/ATM_Conf!$C$10)</f>
        <v>#DIV/0!</v>
      </c>
      <c r="AG16" s="45" t="e">
        <f>AG15+(ATM_Conf!$C$5/ATM_Conf!$C$8)*(Links!AV15*EXP((-(Links!R15/Links!BK15)^Links!BZ15)/Links!BZ15)-Links!AG15)+(ATM_Conf!$C$5/Links!R$191)*Links!AG15*(Nodes!BB15-Links!AG15)-(ATM_Conf!$C$9*ATM_Conf!$C$5/(ATM_Conf!$C$8*Links!R$191))*(Nodes!BP15-Links!R15)/(Links!R15/ATM_Conf!$C$10)</f>
        <v>#DIV/0!</v>
      </c>
      <c r="AH16" s="45" t="e">
        <f>AH15+(ATM_Conf!$C$5/ATM_Conf!$C$8)*(Links!AW15*EXP((-(Links!S15/Links!BL15)^Links!CA15)/Links!CA15)-Links!AH15)+(ATM_Conf!$C$5/Links!S$191)*Links!AH15*(Nodes!BC15-Links!AH15)-(ATM_Conf!$C$9*ATM_Conf!$C$5/(ATM_Conf!$C$8*Links!S$191))*(Nodes!BQ15-Links!S15)/(Links!S15/ATM_Conf!$C$10)</f>
        <v>#DIV/0!</v>
      </c>
      <c r="AI16" s="45" t="e">
        <f>AI15+(ATM_Conf!$C$5/ATM_Conf!$C$8)*(Links!AX15*EXP((-(Links!T15/Links!BM15)^Links!CB15)/Links!CB15)-Links!AI15)+(ATM_Conf!$C$5/Links!T$191)*Links!AI15*(Nodes!BD15-Links!AI15)-(ATM_Conf!$C$9*ATM_Conf!$C$5/(ATM_Conf!$C$8*Links!T$191))*(Nodes!BR15-Links!T15)/(Links!T15/ATM_Conf!$C$10)</f>
        <v>#DIV/0!</v>
      </c>
      <c r="AJ16" s="45" t="e">
        <f>AJ15+(ATM_Conf!$C$5/ATM_Conf!$C$8)*(Links!AY15*EXP((-(Links!U15/Links!BN15)^Links!CC15)/Links!CC15)-Links!AJ15)+(ATM_Conf!$C$5/Links!U$191)*Links!AJ15*(Nodes!BE15-Links!AJ15)-(ATM_Conf!$C$9*ATM_Conf!$C$5/(ATM_Conf!$C$8*Links!U$191))*(Nodes!BS15-Links!U15)/(Links!U15/ATM_Conf!$C$10)</f>
        <v>#DIV/0!</v>
      </c>
      <c r="AK16" s="45" t="e">
        <f>AK15+(ATM_Conf!$C$5/ATM_Conf!$C$8)*(Links!AZ15*EXP((-(Links!V15/Links!BO15)^Links!CD15)/Links!CD15)-Links!AK15)+(ATM_Conf!$C$5/Links!V$191)*Links!AK15*(Nodes!BF15-Links!AK15)-(ATM_Conf!$C$9*ATM_Conf!$C$5/(ATM_Conf!$C$8*Links!V$191))*(Nodes!BT15-Links!V15)/(Links!V15/ATM_Conf!$C$10)</f>
        <v>#DIV/0!</v>
      </c>
      <c r="AL16" s="45" t="e">
        <f>AL15+(ATM_Conf!$C$5/ATM_Conf!$C$8)*(Links!BA15*EXP((-(Links!W15/Links!BP15)^Links!CE15)/Links!CE15)-Links!AL15)+(ATM_Conf!$C$5/Links!W$191)*Links!AL15*(Nodes!BG15-Links!AL15)-(ATM_Conf!$C$9*ATM_Conf!$C$5/(ATM_Conf!$C$8*Links!W$191))*(Nodes!BU15-Links!W15)/(Links!W15/ATM_Conf!$C$10)</f>
        <v>#DIV/0!</v>
      </c>
      <c r="AM16" s="45" t="e">
        <f>AM15+(ATM_Conf!$C$5/ATM_Conf!$C$8)*(Links!BB15*EXP((-(Links!X15/Links!BQ15)^Links!CF15)/Links!CF15)-Links!AM15)+(ATM_Conf!$C$5/Links!X$191)*Links!AM15*(Nodes!BH15-Links!AM15)</f>
        <v>#DIV/0!</v>
      </c>
      <c r="AN16" s="45" t="e">
        <f>AN15+(ATM_Conf!$C$5/ATM_Conf!$C$8)*(Links!BC15*EXP((-(Links!Y15/Links!BR15)^Links!CG15)/Links!CG15)-Links!AN15)-(ATM_Conf!$C$9*ATM_Conf!$C$5/(ATM_Conf!$C$8*Links!Y$191))*(Nodes!BV15-Links!Y15)/(Links!Y15/ATM_Conf!$C$10)</f>
        <v>#DIV/0!</v>
      </c>
      <c r="AO16" s="45" t="e">
        <f>AO15+(ATM_Conf!$C$5/ATM_Conf!$C$8)*(Links!BD15*EXP((-(Links!Z15/Links!BS15)^Links!CH15)/Links!CH15)-Links!AO15)+(ATM_Conf!$C$5/Links!Z$191)*Links!AO15*(Nodes!BI15-Links!AO15)-(ATM_Conf!$C$9*ATM_Conf!$C$5/(ATM_Conf!$C$8*Links!Z$191))*(Nodes!BW15-Links!Z15)/(Links!Z15/ATM_Conf!$C$10)</f>
        <v>#DIV/0!</v>
      </c>
      <c r="AP16" s="45" t="e">
        <f>AP15+(ATM_Conf!$C$5/ATM_Conf!$C$8)*(Links!BE15*EXP((-(Links!AA15/Links!BT15)^Links!CI15)/Links!CI15)-Links!AP15)+(ATM_Conf!$C$5/Links!AA$191)*Links!AP15*(Nodes!BJ15-Links!AP15)-(ATM_Conf!$C$9*ATM_Conf!$C$5/(ATM_Conf!$C$8*Links!AA$191))*(Nodes!BX15-Links!AA15)/(Links!AA15/ATM_Conf!$C$10)</f>
        <v>#DIV/0!</v>
      </c>
      <c r="AQ16" s="45" t="e">
        <f>AQ15+(ATM_Conf!$C$5/ATM_Conf!$C$8)*(Links!BF15*EXP((-(Links!AB15/Links!BU15)^Links!CJ15)/Links!CJ15)-Links!AQ15)+(ATM_Conf!$C$5/Links!AB$191)*Links!AQ15*(Nodes!BK15-Links!AQ15)-(ATM_Conf!$C$9*ATM_Conf!$C$5/(ATM_Conf!$C$8*Links!AB$191))*(Nodes!BY15-Links!AB15)/(Links!AB15/ATM_Conf!$C$10)</f>
        <v>#DIV/0!</v>
      </c>
      <c r="AR16" s="45" t="e">
        <f>AR15+(ATM_Conf!$C$5/ATM_Conf!$C$8)*(Links!BG15*EXP((-(Links!AC15/Links!BV15)^Links!CK15)/Links!CK15)-Links!AR15)+(ATM_Conf!$C$5/Links!AC$191)*Links!AR15*(Nodes!BL15-Links!AR15)-(ATM_Conf!$C$9*ATM_Conf!$C$5/(ATM_Conf!$C$8*Links!AC$191))*(Nodes!BZ15-Links!AC15)/(Links!AC15/ATM_Conf!$C$10)</f>
        <v>#DIV/0!</v>
      </c>
      <c r="AS16" s="45" t="e">
        <f>AS15+(ATM_Conf!$C$5/ATM_Conf!$C$8)*(Links!BH15*EXP((-(Links!AD15/Links!BW15)^Links!CL15)/Links!CL15)-Links!AS15)+(ATM_Conf!$C$5/Links!AD$191)*Links!AS15*(Nodes!BM15-Links!AS15)-(ATM_Conf!$C$9*ATM_Conf!$C$5/(ATM_Conf!$C$8*Links!AD$191))*(Nodes!CA15-Links!AD15)/(Links!AD15/ATM_Conf!$C$10)</f>
        <v>#DIV/0!</v>
      </c>
      <c r="AT16" s="45" t="e">
        <f>AT15+(ATM_Conf!$C$5/ATM_Conf!$C$8)*(Links!BI15*EXP((-(Links!AE15/Links!BX15)^Links!CM15)/Links!CM15)-Links!AT15)+(ATM_Conf!$C$5/Links!AE$191)*Links!AT15*(Nodes!BN15-Links!AT15)</f>
        <v>#DIV/0!</v>
      </c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45">
        <f>CN$15</f>
        <v>0</v>
      </c>
      <c r="CO16" s="45">
        <f t="shared" ref="CO16:DB16" si="20">CO$15</f>
        <v>0</v>
      </c>
      <c r="CP16" s="45">
        <f t="shared" si="20"/>
        <v>0</v>
      </c>
      <c r="CQ16" s="45">
        <f t="shared" si="20"/>
        <v>0</v>
      </c>
      <c r="CR16" s="45">
        <f t="shared" si="20"/>
        <v>0</v>
      </c>
      <c r="CS16" s="45">
        <f t="shared" si="20"/>
        <v>0</v>
      </c>
      <c r="CT16" s="45">
        <f t="shared" si="20"/>
        <v>0</v>
      </c>
      <c r="CU16" s="45">
        <f t="shared" si="20"/>
        <v>0</v>
      </c>
      <c r="CV16" s="45">
        <f t="shared" si="20"/>
        <v>0</v>
      </c>
      <c r="CW16" s="45">
        <f t="shared" si="20"/>
        <v>0</v>
      </c>
      <c r="CX16" s="45">
        <f t="shared" si="20"/>
        <v>0</v>
      </c>
      <c r="CY16" s="45">
        <f t="shared" si="20"/>
        <v>0</v>
      </c>
      <c r="CZ16" s="45">
        <f t="shared" si="20"/>
        <v>0</v>
      </c>
      <c r="DA16" s="45">
        <f t="shared" si="20"/>
        <v>0</v>
      </c>
      <c r="DB16" s="45">
        <f t="shared" si="20"/>
        <v>0</v>
      </c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</row>
    <row r="17" spans="1:121" ht="14.25" x14ac:dyDescent="0.15">
      <c r="A17" s="48">
        <v>15</v>
      </c>
      <c r="B17" s="45" t="e">
        <f t="shared" si="2"/>
        <v>#DIV/0!</v>
      </c>
      <c r="C17" s="45" t="e">
        <f t="shared" si="3"/>
        <v>#DIV/0!</v>
      </c>
      <c r="D17" s="45" t="e">
        <f t="shared" si="4"/>
        <v>#DIV/0!</v>
      </c>
      <c r="E17" s="45" t="e">
        <f t="shared" si="5"/>
        <v>#DIV/0!</v>
      </c>
      <c r="F17" s="45" t="e">
        <f t="shared" si="6"/>
        <v>#DIV/0!</v>
      </c>
      <c r="G17" s="45" t="e">
        <f t="shared" si="7"/>
        <v>#DIV/0!</v>
      </c>
      <c r="H17" s="45" t="e">
        <f t="shared" si="8"/>
        <v>#DIV/0!</v>
      </c>
      <c r="I17" s="45" t="e">
        <f t="shared" si="9"/>
        <v>#DIV/0!</v>
      </c>
      <c r="J17" s="45" t="e">
        <f t="shared" si="10"/>
        <v>#DIV/0!</v>
      </c>
      <c r="K17" s="45" t="e">
        <f t="shared" si="11"/>
        <v>#DIV/0!</v>
      </c>
      <c r="L17" s="45" t="e">
        <f t="shared" si="12"/>
        <v>#DIV/0!</v>
      </c>
      <c r="M17" s="45" t="e">
        <f t="shared" si="13"/>
        <v>#DIV/0!</v>
      </c>
      <c r="N17" s="45" t="e">
        <f t="shared" si="14"/>
        <v>#DIV/0!</v>
      </c>
      <c r="O17" s="45" t="e">
        <f t="shared" si="15"/>
        <v>#DIV/0!</v>
      </c>
      <c r="P17" s="45" t="e">
        <f t="shared" si="16"/>
        <v>#DIV/0!</v>
      </c>
      <c r="Q17" s="55" t="e">
        <f>Q16+ATM_Conf!$C$5*(B16)/(Links!B$191*Links!Q$191)</f>
        <v>#DIV/0!</v>
      </c>
      <c r="R17" s="55" t="e">
        <f>R16+ATM_Conf!$C$5*(C16-B16)/(Links!C$191*Links!R$191)</f>
        <v>#DIV/0!</v>
      </c>
      <c r="S17" s="55" t="e">
        <f>S16+ATM_Conf!$C$5*(D16-C16)/(Links!D$191*Links!S$191)</f>
        <v>#DIV/0!</v>
      </c>
      <c r="T17" s="55" t="e">
        <f>T16+ATM_Conf!$C$5*(E16-D16)/(Links!E$191*Links!T$191)</f>
        <v>#DIV/0!</v>
      </c>
      <c r="U17" s="55" t="e">
        <f>U16+ATM_Conf!$C$5*(F16-E16)/(Links!F$191*Links!U$191)</f>
        <v>#DIV/0!</v>
      </c>
      <c r="V17" s="55" t="e">
        <f>V16+ATM_Conf!$C$5*(G16-F16)/(Links!G$191*Links!V$191)</f>
        <v>#DIV/0!</v>
      </c>
      <c r="W17" s="55" t="e">
        <f>W16+ATM_Conf!$C$5*(H16-G16)/(Links!H$191*Links!W$191)</f>
        <v>#DIV/0!</v>
      </c>
      <c r="X17" s="55" t="e">
        <f>X16+ATM_Conf!$C$5*(I16-H16)/(Links!I$191*Links!X$191)</f>
        <v>#DIV/0!</v>
      </c>
      <c r="Y17" s="55" t="e">
        <f>Y16+ATM_Conf!$C$5*(J16)/(Links!J$191*Links!Y$191)</f>
        <v>#DIV/0!</v>
      </c>
      <c r="Z17" s="55" t="e">
        <f>Z16+ATM_Conf!$C$5*(K16-J16)/(Links!K$191*Links!Z$191)</f>
        <v>#DIV/0!</v>
      </c>
      <c r="AA17" s="55" t="e">
        <f>AA16+ATM_Conf!$C$5*(L16-K16)/(Links!L$191*Links!AA$191)</f>
        <v>#DIV/0!</v>
      </c>
      <c r="AB17" s="55" t="e">
        <f>AB16+ATM_Conf!$C$5*(M16-L16)/(Links!M$191*Links!AB$191)</f>
        <v>#DIV/0!</v>
      </c>
      <c r="AC17" s="55" t="e">
        <f>AC16+ATM_Conf!$C$5*(N16-M16)/(Links!N$191*Links!AC$191)</f>
        <v>#DIV/0!</v>
      </c>
      <c r="AD17" s="55" t="e">
        <f>AD16+ATM_Conf!$C$5*(O16-N16)/(Links!O$191*Links!AD$191)</f>
        <v>#DIV/0!</v>
      </c>
      <c r="AE17" s="55" t="e">
        <f>AE16+ATM_Conf!$C$5*(P16-O16)/(Links!P$191*Links!AE$191)</f>
        <v>#DIV/0!</v>
      </c>
      <c r="AF17" s="45" t="e">
        <f>AF16+(ATM_Conf!$C$5/ATM_Conf!$C$8)*(Links!AU16*EXP((-(Links!Q16/Links!BJ16)^Links!BY16)/Links!BY16)-Links!AF16)-(ATM_Conf!$C$9*ATM_Conf!$C$5/(ATM_Conf!$C$8*Links!Q$191))*(Nodes!BO16-Links!Q16)/(Links!Q16/ATM_Conf!$C$10)</f>
        <v>#DIV/0!</v>
      </c>
      <c r="AG17" s="45" t="e">
        <f>AG16+(ATM_Conf!$C$5/ATM_Conf!$C$8)*(Links!AV16*EXP((-(Links!R16/Links!BK16)^Links!BZ16)/Links!BZ16)-Links!AG16)+(ATM_Conf!$C$5/Links!R$191)*Links!AG16*(Nodes!BB16-Links!AG16)-(ATM_Conf!$C$9*ATM_Conf!$C$5/(ATM_Conf!$C$8*Links!R$191))*(Nodes!BP16-Links!R16)/(Links!R16/ATM_Conf!$C$10)</f>
        <v>#DIV/0!</v>
      </c>
      <c r="AH17" s="45" t="e">
        <f>AH16+(ATM_Conf!$C$5/ATM_Conf!$C$8)*(Links!AW16*EXP((-(Links!S16/Links!BL16)^Links!CA16)/Links!CA16)-Links!AH16)+(ATM_Conf!$C$5/Links!S$191)*Links!AH16*(Nodes!BC16-Links!AH16)-(ATM_Conf!$C$9*ATM_Conf!$C$5/(ATM_Conf!$C$8*Links!S$191))*(Nodes!BQ16-Links!S16)/(Links!S16/ATM_Conf!$C$10)</f>
        <v>#DIV/0!</v>
      </c>
      <c r="AI17" s="45" t="e">
        <f>AI16+(ATM_Conf!$C$5/ATM_Conf!$C$8)*(Links!AX16*EXP((-(Links!T16/Links!BM16)^Links!CB16)/Links!CB16)-Links!AI16)+(ATM_Conf!$C$5/Links!T$191)*Links!AI16*(Nodes!BD16-Links!AI16)-(ATM_Conf!$C$9*ATM_Conf!$C$5/(ATM_Conf!$C$8*Links!T$191))*(Nodes!BR16-Links!T16)/(Links!T16/ATM_Conf!$C$10)</f>
        <v>#DIV/0!</v>
      </c>
      <c r="AJ17" s="45" t="e">
        <f>AJ16+(ATM_Conf!$C$5/ATM_Conf!$C$8)*(Links!AY16*EXP((-(Links!U16/Links!BN16)^Links!CC16)/Links!CC16)-Links!AJ16)+(ATM_Conf!$C$5/Links!U$191)*Links!AJ16*(Nodes!BE16-Links!AJ16)-(ATM_Conf!$C$9*ATM_Conf!$C$5/(ATM_Conf!$C$8*Links!U$191))*(Nodes!BS16-Links!U16)/(Links!U16/ATM_Conf!$C$10)</f>
        <v>#DIV/0!</v>
      </c>
      <c r="AK17" s="45" t="e">
        <f>AK16+(ATM_Conf!$C$5/ATM_Conf!$C$8)*(Links!AZ16*EXP((-(Links!V16/Links!BO16)^Links!CD16)/Links!CD16)-Links!AK16)+(ATM_Conf!$C$5/Links!V$191)*Links!AK16*(Nodes!BF16-Links!AK16)-(ATM_Conf!$C$9*ATM_Conf!$C$5/(ATM_Conf!$C$8*Links!V$191))*(Nodes!BT16-Links!V16)/(Links!V16/ATM_Conf!$C$10)</f>
        <v>#DIV/0!</v>
      </c>
      <c r="AL17" s="45" t="e">
        <f>AL16+(ATM_Conf!$C$5/ATM_Conf!$C$8)*(Links!BA16*EXP((-(Links!W16/Links!BP16)^Links!CE16)/Links!CE16)-Links!AL16)+(ATM_Conf!$C$5/Links!W$191)*Links!AL16*(Nodes!BG16-Links!AL16)-(ATM_Conf!$C$9*ATM_Conf!$C$5/(ATM_Conf!$C$8*Links!W$191))*(Nodes!BU16-Links!W16)/(Links!W16/ATM_Conf!$C$10)</f>
        <v>#DIV/0!</v>
      </c>
      <c r="AM17" s="45" t="e">
        <f>AM16+(ATM_Conf!$C$5/ATM_Conf!$C$8)*(Links!BB16*EXP((-(Links!X16/Links!BQ16)^Links!CF16)/Links!CF16)-Links!AM16)+(ATM_Conf!$C$5/Links!X$191)*Links!AM16*(Nodes!BH16-Links!AM16)</f>
        <v>#DIV/0!</v>
      </c>
      <c r="AN17" s="45" t="e">
        <f>AN16+(ATM_Conf!$C$5/ATM_Conf!$C$8)*(Links!BC16*EXP((-(Links!Y16/Links!BR16)^Links!CG16)/Links!CG16)-Links!AN16)-(ATM_Conf!$C$9*ATM_Conf!$C$5/(ATM_Conf!$C$8*Links!Y$191))*(Nodes!BV16-Links!Y16)/(Links!Y16/ATM_Conf!$C$10)</f>
        <v>#DIV/0!</v>
      </c>
      <c r="AO17" s="45" t="e">
        <f>AO16+(ATM_Conf!$C$5/ATM_Conf!$C$8)*(Links!BD16*EXP((-(Links!Z16/Links!BS16)^Links!CH16)/Links!CH16)-Links!AO16)+(ATM_Conf!$C$5/Links!Z$191)*Links!AO16*(Nodes!BI16-Links!AO16)-(ATM_Conf!$C$9*ATM_Conf!$C$5/(ATM_Conf!$C$8*Links!Z$191))*(Nodes!BW16-Links!Z16)/(Links!Z16/ATM_Conf!$C$10)</f>
        <v>#DIV/0!</v>
      </c>
      <c r="AP17" s="45" t="e">
        <f>AP16+(ATM_Conf!$C$5/ATM_Conf!$C$8)*(Links!BE16*EXP((-(Links!AA16/Links!BT16)^Links!CI16)/Links!CI16)-Links!AP16)+(ATM_Conf!$C$5/Links!AA$191)*Links!AP16*(Nodes!BJ16-Links!AP16)-(ATM_Conf!$C$9*ATM_Conf!$C$5/(ATM_Conf!$C$8*Links!AA$191))*(Nodes!BX16-Links!AA16)/(Links!AA16/ATM_Conf!$C$10)</f>
        <v>#DIV/0!</v>
      </c>
      <c r="AQ17" s="45" t="e">
        <f>AQ16+(ATM_Conf!$C$5/ATM_Conf!$C$8)*(Links!BF16*EXP((-(Links!AB16/Links!BU16)^Links!CJ16)/Links!CJ16)-Links!AQ16)+(ATM_Conf!$C$5/Links!AB$191)*Links!AQ16*(Nodes!BK16-Links!AQ16)-(ATM_Conf!$C$9*ATM_Conf!$C$5/(ATM_Conf!$C$8*Links!AB$191))*(Nodes!BY16-Links!AB16)/(Links!AB16/ATM_Conf!$C$10)</f>
        <v>#DIV/0!</v>
      </c>
      <c r="AR17" s="45" t="e">
        <f>AR16+(ATM_Conf!$C$5/ATM_Conf!$C$8)*(Links!BG16*EXP((-(Links!AC16/Links!BV16)^Links!CK16)/Links!CK16)-Links!AR16)+(ATM_Conf!$C$5/Links!AC$191)*Links!AR16*(Nodes!BL16-Links!AR16)-(ATM_Conf!$C$9*ATM_Conf!$C$5/(ATM_Conf!$C$8*Links!AC$191))*(Nodes!BZ16-Links!AC16)/(Links!AC16/ATM_Conf!$C$10)</f>
        <v>#DIV/0!</v>
      </c>
      <c r="AS17" s="45" t="e">
        <f>AS16+(ATM_Conf!$C$5/ATM_Conf!$C$8)*(Links!BH16*EXP((-(Links!AD16/Links!BW16)^Links!CL16)/Links!CL16)-Links!AS16)+(ATM_Conf!$C$5/Links!AD$191)*Links!AS16*(Nodes!BM16-Links!AS16)-(ATM_Conf!$C$9*ATM_Conf!$C$5/(ATM_Conf!$C$8*Links!AD$191))*(Nodes!CA16-Links!AD16)/(Links!AD16/ATM_Conf!$C$10)</f>
        <v>#DIV/0!</v>
      </c>
      <c r="AT17" s="45" t="e">
        <f>AT16+(ATM_Conf!$C$5/ATM_Conf!$C$8)*(Links!BI16*EXP((-(Links!AE16/Links!BX16)^Links!CM16)/Links!CM16)-Links!AT16)+(ATM_Conf!$C$5/Links!AE$191)*Links!AT16*(Nodes!BN16-Links!AT16)</f>
        <v>#DIV/0!</v>
      </c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45">
        <f t="shared" ref="CN17:DB26" si="21">CN$15</f>
        <v>0</v>
      </c>
      <c r="CO17" s="45">
        <f t="shared" si="21"/>
        <v>0</v>
      </c>
      <c r="CP17" s="45">
        <f t="shared" si="21"/>
        <v>0</v>
      </c>
      <c r="CQ17" s="45">
        <f t="shared" si="21"/>
        <v>0</v>
      </c>
      <c r="CR17" s="45">
        <f t="shared" si="21"/>
        <v>0</v>
      </c>
      <c r="CS17" s="45">
        <f t="shared" si="21"/>
        <v>0</v>
      </c>
      <c r="CT17" s="45">
        <f t="shared" si="21"/>
        <v>0</v>
      </c>
      <c r="CU17" s="45">
        <f t="shared" si="21"/>
        <v>0</v>
      </c>
      <c r="CV17" s="45">
        <f t="shared" si="21"/>
        <v>0</v>
      </c>
      <c r="CW17" s="45">
        <f t="shared" si="21"/>
        <v>0</v>
      </c>
      <c r="CX17" s="45">
        <f t="shared" si="21"/>
        <v>0</v>
      </c>
      <c r="CY17" s="45">
        <f t="shared" si="21"/>
        <v>0</v>
      </c>
      <c r="CZ17" s="45">
        <f t="shared" si="21"/>
        <v>0</v>
      </c>
      <c r="DA17" s="45">
        <f t="shared" si="21"/>
        <v>0</v>
      </c>
      <c r="DB17" s="45">
        <f t="shared" si="21"/>
        <v>0</v>
      </c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</row>
    <row r="18" spans="1:121" ht="14.25" x14ac:dyDescent="0.15">
      <c r="A18" s="48">
        <v>16</v>
      </c>
      <c r="B18" s="45" t="e">
        <f t="shared" si="2"/>
        <v>#DIV/0!</v>
      </c>
      <c r="C18" s="45" t="e">
        <f t="shared" si="3"/>
        <v>#DIV/0!</v>
      </c>
      <c r="D18" s="45" t="e">
        <f t="shared" si="4"/>
        <v>#DIV/0!</v>
      </c>
      <c r="E18" s="45" t="e">
        <f t="shared" si="5"/>
        <v>#DIV/0!</v>
      </c>
      <c r="F18" s="45" t="e">
        <f t="shared" si="6"/>
        <v>#DIV/0!</v>
      </c>
      <c r="G18" s="45" t="e">
        <f t="shared" si="7"/>
        <v>#DIV/0!</v>
      </c>
      <c r="H18" s="45" t="e">
        <f t="shared" si="8"/>
        <v>#DIV/0!</v>
      </c>
      <c r="I18" s="45" t="e">
        <f t="shared" si="9"/>
        <v>#DIV/0!</v>
      </c>
      <c r="J18" s="45" t="e">
        <f t="shared" si="10"/>
        <v>#DIV/0!</v>
      </c>
      <c r="K18" s="45" t="e">
        <f t="shared" si="11"/>
        <v>#DIV/0!</v>
      </c>
      <c r="L18" s="45" t="e">
        <f t="shared" si="12"/>
        <v>#DIV/0!</v>
      </c>
      <c r="M18" s="45" t="e">
        <f t="shared" si="13"/>
        <v>#DIV/0!</v>
      </c>
      <c r="N18" s="45" t="e">
        <f t="shared" si="14"/>
        <v>#DIV/0!</v>
      </c>
      <c r="O18" s="45" t="e">
        <f t="shared" si="15"/>
        <v>#DIV/0!</v>
      </c>
      <c r="P18" s="45" t="e">
        <f t="shared" si="16"/>
        <v>#DIV/0!</v>
      </c>
      <c r="Q18" s="55" t="e">
        <f>Q17+ATM_Conf!$C$5*(B17)/(Links!B$191*Links!Q$191)</f>
        <v>#DIV/0!</v>
      </c>
      <c r="R18" s="55" t="e">
        <f>R17+ATM_Conf!$C$5*(C17-B17)/(Links!C$191*Links!R$191)</f>
        <v>#DIV/0!</v>
      </c>
      <c r="S18" s="55" t="e">
        <f>S17+ATM_Conf!$C$5*(D17-C17)/(Links!D$191*Links!S$191)</f>
        <v>#DIV/0!</v>
      </c>
      <c r="T18" s="55" t="e">
        <f>T17+ATM_Conf!$C$5*(E17-D17)/(Links!E$191*Links!T$191)</f>
        <v>#DIV/0!</v>
      </c>
      <c r="U18" s="55" t="e">
        <f>U17+ATM_Conf!$C$5*(F17-E17)/(Links!F$191*Links!U$191)</f>
        <v>#DIV/0!</v>
      </c>
      <c r="V18" s="55" t="e">
        <f>V17+ATM_Conf!$C$5*(G17-F17)/(Links!G$191*Links!V$191)</f>
        <v>#DIV/0!</v>
      </c>
      <c r="W18" s="55" t="e">
        <f>W17+ATM_Conf!$C$5*(H17-G17)/(Links!H$191*Links!W$191)</f>
        <v>#DIV/0!</v>
      </c>
      <c r="X18" s="55" t="e">
        <f>X17+ATM_Conf!$C$5*(I17-H17)/(Links!I$191*Links!X$191)</f>
        <v>#DIV/0!</v>
      </c>
      <c r="Y18" s="55" t="e">
        <f>Y17+ATM_Conf!$C$5*(J17)/(Links!J$191*Links!Y$191)</f>
        <v>#DIV/0!</v>
      </c>
      <c r="Z18" s="55" t="e">
        <f>Z17+ATM_Conf!$C$5*(K17-J17)/(Links!K$191*Links!Z$191)</f>
        <v>#DIV/0!</v>
      </c>
      <c r="AA18" s="55" t="e">
        <f>AA17+ATM_Conf!$C$5*(L17-K17)/(Links!L$191*Links!AA$191)</f>
        <v>#DIV/0!</v>
      </c>
      <c r="AB18" s="55" t="e">
        <f>AB17+ATM_Conf!$C$5*(M17-L17)/(Links!M$191*Links!AB$191)</f>
        <v>#DIV/0!</v>
      </c>
      <c r="AC18" s="55" t="e">
        <f>AC17+ATM_Conf!$C$5*(N17-M17)/(Links!N$191*Links!AC$191)</f>
        <v>#DIV/0!</v>
      </c>
      <c r="AD18" s="55" t="e">
        <f>AD17+ATM_Conf!$C$5*(O17-N17)/(Links!O$191*Links!AD$191)</f>
        <v>#DIV/0!</v>
      </c>
      <c r="AE18" s="55" t="e">
        <f>AE17+ATM_Conf!$C$5*(P17-O17)/(Links!P$191*Links!AE$191)</f>
        <v>#DIV/0!</v>
      </c>
      <c r="AF18" s="45" t="e">
        <f>AF17+(ATM_Conf!$C$5/ATM_Conf!$C$8)*(Links!AU17*EXP((-(Links!Q17/Links!BJ17)^Links!BY17)/Links!BY17)-Links!AF17)-(ATM_Conf!$C$9*ATM_Conf!$C$5/(ATM_Conf!$C$8*Links!Q$191))*(Nodes!BO17-Links!Q17)/(Links!Q17/ATM_Conf!$C$10)</f>
        <v>#DIV/0!</v>
      </c>
      <c r="AG18" s="45" t="e">
        <f>AG17+(ATM_Conf!$C$5/ATM_Conf!$C$8)*(Links!AV17*EXP((-(Links!R17/Links!BK17)^Links!BZ17)/Links!BZ17)-Links!AG17)+(ATM_Conf!$C$5/Links!R$191)*Links!AG17*(Nodes!BB17-Links!AG17)-(ATM_Conf!$C$9*ATM_Conf!$C$5/(ATM_Conf!$C$8*Links!R$191))*(Nodes!BP17-Links!R17)/(Links!R17/ATM_Conf!$C$10)</f>
        <v>#DIV/0!</v>
      </c>
      <c r="AH18" s="45" t="e">
        <f>AH17+(ATM_Conf!$C$5/ATM_Conf!$C$8)*(Links!AW17*EXP((-(Links!S17/Links!BL17)^Links!CA17)/Links!CA17)-Links!AH17)+(ATM_Conf!$C$5/Links!S$191)*Links!AH17*(Nodes!BC17-Links!AH17)-(ATM_Conf!$C$9*ATM_Conf!$C$5/(ATM_Conf!$C$8*Links!S$191))*(Nodes!BQ17-Links!S17)/(Links!S17/ATM_Conf!$C$10)</f>
        <v>#DIV/0!</v>
      </c>
      <c r="AI18" s="45" t="e">
        <f>AI17+(ATM_Conf!$C$5/ATM_Conf!$C$8)*(Links!AX17*EXP((-(Links!T17/Links!BM17)^Links!CB17)/Links!CB17)-Links!AI17)+(ATM_Conf!$C$5/Links!T$191)*Links!AI17*(Nodes!BD17-Links!AI17)-(ATM_Conf!$C$9*ATM_Conf!$C$5/(ATM_Conf!$C$8*Links!T$191))*(Nodes!BR17-Links!T17)/(Links!T17/ATM_Conf!$C$10)</f>
        <v>#DIV/0!</v>
      </c>
      <c r="AJ18" s="45" t="e">
        <f>AJ17+(ATM_Conf!$C$5/ATM_Conf!$C$8)*(Links!AY17*EXP((-(Links!U17/Links!BN17)^Links!CC17)/Links!CC17)-Links!AJ17)+(ATM_Conf!$C$5/Links!U$191)*Links!AJ17*(Nodes!BE17-Links!AJ17)-(ATM_Conf!$C$9*ATM_Conf!$C$5/(ATM_Conf!$C$8*Links!U$191))*(Nodes!BS17-Links!U17)/(Links!U17/ATM_Conf!$C$10)</f>
        <v>#DIV/0!</v>
      </c>
      <c r="AK18" s="45" t="e">
        <f>AK17+(ATM_Conf!$C$5/ATM_Conf!$C$8)*(Links!AZ17*EXP((-(Links!V17/Links!BO17)^Links!CD17)/Links!CD17)-Links!AK17)+(ATM_Conf!$C$5/Links!V$191)*Links!AK17*(Nodes!BF17-Links!AK17)-(ATM_Conf!$C$9*ATM_Conf!$C$5/(ATM_Conf!$C$8*Links!V$191))*(Nodes!BT17-Links!V17)/(Links!V17/ATM_Conf!$C$10)</f>
        <v>#DIV/0!</v>
      </c>
      <c r="AL18" s="45" t="e">
        <f>AL17+(ATM_Conf!$C$5/ATM_Conf!$C$8)*(Links!BA17*EXP((-(Links!W17/Links!BP17)^Links!CE17)/Links!CE17)-Links!AL17)+(ATM_Conf!$C$5/Links!W$191)*Links!AL17*(Nodes!BG17-Links!AL17)-(ATM_Conf!$C$9*ATM_Conf!$C$5/(ATM_Conf!$C$8*Links!W$191))*(Nodes!BU17-Links!W17)/(Links!W17/ATM_Conf!$C$10)</f>
        <v>#DIV/0!</v>
      </c>
      <c r="AM18" s="45" t="e">
        <f>AM17+(ATM_Conf!$C$5/ATM_Conf!$C$8)*(Links!BB17*EXP((-(Links!X17/Links!BQ17)^Links!CF17)/Links!CF17)-Links!AM17)+(ATM_Conf!$C$5/Links!X$191)*Links!AM17*(Nodes!BH17-Links!AM17)</f>
        <v>#DIV/0!</v>
      </c>
      <c r="AN18" s="45" t="e">
        <f>AN17+(ATM_Conf!$C$5/ATM_Conf!$C$8)*(Links!BC17*EXP((-(Links!Y17/Links!BR17)^Links!CG17)/Links!CG17)-Links!AN17)-(ATM_Conf!$C$9*ATM_Conf!$C$5/(ATM_Conf!$C$8*Links!Y$191))*(Nodes!BV17-Links!Y17)/(Links!Y17/ATM_Conf!$C$10)</f>
        <v>#DIV/0!</v>
      </c>
      <c r="AO18" s="45" t="e">
        <f>AO17+(ATM_Conf!$C$5/ATM_Conf!$C$8)*(Links!BD17*EXP((-(Links!Z17/Links!BS17)^Links!CH17)/Links!CH17)-Links!AO17)+(ATM_Conf!$C$5/Links!Z$191)*Links!AO17*(Nodes!BI17-Links!AO17)-(ATM_Conf!$C$9*ATM_Conf!$C$5/(ATM_Conf!$C$8*Links!Z$191))*(Nodes!BW17-Links!Z17)/(Links!Z17/ATM_Conf!$C$10)</f>
        <v>#DIV/0!</v>
      </c>
      <c r="AP18" s="45" t="e">
        <f>AP17+(ATM_Conf!$C$5/ATM_Conf!$C$8)*(Links!BE17*EXP((-(Links!AA17/Links!BT17)^Links!CI17)/Links!CI17)-Links!AP17)+(ATM_Conf!$C$5/Links!AA$191)*Links!AP17*(Nodes!BJ17-Links!AP17)-(ATM_Conf!$C$9*ATM_Conf!$C$5/(ATM_Conf!$C$8*Links!AA$191))*(Nodes!BX17-Links!AA17)/(Links!AA17/ATM_Conf!$C$10)</f>
        <v>#DIV/0!</v>
      </c>
      <c r="AQ18" s="45" t="e">
        <f>AQ17+(ATM_Conf!$C$5/ATM_Conf!$C$8)*(Links!BF17*EXP((-(Links!AB17/Links!BU17)^Links!CJ17)/Links!CJ17)-Links!AQ17)+(ATM_Conf!$C$5/Links!AB$191)*Links!AQ17*(Nodes!BK17-Links!AQ17)-(ATM_Conf!$C$9*ATM_Conf!$C$5/(ATM_Conf!$C$8*Links!AB$191))*(Nodes!BY17-Links!AB17)/(Links!AB17/ATM_Conf!$C$10)</f>
        <v>#DIV/0!</v>
      </c>
      <c r="AR18" s="45" t="e">
        <f>AR17+(ATM_Conf!$C$5/ATM_Conf!$C$8)*(Links!BG17*EXP((-(Links!AC17/Links!BV17)^Links!CK17)/Links!CK17)-Links!AR17)+(ATM_Conf!$C$5/Links!AC$191)*Links!AR17*(Nodes!BL17-Links!AR17)-(ATM_Conf!$C$9*ATM_Conf!$C$5/(ATM_Conf!$C$8*Links!AC$191))*(Nodes!BZ17-Links!AC17)/(Links!AC17/ATM_Conf!$C$10)</f>
        <v>#DIV/0!</v>
      </c>
      <c r="AS18" s="45" t="e">
        <f>AS17+(ATM_Conf!$C$5/ATM_Conf!$C$8)*(Links!BH17*EXP((-(Links!AD17/Links!BW17)^Links!CL17)/Links!CL17)-Links!AS17)+(ATM_Conf!$C$5/Links!AD$191)*Links!AS17*(Nodes!BM17-Links!AS17)-(ATM_Conf!$C$9*ATM_Conf!$C$5/(ATM_Conf!$C$8*Links!AD$191))*(Nodes!CA17-Links!AD17)/(Links!AD17/ATM_Conf!$C$10)</f>
        <v>#DIV/0!</v>
      </c>
      <c r="AT18" s="45" t="e">
        <f>AT17+(ATM_Conf!$C$5/ATM_Conf!$C$8)*(Links!BI17*EXP((-(Links!AE17/Links!BX17)^Links!CM17)/Links!CM17)-Links!AT17)+(ATM_Conf!$C$5/Links!AE$191)*Links!AT17*(Nodes!BN17-Links!AT17)</f>
        <v>#DIV/0!</v>
      </c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45">
        <f t="shared" si="21"/>
        <v>0</v>
      </c>
      <c r="CO18" s="45">
        <f t="shared" si="21"/>
        <v>0</v>
      </c>
      <c r="CP18" s="45">
        <f t="shared" si="21"/>
        <v>0</v>
      </c>
      <c r="CQ18" s="45">
        <f t="shared" si="21"/>
        <v>0</v>
      </c>
      <c r="CR18" s="45">
        <f t="shared" si="21"/>
        <v>0</v>
      </c>
      <c r="CS18" s="45">
        <f t="shared" si="21"/>
        <v>0</v>
      </c>
      <c r="CT18" s="45">
        <f t="shared" si="21"/>
        <v>0</v>
      </c>
      <c r="CU18" s="45">
        <f t="shared" si="21"/>
        <v>0</v>
      </c>
      <c r="CV18" s="45">
        <f t="shared" si="21"/>
        <v>0</v>
      </c>
      <c r="CW18" s="45">
        <f t="shared" si="21"/>
        <v>0</v>
      </c>
      <c r="CX18" s="45">
        <f t="shared" si="21"/>
        <v>0</v>
      </c>
      <c r="CY18" s="45">
        <f t="shared" si="21"/>
        <v>0</v>
      </c>
      <c r="CZ18" s="45">
        <f t="shared" si="21"/>
        <v>0</v>
      </c>
      <c r="DA18" s="45">
        <f t="shared" si="21"/>
        <v>0</v>
      </c>
      <c r="DB18" s="45">
        <f t="shared" si="21"/>
        <v>0</v>
      </c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</row>
    <row r="19" spans="1:121" ht="14.25" x14ac:dyDescent="0.15">
      <c r="A19" s="48">
        <v>17</v>
      </c>
      <c r="B19" s="45" t="e">
        <f t="shared" si="2"/>
        <v>#DIV/0!</v>
      </c>
      <c r="C19" s="45" t="e">
        <f t="shared" si="3"/>
        <v>#DIV/0!</v>
      </c>
      <c r="D19" s="45" t="e">
        <f t="shared" si="4"/>
        <v>#DIV/0!</v>
      </c>
      <c r="E19" s="45" t="e">
        <f t="shared" si="5"/>
        <v>#DIV/0!</v>
      </c>
      <c r="F19" s="45" t="e">
        <f t="shared" si="6"/>
        <v>#DIV/0!</v>
      </c>
      <c r="G19" s="45" t="e">
        <f t="shared" si="7"/>
        <v>#DIV/0!</v>
      </c>
      <c r="H19" s="45" t="e">
        <f t="shared" si="8"/>
        <v>#DIV/0!</v>
      </c>
      <c r="I19" s="45" t="e">
        <f t="shared" si="9"/>
        <v>#DIV/0!</v>
      </c>
      <c r="J19" s="45" t="e">
        <f t="shared" si="10"/>
        <v>#DIV/0!</v>
      </c>
      <c r="K19" s="45" t="e">
        <f t="shared" si="11"/>
        <v>#DIV/0!</v>
      </c>
      <c r="L19" s="45" t="e">
        <f t="shared" si="12"/>
        <v>#DIV/0!</v>
      </c>
      <c r="M19" s="45" t="e">
        <f t="shared" si="13"/>
        <v>#DIV/0!</v>
      </c>
      <c r="N19" s="45" t="e">
        <f t="shared" si="14"/>
        <v>#DIV/0!</v>
      </c>
      <c r="O19" s="45" t="e">
        <f t="shared" si="15"/>
        <v>#DIV/0!</v>
      </c>
      <c r="P19" s="45" t="e">
        <f t="shared" si="16"/>
        <v>#DIV/0!</v>
      </c>
      <c r="Q19" s="55" t="e">
        <f>Q18+ATM_Conf!$C$5*(B18)/(Links!B$191*Links!Q$191)</f>
        <v>#DIV/0!</v>
      </c>
      <c r="R19" s="55" t="e">
        <f>R18+ATM_Conf!$C$5*(C18-B18)/(Links!C$191*Links!R$191)</f>
        <v>#DIV/0!</v>
      </c>
      <c r="S19" s="55" t="e">
        <f>S18+ATM_Conf!$C$5*(D18-C18)/(Links!D$191*Links!S$191)</f>
        <v>#DIV/0!</v>
      </c>
      <c r="T19" s="55" t="e">
        <f>T18+ATM_Conf!$C$5*(E18-D18)/(Links!E$191*Links!T$191)</f>
        <v>#DIV/0!</v>
      </c>
      <c r="U19" s="55" t="e">
        <f>U18+ATM_Conf!$C$5*(F18-E18)/(Links!F$191*Links!U$191)</f>
        <v>#DIV/0!</v>
      </c>
      <c r="V19" s="55" t="e">
        <f>V18+ATM_Conf!$C$5*(G18-F18)/(Links!G$191*Links!V$191)</f>
        <v>#DIV/0!</v>
      </c>
      <c r="W19" s="55" t="e">
        <f>W18+ATM_Conf!$C$5*(H18-G18)/(Links!H$191*Links!W$191)</f>
        <v>#DIV/0!</v>
      </c>
      <c r="X19" s="55" t="e">
        <f>X18+ATM_Conf!$C$5*(I18-H18)/(Links!I$191*Links!X$191)</f>
        <v>#DIV/0!</v>
      </c>
      <c r="Y19" s="55" t="e">
        <f>Y18+ATM_Conf!$C$5*(J18)/(Links!J$191*Links!Y$191)</f>
        <v>#DIV/0!</v>
      </c>
      <c r="Z19" s="55" t="e">
        <f>Z18+ATM_Conf!$C$5*(K18-J18)/(Links!K$191*Links!Z$191)</f>
        <v>#DIV/0!</v>
      </c>
      <c r="AA19" s="55" t="e">
        <f>AA18+ATM_Conf!$C$5*(L18-K18)/(Links!L$191*Links!AA$191)</f>
        <v>#DIV/0!</v>
      </c>
      <c r="AB19" s="55" t="e">
        <f>AB18+ATM_Conf!$C$5*(M18-L18)/(Links!M$191*Links!AB$191)</f>
        <v>#DIV/0!</v>
      </c>
      <c r="AC19" s="55" t="e">
        <f>AC18+ATM_Conf!$C$5*(N18-M18)/(Links!N$191*Links!AC$191)</f>
        <v>#DIV/0!</v>
      </c>
      <c r="AD19" s="55" t="e">
        <f>AD18+ATM_Conf!$C$5*(O18-N18)/(Links!O$191*Links!AD$191)</f>
        <v>#DIV/0!</v>
      </c>
      <c r="AE19" s="55" t="e">
        <f>AE18+ATM_Conf!$C$5*(P18-O18)/(Links!P$191*Links!AE$191)</f>
        <v>#DIV/0!</v>
      </c>
      <c r="AF19" s="45" t="e">
        <f>AF18+(ATM_Conf!$C$5/ATM_Conf!$C$8)*(Links!AU18*EXP((-(Links!Q18/Links!BJ18)^Links!BY18)/Links!BY18)-Links!AF18)-(ATM_Conf!$C$9*ATM_Conf!$C$5/(ATM_Conf!$C$8*Links!Q$191))*(Nodes!BO18-Links!Q18)/(Links!Q18/ATM_Conf!$C$10)</f>
        <v>#DIV/0!</v>
      </c>
      <c r="AG19" s="45" t="e">
        <f>AG18+(ATM_Conf!$C$5/ATM_Conf!$C$8)*(Links!AV18*EXP((-(Links!R18/Links!BK18)^Links!BZ18)/Links!BZ18)-Links!AG18)+(ATM_Conf!$C$5/Links!R$191)*Links!AG18*(Nodes!BB18-Links!AG18)-(ATM_Conf!$C$9*ATM_Conf!$C$5/(ATM_Conf!$C$8*Links!R$191))*(Nodes!BP18-Links!R18)/(Links!R18/ATM_Conf!$C$10)</f>
        <v>#DIV/0!</v>
      </c>
      <c r="AH19" s="45" t="e">
        <f>AH18+(ATM_Conf!$C$5/ATM_Conf!$C$8)*(Links!AW18*EXP((-(Links!S18/Links!BL18)^Links!CA18)/Links!CA18)-Links!AH18)+(ATM_Conf!$C$5/Links!S$191)*Links!AH18*(Nodes!BC18-Links!AH18)-(ATM_Conf!$C$9*ATM_Conf!$C$5/(ATM_Conf!$C$8*Links!S$191))*(Nodes!BQ18-Links!S18)/(Links!S18/ATM_Conf!$C$10)</f>
        <v>#DIV/0!</v>
      </c>
      <c r="AI19" s="45" t="e">
        <f>AI18+(ATM_Conf!$C$5/ATM_Conf!$C$8)*(Links!AX18*EXP((-(Links!T18/Links!BM18)^Links!CB18)/Links!CB18)-Links!AI18)+(ATM_Conf!$C$5/Links!T$191)*Links!AI18*(Nodes!BD18-Links!AI18)-(ATM_Conf!$C$9*ATM_Conf!$C$5/(ATM_Conf!$C$8*Links!T$191))*(Nodes!BR18-Links!T18)/(Links!T18/ATM_Conf!$C$10)</f>
        <v>#DIV/0!</v>
      </c>
      <c r="AJ19" s="45" t="e">
        <f>AJ18+(ATM_Conf!$C$5/ATM_Conf!$C$8)*(Links!AY18*EXP((-(Links!U18/Links!BN18)^Links!CC18)/Links!CC18)-Links!AJ18)+(ATM_Conf!$C$5/Links!U$191)*Links!AJ18*(Nodes!BE18-Links!AJ18)-(ATM_Conf!$C$9*ATM_Conf!$C$5/(ATM_Conf!$C$8*Links!U$191))*(Nodes!BS18-Links!U18)/(Links!U18/ATM_Conf!$C$10)</f>
        <v>#DIV/0!</v>
      </c>
      <c r="AK19" s="45" t="e">
        <f>AK18+(ATM_Conf!$C$5/ATM_Conf!$C$8)*(Links!AZ18*EXP((-(Links!V18/Links!BO18)^Links!CD18)/Links!CD18)-Links!AK18)+(ATM_Conf!$C$5/Links!V$191)*Links!AK18*(Nodes!BF18-Links!AK18)-(ATM_Conf!$C$9*ATM_Conf!$C$5/(ATM_Conf!$C$8*Links!V$191))*(Nodes!BT18-Links!V18)/(Links!V18/ATM_Conf!$C$10)</f>
        <v>#DIV/0!</v>
      </c>
      <c r="AL19" s="45" t="e">
        <f>AL18+(ATM_Conf!$C$5/ATM_Conf!$C$8)*(Links!BA18*EXP((-(Links!W18/Links!BP18)^Links!CE18)/Links!CE18)-Links!AL18)+(ATM_Conf!$C$5/Links!W$191)*Links!AL18*(Nodes!BG18-Links!AL18)-(ATM_Conf!$C$9*ATM_Conf!$C$5/(ATM_Conf!$C$8*Links!W$191))*(Nodes!BU18-Links!W18)/(Links!W18/ATM_Conf!$C$10)</f>
        <v>#DIV/0!</v>
      </c>
      <c r="AM19" s="45" t="e">
        <f>AM18+(ATM_Conf!$C$5/ATM_Conf!$C$8)*(Links!BB18*EXP((-(Links!X18/Links!BQ18)^Links!CF18)/Links!CF18)-Links!AM18)+(ATM_Conf!$C$5/Links!X$191)*Links!AM18*(Nodes!BH18-Links!AM18)</f>
        <v>#DIV/0!</v>
      </c>
      <c r="AN19" s="45" t="e">
        <f>AN18+(ATM_Conf!$C$5/ATM_Conf!$C$8)*(Links!BC18*EXP((-(Links!Y18/Links!BR18)^Links!CG18)/Links!CG18)-Links!AN18)-(ATM_Conf!$C$9*ATM_Conf!$C$5/(ATM_Conf!$C$8*Links!Y$191))*(Nodes!BV18-Links!Y18)/(Links!Y18/ATM_Conf!$C$10)</f>
        <v>#DIV/0!</v>
      </c>
      <c r="AO19" s="45" t="e">
        <f>AO18+(ATM_Conf!$C$5/ATM_Conf!$C$8)*(Links!BD18*EXP((-(Links!Z18/Links!BS18)^Links!CH18)/Links!CH18)-Links!AO18)+(ATM_Conf!$C$5/Links!Z$191)*Links!AO18*(Nodes!BI18-Links!AO18)-(ATM_Conf!$C$9*ATM_Conf!$C$5/(ATM_Conf!$C$8*Links!Z$191))*(Nodes!BW18-Links!Z18)/(Links!Z18/ATM_Conf!$C$10)</f>
        <v>#DIV/0!</v>
      </c>
      <c r="AP19" s="45" t="e">
        <f>AP18+(ATM_Conf!$C$5/ATM_Conf!$C$8)*(Links!BE18*EXP((-(Links!AA18/Links!BT18)^Links!CI18)/Links!CI18)-Links!AP18)+(ATM_Conf!$C$5/Links!AA$191)*Links!AP18*(Nodes!BJ18-Links!AP18)-(ATM_Conf!$C$9*ATM_Conf!$C$5/(ATM_Conf!$C$8*Links!AA$191))*(Nodes!BX18-Links!AA18)/(Links!AA18/ATM_Conf!$C$10)</f>
        <v>#DIV/0!</v>
      </c>
      <c r="AQ19" s="45" t="e">
        <f>AQ18+(ATM_Conf!$C$5/ATM_Conf!$C$8)*(Links!BF18*EXP((-(Links!AB18/Links!BU18)^Links!CJ18)/Links!CJ18)-Links!AQ18)+(ATM_Conf!$C$5/Links!AB$191)*Links!AQ18*(Nodes!BK18-Links!AQ18)-(ATM_Conf!$C$9*ATM_Conf!$C$5/(ATM_Conf!$C$8*Links!AB$191))*(Nodes!BY18-Links!AB18)/(Links!AB18/ATM_Conf!$C$10)</f>
        <v>#DIV/0!</v>
      </c>
      <c r="AR19" s="45" t="e">
        <f>AR18+(ATM_Conf!$C$5/ATM_Conf!$C$8)*(Links!BG18*EXP((-(Links!AC18/Links!BV18)^Links!CK18)/Links!CK18)-Links!AR18)+(ATM_Conf!$C$5/Links!AC$191)*Links!AR18*(Nodes!BL18-Links!AR18)-(ATM_Conf!$C$9*ATM_Conf!$C$5/(ATM_Conf!$C$8*Links!AC$191))*(Nodes!BZ18-Links!AC18)/(Links!AC18/ATM_Conf!$C$10)</f>
        <v>#DIV/0!</v>
      </c>
      <c r="AS19" s="45" t="e">
        <f>AS18+(ATM_Conf!$C$5/ATM_Conf!$C$8)*(Links!BH18*EXP((-(Links!AD18/Links!BW18)^Links!CL18)/Links!CL18)-Links!AS18)+(ATM_Conf!$C$5/Links!AD$191)*Links!AS18*(Nodes!BM18-Links!AS18)-(ATM_Conf!$C$9*ATM_Conf!$C$5/(ATM_Conf!$C$8*Links!AD$191))*(Nodes!CA18-Links!AD18)/(Links!AD18/ATM_Conf!$C$10)</f>
        <v>#DIV/0!</v>
      </c>
      <c r="AT19" s="45" t="e">
        <f>AT18+(ATM_Conf!$C$5/ATM_Conf!$C$8)*(Links!BI18*EXP((-(Links!AE18/Links!BX18)^Links!CM18)/Links!CM18)-Links!AT18)+(ATM_Conf!$C$5/Links!AE$191)*Links!AT18*(Nodes!BN18-Links!AT18)</f>
        <v>#DIV/0!</v>
      </c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45">
        <f t="shared" si="21"/>
        <v>0</v>
      </c>
      <c r="CO19" s="45">
        <f t="shared" si="21"/>
        <v>0</v>
      </c>
      <c r="CP19" s="45">
        <f t="shared" si="21"/>
        <v>0</v>
      </c>
      <c r="CQ19" s="45">
        <f t="shared" si="21"/>
        <v>0</v>
      </c>
      <c r="CR19" s="45">
        <f t="shared" si="21"/>
        <v>0</v>
      </c>
      <c r="CS19" s="45">
        <f t="shared" si="21"/>
        <v>0</v>
      </c>
      <c r="CT19" s="45">
        <f t="shared" si="21"/>
        <v>0</v>
      </c>
      <c r="CU19" s="45">
        <f t="shared" si="21"/>
        <v>0</v>
      </c>
      <c r="CV19" s="45">
        <f t="shared" si="21"/>
        <v>0</v>
      </c>
      <c r="CW19" s="45">
        <f t="shared" si="21"/>
        <v>0</v>
      </c>
      <c r="CX19" s="45">
        <f t="shared" si="21"/>
        <v>0</v>
      </c>
      <c r="CY19" s="45">
        <f t="shared" si="21"/>
        <v>0</v>
      </c>
      <c r="CZ19" s="45">
        <f t="shared" si="21"/>
        <v>0</v>
      </c>
      <c r="DA19" s="45">
        <f t="shared" si="21"/>
        <v>0</v>
      </c>
      <c r="DB19" s="45">
        <f t="shared" si="21"/>
        <v>0</v>
      </c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</row>
    <row r="20" spans="1:121" ht="14.25" x14ac:dyDescent="0.15">
      <c r="A20" s="48">
        <v>18</v>
      </c>
      <c r="B20" s="45" t="e">
        <f t="shared" si="2"/>
        <v>#DIV/0!</v>
      </c>
      <c r="C20" s="45" t="e">
        <f t="shared" si="3"/>
        <v>#DIV/0!</v>
      </c>
      <c r="D20" s="45" t="e">
        <f t="shared" si="4"/>
        <v>#DIV/0!</v>
      </c>
      <c r="E20" s="45" t="e">
        <f t="shared" si="5"/>
        <v>#DIV/0!</v>
      </c>
      <c r="F20" s="45" t="e">
        <f t="shared" si="6"/>
        <v>#DIV/0!</v>
      </c>
      <c r="G20" s="45" t="e">
        <f t="shared" si="7"/>
        <v>#DIV/0!</v>
      </c>
      <c r="H20" s="45" t="e">
        <f t="shared" si="8"/>
        <v>#DIV/0!</v>
      </c>
      <c r="I20" s="45" t="e">
        <f t="shared" si="9"/>
        <v>#DIV/0!</v>
      </c>
      <c r="J20" s="45" t="e">
        <f t="shared" si="10"/>
        <v>#DIV/0!</v>
      </c>
      <c r="K20" s="45" t="e">
        <f t="shared" si="11"/>
        <v>#DIV/0!</v>
      </c>
      <c r="L20" s="45" t="e">
        <f t="shared" si="12"/>
        <v>#DIV/0!</v>
      </c>
      <c r="M20" s="45" t="e">
        <f t="shared" si="13"/>
        <v>#DIV/0!</v>
      </c>
      <c r="N20" s="45" t="e">
        <f t="shared" si="14"/>
        <v>#DIV/0!</v>
      </c>
      <c r="O20" s="45" t="e">
        <f t="shared" si="15"/>
        <v>#DIV/0!</v>
      </c>
      <c r="P20" s="45" t="e">
        <f t="shared" si="16"/>
        <v>#DIV/0!</v>
      </c>
      <c r="Q20" s="55" t="e">
        <f>Q19+ATM_Conf!$C$5*(B19)/(Links!B$191*Links!Q$191)</f>
        <v>#DIV/0!</v>
      </c>
      <c r="R20" s="55" t="e">
        <f>R19+ATM_Conf!$C$5*(C19-B19)/(Links!C$191*Links!R$191)</f>
        <v>#DIV/0!</v>
      </c>
      <c r="S20" s="55" t="e">
        <f>S19+ATM_Conf!$C$5*(D19-C19)/(Links!D$191*Links!S$191)</f>
        <v>#DIV/0!</v>
      </c>
      <c r="T20" s="55" t="e">
        <f>T19+ATM_Conf!$C$5*(E19-D19)/(Links!E$191*Links!T$191)</f>
        <v>#DIV/0!</v>
      </c>
      <c r="U20" s="55" t="e">
        <f>U19+ATM_Conf!$C$5*(F19-E19)/(Links!F$191*Links!U$191)</f>
        <v>#DIV/0!</v>
      </c>
      <c r="V20" s="55" t="e">
        <f>V19+ATM_Conf!$C$5*(G19-F19)/(Links!G$191*Links!V$191)</f>
        <v>#DIV/0!</v>
      </c>
      <c r="W20" s="55" t="e">
        <f>W19+ATM_Conf!$C$5*(H19-G19)/(Links!H$191*Links!W$191)</f>
        <v>#DIV/0!</v>
      </c>
      <c r="X20" s="55" t="e">
        <f>X19+ATM_Conf!$C$5*(I19-H19)/(Links!I$191*Links!X$191)</f>
        <v>#DIV/0!</v>
      </c>
      <c r="Y20" s="55" t="e">
        <f>Y19+ATM_Conf!$C$5*(J19)/(Links!J$191*Links!Y$191)</f>
        <v>#DIV/0!</v>
      </c>
      <c r="Z20" s="55" t="e">
        <f>Z19+ATM_Conf!$C$5*(K19-J19)/(Links!K$191*Links!Z$191)</f>
        <v>#DIV/0!</v>
      </c>
      <c r="AA20" s="55" t="e">
        <f>AA19+ATM_Conf!$C$5*(L19-K19)/(Links!L$191*Links!AA$191)</f>
        <v>#DIV/0!</v>
      </c>
      <c r="AB20" s="55" t="e">
        <f>AB19+ATM_Conf!$C$5*(M19-L19)/(Links!M$191*Links!AB$191)</f>
        <v>#DIV/0!</v>
      </c>
      <c r="AC20" s="55" t="e">
        <f>AC19+ATM_Conf!$C$5*(N19-M19)/(Links!N$191*Links!AC$191)</f>
        <v>#DIV/0!</v>
      </c>
      <c r="AD20" s="55" t="e">
        <f>AD19+ATM_Conf!$C$5*(O19-N19)/(Links!O$191*Links!AD$191)</f>
        <v>#DIV/0!</v>
      </c>
      <c r="AE20" s="55" t="e">
        <f>AE19+ATM_Conf!$C$5*(P19-O19)/(Links!P$191*Links!AE$191)</f>
        <v>#DIV/0!</v>
      </c>
      <c r="AF20" s="45" t="e">
        <f>AF19+(ATM_Conf!$C$5/ATM_Conf!$C$8)*(Links!AU19*EXP((-(Links!Q19/Links!BJ19)^Links!BY19)/Links!BY19)-Links!AF19)-(ATM_Conf!$C$9*ATM_Conf!$C$5/(ATM_Conf!$C$8*Links!Q$191))*(Nodes!BO19-Links!Q19)/(Links!Q19/ATM_Conf!$C$10)</f>
        <v>#DIV/0!</v>
      </c>
      <c r="AG20" s="45" t="e">
        <f>AG19+(ATM_Conf!$C$5/ATM_Conf!$C$8)*(Links!AV19*EXP((-(Links!R19/Links!BK19)^Links!BZ19)/Links!BZ19)-Links!AG19)+(ATM_Conf!$C$5/Links!R$191)*Links!AG19*(Nodes!BB19-Links!AG19)-(ATM_Conf!$C$9*ATM_Conf!$C$5/(ATM_Conf!$C$8*Links!R$191))*(Nodes!BP19-Links!R19)/(Links!R19/ATM_Conf!$C$10)</f>
        <v>#DIV/0!</v>
      </c>
      <c r="AH20" s="45" t="e">
        <f>AH19+(ATM_Conf!$C$5/ATM_Conf!$C$8)*(Links!AW19*EXP((-(Links!S19/Links!BL19)^Links!CA19)/Links!CA19)-Links!AH19)+(ATM_Conf!$C$5/Links!S$191)*Links!AH19*(Nodes!BC19-Links!AH19)-(ATM_Conf!$C$9*ATM_Conf!$C$5/(ATM_Conf!$C$8*Links!S$191))*(Nodes!BQ19-Links!S19)/(Links!S19/ATM_Conf!$C$10)</f>
        <v>#DIV/0!</v>
      </c>
      <c r="AI20" s="45" t="e">
        <f>AI19+(ATM_Conf!$C$5/ATM_Conf!$C$8)*(Links!AX19*EXP((-(Links!T19/Links!BM19)^Links!CB19)/Links!CB19)-Links!AI19)+(ATM_Conf!$C$5/Links!T$191)*Links!AI19*(Nodes!BD19-Links!AI19)-(ATM_Conf!$C$9*ATM_Conf!$C$5/(ATM_Conf!$C$8*Links!T$191))*(Nodes!BR19-Links!T19)/(Links!T19/ATM_Conf!$C$10)</f>
        <v>#DIV/0!</v>
      </c>
      <c r="AJ20" s="45" t="e">
        <f>AJ19+(ATM_Conf!$C$5/ATM_Conf!$C$8)*(Links!AY19*EXP((-(Links!U19/Links!BN19)^Links!CC19)/Links!CC19)-Links!AJ19)+(ATM_Conf!$C$5/Links!U$191)*Links!AJ19*(Nodes!BE19-Links!AJ19)-(ATM_Conf!$C$9*ATM_Conf!$C$5/(ATM_Conf!$C$8*Links!U$191))*(Nodes!BS19-Links!U19)/(Links!U19/ATM_Conf!$C$10)</f>
        <v>#DIV/0!</v>
      </c>
      <c r="AK20" s="45" t="e">
        <f>AK19+(ATM_Conf!$C$5/ATM_Conf!$C$8)*(Links!AZ19*EXP((-(Links!V19/Links!BO19)^Links!CD19)/Links!CD19)-Links!AK19)+(ATM_Conf!$C$5/Links!V$191)*Links!AK19*(Nodes!BF19-Links!AK19)-(ATM_Conf!$C$9*ATM_Conf!$C$5/(ATM_Conf!$C$8*Links!V$191))*(Nodes!BT19-Links!V19)/(Links!V19/ATM_Conf!$C$10)</f>
        <v>#DIV/0!</v>
      </c>
      <c r="AL20" s="45" t="e">
        <f>AL19+(ATM_Conf!$C$5/ATM_Conf!$C$8)*(Links!BA19*EXP((-(Links!W19/Links!BP19)^Links!CE19)/Links!CE19)-Links!AL19)+(ATM_Conf!$C$5/Links!W$191)*Links!AL19*(Nodes!BG19-Links!AL19)-(ATM_Conf!$C$9*ATM_Conf!$C$5/(ATM_Conf!$C$8*Links!W$191))*(Nodes!BU19-Links!W19)/(Links!W19/ATM_Conf!$C$10)</f>
        <v>#DIV/0!</v>
      </c>
      <c r="AM20" s="45" t="e">
        <f>AM19+(ATM_Conf!$C$5/ATM_Conf!$C$8)*(Links!BB19*EXP((-(Links!X19/Links!BQ19)^Links!CF19)/Links!CF19)-Links!AM19)+(ATM_Conf!$C$5/Links!X$191)*Links!AM19*(Nodes!BH19-Links!AM19)</f>
        <v>#DIV/0!</v>
      </c>
      <c r="AN20" s="45" t="e">
        <f>AN19+(ATM_Conf!$C$5/ATM_Conf!$C$8)*(Links!BC19*EXP((-(Links!Y19/Links!BR19)^Links!CG19)/Links!CG19)-Links!AN19)-(ATM_Conf!$C$9*ATM_Conf!$C$5/(ATM_Conf!$C$8*Links!Y$191))*(Nodes!BV19-Links!Y19)/(Links!Y19/ATM_Conf!$C$10)</f>
        <v>#DIV/0!</v>
      </c>
      <c r="AO20" s="45" t="e">
        <f>AO19+(ATM_Conf!$C$5/ATM_Conf!$C$8)*(Links!BD19*EXP((-(Links!Z19/Links!BS19)^Links!CH19)/Links!CH19)-Links!AO19)+(ATM_Conf!$C$5/Links!Z$191)*Links!AO19*(Nodes!BI19-Links!AO19)-(ATM_Conf!$C$9*ATM_Conf!$C$5/(ATM_Conf!$C$8*Links!Z$191))*(Nodes!BW19-Links!Z19)/(Links!Z19/ATM_Conf!$C$10)</f>
        <v>#DIV/0!</v>
      </c>
      <c r="AP20" s="45" t="e">
        <f>AP19+(ATM_Conf!$C$5/ATM_Conf!$C$8)*(Links!BE19*EXP((-(Links!AA19/Links!BT19)^Links!CI19)/Links!CI19)-Links!AP19)+(ATM_Conf!$C$5/Links!AA$191)*Links!AP19*(Nodes!BJ19-Links!AP19)-(ATM_Conf!$C$9*ATM_Conf!$C$5/(ATM_Conf!$C$8*Links!AA$191))*(Nodes!BX19-Links!AA19)/(Links!AA19/ATM_Conf!$C$10)</f>
        <v>#DIV/0!</v>
      </c>
      <c r="AQ20" s="45" t="e">
        <f>AQ19+(ATM_Conf!$C$5/ATM_Conf!$C$8)*(Links!BF19*EXP((-(Links!AB19/Links!BU19)^Links!CJ19)/Links!CJ19)-Links!AQ19)+(ATM_Conf!$C$5/Links!AB$191)*Links!AQ19*(Nodes!BK19-Links!AQ19)-(ATM_Conf!$C$9*ATM_Conf!$C$5/(ATM_Conf!$C$8*Links!AB$191))*(Nodes!BY19-Links!AB19)/(Links!AB19/ATM_Conf!$C$10)</f>
        <v>#DIV/0!</v>
      </c>
      <c r="AR20" s="45" t="e">
        <f>AR19+(ATM_Conf!$C$5/ATM_Conf!$C$8)*(Links!BG19*EXP((-(Links!AC19/Links!BV19)^Links!CK19)/Links!CK19)-Links!AR19)+(ATM_Conf!$C$5/Links!AC$191)*Links!AR19*(Nodes!BL19-Links!AR19)-(ATM_Conf!$C$9*ATM_Conf!$C$5/(ATM_Conf!$C$8*Links!AC$191))*(Nodes!BZ19-Links!AC19)/(Links!AC19/ATM_Conf!$C$10)</f>
        <v>#DIV/0!</v>
      </c>
      <c r="AS20" s="45" t="e">
        <f>AS19+(ATM_Conf!$C$5/ATM_Conf!$C$8)*(Links!BH19*EXP((-(Links!AD19/Links!BW19)^Links!CL19)/Links!CL19)-Links!AS19)+(ATM_Conf!$C$5/Links!AD$191)*Links!AS19*(Nodes!BM19-Links!AS19)-(ATM_Conf!$C$9*ATM_Conf!$C$5/(ATM_Conf!$C$8*Links!AD$191))*(Nodes!CA19-Links!AD19)/(Links!AD19/ATM_Conf!$C$10)</f>
        <v>#DIV/0!</v>
      </c>
      <c r="AT20" s="45" t="e">
        <f>AT19+(ATM_Conf!$C$5/ATM_Conf!$C$8)*(Links!BI19*EXP((-(Links!AE19/Links!BX19)^Links!CM19)/Links!CM19)-Links!AT19)+(ATM_Conf!$C$5/Links!AE$191)*Links!AT19*(Nodes!BN19-Links!AT19)</f>
        <v>#DIV/0!</v>
      </c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45">
        <f t="shared" si="21"/>
        <v>0</v>
      </c>
      <c r="CO20" s="45">
        <f t="shared" si="21"/>
        <v>0</v>
      </c>
      <c r="CP20" s="45">
        <f t="shared" si="21"/>
        <v>0</v>
      </c>
      <c r="CQ20" s="45">
        <f t="shared" si="21"/>
        <v>0</v>
      </c>
      <c r="CR20" s="45">
        <f t="shared" si="21"/>
        <v>0</v>
      </c>
      <c r="CS20" s="45">
        <f t="shared" si="21"/>
        <v>0</v>
      </c>
      <c r="CT20" s="45">
        <f t="shared" si="21"/>
        <v>0</v>
      </c>
      <c r="CU20" s="45">
        <f t="shared" si="21"/>
        <v>0</v>
      </c>
      <c r="CV20" s="45">
        <f t="shared" si="21"/>
        <v>0</v>
      </c>
      <c r="CW20" s="45">
        <f t="shared" si="21"/>
        <v>0</v>
      </c>
      <c r="CX20" s="45">
        <f t="shared" si="21"/>
        <v>0</v>
      </c>
      <c r="CY20" s="45">
        <f t="shared" si="21"/>
        <v>0</v>
      </c>
      <c r="CZ20" s="45">
        <f t="shared" si="21"/>
        <v>0</v>
      </c>
      <c r="DA20" s="45">
        <f t="shared" si="21"/>
        <v>0</v>
      </c>
      <c r="DB20" s="45">
        <f t="shared" si="21"/>
        <v>0</v>
      </c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</row>
    <row r="21" spans="1:121" ht="14.25" x14ac:dyDescent="0.15">
      <c r="A21" s="48">
        <v>19</v>
      </c>
      <c r="B21" s="45" t="e">
        <f t="shared" si="2"/>
        <v>#DIV/0!</v>
      </c>
      <c r="C21" s="45" t="e">
        <f t="shared" si="3"/>
        <v>#DIV/0!</v>
      </c>
      <c r="D21" s="45" t="e">
        <f t="shared" si="4"/>
        <v>#DIV/0!</v>
      </c>
      <c r="E21" s="45" t="e">
        <f t="shared" si="5"/>
        <v>#DIV/0!</v>
      </c>
      <c r="F21" s="45" t="e">
        <f t="shared" si="6"/>
        <v>#DIV/0!</v>
      </c>
      <c r="G21" s="45" t="e">
        <f t="shared" si="7"/>
        <v>#DIV/0!</v>
      </c>
      <c r="H21" s="45" t="e">
        <f t="shared" si="8"/>
        <v>#DIV/0!</v>
      </c>
      <c r="I21" s="45" t="e">
        <f t="shared" si="9"/>
        <v>#DIV/0!</v>
      </c>
      <c r="J21" s="45" t="e">
        <f t="shared" si="10"/>
        <v>#DIV/0!</v>
      </c>
      <c r="K21" s="45" t="e">
        <f t="shared" si="11"/>
        <v>#DIV/0!</v>
      </c>
      <c r="L21" s="45" t="e">
        <f t="shared" si="12"/>
        <v>#DIV/0!</v>
      </c>
      <c r="M21" s="45" t="e">
        <f t="shared" si="13"/>
        <v>#DIV/0!</v>
      </c>
      <c r="N21" s="45" t="e">
        <f t="shared" si="14"/>
        <v>#DIV/0!</v>
      </c>
      <c r="O21" s="45" t="e">
        <f t="shared" si="15"/>
        <v>#DIV/0!</v>
      </c>
      <c r="P21" s="45" t="e">
        <f t="shared" si="16"/>
        <v>#DIV/0!</v>
      </c>
      <c r="Q21" s="55" t="e">
        <f>Q20+ATM_Conf!$C$5*(B20)/(Links!B$191*Links!Q$191)</f>
        <v>#DIV/0!</v>
      </c>
      <c r="R21" s="55" t="e">
        <f>R20+ATM_Conf!$C$5*(C20-B20)/(Links!C$191*Links!R$191)</f>
        <v>#DIV/0!</v>
      </c>
      <c r="S21" s="55" t="e">
        <f>S20+ATM_Conf!$C$5*(D20-C20)/(Links!D$191*Links!S$191)</f>
        <v>#DIV/0!</v>
      </c>
      <c r="T21" s="55" t="e">
        <f>T20+ATM_Conf!$C$5*(E20-D20)/(Links!E$191*Links!T$191)</f>
        <v>#DIV/0!</v>
      </c>
      <c r="U21" s="55" t="e">
        <f>U20+ATM_Conf!$C$5*(F20-E20)/(Links!F$191*Links!U$191)</f>
        <v>#DIV/0!</v>
      </c>
      <c r="V21" s="55" t="e">
        <f>V20+ATM_Conf!$C$5*(G20-F20)/(Links!G$191*Links!V$191)</f>
        <v>#DIV/0!</v>
      </c>
      <c r="W21" s="55" t="e">
        <f>W20+ATM_Conf!$C$5*(H20-G20)/(Links!H$191*Links!W$191)</f>
        <v>#DIV/0!</v>
      </c>
      <c r="X21" s="55" t="e">
        <f>X20+ATM_Conf!$C$5*(I20-H20)/(Links!I$191*Links!X$191)</f>
        <v>#DIV/0!</v>
      </c>
      <c r="Y21" s="55" t="e">
        <f>Y20+ATM_Conf!$C$5*(J20)/(Links!J$191*Links!Y$191)</f>
        <v>#DIV/0!</v>
      </c>
      <c r="Z21" s="55" t="e">
        <f>Z20+ATM_Conf!$C$5*(K20-J20)/(Links!K$191*Links!Z$191)</f>
        <v>#DIV/0!</v>
      </c>
      <c r="AA21" s="55" t="e">
        <f>AA20+ATM_Conf!$C$5*(L20-K20)/(Links!L$191*Links!AA$191)</f>
        <v>#DIV/0!</v>
      </c>
      <c r="AB21" s="55" t="e">
        <f>AB20+ATM_Conf!$C$5*(M20-L20)/(Links!M$191*Links!AB$191)</f>
        <v>#DIV/0!</v>
      </c>
      <c r="AC21" s="55" t="e">
        <f>AC20+ATM_Conf!$C$5*(N20-M20)/(Links!N$191*Links!AC$191)</f>
        <v>#DIV/0!</v>
      </c>
      <c r="AD21" s="55" t="e">
        <f>AD20+ATM_Conf!$C$5*(O20-N20)/(Links!O$191*Links!AD$191)</f>
        <v>#DIV/0!</v>
      </c>
      <c r="AE21" s="55" t="e">
        <f>AE20+ATM_Conf!$C$5*(P20-O20)/(Links!P$191*Links!AE$191)</f>
        <v>#DIV/0!</v>
      </c>
      <c r="AF21" s="45" t="e">
        <f>AF20+(ATM_Conf!$C$5/ATM_Conf!$C$8)*(Links!AU20*EXP((-(Links!Q20/Links!BJ20)^Links!BY20)/Links!BY20)-Links!AF20)-(ATM_Conf!$C$9*ATM_Conf!$C$5/(ATM_Conf!$C$8*Links!Q$191))*(Nodes!BO20-Links!Q20)/(Links!Q20/ATM_Conf!$C$10)</f>
        <v>#DIV/0!</v>
      </c>
      <c r="AG21" s="45" t="e">
        <f>AG20+(ATM_Conf!$C$5/ATM_Conf!$C$8)*(Links!AV20*EXP((-(Links!R20/Links!BK20)^Links!BZ20)/Links!BZ20)-Links!AG20)+(ATM_Conf!$C$5/Links!R$191)*Links!AG20*(Nodes!BB20-Links!AG20)-(ATM_Conf!$C$9*ATM_Conf!$C$5/(ATM_Conf!$C$8*Links!R$191))*(Nodes!BP20-Links!R20)/(Links!R20/ATM_Conf!$C$10)</f>
        <v>#DIV/0!</v>
      </c>
      <c r="AH21" s="45" t="e">
        <f>AH20+(ATM_Conf!$C$5/ATM_Conf!$C$8)*(Links!AW20*EXP((-(Links!S20/Links!BL20)^Links!CA20)/Links!CA20)-Links!AH20)+(ATM_Conf!$C$5/Links!S$191)*Links!AH20*(Nodes!BC20-Links!AH20)-(ATM_Conf!$C$9*ATM_Conf!$C$5/(ATM_Conf!$C$8*Links!S$191))*(Nodes!BQ20-Links!S20)/(Links!S20/ATM_Conf!$C$10)</f>
        <v>#DIV/0!</v>
      </c>
      <c r="AI21" s="45" t="e">
        <f>AI20+(ATM_Conf!$C$5/ATM_Conf!$C$8)*(Links!AX20*EXP((-(Links!T20/Links!BM20)^Links!CB20)/Links!CB20)-Links!AI20)+(ATM_Conf!$C$5/Links!T$191)*Links!AI20*(Nodes!BD20-Links!AI20)-(ATM_Conf!$C$9*ATM_Conf!$C$5/(ATM_Conf!$C$8*Links!T$191))*(Nodes!BR20-Links!T20)/(Links!T20/ATM_Conf!$C$10)</f>
        <v>#DIV/0!</v>
      </c>
      <c r="AJ21" s="45" t="e">
        <f>AJ20+(ATM_Conf!$C$5/ATM_Conf!$C$8)*(Links!AY20*EXP((-(Links!U20/Links!BN20)^Links!CC20)/Links!CC20)-Links!AJ20)+(ATM_Conf!$C$5/Links!U$191)*Links!AJ20*(Nodes!BE20-Links!AJ20)-(ATM_Conf!$C$9*ATM_Conf!$C$5/(ATM_Conf!$C$8*Links!U$191))*(Nodes!BS20-Links!U20)/(Links!U20/ATM_Conf!$C$10)</f>
        <v>#DIV/0!</v>
      </c>
      <c r="AK21" s="45" t="e">
        <f>AK20+(ATM_Conf!$C$5/ATM_Conf!$C$8)*(Links!AZ20*EXP((-(Links!V20/Links!BO20)^Links!CD20)/Links!CD20)-Links!AK20)+(ATM_Conf!$C$5/Links!V$191)*Links!AK20*(Nodes!BF20-Links!AK20)-(ATM_Conf!$C$9*ATM_Conf!$C$5/(ATM_Conf!$C$8*Links!V$191))*(Nodes!BT20-Links!V20)/(Links!V20/ATM_Conf!$C$10)</f>
        <v>#DIV/0!</v>
      </c>
      <c r="AL21" s="45" t="e">
        <f>AL20+(ATM_Conf!$C$5/ATM_Conf!$C$8)*(Links!BA20*EXP((-(Links!W20/Links!BP20)^Links!CE20)/Links!CE20)-Links!AL20)+(ATM_Conf!$C$5/Links!W$191)*Links!AL20*(Nodes!BG20-Links!AL20)-(ATM_Conf!$C$9*ATM_Conf!$C$5/(ATM_Conf!$C$8*Links!W$191))*(Nodes!BU20-Links!W20)/(Links!W20/ATM_Conf!$C$10)</f>
        <v>#DIV/0!</v>
      </c>
      <c r="AM21" s="45" t="e">
        <f>AM20+(ATM_Conf!$C$5/ATM_Conf!$C$8)*(Links!BB20*EXP((-(Links!X20/Links!BQ20)^Links!CF20)/Links!CF20)-Links!AM20)+(ATM_Conf!$C$5/Links!X$191)*Links!AM20*(Nodes!BH20-Links!AM20)</f>
        <v>#DIV/0!</v>
      </c>
      <c r="AN21" s="45" t="e">
        <f>AN20+(ATM_Conf!$C$5/ATM_Conf!$C$8)*(Links!BC20*EXP((-(Links!Y20/Links!BR20)^Links!CG20)/Links!CG20)-Links!AN20)-(ATM_Conf!$C$9*ATM_Conf!$C$5/(ATM_Conf!$C$8*Links!Y$191))*(Nodes!BV20-Links!Y20)/(Links!Y20/ATM_Conf!$C$10)</f>
        <v>#DIV/0!</v>
      </c>
      <c r="AO21" s="45" t="e">
        <f>AO20+(ATM_Conf!$C$5/ATM_Conf!$C$8)*(Links!BD20*EXP((-(Links!Z20/Links!BS20)^Links!CH20)/Links!CH20)-Links!AO20)+(ATM_Conf!$C$5/Links!Z$191)*Links!AO20*(Nodes!BI20-Links!AO20)-(ATM_Conf!$C$9*ATM_Conf!$C$5/(ATM_Conf!$C$8*Links!Z$191))*(Nodes!BW20-Links!Z20)/(Links!Z20/ATM_Conf!$C$10)</f>
        <v>#DIV/0!</v>
      </c>
      <c r="AP21" s="45" t="e">
        <f>AP20+(ATM_Conf!$C$5/ATM_Conf!$C$8)*(Links!BE20*EXP((-(Links!AA20/Links!BT20)^Links!CI20)/Links!CI20)-Links!AP20)+(ATM_Conf!$C$5/Links!AA$191)*Links!AP20*(Nodes!BJ20-Links!AP20)-(ATM_Conf!$C$9*ATM_Conf!$C$5/(ATM_Conf!$C$8*Links!AA$191))*(Nodes!BX20-Links!AA20)/(Links!AA20/ATM_Conf!$C$10)</f>
        <v>#DIV/0!</v>
      </c>
      <c r="AQ21" s="45" t="e">
        <f>AQ20+(ATM_Conf!$C$5/ATM_Conf!$C$8)*(Links!BF20*EXP((-(Links!AB20/Links!BU20)^Links!CJ20)/Links!CJ20)-Links!AQ20)+(ATM_Conf!$C$5/Links!AB$191)*Links!AQ20*(Nodes!BK20-Links!AQ20)-(ATM_Conf!$C$9*ATM_Conf!$C$5/(ATM_Conf!$C$8*Links!AB$191))*(Nodes!BY20-Links!AB20)/(Links!AB20/ATM_Conf!$C$10)</f>
        <v>#DIV/0!</v>
      </c>
      <c r="AR21" s="45" t="e">
        <f>AR20+(ATM_Conf!$C$5/ATM_Conf!$C$8)*(Links!BG20*EXP((-(Links!AC20/Links!BV20)^Links!CK20)/Links!CK20)-Links!AR20)+(ATM_Conf!$C$5/Links!AC$191)*Links!AR20*(Nodes!BL20-Links!AR20)-(ATM_Conf!$C$9*ATM_Conf!$C$5/(ATM_Conf!$C$8*Links!AC$191))*(Nodes!BZ20-Links!AC20)/(Links!AC20/ATM_Conf!$C$10)</f>
        <v>#DIV/0!</v>
      </c>
      <c r="AS21" s="45" t="e">
        <f>AS20+(ATM_Conf!$C$5/ATM_Conf!$C$8)*(Links!BH20*EXP((-(Links!AD20/Links!BW20)^Links!CL20)/Links!CL20)-Links!AS20)+(ATM_Conf!$C$5/Links!AD$191)*Links!AS20*(Nodes!BM20-Links!AS20)-(ATM_Conf!$C$9*ATM_Conf!$C$5/(ATM_Conf!$C$8*Links!AD$191))*(Nodes!CA20-Links!AD20)/(Links!AD20/ATM_Conf!$C$10)</f>
        <v>#DIV/0!</v>
      </c>
      <c r="AT21" s="45" t="e">
        <f>AT20+(ATM_Conf!$C$5/ATM_Conf!$C$8)*(Links!BI20*EXP((-(Links!AE20/Links!BX20)^Links!CM20)/Links!CM20)-Links!AT20)+(ATM_Conf!$C$5/Links!AE$191)*Links!AT20*(Nodes!BN20-Links!AT20)</f>
        <v>#DIV/0!</v>
      </c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45">
        <f t="shared" si="21"/>
        <v>0</v>
      </c>
      <c r="CO21" s="45">
        <f t="shared" si="21"/>
        <v>0</v>
      </c>
      <c r="CP21" s="45">
        <f t="shared" si="21"/>
        <v>0</v>
      </c>
      <c r="CQ21" s="45">
        <f t="shared" si="21"/>
        <v>0</v>
      </c>
      <c r="CR21" s="45">
        <f t="shared" si="21"/>
        <v>0</v>
      </c>
      <c r="CS21" s="45">
        <f t="shared" si="21"/>
        <v>0</v>
      </c>
      <c r="CT21" s="45">
        <f t="shared" si="21"/>
        <v>0</v>
      </c>
      <c r="CU21" s="45">
        <f t="shared" si="21"/>
        <v>0</v>
      </c>
      <c r="CV21" s="45">
        <f t="shared" si="21"/>
        <v>0</v>
      </c>
      <c r="CW21" s="45">
        <f t="shared" si="21"/>
        <v>0</v>
      </c>
      <c r="CX21" s="45">
        <f t="shared" si="21"/>
        <v>0</v>
      </c>
      <c r="CY21" s="45">
        <f t="shared" si="21"/>
        <v>0</v>
      </c>
      <c r="CZ21" s="45">
        <f t="shared" si="21"/>
        <v>0</v>
      </c>
      <c r="DA21" s="45">
        <f t="shared" si="21"/>
        <v>0</v>
      </c>
      <c r="DB21" s="45">
        <f t="shared" si="21"/>
        <v>0</v>
      </c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</row>
    <row r="22" spans="1:121" ht="14.25" x14ac:dyDescent="0.15">
      <c r="A22" s="48">
        <v>20</v>
      </c>
      <c r="B22" s="45" t="e">
        <f t="shared" si="2"/>
        <v>#DIV/0!</v>
      </c>
      <c r="C22" s="45" t="e">
        <f t="shared" si="3"/>
        <v>#DIV/0!</v>
      </c>
      <c r="D22" s="45" t="e">
        <f t="shared" si="4"/>
        <v>#DIV/0!</v>
      </c>
      <c r="E22" s="45" t="e">
        <f t="shared" si="5"/>
        <v>#DIV/0!</v>
      </c>
      <c r="F22" s="45" t="e">
        <f t="shared" si="6"/>
        <v>#DIV/0!</v>
      </c>
      <c r="G22" s="45" t="e">
        <f t="shared" si="7"/>
        <v>#DIV/0!</v>
      </c>
      <c r="H22" s="45" t="e">
        <f t="shared" si="8"/>
        <v>#DIV/0!</v>
      </c>
      <c r="I22" s="45" t="e">
        <f t="shared" si="9"/>
        <v>#DIV/0!</v>
      </c>
      <c r="J22" s="45" t="e">
        <f t="shared" si="10"/>
        <v>#DIV/0!</v>
      </c>
      <c r="K22" s="45" t="e">
        <f t="shared" si="11"/>
        <v>#DIV/0!</v>
      </c>
      <c r="L22" s="45" t="e">
        <f t="shared" si="12"/>
        <v>#DIV/0!</v>
      </c>
      <c r="M22" s="45" t="e">
        <f t="shared" si="13"/>
        <v>#DIV/0!</v>
      </c>
      <c r="N22" s="45" t="e">
        <f t="shared" si="14"/>
        <v>#DIV/0!</v>
      </c>
      <c r="O22" s="45" t="e">
        <f t="shared" si="15"/>
        <v>#DIV/0!</v>
      </c>
      <c r="P22" s="45" t="e">
        <f t="shared" si="16"/>
        <v>#DIV/0!</v>
      </c>
      <c r="Q22" s="55" t="e">
        <f>Q21+ATM_Conf!$C$5*(B21)/(Links!B$191*Links!Q$191)</f>
        <v>#DIV/0!</v>
      </c>
      <c r="R22" s="55" t="e">
        <f>R21+ATM_Conf!$C$5*(C21-B21)/(Links!C$191*Links!R$191)</f>
        <v>#DIV/0!</v>
      </c>
      <c r="S22" s="55" t="e">
        <f>S21+ATM_Conf!$C$5*(D21-C21)/(Links!D$191*Links!S$191)</f>
        <v>#DIV/0!</v>
      </c>
      <c r="T22" s="55" t="e">
        <f>T21+ATM_Conf!$C$5*(E21-D21)/(Links!E$191*Links!T$191)</f>
        <v>#DIV/0!</v>
      </c>
      <c r="U22" s="55" t="e">
        <f>U21+ATM_Conf!$C$5*(F21-E21)/(Links!F$191*Links!U$191)</f>
        <v>#DIV/0!</v>
      </c>
      <c r="V22" s="55" t="e">
        <f>V21+ATM_Conf!$C$5*(G21-F21)/(Links!G$191*Links!V$191)</f>
        <v>#DIV/0!</v>
      </c>
      <c r="W22" s="55" t="e">
        <f>W21+ATM_Conf!$C$5*(H21-G21)/(Links!H$191*Links!W$191)</f>
        <v>#DIV/0!</v>
      </c>
      <c r="X22" s="55" t="e">
        <f>X21+ATM_Conf!$C$5*(I21-H21)/(Links!I$191*Links!X$191)</f>
        <v>#DIV/0!</v>
      </c>
      <c r="Y22" s="55" t="e">
        <f>Y21+ATM_Conf!$C$5*(J21)/(Links!J$191*Links!Y$191)</f>
        <v>#DIV/0!</v>
      </c>
      <c r="Z22" s="55" t="e">
        <f>Z21+ATM_Conf!$C$5*(K21-J21)/(Links!K$191*Links!Z$191)</f>
        <v>#DIV/0!</v>
      </c>
      <c r="AA22" s="55" t="e">
        <f>AA21+ATM_Conf!$C$5*(L21-K21)/(Links!L$191*Links!AA$191)</f>
        <v>#DIV/0!</v>
      </c>
      <c r="AB22" s="55" t="e">
        <f>AB21+ATM_Conf!$C$5*(M21-L21)/(Links!M$191*Links!AB$191)</f>
        <v>#DIV/0!</v>
      </c>
      <c r="AC22" s="55" t="e">
        <f>AC21+ATM_Conf!$C$5*(N21-M21)/(Links!N$191*Links!AC$191)</f>
        <v>#DIV/0!</v>
      </c>
      <c r="AD22" s="55" t="e">
        <f>AD21+ATM_Conf!$C$5*(O21-N21)/(Links!O$191*Links!AD$191)</f>
        <v>#DIV/0!</v>
      </c>
      <c r="AE22" s="55" t="e">
        <f>AE21+ATM_Conf!$C$5*(P21-O21)/(Links!P$191*Links!AE$191)</f>
        <v>#DIV/0!</v>
      </c>
      <c r="AF22" s="45" t="e">
        <f>AF21+(ATM_Conf!$C$5/ATM_Conf!$C$8)*(Links!AU21*EXP((-(Links!Q21/Links!BJ21)^Links!BY21)/Links!BY21)-Links!AF21)-(ATM_Conf!$C$9*ATM_Conf!$C$5/(ATM_Conf!$C$8*Links!Q$191))*(Nodes!BO21-Links!Q21)/(Links!Q21/ATM_Conf!$C$10)</f>
        <v>#DIV/0!</v>
      </c>
      <c r="AG22" s="45" t="e">
        <f>AG21+(ATM_Conf!$C$5/ATM_Conf!$C$8)*(Links!AV21*EXP((-(Links!R21/Links!BK21)^Links!BZ21)/Links!BZ21)-Links!AG21)+(ATM_Conf!$C$5/Links!R$191)*Links!AG21*(Nodes!BB21-Links!AG21)-(ATM_Conf!$C$9*ATM_Conf!$C$5/(ATM_Conf!$C$8*Links!R$191))*(Nodes!BP21-Links!R21)/(Links!R21/ATM_Conf!$C$10)</f>
        <v>#DIV/0!</v>
      </c>
      <c r="AH22" s="45" t="e">
        <f>AH21+(ATM_Conf!$C$5/ATM_Conf!$C$8)*(Links!AW21*EXP((-(Links!S21/Links!BL21)^Links!CA21)/Links!CA21)-Links!AH21)+(ATM_Conf!$C$5/Links!S$191)*Links!AH21*(Nodes!BC21-Links!AH21)-(ATM_Conf!$C$9*ATM_Conf!$C$5/(ATM_Conf!$C$8*Links!S$191))*(Nodes!BQ21-Links!S21)/(Links!S21/ATM_Conf!$C$10)</f>
        <v>#DIV/0!</v>
      </c>
      <c r="AI22" s="45" t="e">
        <f>AI21+(ATM_Conf!$C$5/ATM_Conf!$C$8)*(Links!AX21*EXP((-(Links!T21/Links!BM21)^Links!CB21)/Links!CB21)-Links!AI21)+(ATM_Conf!$C$5/Links!T$191)*Links!AI21*(Nodes!BD21-Links!AI21)-(ATM_Conf!$C$9*ATM_Conf!$C$5/(ATM_Conf!$C$8*Links!T$191))*(Nodes!BR21-Links!T21)/(Links!T21/ATM_Conf!$C$10)</f>
        <v>#DIV/0!</v>
      </c>
      <c r="AJ22" s="45" t="e">
        <f>AJ21+(ATM_Conf!$C$5/ATM_Conf!$C$8)*(Links!AY21*EXP((-(Links!U21/Links!BN21)^Links!CC21)/Links!CC21)-Links!AJ21)+(ATM_Conf!$C$5/Links!U$191)*Links!AJ21*(Nodes!BE21-Links!AJ21)-(ATM_Conf!$C$9*ATM_Conf!$C$5/(ATM_Conf!$C$8*Links!U$191))*(Nodes!BS21-Links!U21)/(Links!U21/ATM_Conf!$C$10)</f>
        <v>#DIV/0!</v>
      </c>
      <c r="AK22" s="45" t="e">
        <f>AK21+(ATM_Conf!$C$5/ATM_Conf!$C$8)*(Links!AZ21*EXP((-(Links!V21/Links!BO21)^Links!CD21)/Links!CD21)-Links!AK21)+(ATM_Conf!$C$5/Links!V$191)*Links!AK21*(Nodes!BF21-Links!AK21)-(ATM_Conf!$C$9*ATM_Conf!$C$5/(ATM_Conf!$C$8*Links!V$191))*(Nodes!BT21-Links!V21)/(Links!V21/ATM_Conf!$C$10)</f>
        <v>#DIV/0!</v>
      </c>
      <c r="AL22" s="45" t="e">
        <f>AL21+(ATM_Conf!$C$5/ATM_Conf!$C$8)*(Links!BA21*EXP((-(Links!W21/Links!BP21)^Links!CE21)/Links!CE21)-Links!AL21)+(ATM_Conf!$C$5/Links!W$191)*Links!AL21*(Nodes!BG21-Links!AL21)-(ATM_Conf!$C$9*ATM_Conf!$C$5/(ATM_Conf!$C$8*Links!W$191))*(Nodes!BU21-Links!W21)/(Links!W21/ATM_Conf!$C$10)</f>
        <v>#DIV/0!</v>
      </c>
      <c r="AM22" s="45" t="e">
        <f>AM21+(ATM_Conf!$C$5/ATM_Conf!$C$8)*(Links!BB21*EXP((-(Links!X21/Links!BQ21)^Links!CF21)/Links!CF21)-Links!AM21)+(ATM_Conf!$C$5/Links!X$191)*Links!AM21*(Nodes!BH21-Links!AM21)</f>
        <v>#DIV/0!</v>
      </c>
      <c r="AN22" s="45" t="e">
        <f>AN21+(ATM_Conf!$C$5/ATM_Conf!$C$8)*(Links!BC21*EXP((-(Links!Y21/Links!BR21)^Links!CG21)/Links!CG21)-Links!AN21)-(ATM_Conf!$C$9*ATM_Conf!$C$5/(ATM_Conf!$C$8*Links!Y$191))*(Nodes!BV21-Links!Y21)/(Links!Y21/ATM_Conf!$C$10)</f>
        <v>#DIV/0!</v>
      </c>
      <c r="AO22" s="45" t="e">
        <f>AO21+(ATM_Conf!$C$5/ATM_Conf!$C$8)*(Links!BD21*EXP((-(Links!Z21/Links!BS21)^Links!CH21)/Links!CH21)-Links!AO21)+(ATM_Conf!$C$5/Links!Z$191)*Links!AO21*(Nodes!BI21-Links!AO21)-(ATM_Conf!$C$9*ATM_Conf!$C$5/(ATM_Conf!$C$8*Links!Z$191))*(Nodes!BW21-Links!Z21)/(Links!Z21/ATM_Conf!$C$10)</f>
        <v>#DIV/0!</v>
      </c>
      <c r="AP22" s="45" t="e">
        <f>AP21+(ATM_Conf!$C$5/ATM_Conf!$C$8)*(Links!BE21*EXP((-(Links!AA21/Links!BT21)^Links!CI21)/Links!CI21)-Links!AP21)+(ATM_Conf!$C$5/Links!AA$191)*Links!AP21*(Nodes!BJ21-Links!AP21)-(ATM_Conf!$C$9*ATM_Conf!$C$5/(ATM_Conf!$C$8*Links!AA$191))*(Nodes!BX21-Links!AA21)/(Links!AA21/ATM_Conf!$C$10)</f>
        <v>#DIV/0!</v>
      </c>
      <c r="AQ22" s="45" t="e">
        <f>AQ21+(ATM_Conf!$C$5/ATM_Conf!$C$8)*(Links!BF21*EXP((-(Links!AB21/Links!BU21)^Links!CJ21)/Links!CJ21)-Links!AQ21)+(ATM_Conf!$C$5/Links!AB$191)*Links!AQ21*(Nodes!BK21-Links!AQ21)-(ATM_Conf!$C$9*ATM_Conf!$C$5/(ATM_Conf!$C$8*Links!AB$191))*(Nodes!BY21-Links!AB21)/(Links!AB21/ATM_Conf!$C$10)</f>
        <v>#DIV/0!</v>
      </c>
      <c r="AR22" s="45" t="e">
        <f>AR21+(ATM_Conf!$C$5/ATM_Conf!$C$8)*(Links!BG21*EXP((-(Links!AC21/Links!BV21)^Links!CK21)/Links!CK21)-Links!AR21)+(ATM_Conf!$C$5/Links!AC$191)*Links!AR21*(Nodes!BL21-Links!AR21)-(ATM_Conf!$C$9*ATM_Conf!$C$5/(ATM_Conf!$C$8*Links!AC$191))*(Nodes!BZ21-Links!AC21)/(Links!AC21/ATM_Conf!$C$10)</f>
        <v>#DIV/0!</v>
      </c>
      <c r="AS22" s="45" t="e">
        <f>AS21+(ATM_Conf!$C$5/ATM_Conf!$C$8)*(Links!BH21*EXP((-(Links!AD21/Links!BW21)^Links!CL21)/Links!CL21)-Links!AS21)+(ATM_Conf!$C$5/Links!AD$191)*Links!AS21*(Nodes!BM21-Links!AS21)-(ATM_Conf!$C$9*ATM_Conf!$C$5/(ATM_Conf!$C$8*Links!AD$191))*(Nodes!CA21-Links!AD21)/(Links!AD21/ATM_Conf!$C$10)</f>
        <v>#DIV/0!</v>
      </c>
      <c r="AT22" s="45" t="e">
        <f>AT21+(ATM_Conf!$C$5/ATM_Conf!$C$8)*(Links!BI21*EXP((-(Links!AE21/Links!BX21)^Links!CM21)/Links!CM21)-Links!AT21)+(ATM_Conf!$C$5/Links!AE$191)*Links!AT21*(Nodes!BN21-Links!AT21)</f>
        <v>#DIV/0!</v>
      </c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45">
        <f t="shared" si="21"/>
        <v>0</v>
      </c>
      <c r="CO22" s="45">
        <f t="shared" si="21"/>
        <v>0</v>
      </c>
      <c r="CP22" s="45">
        <f t="shared" si="21"/>
        <v>0</v>
      </c>
      <c r="CQ22" s="45">
        <f t="shared" si="21"/>
        <v>0</v>
      </c>
      <c r="CR22" s="45">
        <f t="shared" si="21"/>
        <v>0</v>
      </c>
      <c r="CS22" s="45">
        <f t="shared" si="21"/>
        <v>0</v>
      </c>
      <c r="CT22" s="45">
        <f t="shared" si="21"/>
        <v>0</v>
      </c>
      <c r="CU22" s="45">
        <f t="shared" si="21"/>
        <v>0</v>
      </c>
      <c r="CV22" s="45">
        <f t="shared" si="21"/>
        <v>0</v>
      </c>
      <c r="CW22" s="45">
        <f t="shared" si="21"/>
        <v>0</v>
      </c>
      <c r="CX22" s="45">
        <f t="shared" si="21"/>
        <v>0</v>
      </c>
      <c r="CY22" s="45">
        <f t="shared" si="21"/>
        <v>0</v>
      </c>
      <c r="CZ22" s="45">
        <f t="shared" si="21"/>
        <v>0</v>
      </c>
      <c r="DA22" s="45">
        <f t="shared" si="21"/>
        <v>0</v>
      </c>
      <c r="DB22" s="45">
        <f t="shared" si="21"/>
        <v>0</v>
      </c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</row>
    <row r="23" spans="1:121" ht="14.25" x14ac:dyDescent="0.15">
      <c r="A23" s="48">
        <v>21</v>
      </c>
      <c r="B23" s="45" t="e">
        <f t="shared" si="2"/>
        <v>#DIV/0!</v>
      </c>
      <c r="C23" s="45" t="e">
        <f t="shared" si="3"/>
        <v>#DIV/0!</v>
      </c>
      <c r="D23" s="45" t="e">
        <f t="shared" si="4"/>
        <v>#DIV/0!</v>
      </c>
      <c r="E23" s="45" t="e">
        <f t="shared" si="5"/>
        <v>#DIV/0!</v>
      </c>
      <c r="F23" s="45" t="e">
        <f t="shared" si="6"/>
        <v>#DIV/0!</v>
      </c>
      <c r="G23" s="45" t="e">
        <f t="shared" si="7"/>
        <v>#DIV/0!</v>
      </c>
      <c r="H23" s="45" t="e">
        <f t="shared" si="8"/>
        <v>#DIV/0!</v>
      </c>
      <c r="I23" s="45" t="e">
        <f t="shared" si="9"/>
        <v>#DIV/0!</v>
      </c>
      <c r="J23" s="45" t="e">
        <f t="shared" si="10"/>
        <v>#DIV/0!</v>
      </c>
      <c r="K23" s="45" t="e">
        <f t="shared" si="11"/>
        <v>#DIV/0!</v>
      </c>
      <c r="L23" s="45" t="e">
        <f t="shared" si="12"/>
        <v>#DIV/0!</v>
      </c>
      <c r="M23" s="45" t="e">
        <f t="shared" si="13"/>
        <v>#DIV/0!</v>
      </c>
      <c r="N23" s="45" t="e">
        <f t="shared" si="14"/>
        <v>#DIV/0!</v>
      </c>
      <c r="O23" s="45" t="e">
        <f t="shared" si="15"/>
        <v>#DIV/0!</v>
      </c>
      <c r="P23" s="45" t="e">
        <f t="shared" si="16"/>
        <v>#DIV/0!</v>
      </c>
      <c r="Q23" s="55" t="e">
        <f>Q22+ATM_Conf!$C$5*(B22)/(Links!B$191*Links!Q$191)</f>
        <v>#DIV/0!</v>
      </c>
      <c r="R23" s="55" t="e">
        <f>R22+ATM_Conf!$C$5*(C22-B22)/(Links!C$191*Links!R$191)</f>
        <v>#DIV/0!</v>
      </c>
      <c r="S23" s="55" t="e">
        <f>S22+ATM_Conf!$C$5*(D22-C22)/(Links!D$191*Links!S$191)</f>
        <v>#DIV/0!</v>
      </c>
      <c r="T23" s="55" t="e">
        <f>T22+ATM_Conf!$C$5*(E22-D22)/(Links!E$191*Links!T$191)</f>
        <v>#DIV/0!</v>
      </c>
      <c r="U23" s="55" t="e">
        <f>U22+ATM_Conf!$C$5*(F22-E22)/(Links!F$191*Links!U$191)</f>
        <v>#DIV/0!</v>
      </c>
      <c r="V23" s="55" t="e">
        <f>V22+ATM_Conf!$C$5*(G22-F22)/(Links!G$191*Links!V$191)</f>
        <v>#DIV/0!</v>
      </c>
      <c r="W23" s="55" t="e">
        <f>W22+ATM_Conf!$C$5*(H22-G22)/(Links!H$191*Links!W$191)</f>
        <v>#DIV/0!</v>
      </c>
      <c r="X23" s="55" t="e">
        <f>X22+ATM_Conf!$C$5*(I22-H22)/(Links!I$191*Links!X$191)</f>
        <v>#DIV/0!</v>
      </c>
      <c r="Y23" s="55" t="e">
        <f>Y22+ATM_Conf!$C$5*(J22)/(Links!J$191*Links!Y$191)</f>
        <v>#DIV/0!</v>
      </c>
      <c r="Z23" s="55" t="e">
        <f>Z22+ATM_Conf!$C$5*(K22-J22)/(Links!K$191*Links!Z$191)</f>
        <v>#DIV/0!</v>
      </c>
      <c r="AA23" s="55" t="e">
        <f>AA22+ATM_Conf!$C$5*(L22-K22)/(Links!L$191*Links!AA$191)</f>
        <v>#DIV/0!</v>
      </c>
      <c r="AB23" s="55" t="e">
        <f>AB22+ATM_Conf!$C$5*(M22-L22)/(Links!M$191*Links!AB$191)</f>
        <v>#DIV/0!</v>
      </c>
      <c r="AC23" s="55" t="e">
        <f>AC22+ATM_Conf!$C$5*(N22-M22)/(Links!N$191*Links!AC$191)</f>
        <v>#DIV/0!</v>
      </c>
      <c r="AD23" s="55" t="e">
        <f>AD22+ATM_Conf!$C$5*(O22-N22)/(Links!O$191*Links!AD$191)</f>
        <v>#DIV/0!</v>
      </c>
      <c r="AE23" s="55" t="e">
        <f>AE22+ATM_Conf!$C$5*(P22-O22)/(Links!P$191*Links!AE$191)</f>
        <v>#DIV/0!</v>
      </c>
      <c r="AF23" s="45" t="e">
        <f>AF22+(ATM_Conf!$C$5/ATM_Conf!$C$8)*(Links!AU22*EXP((-(Links!Q22/Links!BJ22)^Links!BY22)/Links!BY22)-Links!AF22)-(ATM_Conf!$C$9*ATM_Conf!$C$5/(ATM_Conf!$C$8*Links!Q$191))*(Nodes!BO22-Links!Q22)/(Links!Q22/ATM_Conf!$C$10)</f>
        <v>#DIV/0!</v>
      </c>
      <c r="AG23" s="45" t="e">
        <f>AG22+(ATM_Conf!$C$5/ATM_Conf!$C$8)*(Links!AV22*EXP((-(Links!R22/Links!BK22)^Links!BZ22)/Links!BZ22)-Links!AG22)+(ATM_Conf!$C$5/Links!R$191)*Links!AG22*(Nodes!BB22-Links!AG22)-(ATM_Conf!$C$9*ATM_Conf!$C$5/(ATM_Conf!$C$8*Links!R$191))*(Nodes!BP22-Links!R22)/(Links!R22/ATM_Conf!$C$10)</f>
        <v>#DIV/0!</v>
      </c>
      <c r="AH23" s="45" t="e">
        <f>AH22+(ATM_Conf!$C$5/ATM_Conf!$C$8)*(Links!AW22*EXP((-(Links!S22/Links!BL22)^Links!CA22)/Links!CA22)-Links!AH22)+(ATM_Conf!$C$5/Links!S$191)*Links!AH22*(Nodes!BC22-Links!AH22)-(ATM_Conf!$C$9*ATM_Conf!$C$5/(ATM_Conf!$C$8*Links!S$191))*(Nodes!BQ22-Links!S22)/(Links!S22/ATM_Conf!$C$10)</f>
        <v>#DIV/0!</v>
      </c>
      <c r="AI23" s="45" t="e">
        <f>AI22+(ATM_Conf!$C$5/ATM_Conf!$C$8)*(Links!AX22*EXP((-(Links!T22/Links!BM22)^Links!CB22)/Links!CB22)-Links!AI22)+(ATM_Conf!$C$5/Links!T$191)*Links!AI22*(Nodes!BD22-Links!AI22)-(ATM_Conf!$C$9*ATM_Conf!$C$5/(ATM_Conf!$C$8*Links!T$191))*(Nodes!BR22-Links!T22)/(Links!T22/ATM_Conf!$C$10)</f>
        <v>#DIV/0!</v>
      </c>
      <c r="AJ23" s="45" t="e">
        <f>AJ22+(ATM_Conf!$C$5/ATM_Conf!$C$8)*(Links!AY22*EXP((-(Links!U22/Links!BN22)^Links!CC22)/Links!CC22)-Links!AJ22)+(ATM_Conf!$C$5/Links!U$191)*Links!AJ22*(Nodes!BE22-Links!AJ22)-(ATM_Conf!$C$9*ATM_Conf!$C$5/(ATM_Conf!$C$8*Links!U$191))*(Nodes!BS22-Links!U22)/(Links!U22/ATM_Conf!$C$10)</f>
        <v>#DIV/0!</v>
      </c>
      <c r="AK23" s="45" t="e">
        <f>AK22+(ATM_Conf!$C$5/ATM_Conf!$C$8)*(Links!AZ22*EXP((-(Links!V22/Links!BO22)^Links!CD22)/Links!CD22)-Links!AK22)+(ATM_Conf!$C$5/Links!V$191)*Links!AK22*(Nodes!BF22-Links!AK22)-(ATM_Conf!$C$9*ATM_Conf!$C$5/(ATM_Conf!$C$8*Links!V$191))*(Nodes!BT22-Links!V22)/(Links!V22/ATM_Conf!$C$10)</f>
        <v>#DIV/0!</v>
      </c>
      <c r="AL23" s="45" t="e">
        <f>AL22+(ATM_Conf!$C$5/ATM_Conf!$C$8)*(Links!BA22*EXP((-(Links!W22/Links!BP22)^Links!CE22)/Links!CE22)-Links!AL22)+(ATM_Conf!$C$5/Links!W$191)*Links!AL22*(Nodes!BG22-Links!AL22)-(ATM_Conf!$C$9*ATM_Conf!$C$5/(ATM_Conf!$C$8*Links!W$191))*(Nodes!BU22-Links!W22)/(Links!W22/ATM_Conf!$C$10)</f>
        <v>#DIV/0!</v>
      </c>
      <c r="AM23" s="45" t="e">
        <f>AM22+(ATM_Conf!$C$5/ATM_Conf!$C$8)*(Links!BB22*EXP((-(Links!X22/Links!BQ22)^Links!CF22)/Links!CF22)-Links!AM22)+(ATM_Conf!$C$5/Links!X$191)*Links!AM22*(Nodes!BH22-Links!AM22)</f>
        <v>#DIV/0!</v>
      </c>
      <c r="AN23" s="45" t="e">
        <f>AN22+(ATM_Conf!$C$5/ATM_Conf!$C$8)*(Links!BC22*EXP((-(Links!Y22/Links!BR22)^Links!CG22)/Links!CG22)-Links!AN22)-(ATM_Conf!$C$9*ATM_Conf!$C$5/(ATM_Conf!$C$8*Links!Y$191))*(Nodes!BV22-Links!Y22)/(Links!Y22/ATM_Conf!$C$10)</f>
        <v>#DIV/0!</v>
      </c>
      <c r="AO23" s="45" t="e">
        <f>AO22+(ATM_Conf!$C$5/ATM_Conf!$C$8)*(Links!BD22*EXP((-(Links!Z22/Links!BS22)^Links!CH22)/Links!CH22)-Links!AO22)+(ATM_Conf!$C$5/Links!Z$191)*Links!AO22*(Nodes!BI22-Links!AO22)-(ATM_Conf!$C$9*ATM_Conf!$C$5/(ATM_Conf!$C$8*Links!Z$191))*(Nodes!BW22-Links!Z22)/(Links!Z22/ATM_Conf!$C$10)</f>
        <v>#DIV/0!</v>
      </c>
      <c r="AP23" s="45" t="e">
        <f>AP22+(ATM_Conf!$C$5/ATM_Conf!$C$8)*(Links!BE22*EXP((-(Links!AA22/Links!BT22)^Links!CI22)/Links!CI22)-Links!AP22)+(ATM_Conf!$C$5/Links!AA$191)*Links!AP22*(Nodes!BJ22-Links!AP22)-(ATM_Conf!$C$9*ATM_Conf!$C$5/(ATM_Conf!$C$8*Links!AA$191))*(Nodes!BX22-Links!AA22)/(Links!AA22/ATM_Conf!$C$10)</f>
        <v>#DIV/0!</v>
      </c>
      <c r="AQ23" s="45" t="e">
        <f>AQ22+(ATM_Conf!$C$5/ATM_Conf!$C$8)*(Links!BF22*EXP((-(Links!AB22/Links!BU22)^Links!CJ22)/Links!CJ22)-Links!AQ22)+(ATM_Conf!$C$5/Links!AB$191)*Links!AQ22*(Nodes!BK22-Links!AQ22)-(ATM_Conf!$C$9*ATM_Conf!$C$5/(ATM_Conf!$C$8*Links!AB$191))*(Nodes!BY22-Links!AB22)/(Links!AB22/ATM_Conf!$C$10)</f>
        <v>#DIV/0!</v>
      </c>
      <c r="AR23" s="45" t="e">
        <f>AR22+(ATM_Conf!$C$5/ATM_Conf!$C$8)*(Links!BG22*EXP((-(Links!AC22/Links!BV22)^Links!CK22)/Links!CK22)-Links!AR22)+(ATM_Conf!$C$5/Links!AC$191)*Links!AR22*(Nodes!BL22-Links!AR22)-(ATM_Conf!$C$9*ATM_Conf!$C$5/(ATM_Conf!$C$8*Links!AC$191))*(Nodes!BZ22-Links!AC22)/(Links!AC22/ATM_Conf!$C$10)</f>
        <v>#DIV/0!</v>
      </c>
      <c r="AS23" s="45" t="e">
        <f>AS22+(ATM_Conf!$C$5/ATM_Conf!$C$8)*(Links!BH22*EXP((-(Links!AD22/Links!BW22)^Links!CL22)/Links!CL22)-Links!AS22)+(ATM_Conf!$C$5/Links!AD$191)*Links!AS22*(Nodes!BM22-Links!AS22)-(ATM_Conf!$C$9*ATM_Conf!$C$5/(ATM_Conf!$C$8*Links!AD$191))*(Nodes!CA22-Links!AD22)/(Links!AD22/ATM_Conf!$C$10)</f>
        <v>#DIV/0!</v>
      </c>
      <c r="AT23" s="45" t="e">
        <f>AT22+(ATM_Conf!$C$5/ATM_Conf!$C$8)*(Links!BI22*EXP((-(Links!AE22/Links!BX22)^Links!CM22)/Links!CM22)-Links!AT22)+(ATM_Conf!$C$5/Links!AE$191)*Links!AT22*(Nodes!BN22-Links!AT22)</f>
        <v>#DIV/0!</v>
      </c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45">
        <f t="shared" si="21"/>
        <v>0</v>
      </c>
      <c r="CO23" s="45">
        <f t="shared" si="21"/>
        <v>0</v>
      </c>
      <c r="CP23" s="45">
        <f t="shared" si="21"/>
        <v>0</v>
      </c>
      <c r="CQ23" s="45">
        <f t="shared" si="21"/>
        <v>0</v>
      </c>
      <c r="CR23" s="45">
        <f t="shared" si="21"/>
        <v>0</v>
      </c>
      <c r="CS23" s="45">
        <f t="shared" si="21"/>
        <v>0</v>
      </c>
      <c r="CT23" s="45">
        <f t="shared" si="21"/>
        <v>0</v>
      </c>
      <c r="CU23" s="45">
        <f t="shared" si="21"/>
        <v>0</v>
      </c>
      <c r="CV23" s="45">
        <f t="shared" si="21"/>
        <v>0</v>
      </c>
      <c r="CW23" s="45">
        <f t="shared" si="21"/>
        <v>0</v>
      </c>
      <c r="CX23" s="45">
        <f t="shared" si="21"/>
        <v>0</v>
      </c>
      <c r="CY23" s="45">
        <f t="shared" si="21"/>
        <v>0</v>
      </c>
      <c r="CZ23" s="45">
        <f t="shared" si="21"/>
        <v>0</v>
      </c>
      <c r="DA23" s="45">
        <f t="shared" si="21"/>
        <v>0</v>
      </c>
      <c r="DB23" s="45">
        <f t="shared" si="21"/>
        <v>0</v>
      </c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</row>
    <row r="24" spans="1:121" ht="14.25" x14ac:dyDescent="0.15">
      <c r="A24" s="48">
        <v>22</v>
      </c>
      <c r="B24" s="45" t="e">
        <f t="shared" si="2"/>
        <v>#DIV/0!</v>
      </c>
      <c r="C24" s="45" t="e">
        <f t="shared" si="3"/>
        <v>#DIV/0!</v>
      </c>
      <c r="D24" s="45" t="e">
        <f t="shared" si="4"/>
        <v>#DIV/0!</v>
      </c>
      <c r="E24" s="45" t="e">
        <f t="shared" si="5"/>
        <v>#DIV/0!</v>
      </c>
      <c r="F24" s="45" t="e">
        <f t="shared" si="6"/>
        <v>#DIV/0!</v>
      </c>
      <c r="G24" s="45" t="e">
        <f t="shared" si="7"/>
        <v>#DIV/0!</v>
      </c>
      <c r="H24" s="45" t="e">
        <f t="shared" si="8"/>
        <v>#DIV/0!</v>
      </c>
      <c r="I24" s="45" t="e">
        <f t="shared" si="9"/>
        <v>#DIV/0!</v>
      </c>
      <c r="J24" s="45" t="e">
        <f t="shared" si="10"/>
        <v>#DIV/0!</v>
      </c>
      <c r="K24" s="45" t="e">
        <f t="shared" si="11"/>
        <v>#DIV/0!</v>
      </c>
      <c r="L24" s="45" t="e">
        <f t="shared" si="12"/>
        <v>#DIV/0!</v>
      </c>
      <c r="M24" s="45" t="e">
        <f t="shared" si="13"/>
        <v>#DIV/0!</v>
      </c>
      <c r="N24" s="45" t="e">
        <f t="shared" si="14"/>
        <v>#DIV/0!</v>
      </c>
      <c r="O24" s="45" t="e">
        <f t="shared" si="15"/>
        <v>#DIV/0!</v>
      </c>
      <c r="P24" s="45" t="e">
        <f t="shared" si="16"/>
        <v>#DIV/0!</v>
      </c>
      <c r="Q24" s="55" t="e">
        <f>Q23+ATM_Conf!$C$5*(B23)/(Links!B$191*Links!Q$191)</f>
        <v>#DIV/0!</v>
      </c>
      <c r="R24" s="55" t="e">
        <f>R23+ATM_Conf!$C$5*(C23-B23)/(Links!C$191*Links!R$191)</f>
        <v>#DIV/0!</v>
      </c>
      <c r="S24" s="55" t="e">
        <f>S23+ATM_Conf!$C$5*(D23-C23)/(Links!D$191*Links!S$191)</f>
        <v>#DIV/0!</v>
      </c>
      <c r="T24" s="55" t="e">
        <f>T23+ATM_Conf!$C$5*(E23-D23)/(Links!E$191*Links!T$191)</f>
        <v>#DIV/0!</v>
      </c>
      <c r="U24" s="55" t="e">
        <f>U23+ATM_Conf!$C$5*(F23-E23)/(Links!F$191*Links!U$191)</f>
        <v>#DIV/0!</v>
      </c>
      <c r="V24" s="55" t="e">
        <f>V23+ATM_Conf!$C$5*(G23-F23)/(Links!G$191*Links!V$191)</f>
        <v>#DIV/0!</v>
      </c>
      <c r="W24" s="55" t="e">
        <f>W23+ATM_Conf!$C$5*(H23-G23)/(Links!H$191*Links!W$191)</f>
        <v>#DIV/0!</v>
      </c>
      <c r="X24" s="55" t="e">
        <f>X23+ATM_Conf!$C$5*(I23-H23)/(Links!I$191*Links!X$191)</f>
        <v>#DIV/0!</v>
      </c>
      <c r="Y24" s="55" t="e">
        <f>Y23+ATM_Conf!$C$5*(J23)/(Links!J$191*Links!Y$191)</f>
        <v>#DIV/0!</v>
      </c>
      <c r="Z24" s="55" t="e">
        <f>Z23+ATM_Conf!$C$5*(K23-J23)/(Links!K$191*Links!Z$191)</f>
        <v>#DIV/0!</v>
      </c>
      <c r="AA24" s="55" t="e">
        <f>AA23+ATM_Conf!$C$5*(L23-K23)/(Links!L$191*Links!AA$191)</f>
        <v>#DIV/0!</v>
      </c>
      <c r="AB24" s="55" t="e">
        <f>AB23+ATM_Conf!$C$5*(M23-L23)/(Links!M$191*Links!AB$191)</f>
        <v>#DIV/0!</v>
      </c>
      <c r="AC24" s="55" t="e">
        <f>AC23+ATM_Conf!$C$5*(N23-M23)/(Links!N$191*Links!AC$191)</f>
        <v>#DIV/0!</v>
      </c>
      <c r="AD24" s="55" t="e">
        <f>AD23+ATM_Conf!$C$5*(O23-N23)/(Links!O$191*Links!AD$191)</f>
        <v>#DIV/0!</v>
      </c>
      <c r="AE24" s="55" t="e">
        <f>AE23+ATM_Conf!$C$5*(P23-O23)/(Links!P$191*Links!AE$191)</f>
        <v>#DIV/0!</v>
      </c>
      <c r="AF24" s="45" t="e">
        <f>AF23+(ATM_Conf!$C$5/ATM_Conf!$C$8)*(Links!AU23*EXP((-(Links!Q23/Links!BJ23)^Links!BY23)/Links!BY23)-Links!AF23)-(ATM_Conf!$C$9*ATM_Conf!$C$5/(ATM_Conf!$C$8*Links!Q$191))*(Nodes!BO23-Links!Q23)/(Links!Q23/ATM_Conf!$C$10)</f>
        <v>#DIV/0!</v>
      </c>
      <c r="AG24" s="45" t="e">
        <f>AG23+(ATM_Conf!$C$5/ATM_Conf!$C$8)*(Links!AV23*EXP((-(Links!R23/Links!BK23)^Links!BZ23)/Links!BZ23)-Links!AG23)+(ATM_Conf!$C$5/Links!R$191)*Links!AG23*(Nodes!BB23-Links!AG23)-(ATM_Conf!$C$9*ATM_Conf!$C$5/(ATM_Conf!$C$8*Links!R$191))*(Nodes!BP23-Links!R23)/(Links!R23/ATM_Conf!$C$10)</f>
        <v>#DIV/0!</v>
      </c>
      <c r="AH24" s="45" t="e">
        <f>AH23+(ATM_Conf!$C$5/ATM_Conf!$C$8)*(Links!AW23*EXP((-(Links!S23/Links!BL23)^Links!CA23)/Links!CA23)-Links!AH23)+(ATM_Conf!$C$5/Links!S$191)*Links!AH23*(Nodes!BC23-Links!AH23)-(ATM_Conf!$C$9*ATM_Conf!$C$5/(ATM_Conf!$C$8*Links!S$191))*(Nodes!BQ23-Links!S23)/(Links!S23/ATM_Conf!$C$10)</f>
        <v>#DIV/0!</v>
      </c>
      <c r="AI24" s="45" t="e">
        <f>AI23+(ATM_Conf!$C$5/ATM_Conf!$C$8)*(Links!AX23*EXP((-(Links!T23/Links!BM23)^Links!CB23)/Links!CB23)-Links!AI23)+(ATM_Conf!$C$5/Links!T$191)*Links!AI23*(Nodes!BD23-Links!AI23)-(ATM_Conf!$C$9*ATM_Conf!$C$5/(ATM_Conf!$C$8*Links!T$191))*(Nodes!BR23-Links!T23)/(Links!T23/ATM_Conf!$C$10)</f>
        <v>#DIV/0!</v>
      </c>
      <c r="AJ24" s="45" t="e">
        <f>AJ23+(ATM_Conf!$C$5/ATM_Conf!$C$8)*(Links!AY23*EXP((-(Links!U23/Links!BN23)^Links!CC23)/Links!CC23)-Links!AJ23)+(ATM_Conf!$C$5/Links!U$191)*Links!AJ23*(Nodes!BE23-Links!AJ23)-(ATM_Conf!$C$9*ATM_Conf!$C$5/(ATM_Conf!$C$8*Links!U$191))*(Nodes!BS23-Links!U23)/(Links!U23/ATM_Conf!$C$10)</f>
        <v>#DIV/0!</v>
      </c>
      <c r="AK24" s="45" t="e">
        <f>AK23+(ATM_Conf!$C$5/ATM_Conf!$C$8)*(Links!AZ23*EXP((-(Links!V23/Links!BO23)^Links!CD23)/Links!CD23)-Links!AK23)+(ATM_Conf!$C$5/Links!V$191)*Links!AK23*(Nodes!BF23-Links!AK23)-(ATM_Conf!$C$9*ATM_Conf!$C$5/(ATM_Conf!$C$8*Links!V$191))*(Nodes!BT23-Links!V23)/(Links!V23/ATM_Conf!$C$10)</f>
        <v>#DIV/0!</v>
      </c>
      <c r="AL24" s="45" t="e">
        <f>AL23+(ATM_Conf!$C$5/ATM_Conf!$C$8)*(Links!BA23*EXP((-(Links!W23/Links!BP23)^Links!CE23)/Links!CE23)-Links!AL23)+(ATM_Conf!$C$5/Links!W$191)*Links!AL23*(Nodes!BG23-Links!AL23)-(ATM_Conf!$C$9*ATM_Conf!$C$5/(ATM_Conf!$C$8*Links!W$191))*(Nodes!BU23-Links!W23)/(Links!W23/ATM_Conf!$C$10)</f>
        <v>#DIV/0!</v>
      </c>
      <c r="AM24" s="45" t="e">
        <f>AM23+(ATM_Conf!$C$5/ATM_Conf!$C$8)*(Links!BB23*EXP((-(Links!X23/Links!BQ23)^Links!CF23)/Links!CF23)-Links!AM23)+(ATM_Conf!$C$5/Links!X$191)*Links!AM23*(Nodes!BH23-Links!AM23)</f>
        <v>#DIV/0!</v>
      </c>
      <c r="AN24" s="45" t="e">
        <f>AN23+(ATM_Conf!$C$5/ATM_Conf!$C$8)*(Links!BC23*EXP((-(Links!Y23/Links!BR23)^Links!CG23)/Links!CG23)-Links!AN23)-(ATM_Conf!$C$9*ATM_Conf!$C$5/(ATM_Conf!$C$8*Links!Y$191))*(Nodes!BV23-Links!Y23)/(Links!Y23/ATM_Conf!$C$10)</f>
        <v>#DIV/0!</v>
      </c>
      <c r="AO24" s="45" t="e">
        <f>AO23+(ATM_Conf!$C$5/ATM_Conf!$C$8)*(Links!BD23*EXP((-(Links!Z23/Links!BS23)^Links!CH23)/Links!CH23)-Links!AO23)+(ATM_Conf!$C$5/Links!Z$191)*Links!AO23*(Nodes!BI23-Links!AO23)-(ATM_Conf!$C$9*ATM_Conf!$C$5/(ATM_Conf!$C$8*Links!Z$191))*(Nodes!BW23-Links!Z23)/(Links!Z23/ATM_Conf!$C$10)</f>
        <v>#DIV/0!</v>
      </c>
      <c r="AP24" s="45" t="e">
        <f>AP23+(ATM_Conf!$C$5/ATM_Conf!$C$8)*(Links!BE23*EXP((-(Links!AA23/Links!BT23)^Links!CI23)/Links!CI23)-Links!AP23)+(ATM_Conf!$C$5/Links!AA$191)*Links!AP23*(Nodes!BJ23-Links!AP23)-(ATM_Conf!$C$9*ATM_Conf!$C$5/(ATM_Conf!$C$8*Links!AA$191))*(Nodes!BX23-Links!AA23)/(Links!AA23/ATM_Conf!$C$10)</f>
        <v>#DIV/0!</v>
      </c>
      <c r="AQ24" s="45" t="e">
        <f>AQ23+(ATM_Conf!$C$5/ATM_Conf!$C$8)*(Links!BF23*EXP((-(Links!AB23/Links!BU23)^Links!CJ23)/Links!CJ23)-Links!AQ23)+(ATM_Conf!$C$5/Links!AB$191)*Links!AQ23*(Nodes!BK23-Links!AQ23)-(ATM_Conf!$C$9*ATM_Conf!$C$5/(ATM_Conf!$C$8*Links!AB$191))*(Nodes!BY23-Links!AB23)/(Links!AB23/ATM_Conf!$C$10)</f>
        <v>#DIV/0!</v>
      </c>
      <c r="AR24" s="45" t="e">
        <f>AR23+(ATM_Conf!$C$5/ATM_Conf!$C$8)*(Links!BG23*EXP((-(Links!AC23/Links!BV23)^Links!CK23)/Links!CK23)-Links!AR23)+(ATM_Conf!$C$5/Links!AC$191)*Links!AR23*(Nodes!BL23-Links!AR23)-(ATM_Conf!$C$9*ATM_Conf!$C$5/(ATM_Conf!$C$8*Links!AC$191))*(Nodes!BZ23-Links!AC23)/(Links!AC23/ATM_Conf!$C$10)</f>
        <v>#DIV/0!</v>
      </c>
      <c r="AS24" s="45" t="e">
        <f>AS23+(ATM_Conf!$C$5/ATM_Conf!$C$8)*(Links!BH23*EXP((-(Links!AD23/Links!BW23)^Links!CL23)/Links!CL23)-Links!AS23)+(ATM_Conf!$C$5/Links!AD$191)*Links!AS23*(Nodes!BM23-Links!AS23)-(ATM_Conf!$C$9*ATM_Conf!$C$5/(ATM_Conf!$C$8*Links!AD$191))*(Nodes!CA23-Links!AD23)/(Links!AD23/ATM_Conf!$C$10)</f>
        <v>#DIV/0!</v>
      </c>
      <c r="AT24" s="45" t="e">
        <f>AT23+(ATM_Conf!$C$5/ATM_Conf!$C$8)*(Links!BI23*EXP((-(Links!AE23/Links!BX23)^Links!CM23)/Links!CM23)-Links!AT23)+(ATM_Conf!$C$5/Links!AE$191)*Links!AT23*(Nodes!BN23-Links!AT23)</f>
        <v>#DIV/0!</v>
      </c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45">
        <f t="shared" si="21"/>
        <v>0</v>
      </c>
      <c r="CO24" s="45">
        <f t="shared" si="21"/>
        <v>0</v>
      </c>
      <c r="CP24" s="45">
        <f t="shared" si="21"/>
        <v>0</v>
      </c>
      <c r="CQ24" s="45">
        <f t="shared" si="21"/>
        <v>0</v>
      </c>
      <c r="CR24" s="45">
        <f t="shared" si="21"/>
        <v>0</v>
      </c>
      <c r="CS24" s="45">
        <f t="shared" si="21"/>
        <v>0</v>
      </c>
      <c r="CT24" s="45">
        <f t="shared" si="21"/>
        <v>0</v>
      </c>
      <c r="CU24" s="45">
        <f t="shared" si="21"/>
        <v>0</v>
      </c>
      <c r="CV24" s="45">
        <f t="shared" si="21"/>
        <v>0</v>
      </c>
      <c r="CW24" s="45">
        <f t="shared" si="21"/>
        <v>0</v>
      </c>
      <c r="CX24" s="45">
        <f t="shared" si="21"/>
        <v>0</v>
      </c>
      <c r="CY24" s="45">
        <f t="shared" si="21"/>
        <v>0</v>
      </c>
      <c r="CZ24" s="45">
        <f t="shared" si="21"/>
        <v>0</v>
      </c>
      <c r="DA24" s="45">
        <f t="shared" si="21"/>
        <v>0</v>
      </c>
      <c r="DB24" s="45">
        <f t="shared" si="21"/>
        <v>0</v>
      </c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</row>
    <row r="25" spans="1:121" ht="14.25" x14ac:dyDescent="0.15">
      <c r="A25" s="48">
        <v>23</v>
      </c>
      <c r="B25" s="45" t="e">
        <f t="shared" si="2"/>
        <v>#DIV/0!</v>
      </c>
      <c r="C25" s="45" t="e">
        <f t="shared" si="3"/>
        <v>#DIV/0!</v>
      </c>
      <c r="D25" s="45" t="e">
        <f t="shared" si="4"/>
        <v>#DIV/0!</v>
      </c>
      <c r="E25" s="45" t="e">
        <f t="shared" si="5"/>
        <v>#DIV/0!</v>
      </c>
      <c r="F25" s="45" t="e">
        <f t="shared" si="6"/>
        <v>#DIV/0!</v>
      </c>
      <c r="G25" s="45" t="e">
        <f t="shared" si="7"/>
        <v>#DIV/0!</v>
      </c>
      <c r="H25" s="45" t="e">
        <f t="shared" si="8"/>
        <v>#DIV/0!</v>
      </c>
      <c r="I25" s="45" t="e">
        <f t="shared" si="9"/>
        <v>#DIV/0!</v>
      </c>
      <c r="J25" s="45" t="e">
        <f t="shared" si="10"/>
        <v>#DIV/0!</v>
      </c>
      <c r="K25" s="45" t="e">
        <f t="shared" si="11"/>
        <v>#DIV/0!</v>
      </c>
      <c r="L25" s="45" t="e">
        <f t="shared" si="12"/>
        <v>#DIV/0!</v>
      </c>
      <c r="M25" s="45" t="e">
        <f t="shared" si="13"/>
        <v>#DIV/0!</v>
      </c>
      <c r="N25" s="45" t="e">
        <f t="shared" si="14"/>
        <v>#DIV/0!</v>
      </c>
      <c r="O25" s="45" t="e">
        <f t="shared" si="15"/>
        <v>#DIV/0!</v>
      </c>
      <c r="P25" s="45" t="e">
        <f t="shared" si="16"/>
        <v>#DIV/0!</v>
      </c>
      <c r="Q25" s="55" t="e">
        <f>Q24+ATM_Conf!$C$5*(B24)/(Links!B$191*Links!Q$191)</f>
        <v>#DIV/0!</v>
      </c>
      <c r="R25" s="55" t="e">
        <f>R24+ATM_Conf!$C$5*(C24-B24)/(Links!C$191*Links!R$191)</f>
        <v>#DIV/0!</v>
      </c>
      <c r="S25" s="55" t="e">
        <f>S24+ATM_Conf!$C$5*(D24-C24)/(Links!D$191*Links!S$191)</f>
        <v>#DIV/0!</v>
      </c>
      <c r="T25" s="55" t="e">
        <f>T24+ATM_Conf!$C$5*(E24-D24)/(Links!E$191*Links!T$191)</f>
        <v>#DIV/0!</v>
      </c>
      <c r="U25" s="55" t="e">
        <f>U24+ATM_Conf!$C$5*(F24-E24)/(Links!F$191*Links!U$191)</f>
        <v>#DIV/0!</v>
      </c>
      <c r="V25" s="55" t="e">
        <f>V24+ATM_Conf!$C$5*(G24-F24)/(Links!G$191*Links!V$191)</f>
        <v>#DIV/0!</v>
      </c>
      <c r="W25" s="55" t="e">
        <f>W24+ATM_Conf!$C$5*(H24-G24)/(Links!H$191*Links!W$191)</f>
        <v>#DIV/0!</v>
      </c>
      <c r="X25" s="55" t="e">
        <f>X24+ATM_Conf!$C$5*(I24-H24)/(Links!I$191*Links!X$191)</f>
        <v>#DIV/0!</v>
      </c>
      <c r="Y25" s="55" t="e">
        <f>Y24+ATM_Conf!$C$5*(J24)/(Links!J$191*Links!Y$191)</f>
        <v>#DIV/0!</v>
      </c>
      <c r="Z25" s="55" t="e">
        <f>Z24+ATM_Conf!$C$5*(K24-J24)/(Links!K$191*Links!Z$191)</f>
        <v>#DIV/0!</v>
      </c>
      <c r="AA25" s="55" t="e">
        <f>AA24+ATM_Conf!$C$5*(L24-K24)/(Links!L$191*Links!AA$191)</f>
        <v>#DIV/0!</v>
      </c>
      <c r="AB25" s="55" t="e">
        <f>AB24+ATM_Conf!$C$5*(M24-L24)/(Links!M$191*Links!AB$191)</f>
        <v>#DIV/0!</v>
      </c>
      <c r="AC25" s="55" t="e">
        <f>AC24+ATM_Conf!$C$5*(N24-M24)/(Links!N$191*Links!AC$191)</f>
        <v>#DIV/0!</v>
      </c>
      <c r="AD25" s="55" t="e">
        <f>AD24+ATM_Conf!$C$5*(O24-N24)/(Links!O$191*Links!AD$191)</f>
        <v>#DIV/0!</v>
      </c>
      <c r="AE25" s="55" t="e">
        <f>AE24+ATM_Conf!$C$5*(P24-O24)/(Links!P$191*Links!AE$191)</f>
        <v>#DIV/0!</v>
      </c>
      <c r="AF25" s="45" t="e">
        <f>AF24+(ATM_Conf!$C$5/ATM_Conf!$C$8)*(Links!AU24*EXP((-(Links!Q24/Links!BJ24)^Links!BY24)/Links!BY24)-Links!AF24)-(ATM_Conf!$C$9*ATM_Conf!$C$5/(ATM_Conf!$C$8*Links!Q$191))*(Nodes!BO24-Links!Q24)/(Links!Q24/ATM_Conf!$C$10)</f>
        <v>#DIV/0!</v>
      </c>
      <c r="AG25" s="45" t="e">
        <f>AG24+(ATM_Conf!$C$5/ATM_Conf!$C$8)*(Links!AV24*EXP((-(Links!R24/Links!BK24)^Links!BZ24)/Links!BZ24)-Links!AG24)+(ATM_Conf!$C$5/Links!R$191)*Links!AG24*(Nodes!BB24-Links!AG24)-(ATM_Conf!$C$9*ATM_Conf!$C$5/(ATM_Conf!$C$8*Links!R$191))*(Nodes!BP24-Links!R24)/(Links!R24/ATM_Conf!$C$10)</f>
        <v>#DIV/0!</v>
      </c>
      <c r="AH25" s="45" t="e">
        <f>AH24+(ATM_Conf!$C$5/ATM_Conf!$C$8)*(Links!AW24*EXP((-(Links!S24/Links!BL24)^Links!CA24)/Links!CA24)-Links!AH24)+(ATM_Conf!$C$5/Links!S$191)*Links!AH24*(Nodes!BC24-Links!AH24)-(ATM_Conf!$C$9*ATM_Conf!$C$5/(ATM_Conf!$C$8*Links!S$191))*(Nodes!BQ24-Links!S24)/(Links!S24/ATM_Conf!$C$10)</f>
        <v>#DIV/0!</v>
      </c>
      <c r="AI25" s="45" t="e">
        <f>AI24+(ATM_Conf!$C$5/ATM_Conf!$C$8)*(Links!AX24*EXP((-(Links!T24/Links!BM24)^Links!CB24)/Links!CB24)-Links!AI24)+(ATM_Conf!$C$5/Links!T$191)*Links!AI24*(Nodes!BD24-Links!AI24)-(ATM_Conf!$C$9*ATM_Conf!$C$5/(ATM_Conf!$C$8*Links!T$191))*(Nodes!BR24-Links!T24)/(Links!T24/ATM_Conf!$C$10)</f>
        <v>#DIV/0!</v>
      </c>
      <c r="AJ25" s="45" t="e">
        <f>AJ24+(ATM_Conf!$C$5/ATM_Conf!$C$8)*(Links!AY24*EXP((-(Links!U24/Links!BN24)^Links!CC24)/Links!CC24)-Links!AJ24)+(ATM_Conf!$C$5/Links!U$191)*Links!AJ24*(Nodes!BE24-Links!AJ24)-(ATM_Conf!$C$9*ATM_Conf!$C$5/(ATM_Conf!$C$8*Links!U$191))*(Nodes!BS24-Links!U24)/(Links!U24/ATM_Conf!$C$10)</f>
        <v>#DIV/0!</v>
      </c>
      <c r="AK25" s="45" t="e">
        <f>AK24+(ATM_Conf!$C$5/ATM_Conf!$C$8)*(Links!AZ24*EXP((-(Links!V24/Links!BO24)^Links!CD24)/Links!CD24)-Links!AK24)+(ATM_Conf!$C$5/Links!V$191)*Links!AK24*(Nodes!BF24-Links!AK24)-(ATM_Conf!$C$9*ATM_Conf!$C$5/(ATM_Conf!$C$8*Links!V$191))*(Nodes!BT24-Links!V24)/(Links!V24/ATM_Conf!$C$10)</f>
        <v>#DIV/0!</v>
      </c>
      <c r="AL25" s="45" t="e">
        <f>AL24+(ATM_Conf!$C$5/ATM_Conf!$C$8)*(Links!BA24*EXP((-(Links!W24/Links!BP24)^Links!CE24)/Links!CE24)-Links!AL24)+(ATM_Conf!$C$5/Links!W$191)*Links!AL24*(Nodes!BG24-Links!AL24)-(ATM_Conf!$C$9*ATM_Conf!$C$5/(ATM_Conf!$C$8*Links!W$191))*(Nodes!BU24-Links!W24)/(Links!W24/ATM_Conf!$C$10)</f>
        <v>#DIV/0!</v>
      </c>
      <c r="AM25" s="45" t="e">
        <f>AM24+(ATM_Conf!$C$5/ATM_Conf!$C$8)*(Links!BB24*EXP((-(Links!X24/Links!BQ24)^Links!CF24)/Links!CF24)-Links!AM24)+(ATM_Conf!$C$5/Links!X$191)*Links!AM24*(Nodes!BH24-Links!AM24)</f>
        <v>#DIV/0!</v>
      </c>
      <c r="AN25" s="45" t="e">
        <f>AN24+(ATM_Conf!$C$5/ATM_Conf!$C$8)*(Links!BC24*EXP((-(Links!Y24/Links!BR24)^Links!CG24)/Links!CG24)-Links!AN24)-(ATM_Conf!$C$9*ATM_Conf!$C$5/(ATM_Conf!$C$8*Links!Y$191))*(Nodes!BV24-Links!Y24)/(Links!Y24/ATM_Conf!$C$10)</f>
        <v>#DIV/0!</v>
      </c>
      <c r="AO25" s="45" t="e">
        <f>AO24+(ATM_Conf!$C$5/ATM_Conf!$C$8)*(Links!BD24*EXP((-(Links!Z24/Links!BS24)^Links!CH24)/Links!CH24)-Links!AO24)+(ATM_Conf!$C$5/Links!Z$191)*Links!AO24*(Nodes!BI24-Links!AO24)-(ATM_Conf!$C$9*ATM_Conf!$C$5/(ATM_Conf!$C$8*Links!Z$191))*(Nodes!BW24-Links!Z24)/(Links!Z24/ATM_Conf!$C$10)</f>
        <v>#DIV/0!</v>
      </c>
      <c r="AP25" s="45" t="e">
        <f>AP24+(ATM_Conf!$C$5/ATM_Conf!$C$8)*(Links!BE24*EXP((-(Links!AA24/Links!BT24)^Links!CI24)/Links!CI24)-Links!AP24)+(ATM_Conf!$C$5/Links!AA$191)*Links!AP24*(Nodes!BJ24-Links!AP24)-(ATM_Conf!$C$9*ATM_Conf!$C$5/(ATM_Conf!$C$8*Links!AA$191))*(Nodes!BX24-Links!AA24)/(Links!AA24/ATM_Conf!$C$10)</f>
        <v>#DIV/0!</v>
      </c>
      <c r="AQ25" s="45" t="e">
        <f>AQ24+(ATM_Conf!$C$5/ATM_Conf!$C$8)*(Links!BF24*EXP((-(Links!AB24/Links!BU24)^Links!CJ24)/Links!CJ24)-Links!AQ24)+(ATM_Conf!$C$5/Links!AB$191)*Links!AQ24*(Nodes!BK24-Links!AQ24)-(ATM_Conf!$C$9*ATM_Conf!$C$5/(ATM_Conf!$C$8*Links!AB$191))*(Nodes!BY24-Links!AB24)/(Links!AB24/ATM_Conf!$C$10)</f>
        <v>#DIV/0!</v>
      </c>
      <c r="AR25" s="45" t="e">
        <f>AR24+(ATM_Conf!$C$5/ATM_Conf!$C$8)*(Links!BG24*EXP((-(Links!AC24/Links!BV24)^Links!CK24)/Links!CK24)-Links!AR24)+(ATM_Conf!$C$5/Links!AC$191)*Links!AR24*(Nodes!BL24-Links!AR24)-(ATM_Conf!$C$9*ATM_Conf!$C$5/(ATM_Conf!$C$8*Links!AC$191))*(Nodes!BZ24-Links!AC24)/(Links!AC24/ATM_Conf!$C$10)</f>
        <v>#DIV/0!</v>
      </c>
      <c r="AS25" s="45" t="e">
        <f>AS24+(ATM_Conf!$C$5/ATM_Conf!$C$8)*(Links!BH24*EXP((-(Links!AD24/Links!BW24)^Links!CL24)/Links!CL24)-Links!AS24)+(ATM_Conf!$C$5/Links!AD$191)*Links!AS24*(Nodes!BM24-Links!AS24)-(ATM_Conf!$C$9*ATM_Conf!$C$5/(ATM_Conf!$C$8*Links!AD$191))*(Nodes!CA24-Links!AD24)/(Links!AD24/ATM_Conf!$C$10)</f>
        <v>#DIV/0!</v>
      </c>
      <c r="AT25" s="45" t="e">
        <f>AT24+(ATM_Conf!$C$5/ATM_Conf!$C$8)*(Links!BI24*EXP((-(Links!AE24/Links!BX24)^Links!CM24)/Links!CM24)-Links!AT24)+(ATM_Conf!$C$5/Links!AE$191)*Links!AT24*(Nodes!BN24-Links!AT24)</f>
        <v>#DIV/0!</v>
      </c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45">
        <f t="shared" si="21"/>
        <v>0</v>
      </c>
      <c r="CO25" s="45">
        <f t="shared" si="21"/>
        <v>0</v>
      </c>
      <c r="CP25" s="45">
        <f t="shared" si="21"/>
        <v>0</v>
      </c>
      <c r="CQ25" s="45">
        <f t="shared" si="21"/>
        <v>0</v>
      </c>
      <c r="CR25" s="45">
        <f t="shared" si="21"/>
        <v>0</v>
      </c>
      <c r="CS25" s="45">
        <f t="shared" si="21"/>
        <v>0</v>
      </c>
      <c r="CT25" s="45">
        <f t="shared" si="21"/>
        <v>0</v>
      </c>
      <c r="CU25" s="45">
        <f t="shared" si="21"/>
        <v>0</v>
      </c>
      <c r="CV25" s="45">
        <f t="shared" si="21"/>
        <v>0</v>
      </c>
      <c r="CW25" s="45">
        <f t="shared" si="21"/>
        <v>0</v>
      </c>
      <c r="CX25" s="45">
        <f t="shared" si="21"/>
        <v>0</v>
      </c>
      <c r="CY25" s="45">
        <f t="shared" si="21"/>
        <v>0</v>
      </c>
      <c r="CZ25" s="45">
        <f t="shared" si="21"/>
        <v>0</v>
      </c>
      <c r="DA25" s="45">
        <f t="shared" si="21"/>
        <v>0</v>
      </c>
      <c r="DB25" s="45">
        <f t="shared" si="21"/>
        <v>0</v>
      </c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</row>
    <row r="26" spans="1:121" ht="14.25" x14ac:dyDescent="0.15">
      <c r="A26" s="48">
        <v>24</v>
      </c>
      <c r="B26" s="45" t="e">
        <f t="shared" si="2"/>
        <v>#DIV/0!</v>
      </c>
      <c r="C26" s="45" t="e">
        <f t="shared" si="3"/>
        <v>#DIV/0!</v>
      </c>
      <c r="D26" s="45" t="e">
        <f t="shared" si="4"/>
        <v>#DIV/0!</v>
      </c>
      <c r="E26" s="45" t="e">
        <f t="shared" si="5"/>
        <v>#DIV/0!</v>
      </c>
      <c r="F26" s="45" t="e">
        <f t="shared" si="6"/>
        <v>#DIV/0!</v>
      </c>
      <c r="G26" s="45" t="e">
        <f t="shared" si="7"/>
        <v>#DIV/0!</v>
      </c>
      <c r="H26" s="45" t="e">
        <f t="shared" si="8"/>
        <v>#DIV/0!</v>
      </c>
      <c r="I26" s="45" t="e">
        <f t="shared" si="9"/>
        <v>#DIV/0!</v>
      </c>
      <c r="J26" s="45" t="e">
        <f t="shared" si="10"/>
        <v>#DIV/0!</v>
      </c>
      <c r="K26" s="45" t="e">
        <f t="shared" si="11"/>
        <v>#DIV/0!</v>
      </c>
      <c r="L26" s="45" t="e">
        <f t="shared" si="12"/>
        <v>#DIV/0!</v>
      </c>
      <c r="M26" s="45" t="e">
        <f t="shared" si="13"/>
        <v>#DIV/0!</v>
      </c>
      <c r="N26" s="45" t="e">
        <f t="shared" si="14"/>
        <v>#DIV/0!</v>
      </c>
      <c r="O26" s="45" t="e">
        <f t="shared" si="15"/>
        <v>#DIV/0!</v>
      </c>
      <c r="P26" s="45" t="e">
        <f t="shared" si="16"/>
        <v>#DIV/0!</v>
      </c>
      <c r="Q26" s="55" t="e">
        <f>Q25+ATM_Conf!$C$5*(B25)/(Links!B$191*Links!Q$191)</f>
        <v>#DIV/0!</v>
      </c>
      <c r="R26" s="55" t="e">
        <f>R25+ATM_Conf!$C$5*(C25-B25)/(Links!C$191*Links!R$191)</f>
        <v>#DIV/0!</v>
      </c>
      <c r="S26" s="55" t="e">
        <f>S25+ATM_Conf!$C$5*(D25-C25)/(Links!D$191*Links!S$191)</f>
        <v>#DIV/0!</v>
      </c>
      <c r="T26" s="55" t="e">
        <f>T25+ATM_Conf!$C$5*(E25-D25)/(Links!E$191*Links!T$191)</f>
        <v>#DIV/0!</v>
      </c>
      <c r="U26" s="55" t="e">
        <f>U25+ATM_Conf!$C$5*(F25-E25)/(Links!F$191*Links!U$191)</f>
        <v>#DIV/0!</v>
      </c>
      <c r="V26" s="55" t="e">
        <f>V25+ATM_Conf!$C$5*(G25-F25)/(Links!G$191*Links!V$191)</f>
        <v>#DIV/0!</v>
      </c>
      <c r="W26" s="55" t="e">
        <f>W25+ATM_Conf!$C$5*(H25-G25)/(Links!H$191*Links!W$191)</f>
        <v>#DIV/0!</v>
      </c>
      <c r="X26" s="55" t="e">
        <f>X25+ATM_Conf!$C$5*(I25-H25)/(Links!I$191*Links!X$191)</f>
        <v>#DIV/0!</v>
      </c>
      <c r="Y26" s="55" t="e">
        <f>Y25+ATM_Conf!$C$5*(J25)/(Links!J$191*Links!Y$191)</f>
        <v>#DIV/0!</v>
      </c>
      <c r="Z26" s="55" t="e">
        <f>Z25+ATM_Conf!$C$5*(K25-J25)/(Links!K$191*Links!Z$191)</f>
        <v>#DIV/0!</v>
      </c>
      <c r="AA26" s="55" t="e">
        <f>AA25+ATM_Conf!$C$5*(L25-K25)/(Links!L$191*Links!AA$191)</f>
        <v>#DIV/0!</v>
      </c>
      <c r="AB26" s="55" t="e">
        <f>AB25+ATM_Conf!$C$5*(M25-L25)/(Links!M$191*Links!AB$191)</f>
        <v>#DIV/0!</v>
      </c>
      <c r="AC26" s="55" t="e">
        <f>AC25+ATM_Conf!$C$5*(N25-M25)/(Links!N$191*Links!AC$191)</f>
        <v>#DIV/0!</v>
      </c>
      <c r="AD26" s="55" t="e">
        <f>AD25+ATM_Conf!$C$5*(O25-N25)/(Links!O$191*Links!AD$191)</f>
        <v>#DIV/0!</v>
      </c>
      <c r="AE26" s="55" t="e">
        <f>AE25+ATM_Conf!$C$5*(P25-O25)/(Links!P$191*Links!AE$191)</f>
        <v>#DIV/0!</v>
      </c>
      <c r="AF26" s="45" t="e">
        <f>AF25+(ATM_Conf!$C$5/ATM_Conf!$C$8)*(Links!AU25*EXP((-(Links!Q25/Links!BJ25)^Links!BY25)/Links!BY25)-Links!AF25)-(ATM_Conf!$C$9*ATM_Conf!$C$5/(ATM_Conf!$C$8*Links!Q$191))*(Nodes!BO25-Links!Q25)/(Links!Q25/ATM_Conf!$C$10)</f>
        <v>#DIV/0!</v>
      </c>
      <c r="AG26" s="45" t="e">
        <f>AG25+(ATM_Conf!$C$5/ATM_Conf!$C$8)*(Links!AV25*EXP((-(Links!R25/Links!BK25)^Links!BZ25)/Links!BZ25)-Links!AG25)+(ATM_Conf!$C$5/Links!R$191)*Links!AG25*(Nodes!BB25-Links!AG25)-(ATM_Conf!$C$9*ATM_Conf!$C$5/(ATM_Conf!$C$8*Links!R$191))*(Nodes!BP25-Links!R25)/(Links!R25/ATM_Conf!$C$10)</f>
        <v>#DIV/0!</v>
      </c>
      <c r="AH26" s="45" t="e">
        <f>AH25+(ATM_Conf!$C$5/ATM_Conf!$C$8)*(Links!AW25*EXP((-(Links!S25/Links!BL25)^Links!CA25)/Links!CA25)-Links!AH25)+(ATM_Conf!$C$5/Links!S$191)*Links!AH25*(Nodes!BC25-Links!AH25)-(ATM_Conf!$C$9*ATM_Conf!$C$5/(ATM_Conf!$C$8*Links!S$191))*(Nodes!BQ25-Links!S25)/(Links!S25/ATM_Conf!$C$10)</f>
        <v>#DIV/0!</v>
      </c>
      <c r="AI26" s="45" t="e">
        <f>AI25+(ATM_Conf!$C$5/ATM_Conf!$C$8)*(Links!AX25*EXP((-(Links!T25/Links!BM25)^Links!CB25)/Links!CB25)-Links!AI25)+(ATM_Conf!$C$5/Links!T$191)*Links!AI25*(Nodes!BD25-Links!AI25)-(ATM_Conf!$C$9*ATM_Conf!$C$5/(ATM_Conf!$C$8*Links!T$191))*(Nodes!BR25-Links!T25)/(Links!T25/ATM_Conf!$C$10)</f>
        <v>#DIV/0!</v>
      </c>
      <c r="AJ26" s="45" t="e">
        <f>AJ25+(ATM_Conf!$C$5/ATM_Conf!$C$8)*(Links!AY25*EXP((-(Links!U25/Links!BN25)^Links!CC25)/Links!CC25)-Links!AJ25)+(ATM_Conf!$C$5/Links!U$191)*Links!AJ25*(Nodes!BE25-Links!AJ25)-(ATM_Conf!$C$9*ATM_Conf!$C$5/(ATM_Conf!$C$8*Links!U$191))*(Nodes!BS25-Links!U25)/(Links!U25/ATM_Conf!$C$10)</f>
        <v>#DIV/0!</v>
      </c>
      <c r="AK26" s="45" t="e">
        <f>AK25+(ATM_Conf!$C$5/ATM_Conf!$C$8)*(Links!AZ25*EXP((-(Links!V25/Links!BO25)^Links!CD25)/Links!CD25)-Links!AK25)+(ATM_Conf!$C$5/Links!V$191)*Links!AK25*(Nodes!BF25-Links!AK25)-(ATM_Conf!$C$9*ATM_Conf!$C$5/(ATM_Conf!$C$8*Links!V$191))*(Nodes!BT25-Links!V25)/(Links!V25/ATM_Conf!$C$10)</f>
        <v>#DIV/0!</v>
      </c>
      <c r="AL26" s="45" t="e">
        <f>AL25+(ATM_Conf!$C$5/ATM_Conf!$C$8)*(Links!BA25*EXP((-(Links!W25/Links!BP25)^Links!CE25)/Links!CE25)-Links!AL25)+(ATM_Conf!$C$5/Links!W$191)*Links!AL25*(Nodes!BG25-Links!AL25)-(ATM_Conf!$C$9*ATM_Conf!$C$5/(ATM_Conf!$C$8*Links!W$191))*(Nodes!BU25-Links!W25)/(Links!W25/ATM_Conf!$C$10)</f>
        <v>#DIV/0!</v>
      </c>
      <c r="AM26" s="45" t="e">
        <f>AM25+(ATM_Conf!$C$5/ATM_Conf!$C$8)*(Links!BB25*EXP((-(Links!X25/Links!BQ25)^Links!CF25)/Links!CF25)-Links!AM25)+(ATM_Conf!$C$5/Links!X$191)*Links!AM25*(Nodes!BH25-Links!AM25)</f>
        <v>#DIV/0!</v>
      </c>
      <c r="AN26" s="45" t="e">
        <f>AN25+(ATM_Conf!$C$5/ATM_Conf!$C$8)*(Links!BC25*EXP((-(Links!Y25/Links!BR25)^Links!CG25)/Links!CG25)-Links!AN25)-(ATM_Conf!$C$9*ATM_Conf!$C$5/(ATM_Conf!$C$8*Links!Y$191))*(Nodes!BV25-Links!Y25)/(Links!Y25/ATM_Conf!$C$10)</f>
        <v>#DIV/0!</v>
      </c>
      <c r="AO26" s="45" t="e">
        <f>AO25+(ATM_Conf!$C$5/ATM_Conf!$C$8)*(Links!BD25*EXP((-(Links!Z25/Links!BS25)^Links!CH25)/Links!CH25)-Links!AO25)+(ATM_Conf!$C$5/Links!Z$191)*Links!AO25*(Nodes!BI25-Links!AO25)-(ATM_Conf!$C$9*ATM_Conf!$C$5/(ATM_Conf!$C$8*Links!Z$191))*(Nodes!BW25-Links!Z25)/(Links!Z25/ATM_Conf!$C$10)</f>
        <v>#DIV/0!</v>
      </c>
      <c r="AP26" s="45" t="e">
        <f>AP25+(ATM_Conf!$C$5/ATM_Conf!$C$8)*(Links!BE25*EXP((-(Links!AA25/Links!BT25)^Links!CI25)/Links!CI25)-Links!AP25)+(ATM_Conf!$C$5/Links!AA$191)*Links!AP25*(Nodes!BJ25-Links!AP25)-(ATM_Conf!$C$9*ATM_Conf!$C$5/(ATM_Conf!$C$8*Links!AA$191))*(Nodes!BX25-Links!AA25)/(Links!AA25/ATM_Conf!$C$10)</f>
        <v>#DIV/0!</v>
      </c>
      <c r="AQ26" s="45" t="e">
        <f>AQ25+(ATM_Conf!$C$5/ATM_Conf!$C$8)*(Links!BF25*EXP((-(Links!AB25/Links!BU25)^Links!CJ25)/Links!CJ25)-Links!AQ25)+(ATM_Conf!$C$5/Links!AB$191)*Links!AQ25*(Nodes!BK25-Links!AQ25)-(ATM_Conf!$C$9*ATM_Conf!$C$5/(ATM_Conf!$C$8*Links!AB$191))*(Nodes!BY25-Links!AB25)/(Links!AB25/ATM_Conf!$C$10)</f>
        <v>#DIV/0!</v>
      </c>
      <c r="AR26" s="45" t="e">
        <f>AR25+(ATM_Conf!$C$5/ATM_Conf!$C$8)*(Links!BG25*EXP((-(Links!AC25/Links!BV25)^Links!CK25)/Links!CK25)-Links!AR25)+(ATM_Conf!$C$5/Links!AC$191)*Links!AR25*(Nodes!BL25-Links!AR25)-(ATM_Conf!$C$9*ATM_Conf!$C$5/(ATM_Conf!$C$8*Links!AC$191))*(Nodes!BZ25-Links!AC25)/(Links!AC25/ATM_Conf!$C$10)</f>
        <v>#DIV/0!</v>
      </c>
      <c r="AS26" s="45" t="e">
        <f>AS25+(ATM_Conf!$C$5/ATM_Conf!$C$8)*(Links!BH25*EXP((-(Links!AD25/Links!BW25)^Links!CL25)/Links!CL25)-Links!AS25)+(ATM_Conf!$C$5/Links!AD$191)*Links!AS25*(Nodes!BM25-Links!AS25)-(ATM_Conf!$C$9*ATM_Conf!$C$5/(ATM_Conf!$C$8*Links!AD$191))*(Nodes!CA25-Links!AD25)/(Links!AD25/ATM_Conf!$C$10)</f>
        <v>#DIV/0!</v>
      </c>
      <c r="AT26" s="45" t="e">
        <f>AT25+(ATM_Conf!$C$5/ATM_Conf!$C$8)*(Links!BI25*EXP((-(Links!AE25/Links!BX25)^Links!CM25)/Links!CM25)-Links!AT25)+(ATM_Conf!$C$5/Links!AE$191)*Links!AT25*(Nodes!BN25-Links!AT25)</f>
        <v>#DIV/0!</v>
      </c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45">
        <f t="shared" si="21"/>
        <v>0</v>
      </c>
      <c r="CO26" s="45">
        <f t="shared" si="21"/>
        <v>0</v>
      </c>
      <c r="CP26" s="45">
        <f t="shared" si="21"/>
        <v>0</v>
      </c>
      <c r="CQ26" s="45">
        <f t="shared" si="21"/>
        <v>0</v>
      </c>
      <c r="CR26" s="45">
        <f t="shared" si="21"/>
        <v>0</v>
      </c>
      <c r="CS26" s="45">
        <f t="shared" si="21"/>
        <v>0</v>
      </c>
      <c r="CT26" s="45">
        <f t="shared" si="21"/>
        <v>0</v>
      </c>
      <c r="CU26" s="45">
        <f t="shared" si="21"/>
        <v>0</v>
      </c>
      <c r="CV26" s="45">
        <f t="shared" si="21"/>
        <v>0</v>
      </c>
      <c r="CW26" s="45">
        <f t="shared" si="21"/>
        <v>0</v>
      </c>
      <c r="CX26" s="45">
        <f t="shared" si="21"/>
        <v>0</v>
      </c>
      <c r="CY26" s="45">
        <f t="shared" si="21"/>
        <v>0</v>
      </c>
      <c r="CZ26" s="45">
        <f t="shared" si="21"/>
        <v>0</v>
      </c>
      <c r="DA26" s="45">
        <f t="shared" si="21"/>
        <v>0</v>
      </c>
      <c r="DB26" s="45">
        <f t="shared" si="21"/>
        <v>0</v>
      </c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</row>
    <row r="27" spans="1:121" ht="14.25" x14ac:dyDescent="0.15">
      <c r="A27" s="48">
        <v>25</v>
      </c>
      <c r="B27" s="45" t="e">
        <f t="shared" si="2"/>
        <v>#DIV/0!</v>
      </c>
      <c r="C27" s="45" t="e">
        <f t="shared" si="3"/>
        <v>#DIV/0!</v>
      </c>
      <c r="D27" s="45" t="e">
        <f t="shared" si="4"/>
        <v>#DIV/0!</v>
      </c>
      <c r="E27" s="45" t="e">
        <f t="shared" si="5"/>
        <v>#DIV/0!</v>
      </c>
      <c r="F27" s="45" t="e">
        <f t="shared" si="6"/>
        <v>#DIV/0!</v>
      </c>
      <c r="G27" s="45" t="e">
        <f t="shared" si="7"/>
        <v>#DIV/0!</v>
      </c>
      <c r="H27" s="45" t="e">
        <f t="shared" si="8"/>
        <v>#DIV/0!</v>
      </c>
      <c r="I27" s="45" t="e">
        <f t="shared" si="9"/>
        <v>#DIV/0!</v>
      </c>
      <c r="J27" s="45" t="e">
        <f t="shared" si="10"/>
        <v>#DIV/0!</v>
      </c>
      <c r="K27" s="45" t="e">
        <f t="shared" si="11"/>
        <v>#DIV/0!</v>
      </c>
      <c r="L27" s="45" t="e">
        <f t="shared" si="12"/>
        <v>#DIV/0!</v>
      </c>
      <c r="M27" s="45" t="e">
        <f t="shared" si="13"/>
        <v>#DIV/0!</v>
      </c>
      <c r="N27" s="45" t="e">
        <f t="shared" si="14"/>
        <v>#DIV/0!</v>
      </c>
      <c r="O27" s="45" t="e">
        <f t="shared" si="15"/>
        <v>#DIV/0!</v>
      </c>
      <c r="P27" s="45" t="e">
        <f t="shared" si="16"/>
        <v>#DIV/0!</v>
      </c>
      <c r="Q27" s="55" t="e">
        <f>Q26+ATM_Conf!$C$5*(B26)/(Links!B$191*Links!Q$191)</f>
        <v>#DIV/0!</v>
      </c>
      <c r="R27" s="55" t="e">
        <f>R26+ATM_Conf!$C$5*(C26-B26)/(Links!C$191*Links!R$191)</f>
        <v>#DIV/0!</v>
      </c>
      <c r="S27" s="55" t="e">
        <f>S26+ATM_Conf!$C$5*(D26-C26)/(Links!D$191*Links!S$191)</f>
        <v>#DIV/0!</v>
      </c>
      <c r="T27" s="55" t="e">
        <f>T26+ATM_Conf!$C$5*(E26-D26)/(Links!E$191*Links!T$191)</f>
        <v>#DIV/0!</v>
      </c>
      <c r="U27" s="55" t="e">
        <f>U26+ATM_Conf!$C$5*(F26-E26)/(Links!F$191*Links!U$191)</f>
        <v>#DIV/0!</v>
      </c>
      <c r="V27" s="55" t="e">
        <f>V26+ATM_Conf!$C$5*(G26-F26)/(Links!G$191*Links!V$191)</f>
        <v>#DIV/0!</v>
      </c>
      <c r="W27" s="55" t="e">
        <f>W26+ATM_Conf!$C$5*(H26-G26)/(Links!H$191*Links!W$191)</f>
        <v>#DIV/0!</v>
      </c>
      <c r="X27" s="55" t="e">
        <f>X26+ATM_Conf!$C$5*(I26-H26)/(Links!I$191*Links!X$191)</f>
        <v>#DIV/0!</v>
      </c>
      <c r="Y27" s="55" t="e">
        <f>Y26+ATM_Conf!$C$5*(J26)/(Links!J$191*Links!Y$191)</f>
        <v>#DIV/0!</v>
      </c>
      <c r="Z27" s="55" t="e">
        <f>Z26+ATM_Conf!$C$5*(K26-J26)/(Links!K$191*Links!Z$191)</f>
        <v>#DIV/0!</v>
      </c>
      <c r="AA27" s="55" t="e">
        <f>AA26+ATM_Conf!$C$5*(L26-K26)/(Links!L$191*Links!AA$191)</f>
        <v>#DIV/0!</v>
      </c>
      <c r="AB27" s="55" t="e">
        <f>AB26+ATM_Conf!$C$5*(M26-L26)/(Links!M$191*Links!AB$191)</f>
        <v>#DIV/0!</v>
      </c>
      <c r="AC27" s="55" t="e">
        <f>AC26+ATM_Conf!$C$5*(N26-M26)/(Links!N$191*Links!AC$191)</f>
        <v>#DIV/0!</v>
      </c>
      <c r="AD27" s="55" t="e">
        <f>AD26+ATM_Conf!$C$5*(O26-N26)/(Links!O$191*Links!AD$191)</f>
        <v>#DIV/0!</v>
      </c>
      <c r="AE27" s="55" t="e">
        <f>AE26+ATM_Conf!$C$5*(P26-O26)/(Links!P$191*Links!AE$191)</f>
        <v>#DIV/0!</v>
      </c>
      <c r="AF27" s="45" t="e">
        <f>AF26+(ATM_Conf!$C$5/ATM_Conf!$C$8)*(Links!AU26*EXP((-(Links!Q26/Links!BJ26)^Links!BY26)/Links!BY26)-Links!AF26)-(ATM_Conf!$C$9*ATM_Conf!$C$5/(ATM_Conf!$C$8*Links!Q$191))*(Nodes!BO26-Links!Q26)/(Links!Q26/ATM_Conf!$C$10)</f>
        <v>#DIV/0!</v>
      </c>
      <c r="AG27" s="45" t="e">
        <f>AG26+(ATM_Conf!$C$5/ATM_Conf!$C$8)*(Links!AV26*EXP((-(Links!R26/Links!BK26)^Links!BZ26)/Links!BZ26)-Links!AG26)+(ATM_Conf!$C$5/Links!R$191)*Links!AG26*(Nodes!BB26-Links!AG26)-(ATM_Conf!$C$9*ATM_Conf!$C$5/(ATM_Conf!$C$8*Links!R$191))*(Nodes!BP26-Links!R26)/(Links!R26/ATM_Conf!$C$10)</f>
        <v>#DIV/0!</v>
      </c>
      <c r="AH27" s="45" t="e">
        <f>AH26+(ATM_Conf!$C$5/ATM_Conf!$C$8)*(Links!AW26*EXP((-(Links!S26/Links!BL26)^Links!CA26)/Links!CA26)-Links!AH26)+(ATM_Conf!$C$5/Links!S$191)*Links!AH26*(Nodes!BC26-Links!AH26)-(ATM_Conf!$C$9*ATM_Conf!$C$5/(ATM_Conf!$C$8*Links!S$191))*(Nodes!BQ26-Links!S26)/(Links!S26/ATM_Conf!$C$10)</f>
        <v>#DIV/0!</v>
      </c>
      <c r="AI27" s="45" t="e">
        <f>AI26+(ATM_Conf!$C$5/ATM_Conf!$C$8)*(Links!AX26*EXP((-(Links!T26/Links!BM26)^Links!CB26)/Links!CB26)-Links!AI26)+(ATM_Conf!$C$5/Links!T$191)*Links!AI26*(Nodes!BD26-Links!AI26)-(ATM_Conf!$C$9*ATM_Conf!$C$5/(ATM_Conf!$C$8*Links!T$191))*(Nodes!BR26-Links!T26)/(Links!T26/ATM_Conf!$C$10)</f>
        <v>#DIV/0!</v>
      </c>
      <c r="AJ27" s="45" t="e">
        <f>AJ26+(ATM_Conf!$C$5/ATM_Conf!$C$8)*(Links!AY26*EXP((-(Links!U26/Links!BN26)^Links!CC26)/Links!CC26)-Links!AJ26)+(ATM_Conf!$C$5/Links!U$191)*Links!AJ26*(Nodes!BE26-Links!AJ26)-(ATM_Conf!$C$9*ATM_Conf!$C$5/(ATM_Conf!$C$8*Links!U$191))*(Nodes!BS26-Links!U26)/(Links!U26/ATM_Conf!$C$10)</f>
        <v>#DIV/0!</v>
      </c>
      <c r="AK27" s="45" t="e">
        <f>AK26+(ATM_Conf!$C$5/ATM_Conf!$C$8)*(Links!AZ26*EXP((-(Links!V26/Links!BO26)^Links!CD26)/Links!CD26)-Links!AK26)+(ATM_Conf!$C$5/Links!V$191)*Links!AK26*(Nodes!BF26-Links!AK26)-(ATM_Conf!$C$9*ATM_Conf!$C$5/(ATM_Conf!$C$8*Links!V$191))*(Nodes!BT26-Links!V26)/(Links!V26/ATM_Conf!$C$10)</f>
        <v>#DIV/0!</v>
      </c>
      <c r="AL27" s="45" t="e">
        <f>AL26+(ATM_Conf!$C$5/ATM_Conf!$C$8)*(Links!BA26*EXP((-(Links!W26/Links!BP26)^Links!CE26)/Links!CE26)-Links!AL26)+(ATM_Conf!$C$5/Links!W$191)*Links!AL26*(Nodes!BG26-Links!AL26)-(ATM_Conf!$C$9*ATM_Conf!$C$5/(ATM_Conf!$C$8*Links!W$191))*(Nodes!BU26-Links!W26)/(Links!W26/ATM_Conf!$C$10)</f>
        <v>#DIV/0!</v>
      </c>
      <c r="AM27" s="45" t="e">
        <f>AM26+(ATM_Conf!$C$5/ATM_Conf!$C$8)*(Links!BB26*EXP((-(Links!X26/Links!BQ26)^Links!CF26)/Links!CF26)-Links!AM26)+(ATM_Conf!$C$5/Links!X$191)*Links!AM26*(Nodes!BH26-Links!AM26)</f>
        <v>#DIV/0!</v>
      </c>
      <c r="AN27" s="45" t="e">
        <f>AN26+(ATM_Conf!$C$5/ATM_Conf!$C$8)*(Links!BC26*EXP((-(Links!Y26/Links!BR26)^Links!CG26)/Links!CG26)-Links!AN26)-(ATM_Conf!$C$9*ATM_Conf!$C$5/(ATM_Conf!$C$8*Links!Y$191))*(Nodes!BV26-Links!Y26)/(Links!Y26/ATM_Conf!$C$10)</f>
        <v>#DIV/0!</v>
      </c>
      <c r="AO27" s="45" t="e">
        <f>AO26+(ATM_Conf!$C$5/ATM_Conf!$C$8)*(Links!BD26*EXP((-(Links!Z26/Links!BS26)^Links!CH26)/Links!CH26)-Links!AO26)+(ATM_Conf!$C$5/Links!Z$191)*Links!AO26*(Nodes!BI26-Links!AO26)-(ATM_Conf!$C$9*ATM_Conf!$C$5/(ATM_Conf!$C$8*Links!Z$191))*(Nodes!BW26-Links!Z26)/(Links!Z26/ATM_Conf!$C$10)</f>
        <v>#DIV/0!</v>
      </c>
      <c r="AP27" s="45" t="e">
        <f>AP26+(ATM_Conf!$C$5/ATM_Conf!$C$8)*(Links!BE26*EXP((-(Links!AA26/Links!BT26)^Links!CI26)/Links!CI26)-Links!AP26)+(ATM_Conf!$C$5/Links!AA$191)*Links!AP26*(Nodes!BJ26-Links!AP26)-(ATM_Conf!$C$9*ATM_Conf!$C$5/(ATM_Conf!$C$8*Links!AA$191))*(Nodes!BX26-Links!AA26)/(Links!AA26/ATM_Conf!$C$10)</f>
        <v>#DIV/0!</v>
      </c>
      <c r="AQ27" s="45" t="e">
        <f>AQ26+(ATM_Conf!$C$5/ATM_Conf!$C$8)*(Links!BF26*EXP((-(Links!AB26/Links!BU26)^Links!CJ26)/Links!CJ26)-Links!AQ26)+(ATM_Conf!$C$5/Links!AB$191)*Links!AQ26*(Nodes!BK26-Links!AQ26)-(ATM_Conf!$C$9*ATM_Conf!$C$5/(ATM_Conf!$C$8*Links!AB$191))*(Nodes!BY26-Links!AB26)/(Links!AB26/ATM_Conf!$C$10)</f>
        <v>#DIV/0!</v>
      </c>
      <c r="AR27" s="45" t="e">
        <f>AR26+(ATM_Conf!$C$5/ATM_Conf!$C$8)*(Links!BG26*EXP((-(Links!AC26/Links!BV26)^Links!CK26)/Links!CK26)-Links!AR26)+(ATM_Conf!$C$5/Links!AC$191)*Links!AR26*(Nodes!BL26-Links!AR26)-(ATM_Conf!$C$9*ATM_Conf!$C$5/(ATM_Conf!$C$8*Links!AC$191))*(Nodes!BZ26-Links!AC26)/(Links!AC26/ATM_Conf!$C$10)</f>
        <v>#DIV/0!</v>
      </c>
      <c r="AS27" s="45" t="e">
        <f>AS26+(ATM_Conf!$C$5/ATM_Conf!$C$8)*(Links!BH26*EXP((-(Links!AD26/Links!BW26)^Links!CL26)/Links!CL26)-Links!AS26)+(ATM_Conf!$C$5/Links!AD$191)*Links!AS26*(Nodes!BM26-Links!AS26)-(ATM_Conf!$C$9*ATM_Conf!$C$5/(ATM_Conf!$C$8*Links!AD$191))*(Nodes!CA26-Links!AD26)/(Links!AD26/ATM_Conf!$C$10)</f>
        <v>#DIV/0!</v>
      </c>
      <c r="AT27" s="45" t="e">
        <f>AT26+(ATM_Conf!$C$5/ATM_Conf!$C$8)*(Links!BI26*EXP((-(Links!AE26/Links!BX26)^Links!CM26)/Links!CM26)-Links!AT26)+(ATM_Conf!$C$5/Links!AE$191)*Links!AT26*(Nodes!BN26-Links!AT26)</f>
        <v>#DIV/0!</v>
      </c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53">
        <f>(CN27-CN15)^2</f>
        <v>0</v>
      </c>
      <c r="DD27" s="53">
        <f t="shared" ref="DD27:DQ27" si="22">(CO27-CO15)^2</f>
        <v>0</v>
      </c>
      <c r="DE27" s="53">
        <f t="shared" si="22"/>
        <v>0</v>
      </c>
      <c r="DF27" s="53">
        <f t="shared" si="22"/>
        <v>0</v>
      </c>
      <c r="DG27" s="53">
        <f t="shared" si="22"/>
        <v>0</v>
      </c>
      <c r="DH27" s="53">
        <f t="shared" si="22"/>
        <v>0</v>
      </c>
      <c r="DI27" s="53">
        <f t="shared" si="22"/>
        <v>0</v>
      </c>
      <c r="DJ27" s="53">
        <f t="shared" si="22"/>
        <v>0</v>
      </c>
      <c r="DK27" s="53">
        <f t="shared" si="22"/>
        <v>0</v>
      </c>
      <c r="DL27" s="53">
        <f t="shared" si="22"/>
        <v>0</v>
      </c>
      <c r="DM27" s="53">
        <f t="shared" si="22"/>
        <v>0</v>
      </c>
      <c r="DN27" s="53">
        <f t="shared" si="22"/>
        <v>0</v>
      </c>
      <c r="DO27" s="53">
        <f t="shared" si="22"/>
        <v>0</v>
      </c>
      <c r="DP27" s="53">
        <f t="shared" si="22"/>
        <v>0</v>
      </c>
      <c r="DQ27" s="53">
        <f t="shared" si="22"/>
        <v>0</v>
      </c>
    </row>
    <row r="28" spans="1:121" ht="14.25" x14ac:dyDescent="0.15">
      <c r="A28" s="48">
        <v>26</v>
      </c>
      <c r="B28" s="45" t="e">
        <f t="shared" si="2"/>
        <v>#DIV/0!</v>
      </c>
      <c r="C28" s="45" t="e">
        <f t="shared" si="3"/>
        <v>#DIV/0!</v>
      </c>
      <c r="D28" s="45" t="e">
        <f t="shared" si="4"/>
        <v>#DIV/0!</v>
      </c>
      <c r="E28" s="45" t="e">
        <f t="shared" si="5"/>
        <v>#DIV/0!</v>
      </c>
      <c r="F28" s="45" t="e">
        <f t="shared" si="6"/>
        <v>#DIV/0!</v>
      </c>
      <c r="G28" s="45" t="e">
        <f t="shared" si="7"/>
        <v>#DIV/0!</v>
      </c>
      <c r="H28" s="45" t="e">
        <f t="shared" si="8"/>
        <v>#DIV/0!</v>
      </c>
      <c r="I28" s="45" t="e">
        <f t="shared" si="9"/>
        <v>#DIV/0!</v>
      </c>
      <c r="J28" s="45" t="e">
        <f t="shared" si="10"/>
        <v>#DIV/0!</v>
      </c>
      <c r="K28" s="45" t="e">
        <f t="shared" si="11"/>
        <v>#DIV/0!</v>
      </c>
      <c r="L28" s="45" t="e">
        <f t="shared" si="12"/>
        <v>#DIV/0!</v>
      </c>
      <c r="M28" s="45" t="e">
        <f t="shared" si="13"/>
        <v>#DIV/0!</v>
      </c>
      <c r="N28" s="45" t="e">
        <f t="shared" si="14"/>
        <v>#DIV/0!</v>
      </c>
      <c r="O28" s="45" t="e">
        <f t="shared" si="15"/>
        <v>#DIV/0!</v>
      </c>
      <c r="P28" s="45" t="e">
        <f t="shared" si="16"/>
        <v>#DIV/0!</v>
      </c>
      <c r="Q28" s="55" t="e">
        <f>Q27+ATM_Conf!$C$5*(B27)/(Links!B$191*Links!Q$191)</f>
        <v>#DIV/0!</v>
      </c>
      <c r="R28" s="55" t="e">
        <f>R27+ATM_Conf!$C$5*(C27-B27)/(Links!C$191*Links!R$191)</f>
        <v>#DIV/0!</v>
      </c>
      <c r="S28" s="55" t="e">
        <f>S27+ATM_Conf!$C$5*(D27-C27)/(Links!D$191*Links!S$191)</f>
        <v>#DIV/0!</v>
      </c>
      <c r="T28" s="55" t="e">
        <f>T27+ATM_Conf!$C$5*(E27-D27)/(Links!E$191*Links!T$191)</f>
        <v>#DIV/0!</v>
      </c>
      <c r="U28" s="55" t="e">
        <f>U27+ATM_Conf!$C$5*(F27-E27)/(Links!F$191*Links!U$191)</f>
        <v>#DIV/0!</v>
      </c>
      <c r="V28" s="55" t="e">
        <f>V27+ATM_Conf!$C$5*(G27-F27)/(Links!G$191*Links!V$191)</f>
        <v>#DIV/0!</v>
      </c>
      <c r="W28" s="55" t="e">
        <f>W27+ATM_Conf!$C$5*(H27-G27)/(Links!H$191*Links!W$191)</f>
        <v>#DIV/0!</v>
      </c>
      <c r="X28" s="55" t="e">
        <f>X27+ATM_Conf!$C$5*(I27-H27)/(Links!I$191*Links!X$191)</f>
        <v>#DIV/0!</v>
      </c>
      <c r="Y28" s="55" t="e">
        <f>Y27+ATM_Conf!$C$5*(J27)/(Links!J$191*Links!Y$191)</f>
        <v>#DIV/0!</v>
      </c>
      <c r="Z28" s="55" t="e">
        <f>Z27+ATM_Conf!$C$5*(K27-J27)/(Links!K$191*Links!Z$191)</f>
        <v>#DIV/0!</v>
      </c>
      <c r="AA28" s="55" t="e">
        <f>AA27+ATM_Conf!$C$5*(L27-K27)/(Links!L$191*Links!AA$191)</f>
        <v>#DIV/0!</v>
      </c>
      <c r="AB28" s="55" t="e">
        <f>AB27+ATM_Conf!$C$5*(M27-L27)/(Links!M$191*Links!AB$191)</f>
        <v>#DIV/0!</v>
      </c>
      <c r="AC28" s="55" t="e">
        <f>AC27+ATM_Conf!$C$5*(N27-M27)/(Links!N$191*Links!AC$191)</f>
        <v>#DIV/0!</v>
      </c>
      <c r="AD28" s="55" t="e">
        <f>AD27+ATM_Conf!$C$5*(O27-N27)/(Links!O$191*Links!AD$191)</f>
        <v>#DIV/0!</v>
      </c>
      <c r="AE28" s="55" t="e">
        <f>AE27+ATM_Conf!$C$5*(P27-O27)/(Links!P$191*Links!AE$191)</f>
        <v>#DIV/0!</v>
      </c>
      <c r="AF28" s="45" t="e">
        <f>AF27+(ATM_Conf!$C$5/ATM_Conf!$C$8)*(Links!AU27*EXP((-(Links!Q27/Links!BJ27)^Links!BY27)/Links!BY27)-Links!AF27)-(ATM_Conf!$C$9*ATM_Conf!$C$5/(ATM_Conf!$C$8*Links!Q$191))*(Nodes!BO27-Links!Q27)/(Links!Q27/ATM_Conf!$C$10)</f>
        <v>#DIV/0!</v>
      </c>
      <c r="AG28" s="45" t="e">
        <f>AG27+(ATM_Conf!$C$5/ATM_Conf!$C$8)*(Links!AV27*EXP((-(Links!R27/Links!BK27)^Links!BZ27)/Links!BZ27)-Links!AG27)+(ATM_Conf!$C$5/Links!R$191)*Links!AG27*(Nodes!BB27-Links!AG27)-(ATM_Conf!$C$9*ATM_Conf!$C$5/(ATM_Conf!$C$8*Links!R$191))*(Nodes!BP27-Links!R27)/(Links!R27/ATM_Conf!$C$10)</f>
        <v>#DIV/0!</v>
      </c>
      <c r="AH28" s="45" t="e">
        <f>AH27+(ATM_Conf!$C$5/ATM_Conf!$C$8)*(Links!AW27*EXP((-(Links!S27/Links!BL27)^Links!CA27)/Links!CA27)-Links!AH27)+(ATM_Conf!$C$5/Links!S$191)*Links!AH27*(Nodes!BC27-Links!AH27)-(ATM_Conf!$C$9*ATM_Conf!$C$5/(ATM_Conf!$C$8*Links!S$191))*(Nodes!BQ27-Links!S27)/(Links!S27/ATM_Conf!$C$10)</f>
        <v>#DIV/0!</v>
      </c>
      <c r="AI28" s="45" t="e">
        <f>AI27+(ATM_Conf!$C$5/ATM_Conf!$C$8)*(Links!AX27*EXP((-(Links!T27/Links!BM27)^Links!CB27)/Links!CB27)-Links!AI27)+(ATM_Conf!$C$5/Links!T$191)*Links!AI27*(Nodes!BD27-Links!AI27)-(ATM_Conf!$C$9*ATM_Conf!$C$5/(ATM_Conf!$C$8*Links!T$191))*(Nodes!BR27-Links!T27)/(Links!T27/ATM_Conf!$C$10)</f>
        <v>#DIV/0!</v>
      </c>
      <c r="AJ28" s="45" t="e">
        <f>AJ27+(ATM_Conf!$C$5/ATM_Conf!$C$8)*(Links!AY27*EXP((-(Links!U27/Links!BN27)^Links!CC27)/Links!CC27)-Links!AJ27)+(ATM_Conf!$C$5/Links!U$191)*Links!AJ27*(Nodes!BE27-Links!AJ27)-(ATM_Conf!$C$9*ATM_Conf!$C$5/(ATM_Conf!$C$8*Links!U$191))*(Nodes!BS27-Links!U27)/(Links!U27/ATM_Conf!$C$10)</f>
        <v>#DIV/0!</v>
      </c>
      <c r="AK28" s="45" t="e">
        <f>AK27+(ATM_Conf!$C$5/ATM_Conf!$C$8)*(Links!AZ27*EXP((-(Links!V27/Links!BO27)^Links!CD27)/Links!CD27)-Links!AK27)+(ATM_Conf!$C$5/Links!V$191)*Links!AK27*(Nodes!BF27-Links!AK27)-(ATM_Conf!$C$9*ATM_Conf!$C$5/(ATM_Conf!$C$8*Links!V$191))*(Nodes!BT27-Links!V27)/(Links!V27/ATM_Conf!$C$10)</f>
        <v>#DIV/0!</v>
      </c>
      <c r="AL28" s="45" t="e">
        <f>AL27+(ATM_Conf!$C$5/ATM_Conf!$C$8)*(Links!BA27*EXP((-(Links!W27/Links!BP27)^Links!CE27)/Links!CE27)-Links!AL27)+(ATM_Conf!$C$5/Links!W$191)*Links!AL27*(Nodes!BG27-Links!AL27)-(ATM_Conf!$C$9*ATM_Conf!$C$5/(ATM_Conf!$C$8*Links!W$191))*(Nodes!BU27-Links!W27)/(Links!W27/ATM_Conf!$C$10)</f>
        <v>#DIV/0!</v>
      </c>
      <c r="AM28" s="45" t="e">
        <f>AM27+(ATM_Conf!$C$5/ATM_Conf!$C$8)*(Links!BB27*EXP((-(Links!X27/Links!BQ27)^Links!CF27)/Links!CF27)-Links!AM27)+(ATM_Conf!$C$5/Links!X$191)*Links!AM27*(Nodes!BH27-Links!AM27)</f>
        <v>#DIV/0!</v>
      </c>
      <c r="AN28" s="45" t="e">
        <f>AN27+(ATM_Conf!$C$5/ATM_Conf!$C$8)*(Links!BC27*EXP((-(Links!Y27/Links!BR27)^Links!CG27)/Links!CG27)-Links!AN27)-(ATM_Conf!$C$9*ATM_Conf!$C$5/(ATM_Conf!$C$8*Links!Y$191))*(Nodes!BV27-Links!Y27)/(Links!Y27/ATM_Conf!$C$10)</f>
        <v>#DIV/0!</v>
      </c>
      <c r="AO28" s="45" t="e">
        <f>AO27+(ATM_Conf!$C$5/ATM_Conf!$C$8)*(Links!BD27*EXP((-(Links!Z27/Links!BS27)^Links!CH27)/Links!CH27)-Links!AO27)+(ATM_Conf!$C$5/Links!Z$191)*Links!AO27*(Nodes!BI27-Links!AO27)-(ATM_Conf!$C$9*ATM_Conf!$C$5/(ATM_Conf!$C$8*Links!Z$191))*(Nodes!BW27-Links!Z27)/(Links!Z27/ATM_Conf!$C$10)</f>
        <v>#DIV/0!</v>
      </c>
      <c r="AP28" s="45" t="e">
        <f>AP27+(ATM_Conf!$C$5/ATM_Conf!$C$8)*(Links!BE27*EXP((-(Links!AA27/Links!BT27)^Links!CI27)/Links!CI27)-Links!AP27)+(ATM_Conf!$C$5/Links!AA$191)*Links!AP27*(Nodes!BJ27-Links!AP27)-(ATM_Conf!$C$9*ATM_Conf!$C$5/(ATM_Conf!$C$8*Links!AA$191))*(Nodes!BX27-Links!AA27)/(Links!AA27/ATM_Conf!$C$10)</f>
        <v>#DIV/0!</v>
      </c>
      <c r="AQ28" s="45" t="e">
        <f>AQ27+(ATM_Conf!$C$5/ATM_Conf!$C$8)*(Links!BF27*EXP((-(Links!AB27/Links!BU27)^Links!CJ27)/Links!CJ27)-Links!AQ27)+(ATM_Conf!$C$5/Links!AB$191)*Links!AQ27*(Nodes!BK27-Links!AQ27)-(ATM_Conf!$C$9*ATM_Conf!$C$5/(ATM_Conf!$C$8*Links!AB$191))*(Nodes!BY27-Links!AB27)/(Links!AB27/ATM_Conf!$C$10)</f>
        <v>#DIV/0!</v>
      </c>
      <c r="AR28" s="45" t="e">
        <f>AR27+(ATM_Conf!$C$5/ATM_Conf!$C$8)*(Links!BG27*EXP((-(Links!AC27/Links!BV27)^Links!CK27)/Links!CK27)-Links!AR27)+(ATM_Conf!$C$5/Links!AC$191)*Links!AR27*(Nodes!BL27-Links!AR27)-(ATM_Conf!$C$9*ATM_Conf!$C$5/(ATM_Conf!$C$8*Links!AC$191))*(Nodes!BZ27-Links!AC27)/(Links!AC27/ATM_Conf!$C$10)</f>
        <v>#DIV/0!</v>
      </c>
      <c r="AS28" s="45" t="e">
        <f>AS27+(ATM_Conf!$C$5/ATM_Conf!$C$8)*(Links!BH27*EXP((-(Links!AD27/Links!BW27)^Links!CL27)/Links!CL27)-Links!AS27)+(ATM_Conf!$C$5/Links!AD$191)*Links!AS27*(Nodes!BM27-Links!AS27)-(ATM_Conf!$C$9*ATM_Conf!$C$5/(ATM_Conf!$C$8*Links!AD$191))*(Nodes!CA27-Links!AD27)/(Links!AD27/ATM_Conf!$C$10)</f>
        <v>#DIV/0!</v>
      </c>
      <c r="AT28" s="45" t="e">
        <f>AT27+(ATM_Conf!$C$5/ATM_Conf!$C$8)*(Links!BI27*EXP((-(Links!AE27/Links!BX27)^Links!CM27)/Links!CM27)-Links!AT27)+(ATM_Conf!$C$5/Links!AE$191)*Links!AT27*(Nodes!BN27-Links!AT27)</f>
        <v>#DIV/0!</v>
      </c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45">
        <f>CN$27</f>
        <v>0</v>
      </c>
      <c r="CO28" s="45">
        <f t="shared" ref="CO28:DB28" si="23">CO$27</f>
        <v>0</v>
      </c>
      <c r="CP28" s="45">
        <f t="shared" si="23"/>
        <v>0</v>
      </c>
      <c r="CQ28" s="45">
        <f t="shared" si="23"/>
        <v>0</v>
      </c>
      <c r="CR28" s="45">
        <f t="shared" si="23"/>
        <v>0</v>
      </c>
      <c r="CS28" s="45">
        <f t="shared" si="23"/>
        <v>0</v>
      </c>
      <c r="CT28" s="45">
        <f t="shared" si="23"/>
        <v>0</v>
      </c>
      <c r="CU28" s="45">
        <f t="shared" si="23"/>
        <v>0</v>
      </c>
      <c r="CV28" s="45">
        <f t="shared" si="23"/>
        <v>0</v>
      </c>
      <c r="CW28" s="45">
        <f t="shared" si="23"/>
        <v>0</v>
      </c>
      <c r="CX28" s="45">
        <f t="shared" si="23"/>
        <v>0</v>
      </c>
      <c r="CY28" s="45">
        <f t="shared" si="23"/>
        <v>0</v>
      </c>
      <c r="CZ28" s="45">
        <f t="shared" si="23"/>
        <v>0</v>
      </c>
      <c r="DA28" s="45">
        <f t="shared" si="23"/>
        <v>0</v>
      </c>
      <c r="DB28" s="45">
        <f t="shared" si="23"/>
        <v>0</v>
      </c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</row>
    <row r="29" spans="1:121" ht="14.25" x14ac:dyDescent="0.15">
      <c r="A29" s="48">
        <v>27</v>
      </c>
      <c r="B29" s="45" t="e">
        <f t="shared" si="2"/>
        <v>#DIV/0!</v>
      </c>
      <c r="C29" s="45" t="e">
        <f t="shared" si="3"/>
        <v>#DIV/0!</v>
      </c>
      <c r="D29" s="45" t="e">
        <f t="shared" si="4"/>
        <v>#DIV/0!</v>
      </c>
      <c r="E29" s="45" t="e">
        <f t="shared" si="5"/>
        <v>#DIV/0!</v>
      </c>
      <c r="F29" s="45" t="e">
        <f t="shared" si="6"/>
        <v>#DIV/0!</v>
      </c>
      <c r="G29" s="45" t="e">
        <f t="shared" si="7"/>
        <v>#DIV/0!</v>
      </c>
      <c r="H29" s="45" t="e">
        <f t="shared" si="8"/>
        <v>#DIV/0!</v>
      </c>
      <c r="I29" s="45" t="e">
        <f t="shared" si="9"/>
        <v>#DIV/0!</v>
      </c>
      <c r="J29" s="45" t="e">
        <f t="shared" si="10"/>
        <v>#DIV/0!</v>
      </c>
      <c r="K29" s="45" t="e">
        <f t="shared" si="11"/>
        <v>#DIV/0!</v>
      </c>
      <c r="L29" s="45" t="e">
        <f t="shared" si="12"/>
        <v>#DIV/0!</v>
      </c>
      <c r="M29" s="45" t="e">
        <f t="shared" si="13"/>
        <v>#DIV/0!</v>
      </c>
      <c r="N29" s="45" t="e">
        <f t="shared" si="14"/>
        <v>#DIV/0!</v>
      </c>
      <c r="O29" s="45" t="e">
        <f t="shared" si="15"/>
        <v>#DIV/0!</v>
      </c>
      <c r="P29" s="45" t="e">
        <f t="shared" si="16"/>
        <v>#DIV/0!</v>
      </c>
      <c r="Q29" s="55" t="e">
        <f>Q28+ATM_Conf!$C$5*(B28)/(Links!B$191*Links!Q$191)</f>
        <v>#DIV/0!</v>
      </c>
      <c r="R29" s="55" t="e">
        <f>R28+ATM_Conf!$C$5*(C28-B28)/(Links!C$191*Links!R$191)</f>
        <v>#DIV/0!</v>
      </c>
      <c r="S29" s="55" t="e">
        <f>S28+ATM_Conf!$C$5*(D28-C28)/(Links!D$191*Links!S$191)</f>
        <v>#DIV/0!</v>
      </c>
      <c r="T29" s="55" t="e">
        <f>T28+ATM_Conf!$C$5*(E28-D28)/(Links!E$191*Links!T$191)</f>
        <v>#DIV/0!</v>
      </c>
      <c r="U29" s="55" t="e">
        <f>U28+ATM_Conf!$C$5*(F28-E28)/(Links!F$191*Links!U$191)</f>
        <v>#DIV/0!</v>
      </c>
      <c r="V29" s="55" t="e">
        <f>V28+ATM_Conf!$C$5*(G28-F28)/(Links!G$191*Links!V$191)</f>
        <v>#DIV/0!</v>
      </c>
      <c r="W29" s="55" t="e">
        <f>W28+ATM_Conf!$C$5*(H28-G28)/(Links!H$191*Links!W$191)</f>
        <v>#DIV/0!</v>
      </c>
      <c r="X29" s="55" t="e">
        <f>X28+ATM_Conf!$C$5*(I28-H28)/(Links!I$191*Links!X$191)</f>
        <v>#DIV/0!</v>
      </c>
      <c r="Y29" s="55" t="e">
        <f>Y28+ATM_Conf!$C$5*(J28)/(Links!J$191*Links!Y$191)</f>
        <v>#DIV/0!</v>
      </c>
      <c r="Z29" s="55" t="e">
        <f>Z28+ATM_Conf!$C$5*(K28-J28)/(Links!K$191*Links!Z$191)</f>
        <v>#DIV/0!</v>
      </c>
      <c r="AA29" s="55" t="e">
        <f>AA28+ATM_Conf!$C$5*(L28-K28)/(Links!L$191*Links!AA$191)</f>
        <v>#DIV/0!</v>
      </c>
      <c r="AB29" s="55" t="e">
        <f>AB28+ATM_Conf!$C$5*(M28-L28)/(Links!M$191*Links!AB$191)</f>
        <v>#DIV/0!</v>
      </c>
      <c r="AC29" s="55" t="e">
        <f>AC28+ATM_Conf!$C$5*(N28-M28)/(Links!N$191*Links!AC$191)</f>
        <v>#DIV/0!</v>
      </c>
      <c r="AD29" s="55" t="e">
        <f>AD28+ATM_Conf!$C$5*(O28-N28)/(Links!O$191*Links!AD$191)</f>
        <v>#DIV/0!</v>
      </c>
      <c r="AE29" s="55" t="e">
        <f>AE28+ATM_Conf!$C$5*(P28-O28)/(Links!P$191*Links!AE$191)</f>
        <v>#DIV/0!</v>
      </c>
      <c r="AF29" s="45" t="e">
        <f>AF28+(ATM_Conf!$C$5/ATM_Conf!$C$8)*(Links!AU28*EXP((-(Links!Q28/Links!BJ28)^Links!BY28)/Links!BY28)-Links!AF28)-(ATM_Conf!$C$9*ATM_Conf!$C$5/(ATM_Conf!$C$8*Links!Q$191))*(Nodes!BO28-Links!Q28)/(Links!Q28/ATM_Conf!$C$10)</f>
        <v>#DIV/0!</v>
      </c>
      <c r="AG29" s="45" t="e">
        <f>AG28+(ATM_Conf!$C$5/ATM_Conf!$C$8)*(Links!AV28*EXP((-(Links!R28/Links!BK28)^Links!BZ28)/Links!BZ28)-Links!AG28)+(ATM_Conf!$C$5/Links!R$191)*Links!AG28*(Nodes!BB28-Links!AG28)-(ATM_Conf!$C$9*ATM_Conf!$C$5/(ATM_Conf!$C$8*Links!R$191))*(Nodes!BP28-Links!R28)/(Links!R28/ATM_Conf!$C$10)</f>
        <v>#DIV/0!</v>
      </c>
      <c r="AH29" s="45" t="e">
        <f>AH28+(ATM_Conf!$C$5/ATM_Conf!$C$8)*(Links!AW28*EXP((-(Links!S28/Links!BL28)^Links!CA28)/Links!CA28)-Links!AH28)+(ATM_Conf!$C$5/Links!S$191)*Links!AH28*(Nodes!BC28-Links!AH28)-(ATM_Conf!$C$9*ATM_Conf!$C$5/(ATM_Conf!$C$8*Links!S$191))*(Nodes!BQ28-Links!S28)/(Links!S28/ATM_Conf!$C$10)</f>
        <v>#DIV/0!</v>
      </c>
      <c r="AI29" s="45" t="e">
        <f>AI28+(ATM_Conf!$C$5/ATM_Conf!$C$8)*(Links!AX28*EXP((-(Links!T28/Links!BM28)^Links!CB28)/Links!CB28)-Links!AI28)+(ATM_Conf!$C$5/Links!T$191)*Links!AI28*(Nodes!BD28-Links!AI28)-(ATM_Conf!$C$9*ATM_Conf!$C$5/(ATM_Conf!$C$8*Links!T$191))*(Nodes!BR28-Links!T28)/(Links!T28/ATM_Conf!$C$10)</f>
        <v>#DIV/0!</v>
      </c>
      <c r="AJ29" s="45" t="e">
        <f>AJ28+(ATM_Conf!$C$5/ATM_Conf!$C$8)*(Links!AY28*EXP((-(Links!U28/Links!BN28)^Links!CC28)/Links!CC28)-Links!AJ28)+(ATM_Conf!$C$5/Links!U$191)*Links!AJ28*(Nodes!BE28-Links!AJ28)-(ATM_Conf!$C$9*ATM_Conf!$C$5/(ATM_Conf!$C$8*Links!U$191))*(Nodes!BS28-Links!U28)/(Links!U28/ATM_Conf!$C$10)</f>
        <v>#DIV/0!</v>
      </c>
      <c r="AK29" s="45" t="e">
        <f>AK28+(ATM_Conf!$C$5/ATM_Conf!$C$8)*(Links!AZ28*EXP((-(Links!V28/Links!BO28)^Links!CD28)/Links!CD28)-Links!AK28)+(ATM_Conf!$C$5/Links!V$191)*Links!AK28*(Nodes!BF28-Links!AK28)-(ATM_Conf!$C$9*ATM_Conf!$C$5/(ATM_Conf!$C$8*Links!V$191))*(Nodes!BT28-Links!V28)/(Links!V28/ATM_Conf!$C$10)</f>
        <v>#DIV/0!</v>
      </c>
      <c r="AL29" s="45" t="e">
        <f>AL28+(ATM_Conf!$C$5/ATM_Conf!$C$8)*(Links!BA28*EXP((-(Links!W28/Links!BP28)^Links!CE28)/Links!CE28)-Links!AL28)+(ATM_Conf!$C$5/Links!W$191)*Links!AL28*(Nodes!BG28-Links!AL28)-(ATM_Conf!$C$9*ATM_Conf!$C$5/(ATM_Conf!$C$8*Links!W$191))*(Nodes!BU28-Links!W28)/(Links!W28/ATM_Conf!$C$10)</f>
        <v>#DIV/0!</v>
      </c>
      <c r="AM29" s="45" t="e">
        <f>AM28+(ATM_Conf!$C$5/ATM_Conf!$C$8)*(Links!BB28*EXP((-(Links!X28/Links!BQ28)^Links!CF28)/Links!CF28)-Links!AM28)+(ATM_Conf!$C$5/Links!X$191)*Links!AM28*(Nodes!BH28-Links!AM28)</f>
        <v>#DIV/0!</v>
      </c>
      <c r="AN29" s="45" t="e">
        <f>AN28+(ATM_Conf!$C$5/ATM_Conf!$C$8)*(Links!BC28*EXP((-(Links!Y28/Links!BR28)^Links!CG28)/Links!CG28)-Links!AN28)-(ATM_Conf!$C$9*ATM_Conf!$C$5/(ATM_Conf!$C$8*Links!Y$191))*(Nodes!BV28-Links!Y28)/(Links!Y28/ATM_Conf!$C$10)</f>
        <v>#DIV/0!</v>
      </c>
      <c r="AO29" s="45" t="e">
        <f>AO28+(ATM_Conf!$C$5/ATM_Conf!$C$8)*(Links!BD28*EXP((-(Links!Z28/Links!BS28)^Links!CH28)/Links!CH28)-Links!AO28)+(ATM_Conf!$C$5/Links!Z$191)*Links!AO28*(Nodes!BI28-Links!AO28)-(ATM_Conf!$C$9*ATM_Conf!$C$5/(ATM_Conf!$C$8*Links!Z$191))*(Nodes!BW28-Links!Z28)/(Links!Z28/ATM_Conf!$C$10)</f>
        <v>#DIV/0!</v>
      </c>
      <c r="AP29" s="45" t="e">
        <f>AP28+(ATM_Conf!$C$5/ATM_Conf!$C$8)*(Links!BE28*EXP((-(Links!AA28/Links!BT28)^Links!CI28)/Links!CI28)-Links!AP28)+(ATM_Conf!$C$5/Links!AA$191)*Links!AP28*(Nodes!BJ28-Links!AP28)-(ATM_Conf!$C$9*ATM_Conf!$C$5/(ATM_Conf!$C$8*Links!AA$191))*(Nodes!BX28-Links!AA28)/(Links!AA28/ATM_Conf!$C$10)</f>
        <v>#DIV/0!</v>
      </c>
      <c r="AQ29" s="45" t="e">
        <f>AQ28+(ATM_Conf!$C$5/ATM_Conf!$C$8)*(Links!BF28*EXP((-(Links!AB28/Links!BU28)^Links!CJ28)/Links!CJ28)-Links!AQ28)+(ATM_Conf!$C$5/Links!AB$191)*Links!AQ28*(Nodes!BK28-Links!AQ28)-(ATM_Conf!$C$9*ATM_Conf!$C$5/(ATM_Conf!$C$8*Links!AB$191))*(Nodes!BY28-Links!AB28)/(Links!AB28/ATM_Conf!$C$10)</f>
        <v>#DIV/0!</v>
      </c>
      <c r="AR29" s="45" t="e">
        <f>AR28+(ATM_Conf!$C$5/ATM_Conf!$C$8)*(Links!BG28*EXP((-(Links!AC28/Links!BV28)^Links!CK28)/Links!CK28)-Links!AR28)+(ATM_Conf!$C$5/Links!AC$191)*Links!AR28*(Nodes!BL28-Links!AR28)-(ATM_Conf!$C$9*ATM_Conf!$C$5/(ATM_Conf!$C$8*Links!AC$191))*(Nodes!BZ28-Links!AC28)/(Links!AC28/ATM_Conf!$C$10)</f>
        <v>#DIV/0!</v>
      </c>
      <c r="AS29" s="45" t="e">
        <f>AS28+(ATM_Conf!$C$5/ATM_Conf!$C$8)*(Links!BH28*EXP((-(Links!AD28/Links!BW28)^Links!CL28)/Links!CL28)-Links!AS28)+(ATM_Conf!$C$5/Links!AD$191)*Links!AS28*(Nodes!BM28-Links!AS28)-(ATM_Conf!$C$9*ATM_Conf!$C$5/(ATM_Conf!$C$8*Links!AD$191))*(Nodes!CA28-Links!AD28)/(Links!AD28/ATM_Conf!$C$10)</f>
        <v>#DIV/0!</v>
      </c>
      <c r="AT29" s="45" t="e">
        <f>AT28+(ATM_Conf!$C$5/ATM_Conf!$C$8)*(Links!BI28*EXP((-(Links!AE28/Links!BX28)^Links!CM28)/Links!CM28)-Links!AT28)+(ATM_Conf!$C$5/Links!AE$191)*Links!AT28*(Nodes!BN28-Links!AT28)</f>
        <v>#DIV/0!</v>
      </c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45">
        <f t="shared" ref="CN29:DB38" si="24">CN$27</f>
        <v>0</v>
      </c>
      <c r="CO29" s="45">
        <f t="shared" si="24"/>
        <v>0</v>
      </c>
      <c r="CP29" s="45">
        <f t="shared" si="24"/>
        <v>0</v>
      </c>
      <c r="CQ29" s="45">
        <f t="shared" si="24"/>
        <v>0</v>
      </c>
      <c r="CR29" s="45">
        <f t="shared" si="24"/>
        <v>0</v>
      </c>
      <c r="CS29" s="45">
        <f t="shared" si="24"/>
        <v>0</v>
      </c>
      <c r="CT29" s="45">
        <f t="shared" si="24"/>
        <v>0</v>
      </c>
      <c r="CU29" s="45">
        <f t="shared" si="24"/>
        <v>0</v>
      </c>
      <c r="CV29" s="45">
        <f t="shared" si="24"/>
        <v>0</v>
      </c>
      <c r="CW29" s="45">
        <f t="shared" si="24"/>
        <v>0</v>
      </c>
      <c r="CX29" s="45">
        <f t="shared" si="24"/>
        <v>0</v>
      </c>
      <c r="CY29" s="45">
        <f t="shared" si="24"/>
        <v>0</v>
      </c>
      <c r="CZ29" s="45">
        <f t="shared" si="24"/>
        <v>0</v>
      </c>
      <c r="DA29" s="45">
        <f t="shared" si="24"/>
        <v>0</v>
      </c>
      <c r="DB29" s="45">
        <f t="shared" si="24"/>
        <v>0</v>
      </c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</row>
    <row r="30" spans="1:121" ht="14.25" x14ac:dyDescent="0.15">
      <c r="A30" s="48">
        <v>28</v>
      </c>
      <c r="B30" s="45" t="e">
        <f t="shared" si="2"/>
        <v>#DIV/0!</v>
      </c>
      <c r="C30" s="45" t="e">
        <f t="shared" si="3"/>
        <v>#DIV/0!</v>
      </c>
      <c r="D30" s="45" t="e">
        <f t="shared" si="4"/>
        <v>#DIV/0!</v>
      </c>
      <c r="E30" s="45" t="e">
        <f t="shared" si="5"/>
        <v>#DIV/0!</v>
      </c>
      <c r="F30" s="45" t="e">
        <f t="shared" si="6"/>
        <v>#DIV/0!</v>
      </c>
      <c r="G30" s="45" t="e">
        <f t="shared" si="7"/>
        <v>#DIV/0!</v>
      </c>
      <c r="H30" s="45" t="e">
        <f t="shared" si="8"/>
        <v>#DIV/0!</v>
      </c>
      <c r="I30" s="45" t="e">
        <f t="shared" si="9"/>
        <v>#DIV/0!</v>
      </c>
      <c r="J30" s="45" t="e">
        <f t="shared" si="10"/>
        <v>#DIV/0!</v>
      </c>
      <c r="K30" s="45" t="e">
        <f t="shared" si="11"/>
        <v>#DIV/0!</v>
      </c>
      <c r="L30" s="45" t="e">
        <f t="shared" si="12"/>
        <v>#DIV/0!</v>
      </c>
      <c r="M30" s="45" t="e">
        <f t="shared" si="13"/>
        <v>#DIV/0!</v>
      </c>
      <c r="N30" s="45" t="e">
        <f t="shared" si="14"/>
        <v>#DIV/0!</v>
      </c>
      <c r="O30" s="45" t="e">
        <f t="shared" si="15"/>
        <v>#DIV/0!</v>
      </c>
      <c r="P30" s="45" t="e">
        <f t="shared" si="16"/>
        <v>#DIV/0!</v>
      </c>
      <c r="Q30" s="55" t="e">
        <f>Q29+ATM_Conf!$C$5*(B29)/(Links!B$191*Links!Q$191)</f>
        <v>#DIV/0!</v>
      </c>
      <c r="R30" s="55" t="e">
        <f>R29+ATM_Conf!$C$5*(C29-B29)/(Links!C$191*Links!R$191)</f>
        <v>#DIV/0!</v>
      </c>
      <c r="S30" s="55" t="e">
        <f>S29+ATM_Conf!$C$5*(D29-C29)/(Links!D$191*Links!S$191)</f>
        <v>#DIV/0!</v>
      </c>
      <c r="T30" s="55" t="e">
        <f>T29+ATM_Conf!$C$5*(E29-D29)/(Links!E$191*Links!T$191)</f>
        <v>#DIV/0!</v>
      </c>
      <c r="U30" s="55" t="e">
        <f>U29+ATM_Conf!$C$5*(F29-E29)/(Links!F$191*Links!U$191)</f>
        <v>#DIV/0!</v>
      </c>
      <c r="V30" s="55" t="e">
        <f>V29+ATM_Conf!$C$5*(G29-F29)/(Links!G$191*Links!V$191)</f>
        <v>#DIV/0!</v>
      </c>
      <c r="W30" s="55" t="e">
        <f>W29+ATM_Conf!$C$5*(H29-G29)/(Links!H$191*Links!W$191)</f>
        <v>#DIV/0!</v>
      </c>
      <c r="X30" s="55" t="e">
        <f>X29+ATM_Conf!$C$5*(I29-H29)/(Links!I$191*Links!X$191)</f>
        <v>#DIV/0!</v>
      </c>
      <c r="Y30" s="55" t="e">
        <f>Y29+ATM_Conf!$C$5*(J29)/(Links!J$191*Links!Y$191)</f>
        <v>#DIV/0!</v>
      </c>
      <c r="Z30" s="55" t="e">
        <f>Z29+ATM_Conf!$C$5*(K29-J29)/(Links!K$191*Links!Z$191)</f>
        <v>#DIV/0!</v>
      </c>
      <c r="AA30" s="55" t="e">
        <f>AA29+ATM_Conf!$C$5*(L29-K29)/(Links!L$191*Links!AA$191)</f>
        <v>#DIV/0!</v>
      </c>
      <c r="AB30" s="55" t="e">
        <f>AB29+ATM_Conf!$C$5*(M29-L29)/(Links!M$191*Links!AB$191)</f>
        <v>#DIV/0!</v>
      </c>
      <c r="AC30" s="55" t="e">
        <f>AC29+ATM_Conf!$C$5*(N29-M29)/(Links!N$191*Links!AC$191)</f>
        <v>#DIV/0!</v>
      </c>
      <c r="AD30" s="55" t="e">
        <f>AD29+ATM_Conf!$C$5*(O29-N29)/(Links!O$191*Links!AD$191)</f>
        <v>#DIV/0!</v>
      </c>
      <c r="AE30" s="55" t="e">
        <f>AE29+ATM_Conf!$C$5*(P29-O29)/(Links!P$191*Links!AE$191)</f>
        <v>#DIV/0!</v>
      </c>
      <c r="AF30" s="45" t="e">
        <f>AF29+(ATM_Conf!$C$5/ATM_Conf!$C$8)*(Links!AU29*EXP((-(Links!Q29/Links!BJ29)^Links!BY29)/Links!BY29)-Links!AF29)-(ATM_Conf!$C$9*ATM_Conf!$C$5/(ATM_Conf!$C$8*Links!Q$191))*(Nodes!BO29-Links!Q29)/(Links!Q29/ATM_Conf!$C$10)</f>
        <v>#DIV/0!</v>
      </c>
      <c r="AG30" s="45" t="e">
        <f>AG29+(ATM_Conf!$C$5/ATM_Conf!$C$8)*(Links!AV29*EXP((-(Links!R29/Links!BK29)^Links!BZ29)/Links!BZ29)-Links!AG29)+(ATM_Conf!$C$5/Links!R$191)*Links!AG29*(Nodes!BB29-Links!AG29)-(ATM_Conf!$C$9*ATM_Conf!$C$5/(ATM_Conf!$C$8*Links!R$191))*(Nodes!BP29-Links!R29)/(Links!R29/ATM_Conf!$C$10)</f>
        <v>#DIV/0!</v>
      </c>
      <c r="AH30" s="45" t="e">
        <f>AH29+(ATM_Conf!$C$5/ATM_Conf!$C$8)*(Links!AW29*EXP((-(Links!S29/Links!BL29)^Links!CA29)/Links!CA29)-Links!AH29)+(ATM_Conf!$C$5/Links!S$191)*Links!AH29*(Nodes!BC29-Links!AH29)-(ATM_Conf!$C$9*ATM_Conf!$C$5/(ATM_Conf!$C$8*Links!S$191))*(Nodes!BQ29-Links!S29)/(Links!S29/ATM_Conf!$C$10)</f>
        <v>#DIV/0!</v>
      </c>
      <c r="AI30" s="45" t="e">
        <f>AI29+(ATM_Conf!$C$5/ATM_Conf!$C$8)*(Links!AX29*EXP((-(Links!T29/Links!BM29)^Links!CB29)/Links!CB29)-Links!AI29)+(ATM_Conf!$C$5/Links!T$191)*Links!AI29*(Nodes!BD29-Links!AI29)-(ATM_Conf!$C$9*ATM_Conf!$C$5/(ATM_Conf!$C$8*Links!T$191))*(Nodes!BR29-Links!T29)/(Links!T29/ATM_Conf!$C$10)</f>
        <v>#DIV/0!</v>
      </c>
      <c r="AJ30" s="45" t="e">
        <f>AJ29+(ATM_Conf!$C$5/ATM_Conf!$C$8)*(Links!AY29*EXP((-(Links!U29/Links!BN29)^Links!CC29)/Links!CC29)-Links!AJ29)+(ATM_Conf!$C$5/Links!U$191)*Links!AJ29*(Nodes!BE29-Links!AJ29)-(ATM_Conf!$C$9*ATM_Conf!$C$5/(ATM_Conf!$C$8*Links!U$191))*(Nodes!BS29-Links!U29)/(Links!U29/ATM_Conf!$C$10)</f>
        <v>#DIV/0!</v>
      </c>
      <c r="AK30" s="45" t="e">
        <f>AK29+(ATM_Conf!$C$5/ATM_Conf!$C$8)*(Links!AZ29*EXP((-(Links!V29/Links!BO29)^Links!CD29)/Links!CD29)-Links!AK29)+(ATM_Conf!$C$5/Links!V$191)*Links!AK29*(Nodes!BF29-Links!AK29)-(ATM_Conf!$C$9*ATM_Conf!$C$5/(ATM_Conf!$C$8*Links!V$191))*(Nodes!BT29-Links!V29)/(Links!V29/ATM_Conf!$C$10)</f>
        <v>#DIV/0!</v>
      </c>
      <c r="AL30" s="45" t="e">
        <f>AL29+(ATM_Conf!$C$5/ATM_Conf!$C$8)*(Links!BA29*EXP((-(Links!W29/Links!BP29)^Links!CE29)/Links!CE29)-Links!AL29)+(ATM_Conf!$C$5/Links!W$191)*Links!AL29*(Nodes!BG29-Links!AL29)-(ATM_Conf!$C$9*ATM_Conf!$C$5/(ATM_Conf!$C$8*Links!W$191))*(Nodes!BU29-Links!W29)/(Links!W29/ATM_Conf!$C$10)</f>
        <v>#DIV/0!</v>
      </c>
      <c r="AM30" s="45" t="e">
        <f>AM29+(ATM_Conf!$C$5/ATM_Conf!$C$8)*(Links!BB29*EXP((-(Links!X29/Links!BQ29)^Links!CF29)/Links!CF29)-Links!AM29)+(ATM_Conf!$C$5/Links!X$191)*Links!AM29*(Nodes!BH29-Links!AM29)</f>
        <v>#DIV/0!</v>
      </c>
      <c r="AN30" s="45" t="e">
        <f>AN29+(ATM_Conf!$C$5/ATM_Conf!$C$8)*(Links!BC29*EXP((-(Links!Y29/Links!BR29)^Links!CG29)/Links!CG29)-Links!AN29)-(ATM_Conf!$C$9*ATM_Conf!$C$5/(ATM_Conf!$C$8*Links!Y$191))*(Nodes!BV29-Links!Y29)/(Links!Y29/ATM_Conf!$C$10)</f>
        <v>#DIV/0!</v>
      </c>
      <c r="AO30" s="45" t="e">
        <f>AO29+(ATM_Conf!$C$5/ATM_Conf!$C$8)*(Links!BD29*EXP((-(Links!Z29/Links!BS29)^Links!CH29)/Links!CH29)-Links!AO29)+(ATM_Conf!$C$5/Links!Z$191)*Links!AO29*(Nodes!BI29-Links!AO29)-(ATM_Conf!$C$9*ATM_Conf!$C$5/(ATM_Conf!$C$8*Links!Z$191))*(Nodes!BW29-Links!Z29)/(Links!Z29/ATM_Conf!$C$10)</f>
        <v>#DIV/0!</v>
      </c>
      <c r="AP30" s="45" t="e">
        <f>AP29+(ATM_Conf!$C$5/ATM_Conf!$C$8)*(Links!BE29*EXP((-(Links!AA29/Links!BT29)^Links!CI29)/Links!CI29)-Links!AP29)+(ATM_Conf!$C$5/Links!AA$191)*Links!AP29*(Nodes!BJ29-Links!AP29)-(ATM_Conf!$C$9*ATM_Conf!$C$5/(ATM_Conf!$C$8*Links!AA$191))*(Nodes!BX29-Links!AA29)/(Links!AA29/ATM_Conf!$C$10)</f>
        <v>#DIV/0!</v>
      </c>
      <c r="AQ30" s="45" t="e">
        <f>AQ29+(ATM_Conf!$C$5/ATM_Conf!$C$8)*(Links!BF29*EXP((-(Links!AB29/Links!BU29)^Links!CJ29)/Links!CJ29)-Links!AQ29)+(ATM_Conf!$C$5/Links!AB$191)*Links!AQ29*(Nodes!BK29-Links!AQ29)-(ATM_Conf!$C$9*ATM_Conf!$C$5/(ATM_Conf!$C$8*Links!AB$191))*(Nodes!BY29-Links!AB29)/(Links!AB29/ATM_Conf!$C$10)</f>
        <v>#DIV/0!</v>
      </c>
      <c r="AR30" s="45" t="e">
        <f>AR29+(ATM_Conf!$C$5/ATM_Conf!$C$8)*(Links!BG29*EXP((-(Links!AC29/Links!BV29)^Links!CK29)/Links!CK29)-Links!AR29)+(ATM_Conf!$C$5/Links!AC$191)*Links!AR29*(Nodes!BL29-Links!AR29)-(ATM_Conf!$C$9*ATM_Conf!$C$5/(ATM_Conf!$C$8*Links!AC$191))*(Nodes!BZ29-Links!AC29)/(Links!AC29/ATM_Conf!$C$10)</f>
        <v>#DIV/0!</v>
      </c>
      <c r="AS30" s="45" t="e">
        <f>AS29+(ATM_Conf!$C$5/ATM_Conf!$C$8)*(Links!BH29*EXP((-(Links!AD29/Links!BW29)^Links!CL29)/Links!CL29)-Links!AS29)+(ATM_Conf!$C$5/Links!AD$191)*Links!AS29*(Nodes!BM29-Links!AS29)-(ATM_Conf!$C$9*ATM_Conf!$C$5/(ATM_Conf!$C$8*Links!AD$191))*(Nodes!CA29-Links!AD29)/(Links!AD29/ATM_Conf!$C$10)</f>
        <v>#DIV/0!</v>
      </c>
      <c r="AT30" s="45" t="e">
        <f>AT29+(ATM_Conf!$C$5/ATM_Conf!$C$8)*(Links!BI29*EXP((-(Links!AE29/Links!BX29)^Links!CM29)/Links!CM29)-Links!AT29)+(ATM_Conf!$C$5/Links!AE$191)*Links!AT29*(Nodes!BN29-Links!AT29)</f>
        <v>#DIV/0!</v>
      </c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45">
        <f t="shared" si="24"/>
        <v>0</v>
      </c>
      <c r="CO30" s="45">
        <f t="shared" si="24"/>
        <v>0</v>
      </c>
      <c r="CP30" s="45">
        <f t="shared" si="24"/>
        <v>0</v>
      </c>
      <c r="CQ30" s="45">
        <f t="shared" si="24"/>
        <v>0</v>
      </c>
      <c r="CR30" s="45">
        <f t="shared" si="24"/>
        <v>0</v>
      </c>
      <c r="CS30" s="45">
        <f t="shared" si="24"/>
        <v>0</v>
      </c>
      <c r="CT30" s="45">
        <f t="shared" si="24"/>
        <v>0</v>
      </c>
      <c r="CU30" s="45">
        <f t="shared" si="24"/>
        <v>0</v>
      </c>
      <c r="CV30" s="45">
        <f t="shared" si="24"/>
        <v>0</v>
      </c>
      <c r="CW30" s="45">
        <f t="shared" si="24"/>
        <v>0</v>
      </c>
      <c r="CX30" s="45">
        <f t="shared" si="24"/>
        <v>0</v>
      </c>
      <c r="CY30" s="45">
        <f t="shared" si="24"/>
        <v>0</v>
      </c>
      <c r="CZ30" s="45">
        <f t="shared" si="24"/>
        <v>0</v>
      </c>
      <c r="DA30" s="45">
        <f t="shared" si="24"/>
        <v>0</v>
      </c>
      <c r="DB30" s="45">
        <f t="shared" si="24"/>
        <v>0</v>
      </c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</row>
    <row r="31" spans="1:121" ht="14.25" x14ac:dyDescent="0.15">
      <c r="A31" s="48">
        <v>29</v>
      </c>
      <c r="B31" s="45" t="e">
        <f t="shared" si="2"/>
        <v>#DIV/0!</v>
      </c>
      <c r="C31" s="45" t="e">
        <f t="shared" si="3"/>
        <v>#DIV/0!</v>
      </c>
      <c r="D31" s="45" t="e">
        <f t="shared" si="4"/>
        <v>#DIV/0!</v>
      </c>
      <c r="E31" s="45" t="e">
        <f t="shared" si="5"/>
        <v>#DIV/0!</v>
      </c>
      <c r="F31" s="45" t="e">
        <f t="shared" si="6"/>
        <v>#DIV/0!</v>
      </c>
      <c r="G31" s="45" t="e">
        <f t="shared" si="7"/>
        <v>#DIV/0!</v>
      </c>
      <c r="H31" s="45" t="e">
        <f t="shared" si="8"/>
        <v>#DIV/0!</v>
      </c>
      <c r="I31" s="45" t="e">
        <f t="shared" si="9"/>
        <v>#DIV/0!</v>
      </c>
      <c r="J31" s="45" t="e">
        <f t="shared" si="10"/>
        <v>#DIV/0!</v>
      </c>
      <c r="K31" s="45" t="e">
        <f t="shared" si="11"/>
        <v>#DIV/0!</v>
      </c>
      <c r="L31" s="45" t="e">
        <f t="shared" si="12"/>
        <v>#DIV/0!</v>
      </c>
      <c r="M31" s="45" t="e">
        <f t="shared" si="13"/>
        <v>#DIV/0!</v>
      </c>
      <c r="N31" s="45" t="e">
        <f t="shared" si="14"/>
        <v>#DIV/0!</v>
      </c>
      <c r="O31" s="45" t="e">
        <f t="shared" si="15"/>
        <v>#DIV/0!</v>
      </c>
      <c r="P31" s="45" t="e">
        <f t="shared" si="16"/>
        <v>#DIV/0!</v>
      </c>
      <c r="Q31" s="55" t="e">
        <f>Q30+ATM_Conf!$C$5*(B30)/(Links!B$191*Links!Q$191)</f>
        <v>#DIV/0!</v>
      </c>
      <c r="R31" s="55" t="e">
        <f>R30+ATM_Conf!$C$5*(C30-B30)/(Links!C$191*Links!R$191)</f>
        <v>#DIV/0!</v>
      </c>
      <c r="S31" s="55" t="e">
        <f>S30+ATM_Conf!$C$5*(D30-C30)/(Links!D$191*Links!S$191)</f>
        <v>#DIV/0!</v>
      </c>
      <c r="T31" s="55" t="e">
        <f>T30+ATM_Conf!$C$5*(E30-D30)/(Links!E$191*Links!T$191)</f>
        <v>#DIV/0!</v>
      </c>
      <c r="U31" s="55" t="e">
        <f>U30+ATM_Conf!$C$5*(F30-E30)/(Links!F$191*Links!U$191)</f>
        <v>#DIV/0!</v>
      </c>
      <c r="V31" s="55" t="e">
        <f>V30+ATM_Conf!$C$5*(G30-F30)/(Links!G$191*Links!V$191)</f>
        <v>#DIV/0!</v>
      </c>
      <c r="W31" s="55" t="e">
        <f>W30+ATM_Conf!$C$5*(H30-G30)/(Links!H$191*Links!W$191)</f>
        <v>#DIV/0!</v>
      </c>
      <c r="X31" s="55" t="e">
        <f>X30+ATM_Conf!$C$5*(I30-H30)/(Links!I$191*Links!X$191)</f>
        <v>#DIV/0!</v>
      </c>
      <c r="Y31" s="55" t="e">
        <f>Y30+ATM_Conf!$C$5*(J30)/(Links!J$191*Links!Y$191)</f>
        <v>#DIV/0!</v>
      </c>
      <c r="Z31" s="55" t="e">
        <f>Z30+ATM_Conf!$C$5*(K30-J30)/(Links!K$191*Links!Z$191)</f>
        <v>#DIV/0!</v>
      </c>
      <c r="AA31" s="55" t="e">
        <f>AA30+ATM_Conf!$C$5*(L30-K30)/(Links!L$191*Links!AA$191)</f>
        <v>#DIV/0!</v>
      </c>
      <c r="AB31" s="55" t="e">
        <f>AB30+ATM_Conf!$C$5*(M30-L30)/(Links!M$191*Links!AB$191)</f>
        <v>#DIV/0!</v>
      </c>
      <c r="AC31" s="55" t="e">
        <f>AC30+ATM_Conf!$C$5*(N30-M30)/(Links!N$191*Links!AC$191)</f>
        <v>#DIV/0!</v>
      </c>
      <c r="AD31" s="55" t="e">
        <f>AD30+ATM_Conf!$C$5*(O30-N30)/(Links!O$191*Links!AD$191)</f>
        <v>#DIV/0!</v>
      </c>
      <c r="AE31" s="55" t="e">
        <f>AE30+ATM_Conf!$C$5*(P30-O30)/(Links!P$191*Links!AE$191)</f>
        <v>#DIV/0!</v>
      </c>
      <c r="AF31" s="45" t="e">
        <f>AF30+(ATM_Conf!$C$5/ATM_Conf!$C$8)*(Links!AU30*EXP((-(Links!Q30/Links!BJ30)^Links!BY30)/Links!BY30)-Links!AF30)-(ATM_Conf!$C$9*ATM_Conf!$C$5/(ATM_Conf!$C$8*Links!Q$191))*(Nodes!BO30-Links!Q30)/(Links!Q30/ATM_Conf!$C$10)</f>
        <v>#DIV/0!</v>
      </c>
      <c r="AG31" s="45" t="e">
        <f>AG30+(ATM_Conf!$C$5/ATM_Conf!$C$8)*(Links!AV30*EXP((-(Links!R30/Links!BK30)^Links!BZ30)/Links!BZ30)-Links!AG30)+(ATM_Conf!$C$5/Links!R$191)*Links!AG30*(Nodes!BB30-Links!AG30)-(ATM_Conf!$C$9*ATM_Conf!$C$5/(ATM_Conf!$C$8*Links!R$191))*(Nodes!BP30-Links!R30)/(Links!R30/ATM_Conf!$C$10)</f>
        <v>#DIV/0!</v>
      </c>
      <c r="AH31" s="45" t="e">
        <f>AH30+(ATM_Conf!$C$5/ATM_Conf!$C$8)*(Links!AW30*EXP((-(Links!S30/Links!BL30)^Links!CA30)/Links!CA30)-Links!AH30)+(ATM_Conf!$C$5/Links!S$191)*Links!AH30*(Nodes!BC30-Links!AH30)-(ATM_Conf!$C$9*ATM_Conf!$C$5/(ATM_Conf!$C$8*Links!S$191))*(Nodes!BQ30-Links!S30)/(Links!S30/ATM_Conf!$C$10)</f>
        <v>#DIV/0!</v>
      </c>
      <c r="AI31" s="45" t="e">
        <f>AI30+(ATM_Conf!$C$5/ATM_Conf!$C$8)*(Links!AX30*EXP((-(Links!T30/Links!BM30)^Links!CB30)/Links!CB30)-Links!AI30)+(ATM_Conf!$C$5/Links!T$191)*Links!AI30*(Nodes!BD30-Links!AI30)-(ATM_Conf!$C$9*ATM_Conf!$C$5/(ATM_Conf!$C$8*Links!T$191))*(Nodes!BR30-Links!T30)/(Links!T30/ATM_Conf!$C$10)</f>
        <v>#DIV/0!</v>
      </c>
      <c r="AJ31" s="45" t="e">
        <f>AJ30+(ATM_Conf!$C$5/ATM_Conf!$C$8)*(Links!AY30*EXP((-(Links!U30/Links!BN30)^Links!CC30)/Links!CC30)-Links!AJ30)+(ATM_Conf!$C$5/Links!U$191)*Links!AJ30*(Nodes!BE30-Links!AJ30)-(ATM_Conf!$C$9*ATM_Conf!$C$5/(ATM_Conf!$C$8*Links!U$191))*(Nodes!BS30-Links!U30)/(Links!U30/ATM_Conf!$C$10)</f>
        <v>#DIV/0!</v>
      </c>
      <c r="AK31" s="45" t="e">
        <f>AK30+(ATM_Conf!$C$5/ATM_Conf!$C$8)*(Links!AZ30*EXP((-(Links!V30/Links!BO30)^Links!CD30)/Links!CD30)-Links!AK30)+(ATM_Conf!$C$5/Links!V$191)*Links!AK30*(Nodes!BF30-Links!AK30)-(ATM_Conf!$C$9*ATM_Conf!$C$5/(ATM_Conf!$C$8*Links!V$191))*(Nodes!BT30-Links!V30)/(Links!V30/ATM_Conf!$C$10)</f>
        <v>#DIV/0!</v>
      </c>
      <c r="AL31" s="45" t="e">
        <f>AL30+(ATM_Conf!$C$5/ATM_Conf!$C$8)*(Links!BA30*EXP((-(Links!W30/Links!BP30)^Links!CE30)/Links!CE30)-Links!AL30)+(ATM_Conf!$C$5/Links!W$191)*Links!AL30*(Nodes!BG30-Links!AL30)-(ATM_Conf!$C$9*ATM_Conf!$C$5/(ATM_Conf!$C$8*Links!W$191))*(Nodes!BU30-Links!W30)/(Links!W30/ATM_Conf!$C$10)</f>
        <v>#DIV/0!</v>
      </c>
      <c r="AM31" s="45" t="e">
        <f>AM30+(ATM_Conf!$C$5/ATM_Conf!$C$8)*(Links!BB30*EXP((-(Links!X30/Links!BQ30)^Links!CF30)/Links!CF30)-Links!AM30)+(ATM_Conf!$C$5/Links!X$191)*Links!AM30*(Nodes!BH30-Links!AM30)</f>
        <v>#DIV/0!</v>
      </c>
      <c r="AN31" s="45" t="e">
        <f>AN30+(ATM_Conf!$C$5/ATM_Conf!$C$8)*(Links!BC30*EXP((-(Links!Y30/Links!BR30)^Links!CG30)/Links!CG30)-Links!AN30)-(ATM_Conf!$C$9*ATM_Conf!$C$5/(ATM_Conf!$C$8*Links!Y$191))*(Nodes!BV30-Links!Y30)/(Links!Y30/ATM_Conf!$C$10)</f>
        <v>#DIV/0!</v>
      </c>
      <c r="AO31" s="45" t="e">
        <f>AO30+(ATM_Conf!$C$5/ATM_Conf!$C$8)*(Links!BD30*EXP((-(Links!Z30/Links!BS30)^Links!CH30)/Links!CH30)-Links!AO30)+(ATM_Conf!$C$5/Links!Z$191)*Links!AO30*(Nodes!BI30-Links!AO30)-(ATM_Conf!$C$9*ATM_Conf!$C$5/(ATM_Conf!$C$8*Links!Z$191))*(Nodes!BW30-Links!Z30)/(Links!Z30/ATM_Conf!$C$10)</f>
        <v>#DIV/0!</v>
      </c>
      <c r="AP31" s="45" t="e">
        <f>AP30+(ATM_Conf!$C$5/ATM_Conf!$C$8)*(Links!BE30*EXP((-(Links!AA30/Links!BT30)^Links!CI30)/Links!CI30)-Links!AP30)+(ATM_Conf!$C$5/Links!AA$191)*Links!AP30*(Nodes!BJ30-Links!AP30)-(ATM_Conf!$C$9*ATM_Conf!$C$5/(ATM_Conf!$C$8*Links!AA$191))*(Nodes!BX30-Links!AA30)/(Links!AA30/ATM_Conf!$C$10)</f>
        <v>#DIV/0!</v>
      </c>
      <c r="AQ31" s="45" t="e">
        <f>AQ30+(ATM_Conf!$C$5/ATM_Conf!$C$8)*(Links!BF30*EXP((-(Links!AB30/Links!BU30)^Links!CJ30)/Links!CJ30)-Links!AQ30)+(ATM_Conf!$C$5/Links!AB$191)*Links!AQ30*(Nodes!BK30-Links!AQ30)-(ATM_Conf!$C$9*ATM_Conf!$C$5/(ATM_Conf!$C$8*Links!AB$191))*(Nodes!BY30-Links!AB30)/(Links!AB30/ATM_Conf!$C$10)</f>
        <v>#DIV/0!</v>
      </c>
      <c r="AR31" s="45" t="e">
        <f>AR30+(ATM_Conf!$C$5/ATM_Conf!$C$8)*(Links!BG30*EXP((-(Links!AC30/Links!BV30)^Links!CK30)/Links!CK30)-Links!AR30)+(ATM_Conf!$C$5/Links!AC$191)*Links!AR30*(Nodes!BL30-Links!AR30)-(ATM_Conf!$C$9*ATM_Conf!$C$5/(ATM_Conf!$C$8*Links!AC$191))*(Nodes!BZ30-Links!AC30)/(Links!AC30/ATM_Conf!$C$10)</f>
        <v>#DIV/0!</v>
      </c>
      <c r="AS31" s="45" t="e">
        <f>AS30+(ATM_Conf!$C$5/ATM_Conf!$C$8)*(Links!BH30*EXP((-(Links!AD30/Links!BW30)^Links!CL30)/Links!CL30)-Links!AS30)+(ATM_Conf!$C$5/Links!AD$191)*Links!AS30*(Nodes!BM30-Links!AS30)-(ATM_Conf!$C$9*ATM_Conf!$C$5/(ATM_Conf!$C$8*Links!AD$191))*(Nodes!CA30-Links!AD30)/(Links!AD30/ATM_Conf!$C$10)</f>
        <v>#DIV/0!</v>
      </c>
      <c r="AT31" s="45" t="e">
        <f>AT30+(ATM_Conf!$C$5/ATM_Conf!$C$8)*(Links!BI30*EXP((-(Links!AE30/Links!BX30)^Links!CM30)/Links!CM30)-Links!AT30)+(ATM_Conf!$C$5/Links!AE$191)*Links!AT30*(Nodes!BN30-Links!AT30)</f>
        <v>#DIV/0!</v>
      </c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45">
        <f t="shared" si="24"/>
        <v>0</v>
      </c>
      <c r="CO31" s="45">
        <f t="shared" si="24"/>
        <v>0</v>
      </c>
      <c r="CP31" s="45">
        <f t="shared" si="24"/>
        <v>0</v>
      </c>
      <c r="CQ31" s="45">
        <f t="shared" si="24"/>
        <v>0</v>
      </c>
      <c r="CR31" s="45">
        <f t="shared" si="24"/>
        <v>0</v>
      </c>
      <c r="CS31" s="45">
        <f t="shared" si="24"/>
        <v>0</v>
      </c>
      <c r="CT31" s="45">
        <f t="shared" si="24"/>
        <v>0</v>
      </c>
      <c r="CU31" s="45">
        <f t="shared" si="24"/>
        <v>0</v>
      </c>
      <c r="CV31" s="45">
        <f t="shared" si="24"/>
        <v>0</v>
      </c>
      <c r="CW31" s="45">
        <f t="shared" si="24"/>
        <v>0</v>
      </c>
      <c r="CX31" s="45">
        <f t="shared" si="24"/>
        <v>0</v>
      </c>
      <c r="CY31" s="45">
        <f t="shared" si="24"/>
        <v>0</v>
      </c>
      <c r="CZ31" s="45">
        <f t="shared" si="24"/>
        <v>0</v>
      </c>
      <c r="DA31" s="45">
        <f t="shared" si="24"/>
        <v>0</v>
      </c>
      <c r="DB31" s="45">
        <f t="shared" si="24"/>
        <v>0</v>
      </c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</row>
    <row r="32" spans="1:121" ht="14.25" x14ac:dyDescent="0.15">
      <c r="A32" s="48">
        <v>30</v>
      </c>
      <c r="B32" s="45" t="e">
        <f t="shared" si="2"/>
        <v>#DIV/0!</v>
      </c>
      <c r="C32" s="45" t="e">
        <f t="shared" si="3"/>
        <v>#DIV/0!</v>
      </c>
      <c r="D32" s="45" t="e">
        <f t="shared" si="4"/>
        <v>#DIV/0!</v>
      </c>
      <c r="E32" s="45" t="e">
        <f t="shared" si="5"/>
        <v>#DIV/0!</v>
      </c>
      <c r="F32" s="45" t="e">
        <f t="shared" si="6"/>
        <v>#DIV/0!</v>
      </c>
      <c r="G32" s="45" t="e">
        <f t="shared" si="7"/>
        <v>#DIV/0!</v>
      </c>
      <c r="H32" s="45" t="e">
        <f t="shared" si="8"/>
        <v>#DIV/0!</v>
      </c>
      <c r="I32" s="45" t="e">
        <f t="shared" si="9"/>
        <v>#DIV/0!</v>
      </c>
      <c r="J32" s="45" t="e">
        <f t="shared" si="10"/>
        <v>#DIV/0!</v>
      </c>
      <c r="K32" s="45" t="e">
        <f t="shared" si="11"/>
        <v>#DIV/0!</v>
      </c>
      <c r="L32" s="45" t="e">
        <f t="shared" si="12"/>
        <v>#DIV/0!</v>
      </c>
      <c r="M32" s="45" t="e">
        <f t="shared" si="13"/>
        <v>#DIV/0!</v>
      </c>
      <c r="N32" s="45" t="e">
        <f t="shared" si="14"/>
        <v>#DIV/0!</v>
      </c>
      <c r="O32" s="45" t="e">
        <f t="shared" si="15"/>
        <v>#DIV/0!</v>
      </c>
      <c r="P32" s="45" t="e">
        <f t="shared" si="16"/>
        <v>#DIV/0!</v>
      </c>
      <c r="Q32" s="55" t="e">
        <f>Q31+ATM_Conf!$C$5*(B31)/(Links!B$191*Links!Q$191)</f>
        <v>#DIV/0!</v>
      </c>
      <c r="R32" s="55" t="e">
        <f>R31+ATM_Conf!$C$5*(C31-B31)/(Links!C$191*Links!R$191)</f>
        <v>#DIV/0!</v>
      </c>
      <c r="S32" s="55" t="e">
        <f>S31+ATM_Conf!$C$5*(D31-C31)/(Links!D$191*Links!S$191)</f>
        <v>#DIV/0!</v>
      </c>
      <c r="T32" s="55" t="e">
        <f>T31+ATM_Conf!$C$5*(E31-D31)/(Links!E$191*Links!T$191)</f>
        <v>#DIV/0!</v>
      </c>
      <c r="U32" s="55" t="e">
        <f>U31+ATM_Conf!$C$5*(F31-E31)/(Links!F$191*Links!U$191)</f>
        <v>#DIV/0!</v>
      </c>
      <c r="V32" s="55" t="e">
        <f>V31+ATM_Conf!$C$5*(G31-F31)/(Links!G$191*Links!V$191)</f>
        <v>#DIV/0!</v>
      </c>
      <c r="W32" s="55" t="e">
        <f>W31+ATM_Conf!$C$5*(H31-G31)/(Links!H$191*Links!W$191)</f>
        <v>#DIV/0!</v>
      </c>
      <c r="X32" s="55" t="e">
        <f>X31+ATM_Conf!$C$5*(I31-H31)/(Links!I$191*Links!X$191)</f>
        <v>#DIV/0!</v>
      </c>
      <c r="Y32" s="55" t="e">
        <f>Y31+ATM_Conf!$C$5*(J31)/(Links!J$191*Links!Y$191)</f>
        <v>#DIV/0!</v>
      </c>
      <c r="Z32" s="55" t="e">
        <f>Z31+ATM_Conf!$C$5*(K31-J31)/(Links!K$191*Links!Z$191)</f>
        <v>#DIV/0!</v>
      </c>
      <c r="AA32" s="55" t="e">
        <f>AA31+ATM_Conf!$C$5*(L31-K31)/(Links!L$191*Links!AA$191)</f>
        <v>#DIV/0!</v>
      </c>
      <c r="AB32" s="55" t="e">
        <f>AB31+ATM_Conf!$C$5*(M31-L31)/(Links!M$191*Links!AB$191)</f>
        <v>#DIV/0!</v>
      </c>
      <c r="AC32" s="55" t="e">
        <f>AC31+ATM_Conf!$C$5*(N31-M31)/(Links!N$191*Links!AC$191)</f>
        <v>#DIV/0!</v>
      </c>
      <c r="AD32" s="55" t="e">
        <f>AD31+ATM_Conf!$C$5*(O31-N31)/(Links!O$191*Links!AD$191)</f>
        <v>#DIV/0!</v>
      </c>
      <c r="AE32" s="55" t="e">
        <f>AE31+ATM_Conf!$C$5*(P31-O31)/(Links!P$191*Links!AE$191)</f>
        <v>#DIV/0!</v>
      </c>
      <c r="AF32" s="45" t="e">
        <f>AF31+(ATM_Conf!$C$5/ATM_Conf!$C$8)*(Links!AU31*EXP((-(Links!Q31/Links!BJ31)^Links!BY31)/Links!BY31)-Links!AF31)-(ATM_Conf!$C$9*ATM_Conf!$C$5/(ATM_Conf!$C$8*Links!Q$191))*(Nodes!BO31-Links!Q31)/(Links!Q31/ATM_Conf!$C$10)</f>
        <v>#DIV/0!</v>
      </c>
      <c r="AG32" s="45" t="e">
        <f>AG31+(ATM_Conf!$C$5/ATM_Conf!$C$8)*(Links!AV31*EXP((-(Links!R31/Links!BK31)^Links!BZ31)/Links!BZ31)-Links!AG31)+(ATM_Conf!$C$5/Links!R$191)*Links!AG31*(Nodes!BB31-Links!AG31)-(ATM_Conf!$C$9*ATM_Conf!$C$5/(ATM_Conf!$C$8*Links!R$191))*(Nodes!BP31-Links!R31)/(Links!R31/ATM_Conf!$C$10)</f>
        <v>#DIV/0!</v>
      </c>
      <c r="AH32" s="45" t="e">
        <f>AH31+(ATM_Conf!$C$5/ATM_Conf!$C$8)*(Links!AW31*EXP((-(Links!S31/Links!BL31)^Links!CA31)/Links!CA31)-Links!AH31)+(ATM_Conf!$C$5/Links!S$191)*Links!AH31*(Nodes!BC31-Links!AH31)-(ATM_Conf!$C$9*ATM_Conf!$C$5/(ATM_Conf!$C$8*Links!S$191))*(Nodes!BQ31-Links!S31)/(Links!S31/ATM_Conf!$C$10)</f>
        <v>#DIV/0!</v>
      </c>
      <c r="AI32" s="45" t="e">
        <f>AI31+(ATM_Conf!$C$5/ATM_Conf!$C$8)*(Links!AX31*EXP((-(Links!T31/Links!BM31)^Links!CB31)/Links!CB31)-Links!AI31)+(ATM_Conf!$C$5/Links!T$191)*Links!AI31*(Nodes!BD31-Links!AI31)-(ATM_Conf!$C$9*ATM_Conf!$C$5/(ATM_Conf!$C$8*Links!T$191))*(Nodes!BR31-Links!T31)/(Links!T31/ATM_Conf!$C$10)</f>
        <v>#DIV/0!</v>
      </c>
      <c r="AJ32" s="45" t="e">
        <f>AJ31+(ATM_Conf!$C$5/ATM_Conf!$C$8)*(Links!AY31*EXP((-(Links!U31/Links!BN31)^Links!CC31)/Links!CC31)-Links!AJ31)+(ATM_Conf!$C$5/Links!U$191)*Links!AJ31*(Nodes!BE31-Links!AJ31)-(ATM_Conf!$C$9*ATM_Conf!$C$5/(ATM_Conf!$C$8*Links!U$191))*(Nodes!BS31-Links!U31)/(Links!U31/ATM_Conf!$C$10)</f>
        <v>#DIV/0!</v>
      </c>
      <c r="AK32" s="45" t="e">
        <f>AK31+(ATM_Conf!$C$5/ATM_Conf!$C$8)*(Links!AZ31*EXP((-(Links!V31/Links!BO31)^Links!CD31)/Links!CD31)-Links!AK31)+(ATM_Conf!$C$5/Links!V$191)*Links!AK31*(Nodes!BF31-Links!AK31)-(ATM_Conf!$C$9*ATM_Conf!$C$5/(ATM_Conf!$C$8*Links!V$191))*(Nodes!BT31-Links!V31)/(Links!V31/ATM_Conf!$C$10)</f>
        <v>#DIV/0!</v>
      </c>
      <c r="AL32" s="45" t="e">
        <f>AL31+(ATM_Conf!$C$5/ATM_Conf!$C$8)*(Links!BA31*EXP((-(Links!W31/Links!BP31)^Links!CE31)/Links!CE31)-Links!AL31)+(ATM_Conf!$C$5/Links!W$191)*Links!AL31*(Nodes!BG31-Links!AL31)-(ATM_Conf!$C$9*ATM_Conf!$C$5/(ATM_Conf!$C$8*Links!W$191))*(Nodes!BU31-Links!W31)/(Links!W31/ATM_Conf!$C$10)</f>
        <v>#DIV/0!</v>
      </c>
      <c r="AM32" s="45" t="e">
        <f>AM31+(ATM_Conf!$C$5/ATM_Conf!$C$8)*(Links!BB31*EXP((-(Links!X31/Links!BQ31)^Links!CF31)/Links!CF31)-Links!AM31)+(ATM_Conf!$C$5/Links!X$191)*Links!AM31*(Nodes!BH31-Links!AM31)</f>
        <v>#DIV/0!</v>
      </c>
      <c r="AN32" s="45" t="e">
        <f>AN31+(ATM_Conf!$C$5/ATM_Conf!$C$8)*(Links!BC31*EXP((-(Links!Y31/Links!BR31)^Links!CG31)/Links!CG31)-Links!AN31)-(ATM_Conf!$C$9*ATM_Conf!$C$5/(ATM_Conf!$C$8*Links!Y$191))*(Nodes!BV31-Links!Y31)/(Links!Y31/ATM_Conf!$C$10)</f>
        <v>#DIV/0!</v>
      </c>
      <c r="AO32" s="45" t="e">
        <f>AO31+(ATM_Conf!$C$5/ATM_Conf!$C$8)*(Links!BD31*EXP((-(Links!Z31/Links!BS31)^Links!CH31)/Links!CH31)-Links!AO31)+(ATM_Conf!$C$5/Links!Z$191)*Links!AO31*(Nodes!BI31-Links!AO31)-(ATM_Conf!$C$9*ATM_Conf!$C$5/(ATM_Conf!$C$8*Links!Z$191))*(Nodes!BW31-Links!Z31)/(Links!Z31/ATM_Conf!$C$10)</f>
        <v>#DIV/0!</v>
      </c>
      <c r="AP32" s="45" t="e">
        <f>AP31+(ATM_Conf!$C$5/ATM_Conf!$C$8)*(Links!BE31*EXP((-(Links!AA31/Links!BT31)^Links!CI31)/Links!CI31)-Links!AP31)+(ATM_Conf!$C$5/Links!AA$191)*Links!AP31*(Nodes!BJ31-Links!AP31)-(ATM_Conf!$C$9*ATM_Conf!$C$5/(ATM_Conf!$C$8*Links!AA$191))*(Nodes!BX31-Links!AA31)/(Links!AA31/ATM_Conf!$C$10)</f>
        <v>#DIV/0!</v>
      </c>
      <c r="AQ32" s="45" t="e">
        <f>AQ31+(ATM_Conf!$C$5/ATM_Conf!$C$8)*(Links!BF31*EXP((-(Links!AB31/Links!BU31)^Links!CJ31)/Links!CJ31)-Links!AQ31)+(ATM_Conf!$C$5/Links!AB$191)*Links!AQ31*(Nodes!BK31-Links!AQ31)-(ATM_Conf!$C$9*ATM_Conf!$C$5/(ATM_Conf!$C$8*Links!AB$191))*(Nodes!BY31-Links!AB31)/(Links!AB31/ATM_Conf!$C$10)</f>
        <v>#DIV/0!</v>
      </c>
      <c r="AR32" s="45" t="e">
        <f>AR31+(ATM_Conf!$C$5/ATM_Conf!$C$8)*(Links!BG31*EXP((-(Links!AC31/Links!BV31)^Links!CK31)/Links!CK31)-Links!AR31)+(ATM_Conf!$C$5/Links!AC$191)*Links!AR31*(Nodes!BL31-Links!AR31)-(ATM_Conf!$C$9*ATM_Conf!$C$5/(ATM_Conf!$C$8*Links!AC$191))*(Nodes!BZ31-Links!AC31)/(Links!AC31/ATM_Conf!$C$10)</f>
        <v>#DIV/0!</v>
      </c>
      <c r="AS32" s="45" t="e">
        <f>AS31+(ATM_Conf!$C$5/ATM_Conf!$C$8)*(Links!BH31*EXP((-(Links!AD31/Links!BW31)^Links!CL31)/Links!CL31)-Links!AS31)+(ATM_Conf!$C$5/Links!AD$191)*Links!AS31*(Nodes!BM31-Links!AS31)-(ATM_Conf!$C$9*ATM_Conf!$C$5/(ATM_Conf!$C$8*Links!AD$191))*(Nodes!CA31-Links!AD31)/(Links!AD31/ATM_Conf!$C$10)</f>
        <v>#DIV/0!</v>
      </c>
      <c r="AT32" s="45" t="e">
        <f>AT31+(ATM_Conf!$C$5/ATM_Conf!$C$8)*(Links!BI31*EXP((-(Links!AE31/Links!BX31)^Links!CM31)/Links!CM31)-Links!AT31)+(ATM_Conf!$C$5/Links!AE$191)*Links!AT31*(Nodes!BN31-Links!AT31)</f>
        <v>#DIV/0!</v>
      </c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45">
        <f t="shared" si="24"/>
        <v>0</v>
      </c>
      <c r="CO32" s="45">
        <f t="shared" si="24"/>
        <v>0</v>
      </c>
      <c r="CP32" s="45">
        <f t="shared" si="24"/>
        <v>0</v>
      </c>
      <c r="CQ32" s="45">
        <f t="shared" si="24"/>
        <v>0</v>
      </c>
      <c r="CR32" s="45">
        <f t="shared" si="24"/>
        <v>0</v>
      </c>
      <c r="CS32" s="45">
        <f t="shared" si="24"/>
        <v>0</v>
      </c>
      <c r="CT32" s="45">
        <f t="shared" si="24"/>
        <v>0</v>
      </c>
      <c r="CU32" s="45">
        <f t="shared" si="24"/>
        <v>0</v>
      </c>
      <c r="CV32" s="45">
        <f t="shared" si="24"/>
        <v>0</v>
      </c>
      <c r="CW32" s="45">
        <f t="shared" si="24"/>
        <v>0</v>
      </c>
      <c r="CX32" s="45">
        <f t="shared" si="24"/>
        <v>0</v>
      </c>
      <c r="CY32" s="45">
        <f t="shared" si="24"/>
        <v>0</v>
      </c>
      <c r="CZ32" s="45">
        <f t="shared" si="24"/>
        <v>0</v>
      </c>
      <c r="DA32" s="45">
        <f t="shared" si="24"/>
        <v>0</v>
      </c>
      <c r="DB32" s="45">
        <f t="shared" si="24"/>
        <v>0</v>
      </c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</row>
    <row r="33" spans="1:121" ht="14.25" x14ac:dyDescent="0.15">
      <c r="A33" s="48">
        <v>31</v>
      </c>
      <c r="B33" s="45" t="e">
        <f t="shared" si="2"/>
        <v>#DIV/0!</v>
      </c>
      <c r="C33" s="45" t="e">
        <f t="shared" si="3"/>
        <v>#DIV/0!</v>
      </c>
      <c r="D33" s="45" t="e">
        <f t="shared" si="4"/>
        <v>#DIV/0!</v>
      </c>
      <c r="E33" s="45" t="e">
        <f t="shared" si="5"/>
        <v>#DIV/0!</v>
      </c>
      <c r="F33" s="45" t="e">
        <f t="shared" si="6"/>
        <v>#DIV/0!</v>
      </c>
      <c r="G33" s="45" t="e">
        <f t="shared" si="7"/>
        <v>#DIV/0!</v>
      </c>
      <c r="H33" s="45" t="e">
        <f t="shared" si="8"/>
        <v>#DIV/0!</v>
      </c>
      <c r="I33" s="45" t="e">
        <f t="shared" si="9"/>
        <v>#DIV/0!</v>
      </c>
      <c r="J33" s="45" t="e">
        <f t="shared" si="10"/>
        <v>#DIV/0!</v>
      </c>
      <c r="K33" s="45" t="e">
        <f t="shared" si="11"/>
        <v>#DIV/0!</v>
      </c>
      <c r="L33" s="45" t="e">
        <f t="shared" si="12"/>
        <v>#DIV/0!</v>
      </c>
      <c r="M33" s="45" t="e">
        <f t="shared" si="13"/>
        <v>#DIV/0!</v>
      </c>
      <c r="N33" s="45" t="e">
        <f t="shared" si="14"/>
        <v>#DIV/0!</v>
      </c>
      <c r="O33" s="45" t="e">
        <f t="shared" si="15"/>
        <v>#DIV/0!</v>
      </c>
      <c r="P33" s="45" t="e">
        <f t="shared" si="16"/>
        <v>#DIV/0!</v>
      </c>
      <c r="Q33" s="55" t="e">
        <f>Q32+ATM_Conf!$C$5*(B32)/(Links!B$191*Links!Q$191)</f>
        <v>#DIV/0!</v>
      </c>
      <c r="R33" s="55" t="e">
        <f>R32+ATM_Conf!$C$5*(C32-B32)/(Links!C$191*Links!R$191)</f>
        <v>#DIV/0!</v>
      </c>
      <c r="S33" s="55" t="e">
        <f>S32+ATM_Conf!$C$5*(D32-C32)/(Links!D$191*Links!S$191)</f>
        <v>#DIV/0!</v>
      </c>
      <c r="T33" s="55" t="e">
        <f>T32+ATM_Conf!$C$5*(E32-D32)/(Links!E$191*Links!T$191)</f>
        <v>#DIV/0!</v>
      </c>
      <c r="U33" s="55" t="e">
        <f>U32+ATM_Conf!$C$5*(F32-E32)/(Links!F$191*Links!U$191)</f>
        <v>#DIV/0!</v>
      </c>
      <c r="V33" s="55" t="e">
        <f>V32+ATM_Conf!$C$5*(G32-F32)/(Links!G$191*Links!V$191)</f>
        <v>#DIV/0!</v>
      </c>
      <c r="W33" s="55" t="e">
        <f>W32+ATM_Conf!$C$5*(H32-G32)/(Links!H$191*Links!W$191)</f>
        <v>#DIV/0!</v>
      </c>
      <c r="X33" s="55" t="e">
        <f>X32+ATM_Conf!$C$5*(I32-H32)/(Links!I$191*Links!X$191)</f>
        <v>#DIV/0!</v>
      </c>
      <c r="Y33" s="55" t="e">
        <f>Y32+ATM_Conf!$C$5*(J32)/(Links!J$191*Links!Y$191)</f>
        <v>#DIV/0!</v>
      </c>
      <c r="Z33" s="55" t="e">
        <f>Z32+ATM_Conf!$C$5*(K32-J32)/(Links!K$191*Links!Z$191)</f>
        <v>#DIV/0!</v>
      </c>
      <c r="AA33" s="55" t="e">
        <f>AA32+ATM_Conf!$C$5*(L32-K32)/(Links!L$191*Links!AA$191)</f>
        <v>#DIV/0!</v>
      </c>
      <c r="AB33" s="55" t="e">
        <f>AB32+ATM_Conf!$C$5*(M32-L32)/(Links!M$191*Links!AB$191)</f>
        <v>#DIV/0!</v>
      </c>
      <c r="AC33" s="55" t="e">
        <f>AC32+ATM_Conf!$C$5*(N32-M32)/(Links!N$191*Links!AC$191)</f>
        <v>#DIV/0!</v>
      </c>
      <c r="AD33" s="55" t="e">
        <f>AD32+ATM_Conf!$C$5*(O32-N32)/(Links!O$191*Links!AD$191)</f>
        <v>#DIV/0!</v>
      </c>
      <c r="AE33" s="55" t="e">
        <f>AE32+ATM_Conf!$C$5*(P32-O32)/(Links!P$191*Links!AE$191)</f>
        <v>#DIV/0!</v>
      </c>
      <c r="AF33" s="45" t="e">
        <f>AF32+(ATM_Conf!$C$5/ATM_Conf!$C$8)*(Links!AU32*EXP((-(Links!Q32/Links!BJ32)^Links!BY32)/Links!BY32)-Links!AF32)-(ATM_Conf!$C$9*ATM_Conf!$C$5/(ATM_Conf!$C$8*Links!Q$191))*(Nodes!BO32-Links!Q32)/(Links!Q32/ATM_Conf!$C$10)</f>
        <v>#DIV/0!</v>
      </c>
      <c r="AG33" s="45" t="e">
        <f>AG32+(ATM_Conf!$C$5/ATM_Conf!$C$8)*(Links!AV32*EXP((-(Links!R32/Links!BK32)^Links!BZ32)/Links!BZ32)-Links!AG32)+(ATM_Conf!$C$5/Links!R$191)*Links!AG32*(Nodes!BB32-Links!AG32)-(ATM_Conf!$C$9*ATM_Conf!$C$5/(ATM_Conf!$C$8*Links!R$191))*(Nodes!BP32-Links!R32)/(Links!R32/ATM_Conf!$C$10)</f>
        <v>#DIV/0!</v>
      </c>
      <c r="AH33" s="45" t="e">
        <f>AH32+(ATM_Conf!$C$5/ATM_Conf!$C$8)*(Links!AW32*EXP((-(Links!S32/Links!BL32)^Links!CA32)/Links!CA32)-Links!AH32)+(ATM_Conf!$C$5/Links!S$191)*Links!AH32*(Nodes!BC32-Links!AH32)-(ATM_Conf!$C$9*ATM_Conf!$C$5/(ATM_Conf!$C$8*Links!S$191))*(Nodes!BQ32-Links!S32)/(Links!S32/ATM_Conf!$C$10)</f>
        <v>#DIV/0!</v>
      </c>
      <c r="AI33" s="45" t="e">
        <f>AI32+(ATM_Conf!$C$5/ATM_Conf!$C$8)*(Links!AX32*EXP((-(Links!T32/Links!BM32)^Links!CB32)/Links!CB32)-Links!AI32)+(ATM_Conf!$C$5/Links!T$191)*Links!AI32*(Nodes!BD32-Links!AI32)-(ATM_Conf!$C$9*ATM_Conf!$C$5/(ATM_Conf!$C$8*Links!T$191))*(Nodes!BR32-Links!T32)/(Links!T32/ATM_Conf!$C$10)</f>
        <v>#DIV/0!</v>
      </c>
      <c r="AJ33" s="45" t="e">
        <f>AJ32+(ATM_Conf!$C$5/ATM_Conf!$C$8)*(Links!AY32*EXP((-(Links!U32/Links!BN32)^Links!CC32)/Links!CC32)-Links!AJ32)+(ATM_Conf!$C$5/Links!U$191)*Links!AJ32*(Nodes!BE32-Links!AJ32)-(ATM_Conf!$C$9*ATM_Conf!$C$5/(ATM_Conf!$C$8*Links!U$191))*(Nodes!BS32-Links!U32)/(Links!U32/ATM_Conf!$C$10)</f>
        <v>#DIV/0!</v>
      </c>
      <c r="AK33" s="45" t="e">
        <f>AK32+(ATM_Conf!$C$5/ATM_Conf!$C$8)*(Links!AZ32*EXP((-(Links!V32/Links!BO32)^Links!CD32)/Links!CD32)-Links!AK32)+(ATM_Conf!$C$5/Links!V$191)*Links!AK32*(Nodes!BF32-Links!AK32)-(ATM_Conf!$C$9*ATM_Conf!$C$5/(ATM_Conf!$C$8*Links!V$191))*(Nodes!BT32-Links!V32)/(Links!V32/ATM_Conf!$C$10)</f>
        <v>#DIV/0!</v>
      </c>
      <c r="AL33" s="45" t="e">
        <f>AL32+(ATM_Conf!$C$5/ATM_Conf!$C$8)*(Links!BA32*EXP((-(Links!W32/Links!BP32)^Links!CE32)/Links!CE32)-Links!AL32)+(ATM_Conf!$C$5/Links!W$191)*Links!AL32*(Nodes!BG32-Links!AL32)-(ATM_Conf!$C$9*ATM_Conf!$C$5/(ATM_Conf!$C$8*Links!W$191))*(Nodes!BU32-Links!W32)/(Links!W32/ATM_Conf!$C$10)</f>
        <v>#DIV/0!</v>
      </c>
      <c r="AM33" s="45" t="e">
        <f>AM32+(ATM_Conf!$C$5/ATM_Conf!$C$8)*(Links!BB32*EXP((-(Links!X32/Links!BQ32)^Links!CF32)/Links!CF32)-Links!AM32)+(ATM_Conf!$C$5/Links!X$191)*Links!AM32*(Nodes!BH32-Links!AM32)</f>
        <v>#DIV/0!</v>
      </c>
      <c r="AN33" s="45" t="e">
        <f>AN32+(ATM_Conf!$C$5/ATM_Conf!$C$8)*(Links!BC32*EXP((-(Links!Y32/Links!BR32)^Links!CG32)/Links!CG32)-Links!AN32)-(ATM_Conf!$C$9*ATM_Conf!$C$5/(ATM_Conf!$C$8*Links!Y$191))*(Nodes!BV32-Links!Y32)/(Links!Y32/ATM_Conf!$C$10)</f>
        <v>#DIV/0!</v>
      </c>
      <c r="AO33" s="45" t="e">
        <f>AO32+(ATM_Conf!$C$5/ATM_Conf!$C$8)*(Links!BD32*EXP((-(Links!Z32/Links!BS32)^Links!CH32)/Links!CH32)-Links!AO32)+(ATM_Conf!$C$5/Links!Z$191)*Links!AO32*(Nodes!BI32-Links!AO32)-(ATM_Conf!$C$9*ATM_Conf!$C$5/(ATM_Conf!$C$8*Links!Z$191))*(Nodes!BW32-Links!Z32)/(Links!Z32/ATM_Conf!$C$10)</f>
        <v>#DIV/0!</v>
      </c>
      <c r="AP33" s="45" t="e">
        <f>AP32+(ATM_Conf!$C$5/ATM_Conf!$C$8)*(Links!BE32*EXP((-(Links!AA32/Links!BT32)^Links!CI32)/Links!CI32)-Links!AP32)+(ATM_Conf!$C$5/Links!AA$191)*Links!AP32*(Nodes!BJ32-Links!AP32)-(ATM_Conf!$C$9*ATM_Conf!$C$5/(ATM_Conf!$C$8*Links!AA$191))*(Nodes!BX32-Links!AA32)/(Links!AA32/ATM_Conf!$C$10)</f>
        <v>#DIV/0!</v>
      </c>
      <c r="AQ33" s="45" t="e">
        <f>AQ32+(ATM_Conf!$C$5/ATM_Conf!$C$8)*(Links!BF32*EXP((-(Links!AB32/Links!BU32)^Links!CJ32)/Links!CJ32)-Links!AQ32)+(ATM_Conf!$C$5/Links!AB$191)*Links!AQ32*(Nodes!BK32-Links!AQ32)-(ATM_Conf!$C$9*ATM_Conf!$C$5/(ATM_Conf!$C$8*Links!AB$191))*(Nodes!BY32-Links!AB32)/(Links!AB32/ATM_Conf!$C$10)</f>
        <v>#DIV/0!</v>
      </c>
      <c r="AR33" s="45" t="e">
        <f>AR32+(ATM_Conf!$C$5/ATM_Conf!$C$8)*(Links!BG32*EXP((-(Links!AC32/Links!BV32)^Links!CK32)/Links!CK32)-Links!AR32)+(ATM_Conf!$C$5/Links!AC$191)*Links!AR32*(Nodes!BL32-Links!AR32)-(ATM_Conf!$C$9*ATM_Conf!$C$5/(ATM_Conf!$C$8*Links!AC$191))*(Nodes!BZ32-Links!AC32)/(Links!AC32/ATM_Conf!$C$10)</f>
        <v>#DIV/0!</v>
      </c>
      <c r="AS33" s="45" t="e">
        <f>AS32+(ATM_Conf!$C$5/ATM_Conf!$C$8)*(Links!BH32*EXP((-(Links!AD32/Links!BW32)^Links!CL32)/Links!CL32)-Links!AS32)+(ATM_Conf!$C$5/Links!AD$191)*Links!AS32*(Nodes!BM32-Links!AS32)-(ATM_Conf!$C$9*ATM_Conf!$C$5/(ATM_Conf!$C$8*Links!AD$191))*(Nodes!CA32-Links!AD32)/(Links!AD32/ATM_Conf!$C$10)</f>
        <v>#DIV/0!</v>
      </c>
      <c r="AT33" s="45" t="e">
        <f>AT32+(ATM_Conf!$C$5/ATM_Conf!$C$8)*(Links!BI32*EXP((-(Links!AE32/Links!BX32)^Links!CM32)/Links!CM32)-Links!AT32)+(ATM_Conf!$C$5/Links!AE$191)*Links!AT32*(Nodes!BN32-Links!AT32)</f>
        <v>#DIV/0!</v>
      </c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45">
        <f t="shared" si="24"/>
        <v>0</v>
      </c>
      <c r="CO33" s="45">
        <f t="shared" si="24"/>
        <v>0</v>
      </c>
      <c r="CP33" s="45">
        <f t="shared" si="24"/>
        <v>0</v>
      </c>
      <c r="CQ33" s="45">
        <f t="shared" si="24"/>
        <v>0</v>
      </c>
      <c r="CR33" s="45">
        <f t="shared" si="24"/>
        <v>0</v>
      </c>
      <c r="CS33" s="45">
        <f t="shared" si="24"/>
        <v>0</v>
      </c>
      <c r="CT33" s="45">
        <f t="shared" si="24"/>
        <v>0</v>
      </c>
      <c r="CU33" s="45">
        <f t="shared" si="24"/>
        <v>0</v>
      </c>
      <c r="CV33" s="45">
        <f t="shared" si="24"/>
        <v>0</v>
      </c>
      <c r="CW33" s="45">
        <f t="shared" si="24"/>
        <v>0</v>
      </c>
      <c r="CX33" s="45">
        <f t="shared" si="24"/>
        <v>0</v>
      </c>
      <c r="CY33" s="45">
        <f t="shared" si="24"/>
        <v>0</v>
      </c>
      <c r="CZ33" s="45">
        <f t="shared" si="24"/>
        <v>0</v>
      </c>
      <c r="DA33" s="45">
        <f t="shared" si="24"/>
        <v>0</v>
      </c>
      <c r="DB33" s="45">
        <f t="shared" si="24"/>
        <v>0</v>
      </c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</row>
    <row r="34" spans="1:121" ht="14.25" x14ac:dyDescent="0.15">
      <c r="A34" s="48">
        <v>32</v>
      </c>
      <c r="B34" s="45" t="e">
        <f t="shared" si="2"/>
        <v>#DIV/0!</v>
      </c>
      <c r="C34" s="45" t="e">
        <f t="shared" si="3"/>
        <v>#DIV/0!</v>
      </c>
      <c r="D34" s="45" t="e">
        <f t="shared" si="4"/>
        <v>#DIV/0!</v>
      </c>
      <c r="E34" s="45" t="e">
        <f t="shared" si="5"/>
        <v>#DIV/0!</v>
      </c>
      <c r="F34" s="45" t="e">
        <f t="shared" si="6"/>
        <v>#DIV/0!</v>
      </c>
      <c r="G34" s="45" t="e">
        <f t="shared" si="7"/>
        <v>#DIV/0!</v>
      </c>
      <c r="H34" s="45" t="e">
        <f t="shared" si="8"/>
        <v>#DIV/0!</v>
      </c>
      <c r="I34" s="45" t="e">
        <f t="shared" si="9"/>
        <v>#DIV/0!</v>
      </c>
      <c r="J34" s="45" t="e">
        <f t="shared" si="10"/>
        <v>#DIV/0!</v>
      </c>
      <c r="K34" s="45" t="e">
        <f t="shared" si="11"/>
        <v>#DIV/0!</v>
      </c>
      <c r="L34" s="45" t="e">
        <f t="shared" si="12"/>
        <v>#DIV/0!</v>
      </c>
      <c r="M34" s="45" t="e">
        <f t="shared" si="13"/>
        <v>#DIV/0!</v>
      </c>
      <c r="N34" s="45" t="e">
        <f t="shared" si="14"/>
        <v>#DIV/0!</v>
      </c>
      <c r="O34" s="45" t="e">
        <f t="shared" si="15"/>
        <v>#DIV/0!</v>
      </c>
      <c r="P34" s="45" t="e">
        <f t="shared" si="16"/>
        <v>#DIV/0!</v>
      </c>
      <c r="Q34" s="55" t="e">
        <f>Q33+ATM_Conf!$C$5*(B33)/(Links!B$191*Links!Q$191)</f>
        <v>#DIV/0!</v>
      </c>
      <c r="R34" s="55" t="e">
        <f>R33+ATM_Conf!$C$5*(C33-B33)/(Links!C$191*Links!R$191)</f>
        <v>#DIV/0!</v>
      </c>
      <c r="S34" s="55" t="e">
        <f>S33+ATM_Conf!$C$5*(D33-C33)/(Links!D$191*Links!S$191)</f>
        <v>#DIV/0!</v>
      </c>
      <c r="T34" s="55" t="e">
        <f>T33+ATM_Conf!$C$5*(E33-D33)/(Links!E$191*Links!T$191)</f>
        <v>#DIV/0!</v>
      </c>
      <c r="U34" s="55" t="e">
        <f>U33+ATM_Conf!$C$5*(F33-E33)/(Links!F$191*Links!U$191)</f>
        <v>#DIV/0!</v>
      </c>
      <c r="V34" s="55" t="e">
        <f>V33+ATM_Conf!$C$5*(G33-F33)/(Links!G$191*Links!V$191)</f>
        <v>#DIV/0!</v>
      </c>
      <c r="W34" s="55" t="e">
        <f>W33+ATM_Conf!$C$5*(H33-G33)/(Links!H$191*Links!W$191)</f>
        <v>#DIV/0!</v>
      </c>
      <c r="X34" s="55" t="e">
        <f>X33+ATM_Conf!$C$5*(I33-H33)/(Links!I$191*Links!X$191)</f>
        <v>#DIV/0!</v>
      </c>
      <c r="Y34" s="55" t="e">
        <f>Y33+ATM_Conf!$C$5*(J33)/(Links!J$191*Links!Y$191)</f>
        <v>#DIV/0!</v>
      </c>
      <c r="Z34" s="55" t="e">
        <f>Z33+ATM_Conf!$C$5*(K33-J33)/(Links!K$191*Links!Z$191)</f>
        <v>#DIV/0!</v>
      </c>
      <c r="AA34" s="55" t="e">
        <f>AA33+ATM_Conf!$C$5*(L33-K33)/(Links!L$191*Links!AA$191)</f>
        <v>#DIV/0!</v>
      </c>
      <c r="AB34" s="55" t="e">
        <f>AB33+ATM_Conf!$C$5*(M33-L33)/(Links!M$191*Links!AB$191)</f>
        <v>#DIV/0!</v>
      </c>
      <c r="AC34" s="55" t="e">
        <f>AC33+ATM_Conf!$C$5*(N33-M33)/(Links!N$191*Links!AC$191)</f>
        <v>#DIV/0!</v>
      </c>
      <c r="AD34" s="55" t="e">
        <f>AD33+ATM_Conf!$C$5*(O33-N33)/(Links!O$191*Links!AD$191)</f>
        <v>#DIV/0!</v>
      </c>
      <c r="AE34" s="55" t="e">
        <f>AE33+ATM_Conf!$C$5*(P33-O33)/(Links!P$191*Links!AE$191)</f>
        <v>#DIV/0!</v>
      </c>
      <c r="AF34" s="45" t="e">
        <f>AF33+(ATM_Conf!$C$5/ATM_Conf!$C$8)*(Links!AU33*EXP((-(Links!Q33/Links!BJ33)^Links!BY33)/Links!BY33)-Links!AF33)-(ATM_Conf!$C$9*ATM_Conf!$C$5/(ATM_Conf!$C$8*Links!Q$191))*(Nodes!BO33-Links!Q33)/(Links!Q33/ATM_Conf!$C$10)</f>
        <v>#DIV/0!</v>
      </c>
      <c r="AG34" s="45" t="e">
        <f>AG33+(ATM_Conf!$C$5/ATM_Conf!$C$8)*(Links!AV33*EXP((-(Links!R33/Links!BK33)^Links!BZ33)/Links!BZ33)-Links!AG33)+(ATM_Conf!$C$5/Links!R$191)*Links!AG33*(Nodes!BB33-Links!AG33)-(ATM_Conf!$C$9*ATM_Conf!$C$5/(ATM_Conf!$C$8*Links!R$191))*(Nodes!BP33-Links!R33)/(Links!R33/ATM_Conf!$C$10)</f>
        <v>#DIV/0!</v>
      </c>
      <c r="AH34" s="45" t="e">
        <f>AH33+(ATM_Conf!$C$5/ATM_Conf!$C$8)*(Links!AW33*EXP((-(Links!S33/Links!BL33)^Links!CA33)/Links!CA33)-Links!AH33)+(ATM_Conf!$C$5/Links!S$191)*Links!AH33*(Nodes!BC33-Links!AH33)-(ATM_Conf!$C$9*ATM_Conf!$C$5/(ATM_Conf!$C$8*Links!S$191))*(Nodes!BQ33-Links!S33)/(Links!S33/ATM_Conf!$C$10)</f>
        <v>#DIV/0!</v>
      </c>
      <c r="AI34" s="45" t="e">
        <f>AI33+(ATM_Conf!$C$5/ATM_Conf!$C$8)*(Links!AX33*EXP((-(Links!T33/Links!BM33)^Links!CB33)/Links!CB33)-Links!AI33)+(ATM_Conf!$C$5/Links!T$191)*Links!AI33*(Nodes!BD33-Links!AI33)-(ATM_Conf!$C$9*ATM_Conf!$C$5/(ATM_Conf!$C$8*Links!T$191))*(Nodes!BR33-Links!T33)/(Links!T33/ATM_Conf!$C$10)</f>
        <v>#DIV/0!</v>
      </c>
      <c r="AJ34" s="45" t="e">
        <f>AJ33+(ATM_Conf!$C$5/ATM_Conf!$C$8)*(Links!AY33*EXP((-(Links!U33/Links!BN33)^Links!CC33)/Links!CC33)-Links!AJ33)+(ATM_Conf!$C$5/Links!U$191)*Links!AJ33*(Nodes!BE33-Links!AJ33)-(ATM_Conf!$C$9*ATM_Conf!$C$5/(ATM_Conf!$C$8*Links!U$191))*(Nodes!BS33-Links!U33)/(Links!U33/ATM_Conf!$C$10)</f>
        <v>#DIV/0!</v>
      </c>
      <c r="AK34" s="45" t="e">
        <f>AK33+(ATM_Conf!$C$5/ATM_Conf!$C$8)*(Links!AZ33*EXP((-(Links!V33/Links!BO33)^Links!CD33)/Links!CD33)-Links!AK33)+(ATM_Conf!$C$5/Links!V$191)*Links!AK33*(Nodes!BF33-Links!AK33)-(ATM_Conf!$C$9*ATM_Conf!$C$5/(ATM_Conf!$C$8*Links!V$191))*(Nodes!BT33-Links!V33)/(Links!V33/ATM_Conf!$C$10)</f>
        <v>#DIV/0!</v>
      </c>
      <c r="AL34" s="45" t="e">
        <f>AL33+(ATM_Conf!$C$5/ATM_Conf!$C$8)*(Links!BA33*EXP((-(Links!W33/Links!BP33)^Links!CE33)/Links!CE33)-Links!AL33)+(ATM_Conf!$C$5/Links!W$191)*Links!AL33*(Nodes!BG33-Links!AL33)-(ATM_Conf!$C$9*ATM_Conf!$C$5/(ATM_Conf!$C$8*Links!W$191))*(Nodes!BU33-Links!W33)/(Links!W33/ATM_Conf!$C$10)</f>
        <v>#DIV/0!</v>
      </c>
      <c r="AM34" s="45" t="e">
        <f>AM33+(ATM_Conf!$C$5/ATM_Conf!$C$8)*(Links!BB33*EXP((-(Links!X33/Links!BQ33)^Links!CF33)/Links!CF33)-Links!AM33)+(ATM_Conf!$C$5/Links!X$191)*Links!AM33*(Nodes!BH33-Links!AM33)</f>
        <v>#DIV/0!</v>
      </c>
      <c r="AN34" s="45" t="e">
        <f>AN33+(ATM_Conf!$C$5/ATM_Conf!$C$8)*(Links!BC33*EXP((-(Links!Y33/Links!BR33)^Links!CG33)/Links!CG33)-Links!AN33)-(ATM_Conf!$C$9*ATM_Conf!$C$5/(ATM_Conf!$C$8*Links!Y$191))*(Nodes!BV33-Links!Y33)/(Links!Y33/ATM_Conf!$C$10)</f>
        <v>#DIV/0!</v>
      </c>
      <c r="AO34" s="45" t="e">
        <f>AO33+(ATM_Conf!$C$5/ATM_Conf!$C$8)*(Links!BD33*EXP((-(Links!Z33/Links!BS33)^Links!CH33)/Links!CH33)-Links!AO33)+(ATM_Conf!$C$5/Links!Z$191)*Links!AO33*(Nodes!BI33-Links!AO33)-(ATM_Conf!$C$9*ATM_Conf!$C$5/(ATM_Conf!$C$8*Links!Z$191))*(Nodes!BW33-Links!Z33)/(Links!Z33/ATM_Conf!$C$10)</f>
        <v>#DIV/0!</v>
      </c>
      <c r="AP34" s="45" t="e">
        <f>AP33+(ATM_Conf!$C$5/ATM_Conf!$C$8)*(Links!BE33*EXP((-(Links!AA33/Links!BT33)^Links!CI33)/Links!CI33)-Links!AP33)+(ATM_Conf!$C$5/Links!AA$191)*Links!AP33*(Nodes!BJ33-Links!AP33)-(ATM_Conf!$C$9*ATM_Conf!$C$5/(ATM_Conf!$C$8*Links!AA$191))*(Nodes!BX33-Links!AA33)/(Links!AA33/ATM_Conf!$C$10)</f>
        <v>#DIV/0!</v>
      </c>
      <c r="AQ34" s="45" t="e">
        <f>AQ33+(ATM_Conf!$C$5/ATM_Conf!$C$8)*(Links!BF33*EXP((-(Links!AB33/Links!BU33)^Links!CJ33)/Links!CJ33)-Links!AQ33)+(ATM_Conf!$C$5/Links!AB$191)*Links!AQ33*(Nodes!BK33-Links!AQ33)-(ATM_Conf!$C$9*ATM_Conf!$C$5/(ATM_Conf!$C$8*Links!AB$191))*(Nodes!BY33-Links!AB33)/(Links!AB33/ATM_Conf!$C$10)</f>
        <v>#DIV/0!</v>
      </c>
      <c r="AR34" s="45" t="e">
        <f>AR33+(ATM_Conf!$C$5/ATM_Conf!$C$8)*(Links!BG33*EXP((-(Links!AC33/Links!BV33)^Links!CK33)/Links!CK33)-Links!AR33)+(ATM_Conf!$C$5/Links!AC$191)*Links!AR33*(Nodes!BL33-Links!AR33)-(ATM_Conf!$C$9*ATM_Conf!$C$5/(ATM_Conf!$C$8*Links!AC$191))*(Nodes!BZ33-Links!AC33)/(Links!AC33/ATM_Conf!$C$10)</f>
        <v>#DIV/0!</v>
      </c>
      <c r="AS34" s="45" t="e">
        <f>AS33+(ATM_Conf!$C$5/ATM_Conf!$C$8)*(Links!BH33*EXP((-(Links!AD33/Links!BW33)^Links!CL33)/Links!CL33)-Links!AS33)+(ATM_Conf!$C$5/Links!AD$191)*Links!AS33*(Nodes!BM33-Links!AS33)-(ATM_Conf!$C$9*ATM_Conf!$C$5/(ATM_Conf!$C$8*Links!AD$191))*(Nodes!CA33-Links!AD33)/(Links!AD33/ATM_Conf!$C$10)</f>
        <v>#DIV/0!</v>
      </c>
      <c r="AT34" s="45" t="e">
        <f>AT33+(ATM_Conf!$C$5/ATM_Conf!$C$8)*(Links!BI33*EXP((-(Links!AE33/Links!BX33)^Links!CM33)/Links!CM33)-Links!AT33)+(ATM_Conf!$C$5/Links!AE$191)*Links!AT33*(Nodes!BN33-Links!AT33)</f>
        <v>#DIV/0!</v>
      </c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45">
        <f t="shared" si="24"/>
        <v>0</v>
      </c>
      <c r="CO34" s="45">
        <f t="shared" si="24"/>
        <v>0</v>
      </c>
      <c r="CP34" s="45">
        <f t="shared" si="24"/>
        <v>0</v>
      </c>
      <c r="CQ34" s="45">
        <f t="shared" si="24"/>
        <v>0</v>
      </c>
      <c r="CR34" s="45">
        <f t="shared" si="24"/>
        <v>0</v>
      </c>
      <c r="CS34" s="45">
        <f t="shared" si="24"/>
        <v>0</v>
      </c>
      <c r="CT34" s="45">
        <f t="shared" si="24"/>
        <v>0</v>
      </c>
      <c r="CU34" s="45">
        <f t="shared" si="24"/>
        <v>0</v>
      </c>
      <c r="CV34" s="45">
        <f t="shared" si="24"/>
        <v>0</v>
      </c>
      <c r="CW34" s="45">
        <f t="shared" si="24"/>
        <v>0</v>
      </c>
      <c r="CX34" s="45">
        <f t="shared" si="24"/>
        <v>0</v>
      </c>
      <c r="CY34" s="45">
        <f t="shared" si="24"/>
        <v>0</v>
      </c>
      <c r="CZ34" s="45">
        <f t="shared" si="24"/>
        <v>0</v>
      </c>
      <c r="DA34" s="45">
        <f t="shared" si="24"/>
        <v>0</v>
      </c>
      <c r="DB34" s="45">
        <f t="shared" si="24"/>
        <v>0</v>
      </c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</row>
    <row r="35" spans="1:121" ht="14.25" x14ac:dyDescent="0.15">
      <c r="A35" s="48">
        <v>33</v>
      </c>
      <c r="B35" s="45" t="e">
        <f t="shared" si="2"/>
        <v>#DIV/0!</v>
      </c>
      <c r="C35" s="45" t="e">
        <f t="shared" si="3"/>
        <v>#DIV/0!</v>
      </c>
      <c r="D35" s="45" t="e">
        <f t="shared" si="4"/>
        <v>#DIV/0!</v>
      </c>
      <c r="E35" s="45" t="e">
        <f t="shared" si="5"/>
        <v>#DIV/0!</v>
      </c>
      <c r="F35" s="45" t="e">
        <f t="shared" si="6"/>
        <v>#DIV/0!</v>
      </c>
      <c r="G35" s="45" t="e">
        <f t="shared" si="7"/>
        <v>#DIV/0!</v>
      </c>
      <c r="H35" s="45" t="e">
        <f t="shared" si="8"/>
        <v>#DIV/0!</v>
      </c>
      <c r="I35" s="45" t="e">
        <f t="shared" si="9"/>
        <v>#DIV/0!</v>
      </c>
      <c r="J35" s="45" t="e">
        <f t="shared" si="10"/>
        <v>#DIV/0!</v>
      </c>
      <c r="K35" s="45" t="e">
        <f t="shared" si="11"/>
        <v>#DIV/0!</v>
      </c>
      <c r="L35" s="45" t="e">
        <f t="shared" si="12"/>
        <v>#DIV/0!</v>
      </c>
      <c r="M35" s="45" t="e">
        <f t="shared" si="13"/>
        <v>#DIV/0!</v>
      </c>
      <c r="N35" s="45" t="e">
        <f t="shared" si="14"/>
        <v>#DIV/0!</v>
      </c>
      <c r="O35" s="45" t="e">
        <f t="shared" si="15"/>
        <v>#DIV/0!</v>
      </c>
      <c r="P35" s="45" t="e">
        <f t="shared" si="16"/>
        <v>#DIV/0!</v>
      </c>
      <c r="Q35" s="55" t="e">
        <f>Q34+ATM_Conf!$C$5*(B34)/(Links!B$191*Links!Q$191)</f>
        <v>#DIV/0!</v>
      </c>
      <c r="R35" s="55" t="e">
        <f>R34+ATM_Conf!$C$5*(C34-B34)/(Links!C$191*Links!R$191)</f>
        <v>#DIV/0!</v>
      </c>
      <c r="S35" s="55" t="e">
        <f>S34+ATM_Conf!$C$5*(D34-C34)/(Links!D$191*Links!S$191)</f>
        <v>#DIV/0!</v>
      </c>
      <c r="T35" s="55" t="e">
        <f>T34+ATM_Conf!$C$5*(E34-D34)/(Links!E$191*Links!T$191)</f>
        <v>#DIV/0!</v>
      </c>
      <c r="U35" s="55" t="e">
        <f>U34+ATM_Conf!$C$5*(F34-E34)/(Links!F$191*Links!U$191)</f>
        <v>#DIV/0!</v>
      </c>
      <c r="V35" s="55" t="e">
        <f>V34+ATM_Conf!$C$5*(G34-F34)/(Links!G$191*Links!V$191)</f>
        <v>#DIV/0!</v>
      </c>
      <c r="W35" s="55" t="e">
        <f>W34+ATM_Conf!$C$5*(H34-G34)/(Links!H$191*Links!W$191)</f>
        <v>#DIV/0!</v>
      </c>
      <c r="X35" s="55" t="e">
        <f>X34+ATM_Conf!$C$5*(I34-H34)/(Links!I$191*Links!X$191)</f>
        <v>#DIV/0!</v>
      </c>
      <c r="Y35" s="55" t="e">
        <f>Y34+ATM_Conf!$C$5*(J34)/(Links!J$191*Links!Y$191)</f>
        <v>#DIV/0!</v>
      </c>
      <c r="Z35" s="55" t="e">
        <f>Z34+ATM_Conf!$C$5*(K34-J34)/(Links!K$191*Links!Z$191)</f>
        <v>#DIV/0!</v>
      </c>
      <c r="AA35" s="55" t="e">
        <f>AA34+ATM_Conf!$C$5*(L34-K34)/(Links!L$191*Links!AA$191)</f>
        <v>#DIV/0!</v>
      </c>
      <c r="AB35" s="55" t="e">
        <f>AB34+ATM_Conf!$C$5*(M34-L34)/(Links!M$191*Links!AB$191)</f>
        <v>#DIV/0!</v>
      </c>
      <c r="AC35" s="55" t="e">
        <f>AC34+ATM_Conf!$C$5*(N34-M34)/(Links!N$191*Links!AC$191)</f>
        <v>#DIV/0!</v>
      </c>
      <c r="AD35" s="55" t="e">
        <f>AD34+ATM_Conf!$C$5*(O34-N34)/(Links!O$191*Links!AD$191)</f>
        <v>#DIV/0!</v>
      </c>
      <c r="AE35" s="55" t="e">
        <f>AE34+ATM_Conf!$C$5*(P34-O34)/(Links!P$191*Links!AE$191)</f>
        <v>#DIV/0!</v>
      </c>
      <c r="AF35" s="45" t="e">
        <f>AF34+(ATM_Conf!$C$5/ATM_Conf!$C$8)*(Links!AU34*EXP((-(Links!Q34/Links!BJ34)^Links!BY34)/Links!BY34)-Links!AF34)-(ATM_Conf!$C$9*ATM_Conf!$C$5/(ATM_Conf!$C$8*Links!Q$191))*(Nodes!BO34-Links!Q34)/(Links!Q34/ATM_Conf!$C$10)</f>
        <v>#DIV/0!</v>
      </c>
      <c r="AG35" s="45" t="e">
        <f>AG34+(ATM_Conf!$C$5/ATM_Conf!$C$8)*(Links!AV34*EXP((-(Links!R34/Links!BK34)^Links!BZ34)/Links!BZ34)-Links!AG34)+(ATM_Conf!$C$5/Links!R$191)*Links!AG34*(Nodes!BB34-Links!AG34)-(ATM_Conf!$C$9*ATM_Conf!$C$5/(ATM_Conf!$C$8*Links!R$191))*(Nodes!BP34-Links!R34)/(Links!R34/ATM_Conf!$C$10)</f>
        <v>#DIV/0!</v>
      </c>
      <c r="AH35" s="45" t="e">
        <f>AH34+(ATM_Conf!$C$5/ATM_Conf!$C$8)*(Links!AW34*EXP((-(Links!S34/Links!BL34)^Links!CA34)/Links!CA34)-Links!AH34)+(ATM_Conf!$C$5/Links!S$191)*Links!AH34*(Nodes!BC34-Links!AH34)-(ATM_Conf!$C$9*ATM_Conf!$C$5/(ATM_Conf!$C$8*Links!S$191))*(Nodes!BQ34-Links!S34)/(Links!S34/ATM_Conf!$C$10)</f>
        <v>#DIV/0!</v>
      </c>
      <c r="AI35" s="45" t="e">
        <f>AI34+(ATM_Conf!$C$5/ATM_Conf!$C$8)*(Links!AX34*EXP((-(Links!T34/Links!BM34)^Links!CB34)/Links!CB34)-Links!AI34)+(ATM_Conf!$C$5/Links!T$191)*Links!AI34*(Nodes!BD34-Links!AI34)-(ATM_Conf!$C$9*ATM_Conf!$C$5/(ATM_Conf!$C$8*Links!T$191))*(Nodes!BR34-Links!T34)/(Links!T34/ATM_Conf!$C$10)</f>
        <v>#DIV/0!</v>
      </c>
      <c r="AJ35" s="45" t="e">
        <f>AJ34+(ATM_Conf!$C$5/ATM_Conf!$C$8)*(Links!AY34*EXP((-(Links!U34/Links!BN34)^Links!CC34)/Links!CC34)-Links!AJ34)+(ATM_Conf!$C$5/Links!U$191)*Links!AJ34*(Nodes!BE34-Links!AJ34)-(ATM_Conf!$C$9*ATM_Conf!$C$5/(ATM_Conf!$C$8*Links!U$191))*(Nodes!BS34-Links!U34)/(Links!U34/ATM_Conf!$C$10)</f>
        <v>#DIV/0!</v>
      </c>
      <c r="AK35" s="45" t="e">
        <f>AK34+(ATM_Conf!$C$5/ATM_Conf!$C$8)*(Links!AZ34*EXP((-(Links!V34/Links!BO34)^Links!CD34)/Links!CD34)-Links!AK34)+(ATM_Conf!$C$5/Links!V$191)*Links!AK34*(Nodes!BF34-Links!AK34)-(ATM_Conf!$C$9*ATM_Conf!$C$5/(ATM_Conf!$C$8*Links!V$191))*(Nodes!BT34-Links!V34)/(Links!V34/ATM_Conf!$C$10)</f>
        <v>#DIV/0!</v>
      </c>
      <c r="AL35" s="45" t="e">
        <f>AL34+(ATM_Conf!$C$5/ATM_Conf!$C$8)*(Links!BA34*EXP((-(Links!W34/Links!BP34)^Links!CE34)/Links!CE34)-Links!AL34)+(ATM_Conf!$C$5/Links!W$191)*Links!AL34*(Nodes!BG34-Links!AL34)-(ATM_Conf!$C$9*ATM_Conf!$C$5/(ATM_Conf!$C$8*Links!W$191))*(Nodes!BU34-Links!W34)/(Links!W34/ATM_Conf!$C$10)</f>
        <v>#DIV/0!</v>
      </c>
      <c r="AM35" s="45" t="e">
        <f>AM34+(ATM_Conf!$C$5/ATM_Conf!$C$8)*(Links!BB34*EXP((-(Links!X34/Links!BQ34)^Links!CF34)/Links!CF34)-Links!AM34)+(ATM_Conf!$C$5/Links!X$191)*Links!AM34*(Nodes!BH34-Links!AM34)</f>
        <v>#DIV/0!</v>
      </c>
      <c r="AN35" s="45" t="e">
        <f>AN34+(ATM_Conf!$C$5/ATM_Conf!$C$8)*(Links!BC34*EXP((-(Links!Y34/Links!BR34)^Links!CG34)/Links!CG34)-Links!AN34)-(ATM_Conf!$C$9*ATM_Conf!$C$5/(ATM_Conf!$C$8*Links!Y$191))*(Nodes!BV34-Links!Y34)/(Links!Y34/ATM_Conf!$C$10)</f>
        <v>#DIV/0!</v>
      </c>
      <c r="AO35" s="45" t="e">
        <f>AO34+(ATM_Conf!$C$5/ATM_Conf!$C$8)*(Links!BD34*EXP((-(Links!Z34/Links!BS34)^Links!CH34)/Links!CH34)-Links!AO34)+(ATM_Conf!$C$5/Links!Z$191)*Links!AO34*(Nodes!BI34-Links!AO34)-(ATM_Conf!$C$9*ATM_Conf!$C$5/(ATM_Conf!$C$8*Links!Z$191))*(Nodes!BW34-Links!Z34)/(Links!Z34/ATM_Conf!$C$10)</f>
        <v>#DIV/0!</v>
      </c>
      <c r="AP35" s="45" t="e">
        <f>AP34+(ATM_Conf!$C$5/ATM_Conf!$C$8)*(Links!BE34*EXP((-(Links!AA34/Links!BT34)^Links!CI34)/Links!CI34)-Links!AP34)+(ATM_Conf!$C$5/Links!AA$191)*Links!AP34*(Nodes!BJ34-Links!AP34)-(ATM_Conf!$C$9*ATM_Conf!$C$5/(ATM_Conf!$C$8*Links!AA$191))*(Nodes!BX34-Links!AA34)/(Links!AA34/ATM_Conf!$C$10)</f>
        <v>#DIV/0!</v>
      </c>
      <c r="AQ35" s="45" t="e">
        <f>AQ34+(ATM_Conf!$C$5/ATM_Conf!$C$8)*(Links!BF34*EXP((-(Links!AB34/Links!BU34)^Links!CJ34)/Links!CJ34)-Links!AQ34)+(ATM_Conf!$C$5/Links!AB$191)*Links!AQ34*(Nodes!BK34-Links!AQ34)-(ATM_Conf!$C$9*ATM_Conf!$C$5/(ATM_Conf!$C$8*Links!AB$191))*(Nodes!BY34-Links!AB34)/(Links!AB34/ATM_Conf!$C$10)</f>
        <v>#DIV/0!</v>
      </c>
      <c r="AR35" s="45" t="e">
        <f>AR34+(ATM_Conf!$C$5/ATM_Conf!$C$8)*(Links!BG34*EXP((-(Links!AC34/Links!BV34)^Links!CK34)/Links!CK34)-Links!AR34)+(ATM_Conf!$C$5/Links!AC$191)*Links!AR34*(Nodes!BL34-Links!AR34)-(ATM_Conf!$C$9*ATM_Conf!$C$5/(ATM_Conf!$C$8*Links!AC$191))*(Nodes!BZ34-Links!AC34)/(Links!AC34/ATM_Conf!$C$10)</f>
        <v>#DIV/0!</v>
      </c>
      <c r="AS35" s="45" t="e">
        <f>AS34+(ATM_Conf!$C$5/ATM_Conf!$C$8)*(Links!BH34*EXP((-(Links!AD34/Links!BW34)^Links!CL34)/Links!CL34)-Links!AS34)+(ATM_Conf!$C$5/Links!AD$191)*Links!AS34*(Nodes!BM34-Links!AS34)-(ATM_Conf!$C$9*ATM_Conf!$C$5/(ATM_Conf!$C$8*Links!AD$191))*(Nodes!CA34-Links!AD34)/(Links!AD34/ATM_Conf!$C$10)</f>
        <v>#DIV/0!</v>
      </c>
      <c r="AT35" s="45" t="e">
        <f>AT34+(ATM_Conf!$C$5/ATM_Conf!$C$8)*(Links!BI34*EXP((-(Links!AE34/Links!BX34)^Links!CM34)/Links!CM34)-Links!AT34)+(ATM_Conf!$C$5/Links!AE$191)*Links!AT34*(Nodes!BN34-Links!AT34)</f>
        <v>#DIV/0!</v>
      </c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45">
        <f t="shared" si="24"/>
        <v>0</v>
      </c>
      <c r="CO35" s="45">
        <f t="shared" si="24"/>
        <v>0</v>
      </c>
      <c r="CP35" s="45">
        <f t="shared" si="24"/>
        <v>0</v>
      </c>
      <c r="CQ35" s="45">
        <f t="shared" si="24"/>
        <v>0</v>
      </c>
      <c r="CR35" s="45">
        <f t="shared" si="24"/>
        <v>0</v>
      </c>
      <c r="CS35" s="45">
        <f t="shared" si="24"/>
        <v>0</v>
      </c>
      <c r="CT35" s="45">
        <f t="shared" si="24"/>
        <v>0</v>
      </c>
      <c r="CU35" s="45">
        <f t="shared" si="24"/>
        <v>0</v>
      </c>
      <c r="CV35" s="45">
        <f t="shared" si="24"/>
        <v>0</v>
      </c>
      <c r="CW35" s="45">
        <f t="shared" si="24"/>
        <v>0</v>
      </c>
      <c r="CX35" s="45">
        <f t="shared" si="24"/>
        <v>0</v>
      </c>
      <c r="CY35" s="45">
        <f t="shared" si="24"/>
        <v>0</v>
      </c>
      <c r="CZ35" s="45">
        <f t="shared" si="24"/>
        <v>0</v>
      </c>
      <c r="DA35" s="45">
        <f t="shared" si="24"/>
        <v>0</v>
      </c>
      <c r="DB35" s="45">
        <f t="shared" si="24"/>
        <v>0</v>
      </c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</row>
    <row r="36" spans="1:121" ht="14.25" x14ac:dyDescent="0.15">
      <c r="A36" s="48">
        <v>34</v>
      </c>
      <c r="B36" s="45" t="e">
        <f t="shared" si="2"/>
        <v>#DIV/0!</v>
      </c>
      <c r="C36" s="45" t="e">
        <f t="shared" si="3"/>
        <v>#DIV/0!</v>
      </c>
      <c r="D36" s="45" t="e">
        <f t="shared" si="4"/>
        <v>#DIV/0!</v>
      </c>
      <c r="E36" s="45" t="e">
        <f t="shared" si="5"/>
        <v>#DIV/0!</v>
      </c>
      <c r="F36" s="45" t="e">
        <f t="shared" si="6"/>
        <v>#DIV/0!</v>
      </c>
      <c r="G36" s="45" t="e">
        <f t="shared" si="7"/>
        <v>#DIV/0!</v>
      </c>
      <c r="H36" s="45" t="e">
        <f t="shared" si="8"/>
        <v>#DIV/0!</v>
      </c>
      <c r="I36" s="45" t="e">
        <f t="shared" si="9"/>
        <v>#DIV/0!</v>
      </c>
      <c r="J36" s="45" t="e">
        <f t="shared" si="10"/>
        <v>#DIV/0!</v>
      </c>
      <c r="K36" s="45" t="e">
        <f t="shared" si="11"/>
        <v>#DIV/0!</v>
      </c>
      <c r="L36" s="45" t="e">
        <f t="shared" si="12"/>
        <v>#DIV/0!</v>
      </c>
      <c r="M36" s="45" t="e">
        <f t="shared" si="13"/>
        <v>#DIV/0!</v>
      </c>
      <c r="N36" s="45" t="e">
        <f t="shared" si="14"/>
        <v>#DIV/0!</v>
      </c>
      <c r="O36" s="45" t="e">
        <f t="shared" si="15"/>
        <v>#DIV/0!</v>
      </c>
      <c r="P36" s="45" t="e">
        <f t="shared" si="16"/>
        <v>#DIV/0!</v>
      </c>
      <c r="Q36" s="55" t="e">
        <f>Q35+ATM_Conf!$C$5*(B35)/(Links!B$191*Links!Q$191)</f>
        <v>#DIV/0!</v>
      </c>
      <c r="R36" s="55" t="e">
        <f>R35+ATM_Conf!$C$5*(C35-B35)/(Links!C$191*Links!R$191)</f>
        <v>#DIV/0!</v>
      </c>
      <c r="S36" s="55" t="e">
        <f>S35+ATM_Conf!$C$5*(D35-C35)/(Links!D$191*Links!S$191)</f>
        <v>#DIV/0!</v>
      </c>
      <c r="T36" s="55" t="e">
        <f>T35+ATM_Conf!$C$5*(E35-D35)/(Links!E$191*Links!T$191)</f>
        <v>#DIV/0!</v>
      </c>
      <c r="U36" s="55" t="e">
        <f>U35+ATM_Conf!$C$5*(F35-E35)/(Links!F$191*Links!U$191)</f>
        <v>#DIV/0!</v>
      </c>
      <c r="V36" s="55" t="e">
        <f>V35+ATM_Conf!$C$5*(G35-F35)/(Links!G$191*Links!V$191)</f>
        <v>#DIV/0!</v>
      </c>
      <c r="W36" s="55" t="e">
        <f>W35+ATM_Conf!$C$5*(H35-G35)/(Links!H$191*Links!W$191)</f>
        <v>#DIV/0!</v>
      </c>
      <c r="X36" s="55" t="e">
        <f>X35+ATM_Conf!$C$5*(I35-H35)/(Links!I$191*Links!X$191)</f>
        <v>#DIV/0!</v>
      </c>
      <c r="Y36" s="55" t="e">
        <f>Y35+ATM_Conf!$C$5*(J35)/(Links!J$191*Links!Y$191)</f>
        <v>#DIV/0!</v>
      </c>
      <c r="Z36" s="55" t="e">
        <f>Z35+ATM_Conf!$C$5*(K35-J35)/(Links!K$191*Links!Z$191)</f>
        <v>#DIV/0!</v>
      </c>
      <c r="AA36" s="55" t="e">
        <f>AA35+ATM_Conf!$C$5*(L35-K35)/(Links!L$191*Links!AA$191)</f>
        <v>#DIV/0!</v>
      </c>
      <c r="AB36" s="55" t="e">
        <f>AB35+ATM_Conf!$C$5*(M35-L35)/(Links!M$191*Links!AB$191)</f>
        <v>#DIV/0!</v>
      </c>
      <c r="AC36" s="55" t="e">
        <f>AC35+ATM_Conf!$C$5*(N35-M35)/(Links!N$191*Links!AC$191)</f>
        <v>#DIV/0!</v>
      </c>
      <c r="AD36" s="55" t="e">
        <f>AD35+ATM_Conf!$C$5*(O35-N35)/(Links!O$191*Links!AD$191)</f>
        <v>#DIV/0!</v>
      </c>
      <c r="AE36" s="55" t="e">
        <f>AE35+ATM_Conf!$C$5*(P35-O35)/(Links!P$191*Links!AE$191)</f>
        <v>#DIV/0!</v>
      </c>
      <c r="AF36" s="45" t="e">
        <f>AF35+(ATM_Conf!$C$5/ATM_Conf!$C$8)*(Links!AU35*EXP((-(Links!Q35/Links!BJ35)^Links!BY35)/Links!BY35)-Links!AF35)-(ATM_Conf!$C$9*ATM_Conf!$C$5/(ATM_Conf!$C$8*Links!Q$191))*(Nodes!BO35-Links!Q35)/(Links!Q35/ATM_Conf!$C$10)</f>
        <v>#DIV/0!</v>
      </c>
      <c r="AG36" s="45" t="e">
        <f>AG35+(ATM_Conf!$C$5/ATM_Conf!$C$8)*(Links!AV35*EXP((-(Links!R35/Links!BK35)^Links!BZ35)/Links!BZ35)-Links!AG35)+(ATM_Conf!$C$5/Links!R$191)*Links!AG35*(Nodes!BB35-Links!AG35)-(ATM_Conf!$C$9*ATM_Conf!$C$5/(ATM_Conf!$C$8*Links!R$191))*(Nodes!BP35-Links!R35)/(Links!R35/ATM_Conf!$C$10)</f>
        <v>#DIV/0!</v>
      </c>
      <c r="AH36" s="45" t="e">
        <f>AH35+(ATM_Conf!$C$5/ATM_Conf!$C$8)*(Links!AW35*EXP((-(Links!S35/Links!BL35)^Links!CA35)/Links!CA35)-Links!AH35)+(ATM_Conf!$C$5/Links!S$191)*Links!AH35*(Nodes!BC35-Links!AH35)-(ATM_Conf!$C$9*ATM_Conf!$C$5/(ATM_Conf!$C$8*Links!S$191))*(Nodes!BQ35-Links!S35)/(Links!S35/ATM_Conf!$C$10)</f>
        <v>#DIV/0!</v>
      </c>
      <c r="AI36" s="45" t="e">
        <f>AI35+(ATM_Conf!$C$5/ATM_Conf!$C$8)*(Links!AX35*EXP((-(Links!T35/Links!BM35)^Links!CB35)/Links!CB35)-Links!AI35)+(ATM_Conf!$C$5/Links!T$191)*Links!AI35*(Nodes!BD35-Links!AI35)-(ATM_Conf!$C$9*ATM_Conf!$C$5/(ATM_Conf!$C$8*Links!T$191))*(Nodes!BR35-Links!T35)/(Links!T35/ATM_Conf!$C$10)</f>
        <v>#DIV/0!</v>
      </c>
      <c r="AJ36" s="45" t="e">
        <f>AJ35+(ATM_Conf!$C$5/ATM_Conf!$C$8)*(Links!AY35*EXP((-(Links!U35/Links!BN35)^Links!CC35)/Links!CC35)-Links!AJ35)+(ATM_Conf!$C$5/Links!U$191)*Links!AJ35*(Nodes!BE35-Links!AJ35)-(ATM_Conf!$C$9*ATM_Conf!$C$5/(ATM_Conf!$C$8*Links!U$191))*(Nodes!BS35-Links!U35)/(Links!U35/ATM_Conf!$C$10)</f>
        <v>#DIV/0!</v>
      </c>
      <c r="AK36" s="45" t="e">
        <f>AK35+(ATM_Conf!$C$5/ATM_Conf!$C$8)*(Links!AZ35*EXP((-(Links!V35/Links!BO35)^Links!CD35)/Links!CD35)-Links!AK35)+(ATM_Conf!$C$5/Links!V$191)*Links!AK35*(Nodes!BF35-Links!AK35)-(ATM_Conf!$C$9*ATM_Conf!$C$5/(ATM_Conf!$C$8*Links!V$191))*(Nodes!BT35-Links!V35)/(Links!V35/ATM_Conf!$C$10)</f>
        <v>#DIV/0!</v>
      </c>
      <c r="AL36" s="45" t="e">
        <f>AL35+(ATM_Conf!$C$5/ATM_Conf!$C$8)*(Links!BA35*EXP((-(Links!W35/Links!BP35)^Links!CE35)/Links!CE35)-Links!AL35)+(ATM_Conf!$C$5/Links!W$191)*Links!AL35*(Nodes!BG35-Links!AL35)-(ATM_Conf!$C$9*ATM_Conf!$C$5/(ATM_Conf!$C$8*Links!W$191))*(Nodes!BU35-Links!W35)/(Links!W35/ATM_Conf!$C$10)</f>
        <v>#DIV/0!</v>
      </c>
      <c r="AM36" s="45" t="e">
        <f>AM35+(ATM_Conf!$C$5/ATM_Conf!$C$8)*(Links!BB35*EXP((-(Links!X35/Links!BQ35)^Links!CF35)/Links!CF35)-Links!AM35)+(ATM_Conf!$C$5/Links!X$191)*Links!AM35*(Nodes!BH35-Links!AM35)</f>
        <v>#DIV/0!</v>
      </c>
      <c r="AN36" s="45" t="e">
        <f>AN35+(ATM_Conf!$C$5/ATM_Conf!$C$8)*(Links!BC35*EXP((-(Links!Y35/Links!BR35)^Links!CG35)/Links!CG35)-Links!AN35)-(ATM_Conf!$C$9*ATM_Conf!$C$5/(ATM_Conf!$C$8*Links!Y$191))*(Nodes!BV35-Links!Y35)/(Links!Y35/ATM_Conf!$C$10)</f>
        <v>#DIV/0!</v>
      </c>
      <c r="AO36" s="45" t="e">
        <f>AO35+(ATM_Conf!$C$5/ATM_Conf!$C$8)*(Links!BD35*EXP((-(Links!Z35/Links!BS35)^Links!CH35)/Links!CH35)-Links!AO35)+(ATM_Conf!$C$5/Links!Z$191)*Links!AO35*(Nodes!BI35-Links!AO35)-(ATM_Conf!$C$9*ATM_Conf!$C$5/(ATM_Conf!$C$8*Links!Z$191))*(Nodes!BW35-Links!Z35)/(Links!Z35/ATM_Conf!$C$10)</f>
        <v>#DIV/0!</v>
      </c>
      <c r="AP36" s="45" t="e">
        <f>AP35+(ATM_Conf!$C$5/ATM_Conf!$C$8)*(Links!BE35*EXP((-(Links!AA35/Links!BT35)^Links!CI35)/Links!CI35)-Links!AP35)+(ATM_Conf!$C$5/Links!AA$191)*Links!AP35*(Nodes!BJ35-Links!AP35)-(ATM_Conf!$C$9*ATM_Conf!$C$5/(ATM_Conf!$C$8*Links!AA$191))*(Nodes!BX35-Links!AA35)/(Links!AA35/ATM_Conf!$C$10)</f>
        <v>#DIV/0!</v>
      </c>
      <c r="AQ36" s="45" t="e">
        <f>AQ35+(ATM_Conf!$C$5/ATM_Conf!$C$8)*(Links!BF35*EXP((-(Links!AB35/Links!BU35)^Links!CJ35)/Links!CJ35)-Links!AQ35)+(ATM_Conf!$C$5/Links!AB$191)*Links!AQ35*(Nodes!BK35-Links!AQ35)-(ATM_Conf!$C$9*ATM_Conf!$C$5/(ATM_Conf!$C$8*Links!AB$191))*(Nodes!BY35-Links!AB35)/(Links!AB35/ATM_Conf!$C$10)</f>
        <v>#DIV/0!</v>
      </c>
      <c r="AR36" s="45" t="e">
        <f>AR35+(ATM_Conf!$C$5/ATM_Conf!$C$8)*(Links!BG35*EXP((-(Links!AC35/Links!BV35)^Links!CK35)/Links!CK35)-Links!AR35)+(ATM_Conf!$C$5/Links!AC$191)*Links!AR35*(Nodes!BL35-Links!AR35)-(ATM_Conf!$C$9*ATM_Conf!$C$5/(ATM_Conf!$C$8*Links!AC$191))*(Nodes!BZ35-Links!AC35)/(Links!AC35/ATM_Conf!$C$10)</f>
        <v>#DIV/0!</v>
      </c>
      <c r="AS36" s="45" t="e">
        <f>AS35+(ATM_Conf!$C$5/ATM_Conf!$C$8)*(Links!BH35*EXP((-(Links!AD35/Links!BW35)^Links!CL35)/Links!CL35)-Links!AS35)+(ATM_Conf!$C$5/Links!AD$191)*Links!AS35*(Nodes!BM35-Links!AS35)-(ATM_Conf!$C$9*ATM_Conf!$C$5/(ATM_Conf!$C$8*Links!AD$191))*(Nodes!CA35-Links!AD35)/(Links!AD35/ATM_Conf!$C$10)</f>
        <v>#DIV/0!</v>
      </c>
      <c r="AT36" s="45" t="e">
        <f>AT35+(ATM_Conf!$C$5/ATM_Conf!$C$8)*(Links!BI35*EXP((-(Links!AE35/Links!BX35)^Links!CM35)/Links!CM35)-Links!AT35)+(ATM_Conf!$C$5/Links!AE$191)*Links!AT35*(Nodes!BN35-Links!AT35)</f>
        <v>#DIV/0!</v>
      </c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45">
        <f t="shared" si="24"/>
        <v>0</v>
      </c>
      <c r="CO36" s="45">
        <f t="shared" si="24"/>
        <v>0</v>
      </c>
      <c r="CP36" s="45">
        <f t="shared" si="24"/>
        <v>0</v>
      </c>
      <c r="CQ36" s="45">
        <f t="shared" si="24"/>
        <v>0</v>
      </c>
      <c r="CR36" s="45">
        <f t="shared" si="24"/>
        <v>0</v>
      </c>
      <c r="CS36" s="45">
        <f t="shared" si="24"/>
        <v>0</v>
      </c>
      <c r="CT36" s="45">
        <f t="shared" si="24"/>
        <v>0</v>
      </c>
      <c r="CU36" s="45">
        <f t="shared" si="24"/>
        <v>0</v>
      </c>
      <c r="CV36" s="45">
        <f t="shared" si="24"/>
        <v>0</v>
      </c>
      <c r="CW36" s="45">
        <f t="shared" si="24"/>
        <v>0</v>
      </c>
      <c r="CX36" s="45">
        <f t="shared" si="24"/>
        <v>0</v>
      </c>
      <c r="CY36" s="45">
        <f t="shared" si="24"/>
        <v>0</v>
      </c>
      <c r="CZ36" s="45">
        <f t="shared" si="24"/>
        <v>0</v>
      </c>
      <c r="DA36" s="45">
        <f t="shared" si="24"/>
        <v>0</v>
      </c>
      <c r="DB36" s="45">
        <f t="shared" si="24"/>
        <v>0</v>
      </c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</row>
    <row r="37" spans="1:121" ht="14.25" x14ac:dyDescent="0.15">
      <c r="A37" s="48">
        <v>35</v>
      </c>
      <c r="B37" s="45" t="e">
        <f t="shared" si="2"/>
        <v>#DIV/0!</v>
      </c>
      <c r="C37" s="45" t="e">
        <f t="shared" si="3"/>
        <v>#DIV/0!</v>
      </c>
      <c r="D37" s="45" t="e">
        <f t="shared" si="4"/>
        <v>#DIV/0!</v>
      </c>
      <c r="E37" s="45" t="e">
        <f t="shared" si="5"/>
        <v>#DIV/0!</v>
      </c>
      <c r="F37" s="45" t="e">
        <f t="shared" si="6"/>
        <v>#DIV/0!</v>
      </c>
      <c r="G37" s="45" t="e">
        <f t="shared" si="7"/>
        <v>#DIV/0!</v>
      </c>
      <c r="H37" s="45" t="e">
        <f t="shared" si="8"/>
        <v>#DIV/0!</v>
      </c>
      <c r="I37" s="45" t="e">
        <f t="shared" si="9"/>
        <v>#DIV/0!</v>
      </c>
      <c r="J37" s="45" t="e">
        <f t="shared" si="10"/>
        <v>#DIV/0!</v>
      </c>
      <c r="K37" s="45" t="e">
        <f t="shared" si="11"/>
        <v>#DIV/0!</v>
      </c>
      <c r="L37" s="45" t="e">
        <f t="shared" si="12"/>
        <v>#DIV/0!</v>
      </c>
      <c r="M37" s="45" t="e">
        <f t="shared" si="13"/>
        <v>#DIV/0!</v>
      </c>
      <c r="N37" s="45" t="e">
        <f t="shared" si="14"/>
        <v>#DIV/0!</v>
      </c>
      <c r="O37" s="45" t="e">
        <f t="shared" si="15"/>
        <v>#DIV/0!</v>
      </c>
      <c r="P37" s="45" t="e">
        <f t="shared" si="16"/>
        <v>#DIV/0!</v>
      </c>
      <c r="Q37" s="55" t="e">
        <f>Q36+ATM_Conf!$C$5*(B36)/(Links!B$191*Links!Q$191)</f>
        <v>#DIV/0!</v>
      </c>
      <c r="R37" s="55" t="e">
        <f>R36+ATM_Conf!$C$5*(C36-B36)/(Links!C$191*Links!R$191)</f>
        <v>#DIV/0!</v>
      </c>
      <c r="S37" s="55" t="e">
        <f>S36+ATM_Conf!$C$5*(D36-C36)/(Links!D$191*Links!S$191)</f>
        <v>#DIV/0!</v>
      </c>
      <c r="T37" s="55" t="e">
        <f>T36+ATM_Conf!$C$5*(E36-D36)/(Links!E$191*Links!T$191)</f>
        <v>#DIV/0!</v>
      </c>
      <c r="U37" s="55" t="e">
        <f>U36+ATM_Conf!$C$5*(F36-E36)/(Links!F$191*Links!U$191)</f>
        <v>#DIV/0!</v>
      </c>
      <c r="V37" s="55" t="e">
        <f>V36+ATM_Conf!$C$5*(G36-F36)/(Links!G$191*Links!V$191)</f>
        <v>#DIV/0!</v>
      </c>
      <c r="W37" s="55" t="e">
        <f>W36+ATM_Conf!$C$5*(H36-G36)/(Links!H$191*Links!W$191)</f>
        <v>#DIV/0!</v>
      </c>
      <c r="X37" s="55" t="e">
        <f>X36+ATM_Conf!$C$5*(I36-H36)/(Links!I$191*Links!X$191)</f>
        <v>#DIV/0!</v>
      </c>
      <c r="Y37" s="55" t="e">
        <f>Y36+ATM_Conf!$C$5*(J36)/(Links!J$191*Links!Y$191)</f>
        <v>#DIV/0!</v>
      </c>
      <c r="Z37" s="55" t="e">
        <f>Z36+ATM_Conf!$C$5*(K36-J36)/(Links!K$191*Links!Z$191)</f>
        <v>#DIV/0!</v>
      </c>
      <c r="AA37" s="55" t="e">
        <f>AA36+ATM_Conf!$C$5*(L36-K36)/(Links!L$191*Links!AA$191)</f>
        <v>#DIV/0!</v>
      </c>
      <c r="AB37" s="55" t="e">
        <f>AB36+ATM_Conf!$C$5*(M36-L36)/(Links!M$191*Links!AB$191)</f>
        <v>#DIV/0!</v>
      </c>
      <c r="AC37" s="55" t="e">
        <f>AC36+ATM_Conf!$C$5*(N36-M36)/(Links!N$191*Links!AC$191)</f>
        <v>#DIV/0!</v>
      </c>
      <c r="AD37" s="55" t="e">
        <f>AD36+ATM_Conf!$C$5*(O36-N36)/(Links!O$191*Links!AD$191)</f>
        <v>#DIV/0!</v>
      </c>
      <c r="AE37" s="55" t="e">
        <f>AE36+ATM_Conf!$C$5*(P36-O36)/(Links!P$191*Links!AE$191)</f>
        <v>#DIV/0!</v>
      </c>
      <c r="AF37" s="45" t="e">
        <f>AF36+(ATM_Conf!$C$5/ATM_Conf!$C$8)*(Links!AU36*EXP((-(Links!Q36/Links!BJ36)^Links!BY36)/Links!BY36)-Links!AF36)-(ATM_Conf!$C$9*ATM_Conf!$C$5/(ATM_Conf!$C$8*Links!Q$191))*(Nodes!BO36-Links!Q36)/(Links!Q36/ATM_Conf!$C$10)</f>
        <v>#DIV/0!</v>
      </c>
      <c r="AG37" s="45" t="e">
        <f>AG36+(ATM_Conf!$C$5/ATM_Conf!$C$8)*(Links!AV36*EXP((-(Links!R36/Links!BK36)^Links!BZ36)/Links!BZ36)-Links!AG36)+(ATM_Conf!$C$5/Links!R$191)*Links!AG36*(Nodes!BB36-Links!AG36)-(ATM_Conf!$C$9*ATM_Conf!$C$5/(ATM_Conf!$C$8*Links!R$191))*(Nodes!BP36-Links!R36)/(Links!R36/ATM_Conf!$C$10)</f>
        <v>#DIV/0!</v>
      </c>
      <c r="AH37" s="45" t="e">
        <f>AH36+(ATM_Conf!$C$5/ATM_Conf!$C$8)*(Links!AW36*EXP((-(Links!S36/Links!BL36)^Links!CA36)/Links!CA36)-Links!AH36)+(ATM_Conf!$C$5/Links!S$191)*Links!AH36*(Nodes!BC36-Links!AH36)-(ATM_Conf!$C$9*ATM_Conf!$C$5/(ATM_Conf!$C$8*Links!S$191))*(Nodes!BQ36-Links!S36)/(Links!S36/ATM_Conf!$C$10)</f>
        <v>#DIV/0!</v>
      </c>
      <c r="AI37" s="45" t="e">
        <f>AI36+(ATM_Conf!$C$5/ATM_Conf!$C$8)*(Links!AX36*EXP((-(Links!T36/Links!BM36)^Links!CB36)/Links!CB36)-Links!AI36)+(ATM_Conf!$C$5/Links!T$191)*Links!AI36*(Nodes!BD36-Links!AI36)-(ATM_Conf!$C$9*ATM_Conf!$C$5/(ATM_Conf!$C$8*Links!T$191))*(Nodes!BR36-Links!T36)/(Links!T36/ATM_Conf!$C$10)</f>
        <v>#DIV/0!</v>
      </c>
      <c r="AJ37" s="45" t="e">
        <f>AJ36+(ATM_Conf!$C$5/ATM_Conf!$C$8)*(Links!AY36*EXP((-(Links!U36/Links!BN36)^Links!CC36)/Links!CC36)-Links!AJ36)+(ATM_Conf!$C$5/Links!U$191)*Links!AJ36*(Nodes!BE36-Links!AJ36)-(ATM_Conf!$C$9*ATM_Conf!$C$5/(ATM_Conf!$C$8*Links!U$191))*(Nodes!BS36-Links!U36)/(Links!U36/ATM_Conf!$C$10)</f>
        <v>#DIV/0!</v>
      </c>
      <c r="AK37" s="45" t="e">
        <f>AK36+(ATM_Conf!$C$5/ATM_Conf!$C$8)*(Links!AZ36*EXP((-(Links!V36/Links!BO36)^Links!CD36)/Links!CD36)-Links!AK36)+(ATM_Conf!$C$5/Links!V$191)*Links!AK36*(Nodes!BF36-Links!AK36)-(ATM_Conf!$C$9*ATM_Conf!$C$5/(ATM_Conf!$C$8*Links!V$191))*(Nodes!BT36-Links!V36)/(Links!V36/ATM_Conf!$C$10)</f>
        <v>#DIV/0!</v>
      </c>
      <c r="AL37" s="45" t="e">
        <f>AL36+(ATM_Conf!$C$5/ATM_Conf!$C$8)*(Links!BA36*EXP((-(Links!W36/Links!BP36)^Links!CE36)/Links!CE36)-Links!AL36)+(ATM_Conf!$C$5/Links!W$191)*Links!AL36*(Nodes!BG36-Links!AL36)-(ATM_Conf!$C$9*ATM_Conf!$C$5/(ATM_Conf!$C$8*Links!W$191))*(Nodes!BU36-Links!W36)/(Links!W36/ATM_Conf!$C$10)</f>
        <v>#DIV/0!</v>
      </c>
      <c r="AM37" s="45" t="e">
        <f>AM36+(ATM_Conf!$C$5/ATM_Conf!$C$8)*(Links!BB36*EXP((-(Links!X36/Links!BQ36)^Links!CF36)/Links!CF36)-Links!AM36)+(ATM_Conf!$C$5/Links!X$191)*Links!AM36*(Nodes!BH36-Links!AM36)</f>
        <v>#DIV/0!</v>
      </c>
      <c r="AN37" s="45" t="e">
        <f>AN36+(ATM_Conf!$C$5/ATM_Conf!$C$8)*(Links!BC36*EXP((-(Links!Y36/Links!BR36)^Links!CG36)/Links!CG36)-Links!AN36)-(ATM_Conf!$C$9*ATM_Conf!$C$5/(ATM_Conf!$C$8*Links!Y$191))*(Nodes!BV36-Links!Y36)/(Links!Y36/ATM_Conf!$C$10)</f>
        <v>#DIV/0!</v>
      </c>
      <c r="AO37" s="45" t="e">
        <f>AO36+(ATM_Conf!$C$5/ATM_Conf!$C$8)*(Links!BD36*EXP((-(Links!Z36/Links!BS36)^Links!CH36)/Links!CH36)-Links!AO36)+(ATM_Conf!$C$5/Links!Z$191)*Links!AO36*(Nodes!BI36-Links!AO36)-(ATM_Conf!$C$9*ATM_Conf!$C$5/(ATM_Conf!$C$8*Links!Z$191))*(Nodes!BW36-Links!Z36)/(Links!Z36/ATM_Conf!$C$10)</f>
        <v>#DIV/0!</v>
      </c>
      <c r="AP37" s="45" t="e">
        <f>AP36+(ATM_Conf!$C$5/ATM_Conf!$C$8)*(Links!BE36*EXP((-(Links!AA36/Links!BT36)^Links!CI36)/Links!CI36)-Links!AP36)+(ATM_Conf!$C$5/Links!AA$191)*Links!AP36*(Nodes!BJ36-Links!AP36)-(ATM_Conf!$C$9*ATM_Conf!$C$5/(ATM_Conf!$C$8*Links!AA$191))*(Nodes!BX36-Links!AA36)/(Links!AA36/ATM_Conf!$C$10)</f>
        <v>#DIV/0!</v>
      </c>
      <c r="AQ37" s="45" t="e">
        <f>AQ36+(ATM_Conf!$C$5/ATM_Conf!$C$8)*(Links!BF36*EXP((-(Links!AB36/Links!BU36)^Links!CJ36)/Links!CJ36)-Links!AQ36)+(ATM_Conf!$C$5/Links!AB$191)*Links!AQ36*(Nodes!BK36-Links!AQ36)-(ATM_Conf!$C$9*ATM_Conf!$C$5/(ATM_Conf!$C$8*Links!AB$191))*(Nodes!BY36-Links!AB36)/(Links!AB36/ATM_Conf!$C$10)</f>
        <v>#DIV/0!</v>
      </c>
      <c r="AR37" s="45" t="e">
        <f>AR36+(ATM_Conf!$C$5/ATM_Conf!$C$8)*(Links!BG36*EXP((-(Links!AC36/Links!BV36)^Links!CK36)/Links!CK36)-Links!AR36)+(ATM_Conf!$C$5/Links!AC$191)*Links!AR36*(Nodes!BL36-Links!AR36)-(ATM_Conf!$C$9*ATM_Conf!$C$5/(ATM_Conf!$C$8*Links!AC$191))*(Nodes!BZ36-Links!AC36)/(Links!AC36/ATM_Conf!$C$10)</f>
        <v>#DIV/0!</v>
      </c>
      <c r="AS37" s="45" t="e">
        <f>AS36+(ATM_Conf!$C$5/ATM_Conf!$C$8)*(Links!BH36*EXP((-(Links!AD36/Links!BW36)^Links!CL36)/Links!CL36)-Links!AS36)+(ATM_Conf!$C$5/Links!AD$191)*Links!AS36*(Nodes!BM36-Links!AS36)-(ATM_Conf!$C$9*ATM_Conf!$C$5/(ATM_Conf!$C$8*Links!AD$191))*(Nodes!CA36-Links!AD36)/(Links!AD36/ATM_Conf!$C$10)</f>
        <v>#DIV/0!</v>
      </c>
      <c r="AT37" s="45" t="e">
        <f>AT36+(ATM_Conf!$C$5/ATM_Conf!$C$8)*(Links!BI36*EXP((-(Links!AE36/Links!BX36)^Links!CM36)/Links!CM36)-Links!AT36)+(ATM_Conf!$C$5/Links!AE$191)*Links!AT36*(Nodes!BN36-Links!AT36)</f>
        <v>#DIV/0!</v>
      </c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45">
        <f t="shared" si="24"/>
        <v>0</v>
      </c>
      <c r="CO37" s="45">
        <f t="shared" si="24"/>
        <v>0</v>
      </c>
      <c r="CP37" s="45">
        <f t="shared" si="24"/>
        <v>0</v>
      </c>
      <c r="CQ37" s="45">
        <f t="shared" si="24"/>
        <v>0</v>
      </c>
      <c r="CR37" s="45">
        <f t="shared" si="24"/>
        <v>0</v>
      </c>
      <c r="CS37" s="45">
        <f t="shared" si="24"/>
        <v>0</v>
      </c>
      <c r="CT37" s="45">
        <f t="shared" si="24"/>
        <v>0</v>
      </c>
      <c r="CU37" s="45">
        <f t="shared" si="24"/>
        <v>0</v>
      </c>
      <c r="CV37" s="45">
        <f t="shared" si="24"/>
        <v>0</v>
      </c>
      <c r="CW37" s="45">
        <f t="shared" si="24"/>
        <v>0</v>
      </c>
      <c r="CX37" s="45">
        <f t="shared" si="24"/>
        <v>0</v>
      </c>
      <c r="CY37" s="45">
        <f t="shared" si="24"/>
        <v>0</v>
      </c>
      <c r="CZ37" s="45">
        <f t="shared" si="24"/>
        <v>0</v>
      </c>
      <c r="DA37" s="45">
        <f t="shared" si="24"/>
        <v>0</v>
      </c>
      <c r="DB37" s="45">
        <f t="shared" si="24"/>
        <v>0</v>
      </c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</row>
    <row r="38" spans="1:121" ht="14.25" x14ac:dyDescent="0.15">
      <c r="A38" s="48">
        <v>36</v>
      </c>
      <c r="B38" s="45" t="e">
        <f t="shared" si="2"/>
        <v>#DIV/0!</v>
      </c>
      <c r="C38" s="45" t="e">
        <f t="shared" si="3"/>
        <v>#DIV/0!</v>
      </c>
      <c r="D38" s="45" t="e">
        <f t="shared" si="4"/>
        <v>#DIV/0!</v>
      </c>
      <c r="E38" s="45" t="e">
        <f t="shared" si="5"/>
        <v>#DIV/0!</v>
      </c>
      <c r="F38" s="45" t="e">
        <f t="shared" si="6"/>
        <v>#DIV/0!</v>
      </c>
      <c r="G38" s="45" t="e">
        <f t="shared" si="7"/>
        <v>#DIV/0!</v>
      </c>
      <c r="H38" s="45" t="e">
        <f t="shared" si="8"/>
        <v>#DIV/0!</v>
      </c>
      <c r="I38" s="45" t="e">
        <f t="shared" si="9"/>
        <v>#DIV/0!</v>
      </c>
      <c r="J38" s="45" t="e">
        <f t="shared" si="10"/>
        <v>#DIV/0!</v>
      </c>
      <c r="K38" s="45" t="e">
        <f t="shared" si="11"/>
        <v>#DIV/0!</v>
      </c>
      <c r="L38" s="45" t="e">
        <f t="shared" si="12"/>
        <v>#DIV/0!</v>
      </c>
      <c r="M38" s="45" t="e">
        <f t="shared" si="13"/>
        <v>#DIV/0!</v>
      </c>
      <c r="N38" s="45" t="e">
        <f t="shared" si="14"/>
        <v>#DIV/0!</v>
      </c>
      <c r="O38" s="45" t="e">
        <f t="shared" si="15"/>
        <v>#DIV/0!</v>
      </c>
      <c r="P38" s="45" t="e">
        <f t="shared" si="16"/>
        <v>#DIV/0!</v>
      </c>
      <c r="Q38" s="55" t="e">
        <f>Q37+ATM_Conf!$C$5*(B37)/(Links!B$191*Links!Q$191)</f>
        <v>#DIV/0!</v>
      </c>
      <c r="R38" s="55" t="e">
        <f>R37+ATM_Conf!$C$5*(C37-B37)/(Links!C$191*Links!R$191)</f>
        <v>#DIV/0!</v>
      </c>
      <c r="S38" s="55" t="e">
        <f>S37+ATM_Conf!$C$5*(D37-C37)/(Links!D$191*Links!S$191)</f>
        <v>#DIV/0!</v>
      </c>
      <c r="T38" s="55" t="e">
        <f>T37+ATM_Conf!$C$5*(E37-D37)/(Links!E$191*Links!T$191)</f>
        <v>#DIV/0!</v>
      </c>
      <c r="U38" s="55" t="e">
        <f>U37+ATM_Conf!$C$5*(F37-E37)/(Links!F$191*Links!U$191)</f>
        <v>#DIV/0!</v>
      </c>
      <c r="V38" s="55" t="e">
        <f>V37+ATM_Conf!$C$5*(G37-F37)/(Links!G$191*Links!V$191)</f>
        <v>#DIV/0!</v>
      </c>
      <c r="W38" s="55" t="e">
        <f>W37+ATM_Conf!$C$5*(H37-G37)/(Links!H$191*Links!W$191)</f>
        <v>#DIV/0!</v>
      </c>
      <c r="X38" s="55" t="e">
        <f>X37+ATM_Conf!$C$5*(I37-H37)/(Links!I$191*Links!X$191)</f>
        <v>#DIV/0!</v>
      </c>
      <c r="Y38" s="55" t="e">
        <f>Y37+ATM_Conf!$C$5*(J37)/(Links!J$191*Links!Y$191)</f>
        <v>#DIV/0!</v>
      </c>
      <c r="Z38" s="55" t="e">
        <f>Z37+ATM_Conf!$C$5*(K37-J37)/(Links!K$191*Links!Z$191)</f>
        <v>#DIV/0!</v>
      </c>
      <c r="AA38" s="55" t="e">
        <f>AA37+ATM_Conf!$C$5*(L37-K37)/(Links!L$191*Links!AA$191)</f>
        <v>#DIV/0!</v>
      </c>
      <c r="AB38" s="55" t="e">
        <f>AB37+ATM_Conf!$C$5*(M37-L37)/(Links!M$191*Links!AB$191)</f>
        <v>#DIV/0!</v>
      </c>
      <c r="AC38" s="55" t="e">
        <f>AC37+ATM_Conf!$C$5*(N37-M37)/(Links!N$191*Links!AC$191)</f>
        <v>#DIV/0!</v>
      </c>
      <c r="AD38" s="55" t="e">
        <f>AD37+ATM_Conf!$C$5*(O37-N37)/(Links!O$191*Links!AD$191)</f>
        <v>#DIV/0!</v>
      </c>
      <c r="AE38" s="55" t="e">
        <f>AE37+ATM_Conf!$C$5*(P37-O37)/(Links!P$191*Links!AE$191)</f>
        <v>#DIV/0!</v>
      </c>
      <c r="AF38" s="45" t="e">
        <f>AF37+(ATM_Conf!$C$5/ATM_Conf!$C$8)*(Links!AU37*EXP((-(Links!Q37/Links!BJ37)^Links!BY37)/Links!BY37)-Links!AF37)-(ATM_Conf!$C$9*ATM_Conf!$C$5/(ATM_Conf!$C$8*Links!Q$191))*(Nodes!BO37-Links!Q37)/(Links!Q37/ATM_Conf!$C$10)</f>
        <v>#DIV/0!</v>
      </c>
      <c r="AG38" s="45" t="e">
        <f>AG37+(ATM_Conf!$C$5/ATM_Conf!$C$8)*(Links!AV37*EXP((-(Links!R37/Links!BK37)^Links!BZ37)/Links!BZ37)-Links!AG37)+(ATM_Conf!$C$5/Links!R$191)*Links!AG37*(Nodes!BB37-Links!AG37)-(ATM_Conf!$C$9*ATM_Conf!$C$5/(ATM_Conf!$C$8*Links!R$191))*(Nodes!BP37-Links!R37)/(Links!R37/ATM_Conf!$C$10)</f>
        <v>#DIV/0!</v>
      </c>
      <c r="AH38" s="45" t="e">
        <f>AH37+(ATM_Conf!$C$5/ATM_Conf!$C$8)*(Links!AW37*EXP((-(Links!S37/Links!BL37)^Links!CA37)/Links!CA37)-Links!AH37)+(ATM_Conf!$C$5/Links!S$191)*Links!AH37*(Nodes!BC37-Links!AH37)-(ATM_Conf!$C$9*ATM_Conf!$C$5/(ATM_Conf!$C$8*Links!S$191))*(Nodes!BQ37-Links!S37)/(Links!S37/ATM_Conf!$C$10)</f>
        <v>#DIV/0!</v>
      </c>
      <c r="AI38" s="45" t="e">
        <f>AI37+(ATM_Conf!$C$5/ATM_Conf!$C$8)*(Links!AX37*EXP((-(Links!T37/Links!BM37)^Links!CB37)/Links!CB37)-Links!AI37)+(ATM_Conf!$C$5/Links!T$191)*Links!AI37*(Nodes!BD37-Links!AI37)-(ATM_Conf!$C$9*ATM_Conf!$C$5/(ATM_Conf!$C$8*Links!T$191))*(Nodes!BR37-Links!T37)/(Links!T37/ATM_Conf!$C$10)</f>
        <v>#DIV/0!</v>
      </c>
      <c r="AJ38" s="45" t="e">
        <f>AJ37+(ATM_Conf!$C$5/ATM_Conf!$C$8)*(Links!AY37*EXP((-(Links!U37/Links!BN37)^Links!CC37)/Links!CC37)-Links!AJ37)+(ATM_Conf!$C$5/Links!U$191)*Links!AJ37*(Nodes!BE37-Links!AJ37)-(ATM_Conf!$C$9*ATM_Conf!$C$5/(ATM_Conf!$C$8*Links!U$191))*(Nodes!BS37-Links!U37)/(Links!U37/ATM_Conf!$C$10)</f>
        <v>#DIV/0!</v>
      </c>
      <c r="AK38" s="45" t="e">
        <f>AK37+(ATM_Conf!$C$5/ATM_Conf!$C$8)*(Links!AZ37*EXP((-(Links!V37/Links!BO37)^Links!CD37)/Links!CD37)-Links!AK37)+(ATM_Conf!$C$5/Links!V$191)*Links!AK37*(Nodes!BF37-Links!AK37)-(ATM_Conf!$C$9*ATM_Conf!$C$5/(ATM_Conf!$C$8*Links!V$191))*(Nodes!BT37-Links!V37)/(Links!V37/ATM_Conf!$C$10)</f>
        <v>#DIV/0!</v>
      </c>
      <c r="AL38" s="45" t="e">
        <f>AL37+(ATM_Conf!$C$5/ATM_Conf!$C$8)*(Links!BA37*EXP((-(Links!W37/Links!BP37)^Links!CE37)/Links!CE37)-Links!AL37)+(ATM_Conf!$C$5/Links!W$191)*Links!AL37*(Nodes!BG37-Links!AL37)-(ATM_Conf!$C$9*ATM_Conf!$C$5/(ATM_Conf!$C$8*Links!W$191))*(Nodes!BU37-Links!W37)/(Links!W37/ATM_Conf!$C$10)</f>
        <v>#DIV/0!</v>
      </c>
      <c r="AM38" s="45" t="e">
        <f>AM37+(ATM_Conf!$C$5/ATM_Conf!$C$8)*(Links!BB37*EXP((-(Links!X37/Links!BQ37)^Links!CF37)/Links!CF37)-Links!AM37)+(ATM_Conf!$C$5/Links!X$191)*Links!AM37*(Nodes!BH37-Links!AM37)</f>
        <v>#DIV/0!</v>
      </c>
      <c r="AN38" s="45" t="e">
        <f>AN37+(ATM_Conf!$C$5/ATM_Conf!$C$8)*(Links!BC37*EXP((-(Links!Y37/Links!BR37)^Links!CG37)/Links!CG37)-Links!AN37)-(ATM_Conf!$C$9*ATM_Conf!$C$5/(ATM_Conf!$C$8*Links!Y$191))*(Nodes!BV37-Links!Y37)/(Links!Y37/ATM_Conf!$C$10)</f>
        <v>#DIV/0!</v>
      </c>
      <c r="AO38" s="45" t="e">
        <f>AO37+(ATM_Conf!$C$5/ATM_Conf!$C$8)*(Links!BD37*EXP((-(Links!Z37/Links!BS37)^Links!CH37)/Links!CH37)-Links!AO37)+(ATM_Conf!$C$5/Links!Z$191)*Links!AO37*(Nodes!BI37-Links!AO37)-(ATM_Conf!$C$9*ATM_Conf!$C$5/(ATM_Conf!$C$8*Links!Z$191))*(Nodes!BW37-Links!Z37)/(Links!Z37/ATM_Conf!$C$10)</f>
        <v>#DIV/0!</v>
      </c>
      <c r="AP38" s="45" t="e">
        <f>AP37+(ATM_Conf!$C$5/ATM_Conf!$C$8)*(Links!BE37*EXP((-(Links!AA37/Links!BT37)^Links!CI37)/Links!CI37)-Links!AP37)+(ATM_Conf!$C$5/Links!AA$191)*Links!AP37*(Nodes!BJ37-Links!AP37)-(ATM_Conf!$C$9*ATM_Conf!$C$5/(ATM_Conf!$C$8*Links!AA$191))*(Nodes!BX37-Links!AA37)/(Links!AA37/ATM_Conf!$C$10)</f>
        <v>#DIV/0!</v>
      </c>
      <c r="AQ38" s="45" t="e">
        <f>AQ37+(ATM_Conf!$C$5/ATM_Conf!$C$8)*(Links!BF37*EXP((-(Links!AB37/Links!BU37)^Links!CJ37)/Links!CJ37)-Links!AQ37)+(ATM_Conf!$C$5/Links!AB$191)*Links!AQ37*(Nodes!BK37-Links!AQ37)-(ATM_Conf!$C$9*ATM_Conf!$C$5/(ATM_Conf!$C$8*Links!AB$191))*(Nodes!BY37-Links!AB37)/(Links!AB37/ATM_Conf!$C$10)</f>
        <v>#DIV/0!</v>
      </c>
      <c r="AR38" s="45" t="e">
        <f>AR37+(ATM_Conf!$C$5/ATM_Conf!$C$8)*(Links!BG37*EXP((-(Links!AC37/Links!BV37)^Links!CK37)/Links!CK37)-Links!AR37)+(ATM_Conf!$C$5/Links!AC$191)*Links!AR37*(Nodes!BL37-Links!AR37)-(ATM_Conf!$C$9*ATM_Conf!$C$5/(ATM_Conf!$C$8*Links!AC$191))*(Nodes!BZ37-Links!AC37)/(Links!AC37/ATM_Conf!$C$10)</f>
        <v>#DIV/0!</v>
      </c>
      <c r="AS38" s="45" t="e">
        <f>AS37+(ATM_Conf!$C$5/ATM_Conf!$C$8)*(Links!BH37*EXP((-(Links!AD37/Links!BW37)^Links!CL37)/Links!CL37)-Links!AS37)+(ATM_Conf!$C$5/Links!AD$191)*Links!AS37*(Nodes!BM37-Links!AS37)-(ATM_Conf!$C$9*ATM_Conf!$C$5/(ATM_Conf!$C$8*Links!AD$191))*(Nodes!CA37-Links!AD37)/(Links!AD37/ATM_Conf!$C$10)</f>
        <v>#DIV/0!</v>
      </c>
      <c r="AT38" s="45" t="e">
        <f>AT37+(ATM_Conf!$C$5/ATM_Conf!$C$8)*(Links!BI37*EXP((-(Links!AE37/Links!BX37)^Links!CM37)/Links!CM37)-Links!AT37)+(ATM_Conf!$C$5/Links!AE$191)*Links!AT37*(Nodes!BN37-Links!AT37)</f>
        <v>#DIV/0!</v>
      </c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45">
        <f t="shared" si="24"/>
        <v>0</v>
      </c>
      <c r="CO38" s="45">
        <f t="shared" si="24"/>
        <v>0</v>
      </c>
      <c r="CP38" s="45">
        <f t="shared" si="24"/>
        <v>0</v>
      </c>
      <c r="CQ38" s="45">
        <f t="shared" si="24"/>
        <v>0</v>
      </c>
      <c r="CR38" s="45">
        <f t="shared" si="24"/>
        <v>0</v>
      </c>
      <c r="CS38" s="45">
        <f t="shared" si="24"/>
        <v>0</v>
      </c>
      <c r="CT38" s="45">
        <f t="shared" si="24"/>
        <v>0</v>
      </c>
      <c r="CU38" s="45">
        <f t="shared" si="24"/>
        <v>0</v>
      </c>
      <c r="CV38" s="45">
        <f t="shared" si="24"/>
        <v>0</v>
      </c>
      <c r="CW38" s="45">
        <f t="shared" si="24"/>
        <v>0</v>
      </c>
      <c r="CX38" s="45">
        <f t="shared" si="24"/>
        <v>0</v>
      </c>
      <c r="CY38" s="45">
        <f t="shared" si="24"/>
        <v>0</v>
      </c>
      <c r="CZ38" s="45">
        <f t="shared" si="24"/>
        <v>0</v>
      </c>
      <c r="DA38" s="45">
        <f t="shared" si="24"/>
        <v>0</v>
      </c>
      <c r="DB38" s="45">
        <f t="shared" si="24"/>
        <v>0</v>
      </c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</row>
    <row r="39" spans="1:121" ht="14.25" x14ac:dyDescent="0.15">
      <c r="A39" s="48">
        <v>37</v>
      </c>
      <c r="B39" s="45" t="e">
        <f t="shared" si="2"/>
        <v>#DIV/0!</v>
      </c>
      <c r="C39" s="45" t="e">
        <f t="shared" si="3"/>
        <v>#DIV/0!</v>
      </c>
      <c r="D39" s="45" t="e">
        <f t="shared" si="4"/>
        <v>#DIV/0!</v>
      </c>
      <c r="E39" s="45" t="e">
        <f t="shared" si="5"/>
        <v>#DIV/0!</v>
      </c>
      <c r="F39" s="45" t="e">
        <f t="shared" si="6"/>
        <v>#DIV/0!</v>
      </c>
      <c r="G39" s="45" t="e">
        <f t="shared" si="7"/>
        <v>#DIV/0!</v>
      </c>
      <c r="H39" s="45" t="e">
        <f t="shared" si="8"/>
        <v>#DIV/0!</v>
      </c>
      <c r="I39" s="45" t="e">
        <f t="shared" si="9"/>
        <v>#DIV/0!</v>
      </c>
      <c r="J39" s="45" t="e">
        <f t="shared" si="10"/>
        <v>#DIV/0!</v>
      </c>
      <c r="K39" s="45" t="e">
        <f t="shared" si="11"/>
        <v>#DIV/0!</v>
      </c>
      <c r="L39" s="45" t="e">
        <f t="shared" si="12"/>
        <v>#DIV/0!</v>
      </c>
      <c r="M39" s="45" t="e">
        <f t="shared" si="13"/>
        <v>#DIV/0!</v>
      </c>
      <c r="N39" s="45" t="e">
        <f t="shared" si="14"/>
        <v>#DIV/0!</v>
      </c>
      <c r="O39" s="45" t="e">
        <f t="shared" si="15"/>
        <v>#DIV/0!</v>
      </c>
      <c r="P39" s="45" t="e">
        <f t="shared" si="16"/>
        <v>#DIV/0!</v>
      </c>
      <c r="Q39" s="55" t="e">
        <f>Q38+ATM_Conf!$C$5*(B38)/(Links!B$191*Links!Q$191)</f>
        <v>#DIV/0!</v>
      </c>
      <c r="R39" s="55" t="e">
        <f>R38+ATM_Conf!$C$5*(C38-B38)/(Links!C$191*Links!R$191)</f>
        <v>#DIV/0!</v>
      </c>
      <c r="S39" s="55" t="e">
        <f>S38+ATM_Conf!$C$5*(D38-C38)/(Links!D$191*Links!S$191)</f>
        <v>#DIV/0!</v>
      </c>
      <c r="T39" s="55" t="e">
        <f>T38+ATM_Conf!$C$5*(E38-D38)/(Links!E$191*Links!T$191)</f>
        <v>#DIV/0!</v>
      </c>
      <c r="U39" s="55" t="e">
        <f>U38+ATM_Conf!$C$5*(F38-E38)/(Links!F$191*Links!U$191)</f>
        <v>#DIV/0!</v>
      </c>
      <c r="V39" s="55" t="e">
        <f>V38+ATM_Conf!$C$5*(G38-F38)/(Links!G$191*Links!V$191)</f>
        <v>#DIV/0!</v>
      </c>
      <c r="W39" s="55" t="e">
        <f>W38+ATM_Conf!$C$5*(H38-G38)/(Links!H$191*Links!W$191)</f>
        <v>#DIV/0!</v>
      </c>
      <c r="X39" s="55" t="e">
        <f>X38+ATM_Conf!$C$5*(I38-H38)/(Links!I$191*Links!X$191)</f>
        <v>#DIV/0!</v>
      </c>
      <c r="Y39" s="55" t="e">
        <f>Y38+ATM_Conf!$C$5*(J38)/(Links!J$191*Links!Y$191)</f>
        <v>#DIV/0!</v>
      </c>
      <c r="Z39" s="55" t="e">
        <f>Z38+ATM_Conf!$C$5*(K38-J38)/(Links!K$191*Links!Z$191)</f>
        <v>#DIV/0!</v>
      </c>
      <c r="AA39" s="55" t="e">
        <f>AA38+ATM_Conf!$C$5*(L38-K38)/(Links!L$191*Links!AA$191)</f>
        <v>#DIV/0!</v>
      </c>
      <c r="AB39" s="55" t="e">
        <f>AB38+ATM_Conf!$C$5*(M38-L38)/(Links!M$191*Links!AB$191)</f>
        <v>#DIV/0!</v>
      </c>
      <c r="AC39" s="55" t="e">
        <f>AC38+ATM_Conf!$C$5*(N38-M38)/(Links!N$191*Links!AC$191)</f>
        <v>#DIV/0!</v>
      </c>
      <c r="AD39" s="55" t="e">
        <f>AD38+ATM_Conf!$C$5*(O38-N38)/(Links!O$191*Links!AD$191)</f>
        <v>#DIV/0!</v>
      </c>
      <c r="AE39" s="55" t="e">
        <f>AE38+ATM_Conf!$C$5*(P38-O38)/(Links!P$191*Links!AE$191)</f>
        <v>#DIV/0!</v>
      </c>
      <c r="AF39" s="45" t="e">
        <f>AF38+(ATM_Conf!$C$5/ATM_Conf!$C$8)*(Links!AU38*EXP((-(Links!Q38/Links!BJ38)^Links!BY38)/Links!BY38)-Links!AF38)-(ATM_Conf!$C$9*ATM_Conf!$C$5/(ATM_Conf!$C$8*Links!Q$191))*(Nodes!BO38-Links!Q38)/(Links!Q38/ATM_Conf!$C$10)</f>
        <v>#DIV/0!</v>
      </c>
      <c r="AG39" s="45" t="e">
        <f>AG38+(ATM_Conf!$C$5/ATM_Conf!$C$8)*(Links!AV38*EXP((-(Links!R38/Links!BK38)^Links!BZ38)/Links!BZ38)-Links!AG38)+(ATM_Conf!$C$5/Links!R$191)*Links!AG38*(Nodes!BB38-Links!AG38)-(ATM_Conf!$C$9*ATM_Conf!$C$5/(ATM_Conf!$C$8*Links!R$191))*(Nodes!BP38-Links!R38)/(Links!R38/ATM_Conf!$C$10)</f>
        <v>#DIV/0!</v>
      </c>
      <c r="AH39" s="45" t="e">
        <f>AH38+(ATM_Conf!$C$5/ATM_Conf!$C$8)*(Links!AW38*EXP((-(Links!S38/Links!BL38)^Links!CA38)/Links!CA38)-Links!AH38)+(ATM_Conf!$C$5/Links!S$191)*Links!AH38*(Nodes!BC38-Links!AH38)-(ATM_Conf!$C$9*ATM_Conf!$C$5/(ATM_Conf!$C$8*Links!S$191))*(Nodes!BQ38-Links!S38)/(Links!S38/ATM_Conf!$C$10)</f>
        <v>#DIV/0!</v>
      </c>
      <c r="AI39" s="45" t="e">
        <f>AI38+(ATM_Conf!$C$5/ATM_Conf!$C$8)*(Links!AX38*EXP((-(Links!T38/Links!BM38)^Links!CB38)/Links!CB38)-Links!AI38)+(ATM_Conf!$C$5/Links!T$191)*Links!AI38*(Nodes!BD38-Links!AI38)-(ATM_Conf!$C$9*ATM_Conf!$C$5/(ATM_Conf!$C$8*Links!T$191))*(Nodes!BR38-Links!T38)/(Links!T38/ATM_Conf!$C$10)</f>
        <v>#DIV/0!</v>
      </c>
      <c r="AJ39" s="45" t="e">
        <f>AJ38+(ATM_Conf!$C$5/ATM_Conf!$C$8)*(Links!AY38*EXP((-(Links!U38/Links!BN38)^Links!CC38)/Links!CC38)-Links!AJ38)+(ATM_Conf!$C$5/Links!U$191)*Links!AJ38*(Nodes!BE38-Links!AJ38)-(ATM_Conf!$C$9*ATM_Conf!$C$5/(ATM_Conf!$C$8*Links!U$191))*(Nodes!BS38-Links!U38)/(Links!U38/ATM_Conf!$C$10)</f>
        <v>#DIV/0!</v>
      </c>
      <c r="AK39" s="45" t="e">
        <f>AK38+(ATM_Conf!$C$5/ATM_Conf!$C$8)*(Links!AZ38*EXP((-(Links!V38/Links!BO38)^Links!CD38)/Links!CD38)-Links!AK38)+(ATM_Conf!$C$5/Links!V$191)*Links!AK38*(Nodes!BF38-Links!AK38)-(ATM_Conf!$C$9*ATM_Conf!$C$5/(ATM_Conf!$C$8*Links!V$191))*(Nodes!BT38-Links!V38)/(Links!V38/ATM_Conf!$C$10)</f>
        <v>#DIV/0!</v>
      </c>
      <c r="AL39" s="45" t="e">
        <f>AL38+(ATM_Conf!$C$5/ATM_Conf!$C$8)*(Links!BA38*EXP((-(Links!W38/Links!BP38)^Links!CE38)/Links!CE38)-Links!AL38)+(ATM_Conf!$C$5/Links!W$191)*Links!AL38*(Nodes!BG38-Links!AL38)-(ATM_Conf!$C$9*ATM_Conf!$C$5/(ATM_Conf!$C$8*Links!W$191))*(Nodes!BU38-Links!W38)/(Links!W38/ATM_Conf!$C$10)</f>
        <v>#DIV/0!</v>
      </c>
      <c r="AM39" s="45" t="e">
        <f>AM38+(ATM_Conf!$C$5/ATM_Conf!$C$8)*(Links!BB38*EXP((-(Links!X38/Links!BQ38)^Links!CF38)/Links!CF38)-Links!AM38)+(ATM_Conf!$C$5/Links!X$191)*Links!AM38*(Nodes!BH38-Links!AM38)</f>
        <v>#DIV/0!</v>
      </c>
      <c r="AN39" s="45" t="e">
        <f>AN38+(ATM_Conf!$C$5/ATM_Conf!$C$8)*(Links!BC38*EXP((-(Links!Y38/Links!BR38)^Links!CG38)/Links!CG38)-Links!AN38)-(ATM_Conf!$C$9*ATM_Conf!$C$5/(ATM_Conf!$C$8*Links!Y$191))*(Nodes!BV38-Links!Y38)/(Links!Y38/ATM_Conf!$C$10)</f>
        <v>#DIV/0!</v>
      </c>
      <c r="AO39" s="45" t="e">
        <f>AO38+(ATM_Conf!$C$5/ATM_Conf!$C$8)*(Links!BD38*EXP((-(Links!Z38/Links!BS38)^Links!CH38)/Links!CH38)-Links!AO38)+(ATM_Conf!$C$5/Links!Z$191)*Links!AO38*(Nodes!BI38-Links!AO38)-(ATM_Conf!$C$9*ATM_Conf!$C$5/(ATM_Conf!$C$8*Links!Z$191))*(Nodes!BW38-Links!Z38)/(Links!Z38/ATM_Conf!$C$10)</f>
        <v>#DIV/0!</v>
      </c>
      <c r="AP39" s="45" t="e">
        <f>AP38+(ATM_Conf!$C$5/ATM_Conf!$C$8)*(Links!BE38*EXP((-(Links!AA38/Links!BT38)^Links!CI38)/Links!CI38)-Links!AP38)+(ATM_Conf!$C$5/Links!AA$191)*Links!AP38*(Nodes!BJ38-Links!AP38)-(ATM_Conf!$C$9*ATM_Conf!$C$5/(ATM_Conf!$C$8*Links!AA$191))*(Nodes!BX38-Links!AA38)/(Links!AA38/ATM_Conf!$C$10)</f>
        <v>#DIV/0!</v>
      </c>
      <c r="AQ39" s="45" t="e">
        <f>AQ38+(ATM_Conf!$C$5/ATM_Conf!$C$8)*(Links!BF38*EXP((-(Links!AB38/Links!BU38)^Links!CJ38)/Links!CJ38)-Links!AQ38)+(ATM_Conf!$C$5/Links!AB$191)*Links!AQ38*(Nodes!BK38-Links!AQ38)-(ATM_Conf!$C$9*ATM_Conf!$C$5/(ATM_Conf!$C$8*Links!AB$191))*(Nodes!BY38-Links!AB38)/(Links!AB38/ATM_Conf!$C$10)</f>
        <v>#DIV/0!</v>
      </c>
      <c r="AR39" s="45" t="e">
        <f>AR38+(ATM_Conf!$C$5/ATM_Conf!$C$8)*(Links!BG38*EXP((-(Links!AC38/Links!BV38)^Links!CK38)/Links!CK38)-Links!AR38)+(ATM_Conf!$C$5/Links!AC$191)*Links!AR38*(Nodes!BL38-Links!AR38)-(ATM_Conf!$C$9*ATM_Conf!$C$5/(ATM_Conf!$C$8*Links!AC$191))*(Nodes!BZ38-Links!AC38)/(Links!AC38/ATM_Conf!$C$10)</f>
        <v>#DIV/0!</v>
      </c>
      <c r="AS39" s="45" t="e">
        <f>AS38+(ATM_Conf!$C$5/ATM_Conf!$C$8)*(Links!BH38*EXP((-(Links!AD38/Links!BW38)^Links!CL38)/Links!CL38)-Links!AS38)+(ATM_Conf!$C$5/Links!AD$191)*Links!AS38*(Nodes!BM38-Links!AS38)-(ATM_Conf!$C$9*ATM_Conf!$C$5/(ATM_Conf!$C$8*Links!AD$191))*(Nodes!CA38-Links!AD38)/(Links!AD38/ATM_Conf!$C$10)</f>
        <v>#DIV/0!</v>
      </c>
      <c r="AT39" s="45" t="e">
        <f>AT38+(ATM_Conf!$C$5/ATM_Conf!$C$8)*(Links!BI38*EXP((-(Links!AE38/Links!BX38)^Links!CM38)/Links!CM38)-Links!AT38)+(ATM_Conf!$C$5/Links!AE$191)*Links!AT38*(Nodes!BN38-Links!AT38)</f>
        <v>#DIV/0!</v>
      </c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53">
        <f>(CN39-CN27)^2</f>
        <v>0</v>
      </c>
      <c r="DD39" s="53">
        <f t="shared" ref="DD39:DQ39" si="25">(CO39-CO27)^2</f>
        <v>0</v>
      </c>
      <c r="DE39" s="53">
        <f t="shared" si="25"/>
        <v>0</v>
      </c>
      <c r="DF39" s="53">
        <f t="shared" si="25"/>
        <v>0</v>
      </c>
      <c r="DG39" s="53">
        <f t="shared" si="25"/>
        <v>0</v>
      </c>
      <c r="DH39" s="53">
        <f t="shared" si="25"/>
        <v>0</v>
      </c>
      <c r="DI39" s="53">
        <f t="shared" si="25"/>
        <v>0</v>
      </c>
      <c r="DJ39" s="53">
        <f t="shared" si="25"/>
        <v>0</v>
      </c>
      <c r="DK39" s="53">
        <f t="shared" si="25"/>
        <v>0</v>
      </c>
      <c r="DL39" s="53">
        <f t="shared" si="25"/>
        <v>0</v>
      </c>
      <c r="DM39" s="53">
        <f t="shared" si="25"/>
        <v>0</v>
      </c>
      <c r="DN39" s="53">
        <f t="shared" si="25"/>
        <v>0</v>
      </c>
      <c r="DO39" s="53">
        <f t="shared" si="25"/>
        <v>0</v>
      </c>
      <c r="DP39" s="53">
        <f t="shared" si="25"/>
        <v>0</v>
      </c>
      <c r="DQ39" s="53">
        <f t="shared" si="25"/>
        <v>0</v>
      </c>
    </row>
    <row r="40" spans="1:121" ht="14.25" x14ac:dyDescent="0.15">
      <c r="A40" s="48">
        <v>38</v>
      </c>
      <c r="B40" s="45" t="e">
        <f t="shared" si="2"/>
        <v>#DIV/0!</v>
      </c>
      <c r="C40" s="45" t="e">
        <f t="shared" si="3"/>
        <v>#DIV/0!</v>
      </c>
      <c r="D40" s="45" t="e">
        <f t="shared" si="4"/>
        <v>#DIV/0!</v>
      </c>
      <c r="E40" s="45" t="e">
        <f t="shared" si="5"/>
        <v>#DIV/0!</v>
      </c>
      <c r="F40" s="45" t="e">
        <f t="shared" si="6"/>
        <v>#DIV/0!</v>
      </c>
      <c r="G40" s="45" t="e">
        <f t="shared" si="7"/>
        <v>#DIV/0!</v>
      </c>
      <c r="H40" s="45" t="e">
        <f t="shared" si="8"/>
        <v>#DIV/0!</v>
      </c>
      <c r="I40" s="45" t="e">
        <f t="shared" si="9"/>
        <v>#DIV/0!</v>
      </c>
      <c r="J40" s="45" t="e">
        <f t="shared" si="10"/>
        <v>#DIV/0!</v>
      </c>
      <c r="K40" s="45" t="e">
        <f t="shared" si="11"/>
        <v>#DIV/0!</v>
      </c>
      <c r="L40" s="45" t="e">
        <f t="shared" si="12"/>
        <v>#DIV/0!</v>
      </c>
      <c r="M40" s="45" t="e">
        <f t="shared" si="13"/>
        <v>#DIV/0!</v>
      </c>
      <c r="N40" s="45" t="e">
        <f t="shared" si="14"/>
        <v>#DIV/0!</v>
      </c>
      <c r="O40" s="45" t="e">
        <f t="shared" si="15"/>
        <v>#DIV/0!</v>
      </c>
      <c r="P40" s="45" t="e">
        <f t="shared" si="16"/>
        <v>#DIV/0!</v>
      </c>
      <c r="Q40" s="55" t="e">
        <f>Q39+ATM_Conf!$C$5*(B39)/(Links!B$191*Links!Q$191)</f>
        <v>#DIV/0!</v>
      </c>
      <c r="R40" s="55" t="e">
        <f>R39+ATM_Conf!$C$5*(C39-B39)/(Links!C$191*Links!R$191)</f>
        <v>#DIV/0!</v>
      </c>
      <c r="S40" s="55" t="e">
        <f>S39+ATM_Conf!$C$5*(D39-C39)/(Links!D$191*Links!S$191)</f>
        <v>#DIV/0!</v>
      </c>
      <c r="T40" s="55" t="e">
        <f>T39+ATM_Conf!$C$5*(E39-D39)/(Links!E$191*Links!T$191)</f>
        <v>#DIV/0!</v>
      </c>
      <c r="U40" s="55" t="e">
        <f>U39+ATM_Conf!$C$5*(F39-E39)/(Links!F$191*Links!U$191)</f>
        <v>#DIV/0!</v>
      </c>
      <c r="V40" s="55" t="e">
        <f>V39+ATM_Conf!$C$5*(G39-F39)/(Links!G$191*Links!V$191)</f>
        <v>#DIV/0!</v>
      </c>
      <c r="W40" s="55" t="e">
        <f>W39+ATM_Conf!$C$5*(H39-G39)/(Links!H$191*Links!W$191)</f>
        <v>#DIV/0!</v>
      </c>
      <c r="X40" s="55" t="e">
        <f>X39+ATM_Conf!$C$5*(I39-H39)/(Links!I$191*Links!X$191)</f>
        <v>#DIV/0!</v>
      </c>
      <c r="Y40" s="55" t="e">
        <f>Y39+ATM_Conf!$C$5*(J39)/(Links!J$191*Links!Y$191)</f>
        <v>#DIV/0!</v>
      </c>
      <c r="Z40" s="55" t="e">
        <f>Z39+ATM_Conf!$C$5*(K39-J39)/(Links!K$191*Links!Z$191)</f>
        <v>#DIV/0!</v>
      </c>
      <c r="AA40" s="55" t="e">
        <f>AA39+ATM_Conf!$C$5*(L39-K39)/(Links!L$191*Links!AA$191)</f>
        <v>#DIV/0!</v>
      </c>
      <c r="AB40" s="55" t="e">
        <f>AB39+ATM_Conf!$C$5*(M39-L39)/(Links!M$191*Links!AB$191)</f>
        <v>#DIV/0!</v>
      </c>
      <c r="AC40" s="55" t="e">
        <f>AC39+ATM_Conf!$C$5*(N39-M39)/(Links!N$191*Links!AC$191)</f>
        <v>#DIV/0!</v>
      </c>
      <c r="AD40" s="55" t="e">
        <f>AD39+ATM_Conf!$C$5*(O39-N39)/(Links!O$191*Links!AD$191)</f>
        <v>#DIV/0!</v>
      </c>
      <c r="AE40" s="55" t="e">
        <f>AE39+ATM_Conf!$C$5*(P39-O39)/(Links!P$191*Links!AE$191)</f>
        <v>#DIV/0!</v>
      </c>
      <c r="AF40" s="45" t="e">
        <f>AF39+(ATM_Conf!$C$5/ATM_Conf!$C$8)*(Links!AU39*EXP((-(Links!Q39/Links!BJ39)^Links!BY39)/Links!BY39)-Links!AF39)-(ATM_Conf!$C$9*ATM_Conf!$C$5/(ATM_Conf!$C$8*Links!Q$191))*(Nodes!BO39-Links!Q39)/(Links!Q39/ATM_Conf!$C$10)</f>
        <v>#DIV/0!</v>
      </c>
      <c r="AG40" s="45" t="e">
        <f>AG39+(ATM_Conf!$C$5/ATM_Conf!$C$8)*(Links!AV39*EXP((-(Links!R39/Links!BK39)^Links!BZ39)/Links!BZ39)-Links!AG39)+(ATM_Conf!$C$5/Links!R$191)*Links!AG39*(Nodes!BB39-Links!AG39)-(ATM_Conf!$C$9*ATM_Conf!$C$5/(ATM_Conf!$C$8*Links!R$191))*(Nodes!BP39-Links!R39)/(Links!R39/ATM_Conf!$C$10)</f>
        <v>#DIV/0!</v>
      </c>
      <c r="AH40" s="45" t="e">
        <f>AH39+(ATM_Conf!$C$5/ATM_Conf!$C$8)*(Links!AW39*EXP((-(Links!S39/Links!BL39)^Links!CA39)/Links!CA39)-Links!AH39)+(ATM_Conf!$C$5/Links!S$191)*Links!AH39*(Nodes!BC39-Links!AH39)-(ATM_Conf!$C$9*ATM_Conf!$C$5/(ATM_Conf!$C$8*Links!S$191))*(Nodes!BQ39-Links!S39)/(Links!S39/ATM_Conf!$C$10)</f>
        <v>#DIV/0!</v>
      </c>
      <c r="AI40" s="45" t="e">
        <f>AI39+(ATM_Conf!$C$5/ATM_Conf!$C$8)*(Links!AX39*EXP((-(Links!T39/Links!BM39)^Links!CB39)/Links!CB39)-Links!AI39)+(ATM_Conf!$C$5/Links!T$191)*Links!AI39*(Nodes!BD39-Links!AI39)-(ATM_Conf!$C$9*ATM_Conf!$C$5/(ATM_Conf!$C$8*Links!T$191))*(Nodes!BR39-Links!T39)/(Links!T39/ATM_Conf!$C$10)</f>
        <v>#DIV/0!</v>
      </c>
      <c r="AJ40" s="45" t="e">
        <f>AJ39+(ATM_Conf!$C$5/ATM_Conf!$C$8)*(Links!AY39*EXP((-(Links!U39/Links!BN39)^Links!CC39)/Links!CC39)-Links!AJ39)+(ATM_Conf!$C$5/Links!U$191)*Links!AJ39*(Nodes!BE39-Links!AJ39)-(ATM_Conf!$C$9*ATM_Conf!$C$5/(ATM_Conf!$C$8*Links!U$191))*(Nodes!BS39-Links!U39)/(Links!U39/ATM_Conf!$C$10)</f>
        <v>#DIV/0!</v>
      </c>
      <c r="AK40" s="45" t="e">
        <f>AK39+(ATM_Conf!$C$5/ATM_Conf!$C$8)*(Links!AZ39*EXP((-(Links!V39/Links!BO39)^Links!CD39)/Links!CD39)-Links!AK39)+(ATM_Conf!$C$5/Links!V$191)*Links!AK39*(Nodes!BF39-Links!AK39)-(ATM_Conf!$C$9*ATM_Conf!$C$5/(ATM_Conf!$C$8*Links!V$191))*(Nodes!BT39-Links!V39)/(Links!V39/ATM_Conf!$C$10)</f>
        <v>#DIV/0!</v>
      </c>
      <c r="AL40" s="45" t="e">
        <f>AL39+(ATM_Conf!$C$5/ATM_Conf!$C$8)*(Links!BA39*EXP((-(Links!W39/Links!BP39)^Links!CE39)/Links!CE39)-Links!AL39)+(ATM_Conf!$C$5/Links!W$191)*Links!AL39*(Nodes!BG39-Links!AL39)-(ATM_Conf!$C$9*ATM_Conf!$C$5/(ATM_Conf!$C$8*Links!W$191))*(Nodes!BU39-Links!W39)/(Links!W39/ATM_Conf!$C$10)</f>
        <v>#DIV/0!</v>
      </c>
      <c r="AM40" s="45" t="e">
        <f>AM39+(ATM_Conf!$C$5/ATM_Conf!$C$8)*(Links!BB39*EXP((-(Links!X39/Links!BQ39)^Links!CF39)/Links!CF39)-Links!AM39)+(ATM_Conf!$C$5/Links!X$191)*Links!AM39*(Nodes!BH39-Links!AM39)</f>
        <v>#DIV/0!</v>
      </c>
      <c r="AN40" s="45" t="e">
        <f>AN39+(ATM_Conf!$C$5/ATM_Conf!$C$8)*(Links!BC39*EXP((-(Links!Y39/Links!BR39)^Links!CG39)/Links!CG39)-Links!AN39)-(ATM_Conf!$C$9*ATM_Conf!$C$5/(ATM_Conf!$C$8*Links!Y$191))*(Nodes!BV39-Links!Y39)/(Links!Y39/ATM_Conf!$C$10)</f>
        <v>#DIV/0!</v>
      </c>
      <c r="AO40" s="45" t="e">
        <f>AO39+(ATM_Conf!$C$5/ATM_Conf!$C$8)*(Links!BD39*EXP((-(Links!Z39/Links!BS39)^Links!CH39)/Links!CH39)-Links!AO39)+(ATM_Conf!$C$5/Links!Z$191)*Links!AO39*(Nodes!BI39-Links!AO39)-(ATM_Conf!$C$9*ATM_Conf!$C$5/(ATM_Conf!$C$8*Links!Z$191))*(Nodes!BW39-Links!Z39)/(Links!Z39/ATM_Conf!$C$10)</f>
        <v>#DIV/0!</v>
      </c>
      <c r="AP40" s="45" t="e">
        <f>AP39+(ATM_Conf!$C$5/ATM_Conf!$C$8)*(Links!BE39*EXP((-(Links!AA39/Links!BT39)^Links!CI39)/Links!CI39)-Links!AP39)+(ATM_Conf!$C$5/Links!AA$191)*Links!AP39*(Nodes!BJ39-Links!AP39)-(ATM_Conf!$C$9*ATM_Conf!$C$5/(ATM_Conf!$C$8*Links!AA$191))*(Nodes!BX39-Links!AA39)/(Links!AA39/ATM_Conf!$C$10)</f>
        <v>#DIV/0!</v>
      </c>
      <c r="AQ40" s="45" t="e">
        <f>AQ39+(ATM_Conf!$C$5/ATM_Conf!$C$8)*(Links!BF39*EXP((-(Links!AB39/Links!BU39)^Links!CJ39)/Links!CJ39)-Links!AQ39)+(ATM_Conf!$C$5/Links!AB$191)*Links!AQ39*(Nodes!BK39-Links!AQ39)-(ATM_Conf!$C$9*ATM_Conf!$C$5/(ATM_Conf!$C$8*Links!AB$191))*(Nodes!BY39-Links!AB39)/(Links!AB39/ATM_Conf!$C$10)</f>
        <v>#DIV/0!</v>
      </c>
      <c r="AR40" s="45" t="e">
        <f>AR39+(ATM_Conf!$C$5/ATM_Conf!$C$8)*(Links!BG39*EXP((-(Links!AC39/Links!BV39)^Links!CK39)/Links!CK39)-Links!AR39)+(ATM_Conf!$C$5/Links!AC$191)*Links!AR39*(Nodes!BL39-Links!AR39)-(ATM_Conf!$C$9*ATM_Conf!$C$5/(ATM_Conf!$C$8*Links!AC$191))*(Nodes!BZ39-Links!AC39)/(Links!AC39/ATM_Conf!$C$10)</f>
        <v>#DIV/0!</v>
      </c>
      <c r="AS40" s="45" t="e">
        <f>AS39+(ATM_Conf!$C$5/ATM_Conf!$C$8)*(Links!BH39*EXP((-(Links!AD39/Links!BW39)^Links!CL39)/Links!CL39)-Links!AS39)+(ATM_Conf!$C$5/Links!AD$191)*Links!AS39*(Nodes!BM39-Links!AS39)-(ATM_Conf!$C$9*ATM_Conf!$C$5/(ATM_Conf!$C$8*Links!AD$191))*(Nodes!CA39-Links!AD39)/(Links!AD39/ATM_Conf!$C$10)</f>
        <v>#DIV/0!</v>
      </c>
      <c r="AT40" s="45" t="e">
        <f>AT39+(ATM_Conf!$C$5/ATM_Conf!$C$8)*(Links!BI39*EXP((-(Links!AE39/Links!BX39)^Links!CM39)/Links!CM39)-Links!AT39)+(ATM_Conf!$C$5/Links!AE$191)*Links!AT39*(Nodes!BN39-Links!AT39)</f>
        <v>#DIV/0!</v>
      </c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45">
        <f>CN$39</f>
        <v>0</v>
      </c>
      <c r="CO40" s="45">
        <f t="shared" ref="CO40:DB40" si="26">CO$39</f>
        <v>0</v>
      </c>
      <c r="CP40" s="45">
        <f t="shared" si="26"/>
        <v>0</v>
      </c>
      <c r="CQ40" s="45">
        <f t="shared" si="26"/>
        <v>0</v>
      </c>
      <c r="CR40" s="45">
        <f t="shared" si="26"/>
        <v>0</v>
      </c>
      <c r="CS40" s="45">
        <f t="shared" si="26"/>
        <v>0</v>
      </c>
      <c r="CT40" s="45">
        <f t="shared" si="26"/>
        <v>0</v>
      </c>
      <c r="CU40" s="45">
        <f t="shared" si="26"/>
        <v>0</v>
      </c>
      <c r="CV40" s="45">
        <f t="shared" si="26"/>
        <v>0</v>
      </c>
      <c r="CW40" s="45">
        <f t="shared" si="26"/>
        <v>0</v>
      </c>
      <c r="CX40" s="45">
        <f t="shared" si="26"/>
        <v>0</v>
      </c>
      <c r="CY40" s="45">
        <f t="shared" si="26"/>
        <v>0</v>
      </c>
      <c r="CZ40" s="45">
        <f t="shared" si="26"/>
        <v>0</v>
      </c>
      <c r="DA40" s="45">
        <f t="shared" si="26"/>
        <v>0</v>
      </c>
      <c r="DB40" s="45">
        <f t="shared" si="26"/>
        <v>0</v>
      </c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</row>
    <row r="41" spans="1:121" ht="14.25" x14ac:dyDescent="0.15">
      <c r="A41" s="48">
        <v>39</v>
      </c>
      <c r="B41" s="45" t="e">
        <f t="shared" si="2"/>
        <v>#DIV/0!</v>
      </c>
      <c r="C41" s="45" t="e">
        <f t="shared" si="3"/>
        <v>#DIV/0!</v>
      </c>
      <c r="D41" s="45" t="e">
        <f t="shared" si="4"/>
        <v>#DIV/0!</v>
      </c>
      <c r="E41" s="45" t="e">
        <f t="shared" si="5"/>
        <v>#DIV/0!</v>
      </c>
      <c r="F41" s="45" t="e">
        <f t="shared" si="6"/>
        <v>#DIV/0!</v>
      </c>
      <c r="G41" s="45" t="e">
        <f t="shared" si="7"/>
        <v>#DIV/0!</v>
      </c>
      <c r="H41" s="45" t="e">
        <f t="shared" si="8"/>
        <v>#DIV/0!</v>
      </c>
      <c r="I41" s="45" t="e">
        <f t="shared" si="9"/>
        <v>#DIV/0!</v>
      </c>
      <c r="J41" s="45" t="e">
        <f t="shared" si="10"/>
        <v>#DIV/0!</v>
      </c>
      <c r="K41" s="45" t="e">
        <f t="shared" si="11"/>
        <v>#DIV/0!</v>
      </c>
      <c r="L41" s="45" t="e">
        <f t="shared" si="12"/>
        <v>#DIV/0!</v>
      </c>
      <c r="M41" s="45" t="e">
        <f t="shared" si="13"/>
        <v>#DIV/0!</v>
      </c>
      <c r="N41" s="45" t="e">
        <f t="shared" si="14"/>
        <v>#DIV/0!</v>
      </c>
      <c r="O41" s="45" t="e">
        <f t="shared" si="15"/>
        <v>#DIV/0!</v>
      </c>
      <c r="P41" s="45" t="e">
        <f t="shared" si="16"/>
        <v>#DIV/0!</v>
      </c>
      <c r="Q41" s="55" t="e">
        <f>Q40+ATM_Conf!$C$5*(B40)/(Links!B$191*Links!Q$191)</f>
        <v>#DIV/0!</v>
      </c>
      <c r="R41" s="55" t="e">
        <f>R40+ATM_Conf!$C$5*(C40-B40)/(Links!C$191*Links!R$191)</f>
        <v>#DIV/0!</v>
      </c>
      <c r="S41" s="55" t="e">
        <f>S40+ATM_Conf!$C$5*(D40-C40)/(Links!D$191*Links!S$191)</f>
        <v>#DIV/0!</v>
      </c>
      <c r="T41" s="55" t="e">
        <f>T40+ATM_Conf!$C$5*(E40-D40)/(Links!E$191*Links!T$191)</f>
        <v>#DIV/0!</v>
      </c>
      <c r="U41" s="55" t="e">
        <f>U40+ATM_Conf!$C$5*(F40-E40)/(Links!F$191*Links!U$191)</f>
        <v>#DIV/0!</v>
      </c>
      <c r="V41" s="55" t="e">
        <f>V40+ATM_Conf!$C$5*(G40-F40)/(Links!G$191*Links!V$191)</f>
        <v>#DIV/0!</v>
      </c>
      <c r="W41" s="55" t="e">
        <f>W40+ATM_Conf!$C$5*(H40-G40)/(Links!H$191*Links!W$191)</f>
        <v>#DIV/0!</v>
      </c>
      <c r="X41" s="55" t="e">
        <f>X40+ATM_Conf!$C$5*(I40-H40)/(Links!I$191*Links!X$191)</f>
        <v>#DIV/0!</v>
      </c>
      <c r="Y41" s="55" t="e">
        <f>Y40+ATM_Conf!$C$5*(J40)/(Links!J$191*Links!Y$191)</f>
        <v>#DIV/0!</v>
      </c>
      <c r="Z41" s="55" t="e">
        <f>Z40+ATM_Conf!$C$5*(K40-J40)/(Links!K$191*Links!Z$191)</f>
        <v>#DIV/0!</v>
      </c>
      <c r="AA41" s="55" t="e">
        <f>AA40+ATM_Conf!$C$5*(L40-K40)/(Links!L$191*Links!AA$191)</f>
        <v>#DIV/0!</v>
      </c>
      <c r="AB41" s="55" t="e">
        <f>AB40+ATM_Conf!$C$5*(M40-L40)/(Links!M$191*Links!AB$191)</f>
        <v>#DIV/0!</v>
      </c>
      <c r="AC41" s="55" t="e">
        <f>AC40+ATM_Conf!$C$5*(N40-M40)/(Links!N$191*Links!AC$191)</f>
        <v>#DIV/0!</v>
      </c>
      <c r="AD41" s="55" t="e">
        <f>AD40+ATM_Conf!$C$5*(O40-N40)/(Links!O$191*Links!AD$191)</f>
        <v>#DIV/0!</v>
      </c>
      <c r="AE41" s="55" t="e">
        <f>AE40+ATM_Conf!$C$5*(P40-O40)/(Links!P$191*Links!AE$191)</f>
        <v>#DIV/0!</v>
      </c>
      <c r="AF41" s="45" t="e">
        <f>AF40+(ATM_Conf!$C$5/ATM_Conf!$C$8)*(Links!AU40*EXP((-(Links!Q40/Links!BJ40)^Links!BY40)/Links!BY40)-Links!AF40)-(ATM_Conf!$C$9*ATM_Conf!$C$5/(ATM_Conf!$C$8*Links!Q$191))*(Nodes!BO40-Links!Q40)/(Links!Q40/ATM_Conf!$C$10)</f>
        <v>#DIV/0!</v>
      </c>
      <c r="AG41" s="45" t="e">
        <f>AG40+(ATM_Conf!$C$5/ATM_Conf!$C$8)*(Links!AV40*EXP((-(Links!R40/Links!BK40)^Links!BZ40)/Links!BZ40)-Links!AG40)+(ATM_Conf!$C$5/Links!R$191)*Links!AG40*(Nodes!BB40-Links!AG40)-(ATM_Conf!$C$9*ATM_Conf!$C$5/(ATM_Conf!$C$8*Links!R$191))*(Nodes!BP40-Links!R40)/(Links!R40/ATM_Conf!$C$10)</f>
        <v>#DIV/0!</v>
      </c>
      <c r="AH41" s="45" t="e">
        <f>AH40+(ATM_Conf!$C$5/ATM_Conf!$C$8)*(Links!AW40*EXP((-(Links!S40/Links!BL40)^Links!CA40)/Links!CA40)-Links!AH40)+(ATM_Conf!$C$5/Links!S$191)*Links!AH40*(Nodes!BC40-Links!AH40)-(ATM_Conf!$C$9*ATM_Conf!$C$5/(ATM_Conf!$C$8*Links!S$191))*(Nodes!BQ40-Links!S40)/(Links!S40/ATM_Conf!$C$10)</f>
        <v>#DIV/0!</v>
      </c>
      <c r="AI41" s="45" t="e">
        <f>AI40+(ATM_Conf!$C$5/ATM_Conf!$C$8)*(Links!AX40*EXP((-(Links!T40/Links!BM40)^Links!CB40)/Links!CB40)-Links!AI40)+(ATM_Conf!$C$5/Links!T$191)*Links!AI40*(Nodes!BD40-Links!AI40)-(ATM_Conf!$C$9*ATM_Conf!$C$5/(ATM_Conf!$C$8*Links!T$191))*(Nodes!BR40-Links!T40)/(Links!T40/ATM_Conf!$C$10)</f>
        <v>#DIV/0!</v>
      </c>
      <c r="AJ41" s="45" t="e">
        <f>AJ40+(ATM_Conf!$C$5/ATM_Conf!$C$8)*(Links!AY40*EXP((-(Links!U40/Links!BN40)^Links!CC40)/Links!CC40)-Links!AJ40)+(ATM_Conf!$C$5/Links!U$191)*Links!AJ40*(Nodes!BE40-Links!AJ40)-(ATM_Conf!$C$9*ATM_Conf!$C$5/(ATM_Conf!$C$8*Links!U$191))*(Nodes!BS40-Links!U40)/(Links!U40/ATM_Conf!$C$10)</f>
        <v>#DIV/0!</v>
      </c>
      <c r="AK41" s="45" t="e">
        <f>AK40+(ATM_Conf!$C$5/ATM_Conf!$C$8)*(Links!AZ40*EXP((-(Links!V40/Links!BO40)^Links!CD40)/Links!CD40)-Links!AK40)+(ATM_Conf!$C$5/Links!V$191)*Links!AK40*(Nodes!BF40-Links!AK40)-(ATM_Conf!$C$9*ATM_Conf!$C$5/(ATM_Conf!$C$8*Links!V$191))*(Nodes!BT40-Links!V40)/(Links!V40/ATM_Conf!$C$10)</f>
        <v>#DIV/0!</v>
      </c>
      <c r="AL41" s="45" t="e">
        <f>AL40+(ATM_Conf!$C$5/ATM_Conf!$C$8)*(Links!BA40*EXP((-(Links!W40/Links!BP40)^Links!CE40)/Links!CE40)-Links!AL40)+(ATM_Conf!$C$5/Links!W$191)*Links!AL40*(Nodes!BG40-Links!AL40)-(ATM_Conf!$C$9*ATM_Conf!$C$5/(ATM_Conf!$C$8*Links!W$191))*(Nodes!BU40-Links!W40)/(Links!W40/ATM_Conf!$C$10)</f>
        <v>#DIV/0!</v>
      </c>
      <c r="AM41" s="45" t="e">
        <f>AM40+(ATM_Conf!$C$5/ATM_Conf!$C$8)*(Links!BB40*EXP((-(Links!X40/Links!BQ40)^Links!CF40)/Links!CF40)-Links!AM40)+(ATM_Conf!$C$5/Links!X$191)*Links!AM40*(Nodes!BH40-Links!AM40)</f>
        <v>#DIV/0!</v>
      </c>
      <c r="AN41" s="45" t="e">
        <f>AN40+(ATM_Conf!$C$5/ATM_Conf!$C$8)*(Links!BC40*EXP((-(Links!Y40/Links!BR40)^Links!CG40)/Links!CG40)-Links!AN40)-(ATM_Conf!$C$9*ATM_Conf!$C$5/(ATM_Conf!$C$8*Links!Y$191))*(Nodes!BV40-Links!Y40)/(Links!Y40/ATM_Conf!$C$10)</f>
        <v>#DIV/0!</v>
      </c>
      <c r="AO41" s="45" t="e">
        <f>AO40+(ATM_Conf!$C$5/ATM_Conf!$C$8)*(Links!BD40*EXP((-(Links!Z40/Links!BS40)^Links!CH40)/Links!CH40)-Links!AO40)+(ATM_Conf!$C$5/Links!Z$191)*Links!AO40*(Nodes!BI40-Links!AO40)-(ATM_Conf!$C$9*ATM_Conf!$C$5/(ATM_Conf!$C$8*Links!Z$191))*(Nodes!BW40-Links!Z40)/(Links!Z40/ATM_Conf!$C$10)</f>
        <v>#DIV/0!</v>
      </c>
      <c r="AP41" s="45" t="e">
        <f>AP40+(ATM_Conf!$C$5/ATM_Conf!$C$8)*(Links!BE40*EXP((-(Links!AA40/Links!BT40)^Links!CI40)/Links!CI40)-Links!AP40)+(ATM_Conf!$C$5/Links!AA$191)*Links!AP40*(Nodes!BJ40-Links!AP40)-(ATM_Conf!$C$9*ATM_Conf!$C$5/(ATM_Conf!$C$8*Links!AA$191))*(Nodes!BX40-Links!AA40)/(Links!AA40/ATM_Conf!$C$10)</f>
        <v>#DIV/0!</v>
      </c>
      <c r="AQ41" s="45" t="e">
        <f>AQ40+(ATM_Conf!$C$5/ATM_Conf!$C$8)*(Links!BF40*EXP((-(Links!AB40/Links!BU40)^Links!CJ40)/Links!CJ40)-Links!AQ40)+(ATM_Conf!$C$5/Links!AB$191)*Links!AQ40*(Nodes!BK40-Links!AQ40)-(ATM_Conf!$C$9*ATM_Conf!$C$5/(ATM_Conf!$C$8*Links!AB$191))*(Nodes!BY40-Links!AB40)/(Links!AB40/ATM_Conf!$C$10)</f>
        <v>#DIV/0!</v>
      </c>
      <c r="AR41" s="45" t="e">
        <f>AR40+(ATM_Conf!$C$5/ATM_Conf!$C$8)*(Links!BG40*EXP((-(Links!AC40/Links!BV40)^Links!CK40)/Links!CK40)-Links!AR40)+(ATM_Conf!$C$5/Links!AC$191)*Links!AR40*(Nodes!BL40-Links!AR40)-(ATM_Conf!$C$9*ATM_Conf!$C$5/(ATM_Conf!$C$8*Links!AC$191))*(Nodes!BZ40-Links!AC40)/(Links!AC40/ATM_Conf!$C$10)</f>
        <v>#DIV/0!</v>
      </c>
      <c r="AS41" s="45" t="e">
        <f>AS40+(ATM_Conf!$C$5/ATM_Conf!$C$8)*(Links!BH40*EXP((-(Links!AD40/Links!BW40)^Links!CL40)/Links!CL40)-Links!AS40)+(ATM_Conf!$C$5/Links!AD$191)*Links!AS40*(Nodes!BM40-Links!AS40)-(ATM_Conf!$C$9*ATM_Conf!$C$5/(ATM_Conf!$C$8*Links!AD$191))*(Nodes!CA40-Links!AD40)/(Links!AD40/ATM_Conf!$C$10)</f>
        <v>#DIV/0!</v>
      </c>
      <c r="AT41" s="45" t="e">
        <f>AT40+(ATM_Conf!$C$5/ATM_Conf!$C$8)*(Links!BI40*EXP((-(Links!AE40/Links!BX40)^Links!CM40)/Links!CM40)-Links!AT40)+(ATM_Conf!$C$5/Links!AE$191)*Links!AT40*(Nodes!BN40-Links!AT40)</f>
        <v>#DIV/0!</v>
      </c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45">
        <f t="shared" ref="CN41:DB50" si="27">CN$39</f>
        <v>0</v>
      </c>
      <c r="CO41" s="45">
        <f t="shared" si="27"/>
        <v>0</v>
      </c>
      <c r="CP41" s="45">
        <f t="shared" si="27"/>
        <v>0</v>
      </c>
      <c r="CQ41" s="45">
        <f t="shared" si="27"/>
        <v>0</v>
      </c>
      <c r="CR41" s="45">
        <f t="shared" si="27"/>
        <v>0</v>
      </c>
      <c r="CS41" s="45">
        <f t="shared" si="27"/>
        <v>0</v>
      </c>
      <c r="CT41" s="45">
        <f t="shared" si="27"/>
        <v>0</v>
      </c>
      <c r="CU41" s="45">
        <f t="shared" si="27"/>
        <v>0</v>
      </c>
      <c r="CV41" s="45">
        <f t="shared" si="27"/>
        <v>0</v>
      </c>
      <c r="CW41" s="45">
        <f t="shared" si="27"/>
        <v>0</v>
      </c>
      <c r="CX41" s="45">
        <f t="shared" si="27"/>
        <v>0</v>
      </c>
      <c r="CY41" s="45">
        <f t="shared" si="27"/>
        <v>0</v>
      </c>
      <c r="CZ41" s="45">
        <f t="shared" si="27"/>
        <v>0</v>
      </c>
      <c r="DA41" s="45">
        <f t="shared" si="27"/>
        <v>0</v>
      </c>
      <c r="DB41" s="45">
        <f t="shared" si="27"/>
        <v>0</v>
      </c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</row>
    <row r="42" spans="1:121" ht="14.25" x14ac:dyDescent="0.15">
      <c r="A42" s="48">
        <v>40</v>
      </c>
      <c r="B42" s="45" t="e">
        <f t="shared" si="2"/>
        <v>#DIV/0!</v>
      </c>
      <c r="C42" s="45" t="e">
        <f t="shared" si="3"/>
        <v>#DIV/0!</v>
      </c>
      <c r="D42" s="45" t="e">
        <f t="shared" si="4"/>
        <v>#DIV/0!</v>
      </c>
      <c r="E42" s="45" t="e">
        <f t="shared" si="5"/>
        <v>#DIV/0!</v>
      </c>
      <c r="F42" s="45" t="e">
        <f t="shared" si="6"/>
        <v>#DIV/0!</v>
      </c>
      <c r="G42" s="45" t="e">
        <f t="shared" si="7"/>
        <v>#DIV/0!</v>
      </c>
      <c r="H42" s="45" t="e">
        <f t="shared" si="8"/>
        <v>#DIV/0!</v>
      </c>
      <c r="I42" s="45" t="e">
        <f t="shared" si="9"/>
        <v>#DIV/0!</v>
      </c>
      <c r="J42" s="45" t="e">
        <f t="shared" si="10"/>
        <v>#DIV/0!</v>
      </c>
      <c r="K42" s="45" t="e">
        <f t="shared" si="11"/>
        <v>#DIV/0!</v>
      </c>
      <c r="L42" s="45" t="e">
        <f t="shared" si="12"/>
        <v>#DIV/0!</v>
      </c>
      <c r="M42" s="45" t="e">
        <f t="shared" si="13"/>
        <v>#DIV/0!</v>
      </c>
      <c r="N42" s="45" t="e">
        <f t="shared" si="14"/>
        <v>#DIV/0!</v>
      </c>
      <c r="O42" s="45" t="e">
        <f t="shared" si="15"/>
        <v>#DIV/0!</v>
      </c>
      <c r="P42" s="45" t="e">
        <f t="shared" si="16"/>
        <v>#DIV/0!</v>
      </c>
      <c r="Q42" s="55" t="e">
        <f>Q41+ATM_Conf!$C$5*(B41)/(Links!B$191*Links!Q$191)</f>
        <v>#DIV/0!</v>
      </c>
      <c r="R42" s="55" t="e">
        <f>R41+ATM_Conf!$C$5*(C41-B41)/(Links!C$191*Links!R$191)</f>
        <v>#DIV/0!</v>
      </c>
      <c r="S42" s="55" t="e">
        <f>S41+ATM_Conf!$C$5*(D41-C41)/(Links!D$191*Links!S$191)</f>
        <v>#DIV/0!</v>
      </c>
      <c r="T42" s="55" t="e">
        <f>T41+ATM_Conf!$C$5*(E41-D41)/(Links!E$191*Links!T$191)</f>
        <v>#DIV/0!</v>
      </c>
      <c r="U42" s="55" t="e">
        <f>U41+ATM_Conf!$C$5*(F41-E41)/(Links!F$191*Links!U$191)</f>
        <v>#DIV/0!</v>
      </c>
      <c r="V42" s="55" t="e">
        <f>V41+ATM_Conf!$C$5*(G41-F41)/(Links!G$191*Links!V$191)</f>
        <v>#DIV/0!</v>
      </c>
      <c r="W42" s="55" t="e">
        <f>W41+ATM_Conf!$C$5*(H41-G41)/(Links!H$191*Links!W$191)</f>
        <v>#DIV/0!</v>
      </c>
      <c r="X42" s="55" t="e">
        <f>X41+ATM_Conf!$C$5*(I41-H41)/(Links!I$191*Links!X$191)</f>
        <v>#DIV/0!</v>
      </c>
      <c r="Y42" s="55" t="e">
        <f>Y41+ATM_Conf!$C$5*(J41)/(Links!J$191*Links!Y$191)</f>
        <v>#DIV/0!</v>
      </c>
      <c r="Z42" s="55" t="e">
        <f>Z41+ATM_Conf!$C$5*(K41-J41)/(Links!K$191*Links!Z$191)</f>
        <v>#DIV/0!</v>
      </c>
      <c r="AA42" s="55" t="e">
        <f>AA41+ATM_Conf!$C$5*(L41-K41)/(Links!L$191*Links!AA$191)</f>
        <v>#DIV/0!</v>
      </c>
      <c r="AB42" s="55" t="e">
        <f>AB41+ATM_Conf!$C$5*(M41-L41)/(Links!M$191*Links!AB$191)</f>
        <v>#DIV/0!</v>
      </c>
      <c r="AC42" s="55" t="e">
        <f>AC41+ATM_Conf!$C$5*(N41-M41)/(Links!N$191*Links!AC$191)</f>
        <v>#DIV/0!</v>
      </c>
      <c r="AD42" s="55" t="e">
        <f>AD41+ATM_Conf!$C$5*(O41-N41)/(Links!O$191*Links!AD$191)</f>
        <v>#DIV/0!</v>
      </c>
      <c r="AE42" s="55" t="e">
        <f>AE41+ATM_Conf!$C$5*(P41-O41)/(Links!P$191*Links!AE$191)</f>
        <v>#DIV/0!</v>
      </c>
      <c r="AF42" s="45" t="e">
        <f>AF41+(ATM_Conf!$C$5/ATM_Conf!$C$8)*(Links!AU41*EXP((-(Links!Q41/Links!BJ41)^Links!BY41)/Links!BY41)-Links!AF41)-(ATM_Conf!$C$9*ATM_Conf!$C$5/(ATM_Conf!$C$8*Links!Q$191))*(Nodes!BO41-Links!Q41)/(Links!Q41/ATM_Conf!$C$10)</f>
        <v>#DIV/0!</v>
      </c>
      <c r="AG42" s="45" t="e">
        <f>AG41+(ATM_Conf!$C$5/ATM_Conf!$C$8)*(Links!AV41*EXP((-(Links!R41/Links!BK41)^Links!BZ41)/Links!BZ41)-Links!AG41)+(ATM_Conf!$C$5/Links!R$191)*Links!AG41*(Nodes!BB41-Links!AG41)-(ATM_Conf!$C$9*ATM_Conf!$C$5/(ATM_Conf!$C$8*Links!R$191))*(Nodes!BP41-Links!R41)/(Links!R41/ATM_Conf!$C$10)</f>
        <v>#DIV/0!</v>
      </c>
      <c r="AH42" s="45" t="e">
        <f>AH41+(ATM_Conf!$C$5/ATM_Conf!$C$8)*(Links!AW41*EXP((-(Links!S41/Links!BL41)^Links!CA41)/Links!CA41)-Links!AH41)+(ATM_Conf!$C$5/Links!S$191)*Links!AH41*(Nodes!BC41-Links!AH41)-(ATM_Conf!$C$9*ATM_Conf!$C$5/(ATM_Conf!$C$8*Links!S$191))*(Nodes!BQ41-Links!S41)/(Links!S41/ATM_Conf!$C$10)</f>
        <v>#DIV/0!</v>
      </c>
      <c r="AI42" s="45" t="e">
        <f>AI41+(ATM_Conf!$C$5/ATM_Conf!$C$8)*(Links!AX41*EXP((-(Links!T41/Links!BM41)^Links!CB41)/Links!CB41)-Links!AI41)+(ATM_Conf!$C$5/Links!T$191)*Links!AI41*(Nodes!BD41-Links!AI41)-(ATM_Conf!$C$9*ATM_Conf!$C$5/(ATM_Conf!$C$8*Links!T$191))*(Nodes!BR41-Links!T41)/(Links!T41/ATM_Conf!$C$10)</f>
        <v>#DIV/0!</v>
      </c>
      <c r="AJ42" s="45" t="e">
        <f>AJ41+(ATM_Conf!$C$5/ATM_Conf!$C$8)*(Links!AY41*EXP((-(Links!U41/Links!BN41)^Links!CC41)/Links!CC41)-Links!AJ41)+(ATM_Conf!$C$5/Links!U$191)*Links!AJ41*(Nodes!BE41-Links!AJ41)-(ATM_Conf!$C$9*ATM_Conf!$C$5/(ATM_Conf!$C$8*Links!U$191))*(Nodes!BS41-Links!U41)/(Links!U41/ATM_Conf!$C$10)</f>
        <v>#DIV/0!</v>
      </c>
      <c r="AK42" s="45" t="e">
        <f>AK41+(ATM_Conf!$C$5/ATM_Conf!$C$8)*(Links!AZ41*EXP((-(Links!V41/Links!BO41)^Links!CD41)/Links!CD41)-Links!AK41)+(ATM_Conf!$C$5/Links!V$191)*Links!AK41*(Nodes!BF41-Links!AK41)-(ATM_Conf!$C$9*ATM_Conf!$C$5/(ATM_Conf!$C$8*Links!V$191))*(Nodes!BT41-Links!V41)/(Links!V41/ATM_Conf!$C$10)</f>
        <v>#DIV/0!</v>
      </c>
      <c r="AL42" s="45" t="e">
        <f>AL41+(ATM_Conf!$C$5/ATM_Conf!$C$8)*(Links!BA41*EXP((-(Links!W41/Links!BP41)^Links!CE41)/Links!CE41)-Links!AL41)+(ATM_Conf!$C$5/Links!W$191)*Links!AL41*(Nodes!BG41-Links!AL41)-(ATM_Conf!$C$9*ATM_Conf!$C$5/(ATM_Conf!$C$8*Links!W$191))*(Nodes!BU41-Links!W41)/(Links!W41/ATM_Conf!$C$10)</f>
        <v>#DIV/0!</v>
      </c>
      <c r="AM42" s="45" t="e">
        <f>AM41+(ATM_Conf!$C$5/ATM_Conf!$C$8)*(Links!BB41*EXP((-(Links!X41/Links!BQ41)^Links!CF41)/Links!CF41)-Links!AM41)+(ATM_Conf!$C$5/Links!X$191)*Links!AM41*(Nodes!BH41-Links!AM41)</f>
        <v>#DIV/0!</v>
      </c>
      <c r="AN42" s="45" t="e">
        <f>AN41+(ATM_Conf!$C$5/ATM_Conf!$C$8)*(Links!BC41*EXP((-(Links!Y41/Links!BR41)^Links!CG41)/Links!CG41)-Links!AN41)-(ATM_Conf!$C$9*ATM_Conf!$C$5/(ATM_Conf!$C$8*Links!Y$191))*(Nodes!BV41-Links!Y41)/(Links!Y41/ATM_Conf!$C$10)</f>
        <v>#DIV/0!</v>
      </c>
      <c r="AO42" s="45" t="e">
        <f>AO41+(ATM_Conf!$C$5/ATM_Conf!$C$8)*(Links!BD41*EXP((-(Links!Z41/Links!BS41)^Links!CH41)/Links!CH41)-Links!AO41)+(ATM_Conf!$C$5/Links!Z$191)*Links!AO41*(Nodes!BI41-Links!AO41)-(ATM_Conf!$C$9*ATM_Conf!$C$5/(ATM_Conf!$C$8*Links!Z$191))*(Nodes!BW41-Links!Z41)/(Links!Z41/ATM_Conf!$C$10)</f>
        <v>#DIV/0!</v>
      </c>
      <c r="AP42" s="45" t="e">
        <f>AP41+(ATM_Conf!$C$5/ATM_Conf!$C$8)*(Links!BE41*EXP((-(Links!AA41/Links!BT41)^Links!CI41)/Links!CI41)-Links!AP41)+(ATM_Conf!$C$5/Links!AA$191)*Links!AP41*(Nodes!BJ41-Links!AP41)-(ATM_Conf!$C$9*ATM_Conf!$C$5/(ATM_Conf!$C$8*Links!AA$191))*(Nodes!BX41-Links!AA41)/(Links!AA41/ATM_Conf!$C$10)</f>
        <v>#DIV/0!</v>
      </c>
      <c r="AQ42" s="45" t="e">
        <f>AQ41+(ATM_Conf!$C$5/ATM_Conf!$C$8)*(Links!BF41*EXP((-(Links!AB41/Links!BU41)^Links!CJ41)/Links!CJ41)-Links!AQ41)+(ATM_Conf!$C$5/Links!AB$191)*Links!AQ41*(Nodes!BK41-Links!AQ41)-(ATM_Conf!$C$9*ATM_Conf!$C$5/(ATM_Conf!$C$8*Links!AB$191))*(Nodes!BY41-Links!AB41)/(Links!AB41/ATM_Conf!$C$10)</f>
        <v>#DIV/0!</v>
      </c>
      <c r="AR42" s="45" t="e">
        <f>AR41+(ATM_Conf!$C$5/ATM_Conf!$C$8)*(Links!BG41*EXP((-(Links!AC41/Links!BV41)^Links!CK41)/Links!CK41)-Links!AR41)+(ATM_Conf!$C$5/Links!AC$191)*Links!AR41*(Nodes!BL41-Links!AR41)-(ATM_Conf!$C$9*ATM_Conf!$C$5/(ATM_Conf!$C$8*Links!AC$191))*(Nodes!BZ41-Links!AC41)/(Links!AC41/ATM_Conf!$C$10)</f>
        <v>#DIV/0!</v>
      </c>
      <c r="AS42" s="45" t="e">
        <f>AS41+(ATM_Conf!$C$5/ATM_Conf!$C$8)*(Links!BH41*EXP((-(Links!AD41/Links!BW41)^Links!CL41)/Links!CL41)-Links!AS41)+(ATM_Conf!$C$5/Links!AD$191)*Links!AS41*(Nodes!BM41-Links!AS41)-(ATM_Conf!$C$9*ATM_Conf!$C$5/(ATM_Conf!$C$8*Links!AD$191))*(Nodes!CA41-Links!AD41)/(Links!AD41/ATM_Conf!$C$10)</f>
        <v>#DIV/0!</v>
      </c>
      <c r="AT42" s="45" t="e">
        <f>AT41+(ATM_Conf!$C$5/ATM_Conf!$C$8)*(Links!BI41*EXP((-(Links!AE41/Links!BX41)^Links!CM41)/Links!CM41)-Links!AT41)+(ATM_Conf!$C$5/Links!AE$191)*Links!AT41*(Nodes!BN41-Links!AT41)</f>
        <v>#DIV/0!</v>
      </c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45">
        <f t="shared" si="27"/>
        <v>0</v>
      </c>
      <c r="CO42" s="45">
        <f t="shared" si="27"/>
        <v>0</v>
      </c>
      <c r="CP42" s="45">
        <f t="shared" si="27"/>
        <v>0</v>
      </c>
      <c r="CQ42" s="45">
        <f t="shared" si="27"/>
        <v>0</v>
      </c>
      <c r="CR42" s="45">
        <f t="shared" si="27"/>
        <v>0</v>
      </c>
      <c r="CS42" s="45">
        <f t="shared" si="27"/>
        <v>0</v>
      </c>
      <c r="CT42" s="45">
        <f t="shared" si="27"/>
        <v>0</v>
      </c>
      <c r="CU42" s="45">
        <f t="shared" si="27"/>
        <v>0</v>
      </c>
      <c r="CV42" s="45">
        <f t="shared" si="27"/>
        <v>0</v>
      </c>
      <c r="CW42" s="45">
        <f t="shared" si="27"/>
        <v>0</v>
      </c>
      <c r="CX42" s="45">
        <f t="shared" si="27"/>
        <v>0</v>
      </c>
      <c r="CY42" s="45">
        <f t="shared" si="27"/>
        <v>0</v>
      </c>
      <c r="CZ42" s="45">
        <f t="shared" si="27"/>
        <v>0</v>
      </c>
      <c r="DA42" s="45">
        <f t="shared" si="27"/>
        <v>0</v>
      </c>
      <c r="DB42" s="45">
        <f t="shared" si="27"/>
        <v>0</v>
      </c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</row>
    <row r="43" spans="1:121" ht="14.25" x14ac:dyDescent="0.15">
      <c r="A43" s="48">
        <v>41</v>
      </c>
      <c r="B43" s="45" t="e">
        <f t="shared" si="2"/>
        <v>#DIV/0!</v>
      </c>
      <c r="C43" s="45" t="e">
        <f t="shared" si="3"/>
        <v>#DIV/0!</v>
      </c>
      <c r="D43" s="45" t="e">
        <f t="shared" si="4"/>
        <v>#DIV/0!</v>
      </c>
      <c r="E43" s="45" t="e">
        <f t="shared" si="5"/>
        <v>#DIV/0!</v>
      </c>
      <c r="F43" s="45" t="e">
        <f t="shared" si="6"/>
        <v>#DIV/0!</v>
      </c>
      <c r="G43" s="45" t="e">
        <f t="shared" si="7"/>
        <v>#DIV/0!</v>
      </c>
      <c r="H43" s="45" t="e">
        <f t="shared" si="8"/>
        <v>#DIV/0!</v>
      </c>
      <c r="I43" s="45" t="e">
        <f t="shared" si="9"/>
        <v>#DIV/0!</v>
      </c>
      <c r="J43" s="45" t="e">
        <f t="shared" si="10"/>
        <v>#DIV/0!</v>
      </c>
      <c r="K43" s="45" t="e">
        <f t="shared" si="11"/>
        <v>#DIV/0!</v>
      </c>
      <c r="L43" s="45" t="e">
        <f t="shared" si="12"/>
        <v>#DIV/0!</v>
      </c>
      <c r="M43" s="45" t="e">
        <f t="shared" si="13"/>
        <v>#DIV/0!</v>
      </c>
      <c r="N43" s="45" t="e">
        <f t="shared" si="14"/>
        <v>#DIV/0!</v>
      </c>
      <c r="O43" s="45" t="e">
        <f t="shared" si="15"/>
        <v>#DIV/0!</v>
      </c>
      <c r="P43" s="45" t="e">
        <f t="shared" si="16"/>
        <v>#DIV/0!</v>
      </c>
      <c r="Q43" s="55" t="e">
        <f>Q42+ATM_Conf!$C$5*(B42)/(Links!B$191*Links!Q$191)</f>
        <v>#DIV/0!</v>
      </c>
      <c r="R43" s="55" t="e">
        <f>R42+ATM_Conf!$C$5*(C42-B42)/(Links!C$191*Links!R$191)</f>
        <v>#DIV/0!</v>
      </c>
      <c r="S43" s="55" t="e">
        <f>S42+ATM_Conf!$C$5*(D42-C42)/(Links!D$191*Links!S$191)</f>
        <v>#DIV/0!</v>
      </c>
      <c r="T43" s="55" t="e">
        <f>T42+ATM_Conf!$C$5*(E42-D42)/(Links!E$191*Links!T$191)</f>
        <v>#DIV/0!</v>
      </c>
      <c r="U43" s="55" t="e">
        <f>U42+ATM_Conf!$C$5*(F42-E42)/(Links!F$191*Links!U$191)</f>
        <v>#DIV/0!</v>
      </c>
      <c r="V43" s="55" t="e">
        <f>V42+ATM_Conf!$C$5*(G42-F42)/(Links!G$191*Links!V$191)</f>
        <v>#DIV/0!</v>
      </c>
      <c r="W43" s="55" t="e">
        <f>W42+ATM_Conf!$C$5*(H42-G42)/(Links!H$191*Links!W$191)</f>
        <v>#DIV/0!</v>
      </c>
      <c r="X43" s="55" t="e">
        <f>X42+ATM_Conf!$C$5*(I42-H42)/(Links!I$191*Links!X$191)</f>
        <v>#DIV/0!</v>
      </c>
      <c r="Y43" s="55" t="e">
        <f>Y42+ATM_Conf!$C$5*(J42)/(Links!J$191*Links!Y$191)</f>
        <v>#DIV/0!</v>
      </c>
      <c r="Z43" s="55" t="e">
        <f>Z42+ATM_Conf!$C$5*(K42-J42)/(Links!K$191*Links!Z$191)</f>
        <v>#DIV/0!</v>
      </c>
      <c r="AA43" s="55" t="e">
        <f>AA42+ATM_Conf!$C$5*(L42-K42)/(Links!L$191*Links!AA$191)</f>
        <v>#DIV/0!</v>
      </c>
      <c r="AB43" s="55" t="e">
        <f>AB42+ATM_Conf!$C$5*(M42-L42)/(Links!M$191*Links!AB$191)</f>
        <v>#DIV/0!</v>
      </c>
      <c r="AC43" s="55" t="e">
        <f>AC42+ATM_Conf!$C$5*(N42-M42)/(Links!N$191*Links!AC$191)</f>
        <v>#DIV/0!</v>
      </c>
      <c r="AD43" s="55" t="e">
        <f>AD42+ATM_Conf!$C$5*(O42-N42)/(Links!O$191*Links!AD$191)</f>
        <v>#DIV/0!</v>
      </c>
      <c r="AE43" s="55" t="e">
        <f>AE42+ATM_Conf!$C$5*(P42-O42)/(Links!P$191*Links!AE$191)</f>
        <v>#DIV/0!</v>
      </c>
      <c r="AF43" s="45" t="e">
        <f>AF42+(ATM_Conf!$C$5/ATM_Conf!$C$8)*(Links!AU42*EXP((-(Links!Q42/Links!BJ42)^Links!BY42)/Links!BY42)-Links!AF42)-(ATM_Conf!$C$9*ATM_Conf!$C$5/(ATM_Conf!$C$8*Links!Q$191))*(Nodes!BO42-Links!Q42)/(Links!Q42/ATM_Conf!$C$10)</f>
        <v>#DIV/0!</v>
      </c>
      <c r="AG43" s="45" t="e">
        <f>AG42+(ATM_Conf!$C$5/ATM_Conf!$C$8)*(Links!AV42*EXP((-(Links!R42/Links!BK42)^Links!BZ42)/Links!BZ42)-Links!AG42)+(ATM_Conf!$C$5/Links!R$191)*Links!AG42*(Nodes!BB42-Links!AG42)-(ATM_Conf!$C$9*ATM_Conf!$C$5/(ATM_Conf!$C$8*Links!R$191))*(Nodes!BP42-Links!R42)/(Links!R42/ATM_Conf!$C$10)</f>
        <v>#DIV/0!</v>
      </c>
      <c r="AH43" s="45" t="e">
        <f>AH42+(ATM_Conf!$C$5/ATM_Conf!$C$8)*(Links!AW42*EXP((-(Links!S42/Links!BL42)^Links!CA42)/Links!CA42)-Links!AH42)+(ATM_Conf!$C$5/Links!S$191)*Links!AH42*(Nodes!BC42-Links!AH42)-(ATM_Conf!$C$9*ATM_Conf!$C$5/(ATM_Conf!$C$8*Links!S$191))*(Nodes!BQ42-Links!S42)/(Links!S42/ATM_Conf!$C$10)</f>
        <v>#DIV/0!</v>
      </c>
      <c r="AI43" s="45" t="e">
        <f>AI42+(ATM_Conf!$C$5/ATM_Conf!$C$8)*(Links!AX42*EXP((-(Links!T42/Links!BM42)^Links!CB42)/Links!CB42)-Links!AI42)+(ATM_Conf!$C$5/Links!T$191)*Links!AI42*(Nodes!BD42-Links!AI42)-(ATM_Conf!$C$9*ATM_Conf!$C$5/(ATM_Conf!$C$8*Links!T$191))*(Nodes!BR42-Links!T42)/(Links!T42/ATM_Conf!$C$10)</f>
        <v>#DIV/0!</v>
      </c>
      <c r="AJ43" s="45" t="e">
        <f>AJ42+(ATM_Conf!$C$5/ATM_Conf!$C$8)*(Links!AY42*EXP((-(Links!U42/Links!BN42)^Links!CC42)/Links!CC42)-Links!AJ42)+(ATM_Conf!$C$5/Links!U$191)*Links!AJ42*(Nodes!BE42-Links!AJ42)-(ATM_Conf!$C$9*ATM_Conf!$C$5/(ATM_Conf!$C$8*Links!U$191))*(Nodes!BS42-Links!U42)/(Links!U42/ATM_Conf!$C$10)</f>
        <v>#DIV/0!</v>
      </c>
      <c r="AK43" s="45" t="e">
        <f>AK42+(ATM_Conf!$C$5/ATM_Conf!$C$8)*(Links!AZ42*EXP((-(Links!V42/Links!BO42)^Links!CD42)/Links!CD42)-Links!AK42)+(ATM_Conf!$C$5/Links!V$191)*Links!AK42*(Nodes!BF42-Links!AK42)-(ATM_Conf!$C$9*ATM_Conf!$C$5/(ATM_Conf!$C$8*Links!V$191))*(Nodes!BT42-Links!V42)/(Links!V42/ATM_Conf!$C$10)</f>
        <v>#DIV/0!</v>
      </c>
      <c r="AL43" s="45" t="e">
        <f>AL42+(ATM_Conf!$C$5/ATM_Conf!$C$8)*(Links!BA42*EXP((-(Links!W42/Links!BP42)^Links!CE42)/Links!CE42)-Links!AL42)+(ATM_Conf!$C$5/Links!W$191)*Links!AL42*(Nodes!BG42-Links!AL42)-(ATM_Conf!$C$9*ATM_Conf!$C$5/(ATM_Conf!$C$8*Links!W$191))*(Nodes!BU42-Links!W42)/(Links!W42/ATM_Conf!$C$10)</f>
        <v>#DIV/0!</v>
      </c>
      <c r="AM43" s="45" t="e">
        <f>AM42+(ATM_Conf!$C$5/ATM_Conf!$C$8)*(Links!BB42*EXP((-(Links!X42/Links!BQ42)^Links!CF42)/Links!CF42)-Links!AM42)+(ATM_Conf!$C$5/Links!X$191)*Links!AM42*(Nodes!BH42-Links!AM42)</f>
        <v>#DIV/0!</v>
      </c>
      <c r="AN43" s="45" t="e">
        <f>AN42+(ATM_Conf!$C$5/ATM_Conf!$C$8)*(Links!BC42*EXP((-(Links!Y42/Links!BR42)^Links!CG42)/Links!CG42)-Links!AN42)-(ATM_Conf!$C$9*ATM_Conf!$C$5/(ATM_Conf!$C$8*Links!Y$191))*(Nodes!BV42-Links!Y42)/(Links!Y42/ATM_Conf!$C$10)</f>
        <v>#DIV/0!</v>
      </c>
      <c r="AO43" s="45" t="e">
        <f>AO42+(ATM_Conf!$C$5/ATM_Conf!$C$8)*(Links!BD42*EXP((-(Links!Z42/Links!BS42)^Links!CH42)/Links!CH42)-Links!AO42)+(ATM_Conf!$C$5/Links!Z$191)*Links!AO42*(Nodes!BI42-Links!AO42)-(ATM_Conf!$C$9*ATM_Conf!$C$5/(ATM_Conf!$C$8*Links!Z$191))*(Nodes!BW42-Links!Z42)/(Links!Z42/ATM_Conf!$C$10)</f>
        <v>#DIV/0!</v>
      </c>
      <c r="AP43" s="45" t="e">
        <f>AP42+(ATM_Conf!$C$5/ATM_Conf!$C$8)*(Links!BE42*EXP((-(Links!AA42/Links!BT42)^Links!CI42)/Links!CI42)-Links!AP42)+(ATM_Conf!$C$5/Links!AA$191)*Links!AP42*(Nodes!BJ42-Links!AP42)-(ATM_Conf!$C$9*ATM_Conf!$C$5/(ATM_Conf!$C$8*Links!AA$191))*(Nodes!BX42-Links!AA42)/(Links!AA42/ATM_Conf!$C$10)</f>
        <v>#DIV/0!</v>
      </c>
      <c r="AQ43" s="45" t="e">
        <f>AQ42+(ATM_Conf!$C$5/ATM_Conf!$C$8)*(Links!BF42*EXP((-(Links!AB42/Links!BU42)^Links!CJ42)/Links!CJ42)-Links!AQ42)+(ATM_Conf!$C$5/Links!AB$191)*Links!AQ42*(Nodes!BK42-Links!AQ42)-(ATM_Conf!$C$9*ATM_Conf!$C$5/(ATM_Conf!$C$8*Links!AB$191))*(Nodes!BY42-Links!AB42)/(Links!AB42/ATM_Conf!$C$10)</f>
        <v>#DIV/0!</v>
      </c>
      <c r="AR43" s="45" t="e">
        <f>AR42+(ATM_Conf!$C$5/ATM_Conf!$C$8)*(Links!BG42*EXP((-(Links!AC42/Links!BV42)^Links!CK42)/Links!CK42)-Links!AR42)+(ATM_Conf!$C$5/Links!AC$191)*Links!AR42*(Nodes!BL42-Links!AR42)-(ATM_Conf!$C$9*ATM_Conf!$C$5/(ATM_Conf!$C$8*Links!AC$191))*(Nodes!BZ42-Links!AC42)/(Links!AC42/ATM_Conf!$C$10)</f>
        <v>#DIV/0!</v>
      </c>
      <c r="AS43" s="45" t="e">
        <f>AS42+(ATM_Conf!$C$5/ATM_Conf!$C$8)*(Links!BH42*EXP((-(Links!AD42/Links!BW42)^Links!CL42)/Links!CL42)-Links!AS42)+(ATM_Conf!$C$5/Links!AD$191)*Links!AS42*(Nodes!BM42-Links!AS42)-(ATM_Conf!$C$9*ATM_Conf!$C$5/(ATM_Conf!$C$8*Links!AD$191))*(Nodes!CA42-Links!AD42)/(Links!AD42/ATM_Conf!$C$10)</f>
        <v>#DIV/0!</v>
      </c>
      <c r="AT43" s="45" t="e">
        <f>AT42+(ATM_Conf!$C$5/ATM_Conf!$C$8)*(Links!BI42*EXP((-(Links!AE42/Links!BX42)^Links!CM42)/Links!CM42)-Links!AT42)+(ATM_Conf!$C$5/Links!AE$191)*Links!AT42*(Nodes!BN42-Links!AT42)</f>
        <v>#DIV/0!</v>
      </c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45"/>
      <c r="BK43" s="45"/>
      <c r="BL43" s="45"/>
      <c r="BM43" s="45"/>
      <c r="BN43" s="45"/>
      <c r="BO43" s="45"/>
      <c r="BP43" s="45"/>
      <c r="BQ43" s="45"/>
      <c r="BR43" s="45"/>
      <c r="BS43" s="45"/>
      <c r="BT43" s="45"/>
      <c r="BU43" s="45"/>
      <c r="BV43" s="45"/>
      <c r="BW43" s="45"/>
      <c r="BX43" s="4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45">
        <f t="shared" si="27"/>
        <v>0</v>
      </c>
      <c r="CO43" s="45">
        <f t="shared" si="27"/>
        <v>0</v>
      </c>
      <c r="CP43" s="45">
        <f t="shared" si="27"/>
        <v>0</v>
      </c>
      <c r="CQ43" s="45">
        <f t="shared" si="27"/>
        <v>0</v>
      </c>
      <c r="CR43" s="45">
        <f t="shared" si="27"/>
        <v>0</v>
      </c>
      <c r="CS43" s="45">
        <f t="shared" si="27"/>
        <v>0</v>
      </c>
      <c r="CT43" s="45">
        <f t="shared" si="27"/>
        <v>0</v>
      </c>
      <c r="CU43" s="45">
        <f t="shared" si="27"/>
        <v>0</v>
      </c>
      <c r="CV43" s="45">
        <f t="shared" si="27"/>
        <v>0</v>
      </c>
      <c r="CW43" s="45">
        <f t="shared" si="27"/>
        <v>0</v>
      </c>
      <c r="CX43" s="45">
        <f t="shared" si="27"/>
        <v>0</v>
      </c>
      <c r="CY43" s="45">
        <f t="shared" si="27"/>
        <v>0</v>
      </c>
      <c r="CZ43" s="45">
        <f t="shared" si="27"/>
        <v>0</v>
      </c>
      <c r="DA43" s="45">
        <f t="shared" si="27"/>
        <v>0</v>
      </c>
      <c r="DB43" s="45">
        <f t="shared" si="27"/>
        <v>0</v>
      </c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</row>
    <row r="44" spans="1:121" ht="14.25" x14ac:dyDescent="0.15">
      <c r="A44" s="48">
        <v>42</v>
      </c>
      <c r="B44" s="45" t="e">
        <f t="shared" si="2"/>
        <v>#DIV/0!</v>
      </c>
      <c r="C44" s="45" t="e">
        <f t="shared" si="3"/>
        <v>#DIV/0!</v>
      </c>
      <c r="D44" s="45" t="e">
        <f t="shared" si="4"/>
        <v>#DIV/0!</v>
      </c>
      <c r="E44" s="45" t="e">
        <f t="shared" si="5"/>
        <v>#DIV/0!</v>
      </c>
      <c r="F44" s="45" t="e">
        <f t="shared" si="6"/>
        <v>#DIV/0!</v>
      </c>
      <c r="G44" s="45" t="e">
        <f t="shared" si="7"/>
        <v>#DIV/0!</v>
      </c>
      <c r="H44" s="45" t="e">
        <f t="shared" si="8"/>
        <v>#DIV/0!</v>
      </c>
      <c r="I44" s="45" t="e">
        <f t="shared" si="9"/>
        <v>#DIV/0!</v>
      </c>
      <c r="J44" s="45" t="e">
        <f t="shared" si="10"/>
        <v>#DIV/0!</v>
      </c>
      <c r="K44" s="45" t="e">
        <f t="shared" si="11"/>
        <v>#DIV/0!</v>
      </c>
      <c r="L44" s="45" t="e">
        <f t="shared" si="12"/>
        <v>#DIV/0!</v>
      </c>
      <c r="M44" s="45" t="e">
        <f t="shared" si="13"/>
        <v>#DIV/0!</v>
      </c>
      <c r="N44" s="45" t="e">
        <f t="shared" si="14"/>
        <v>#DIV/0!</v>
      </c>
      <c r="O44" s="45" t="e">
        <f t="shared" si="15"/>
        <v>#DIV/0!</v>
      </c>
      <c r="P44" s="45" t="e">
        <f t="shared" si="16"/>
        <v>#DIV/0!</v>
      </c>
      <c r="Q44" s="55" t="e">
        <f>Q43+ATM_Conf!$C$5*(B43)/(Links!B$191*Links!Q$191)</f>
        <v>#DIV/0!</v>
      </c>
      <c r="R44" s="55" t="e">
        <f>R43+ATM_Conf!$C$5*(C43-B43)/(Links!C$191*Links!R$191)</f>
        <v>#DIV/0!</v>
      </c>
      <c r="S44" s="55" t="e">
        <f>S43+ATM_Conf!$C$5*(D43-C43)/(Links!D$191*Links!S$191)</f>
        <v>#DIV/0!</v>
      </c>
      <c r="T44" s="55" t="e">
        <f>T43+ATM_Conf!$C$5*(E43-D43)/(Links!E$191*Links!T$191)</f>
        <v>#DIV/0!</v>
      </c>
      <c r="U44" s="55" t="e">
        <f>U43+ATM_Conf!$C$5*(F43-E43)/(Links!F$191*Links!U$191)</f>
        <v>#DIV/0!</v>
      </c>
      <c r="V44" s="55" t="e">
        <f>V43+ATM_Conf!$C$5*(G43-F43)/(Links!G$191*Links!V$191)</f>
        <v>#DIV/0!</v>
      </c>
      <c r="W44" s="55" t="e">
        <f>W43+ATM_Conf!$C$5*(H43-G43)/(Links!H$191*Links!W$191)</f>
        <v>#DIV/0!</v>
      </c>
      <c r="X44" s="55" t="e">
        <f>X43+ATM_Conf!$C$5*(I43-H43)/(Links!I$191*Links!X$191)</f>
        <v>#DIV/0!</v>
      </c>
      <c r="Y44" s="55" t="e">
        <f>Y43+ATM_Conf!$C$5*(J43)/(Links!J$191*Links!Y$191)</f>
        <v>#DIV/0!</v>
      </c>
      <c r="Z44" s="55" t="e">
        <f>Z43+ATM_Conf!$C$5*(K43-J43)/(Links!K$191*Links!Z$191)</f>
        <v>#DIV/0!</v>
      </c>
      <c r="AA44" s="55" t="e">
        <f>AA43+ATM_Conf!$C$5*(L43-K43)/(Links!L$191*Links!AA$191)</f>
        <v>#DIV/0!</v>
      </c>
      <c r="AB44" s="55" t="e">
        <f>AB43+ATM_Conf!$C$5*(M43-L43)/(Links!M$191*Links!AB$191)</f>
        <v>#DIV/0!</v>
      </c>
      <c r="AC44" s="55" t="e">
        <f>AC43+ATM_Conf!$C$5*(N43-M43)/(Links!N$191*Links!AC$191)</f>
        <v>#DIV/0!</v>
      </c>
      <c r="AD44" s="55" t="e">
        <f>AD43+ATM_Conf!$C$5*(O43-N43)/(Links!O$191*Links!AD$191)</f>
        <v>#DIV/0!</v>
      </c>
      <c r="AE44" s="55" t="e">
        <f>AE43+ATM_Conf!$C$5*(P43-O43)/(Links!P$191*Links!AE$191)</f>
        <v>#DIV/0!</v>
      </c>
      <c r="AF44" s="45" t="e">
        <f>AF43+(ATM_Conf!$C$5/ATM_Conf!$C$8)*(Links!AU43*EXP((-(Links!Q43/Links!BJ43)^Links!BY43)/Links!BY43)-Links!AF43)-(ATM_Conf!$C$9*ATM_Conf!$C$5/(ATM_Conf!$C$8*Links!Q$191))*(Nodes!BO43-Links!Q43)/(Links!Q43/ATM_Conf!$C$10)</f>
        <v>#DIV/0!</v>
      </c>
      <c r="AG44" s="45" t="e">
        <f>AG43+(ATM_Conf!$C$5/ATM_Conf!$C$8)*(Links!AV43*EXP((-(Links!R43/Links!BK43)^Links!BZ43)/Links!BZ43)-Links!AG43)+(ATM_Conf!$C$5/Links!R$191)*Links!AG43*(Nodes!BB43-Links!AG43)-(ATM_Conf!$C$9*ATM_Conf!$C$5/(ATM_Conf!$C$8*Links!R$191))*(Nodes!BP43-Links!R43)/(Links!R43/ATM_Conf!$C$10)</f>
        <v>#DIV/0!</v>
      </c>
      <c r="AH44" s="45" t="e">
        <f>AH43+(ATM_Conf!$C$5/ATM_Conf!$C$8)*(Links!AW43*EXP((-(Links!S43/Links!BL43)^Links!CA43)/Links!CA43)-Links!AH43)+(ATM_Conf!$C$5/Links!S$191)*Links!AH43*(Nodes!BC43-Links!AH43)-(ATM_Conf!$C$9*ATM_Conf!$C$5/(ATM_Conf!$C$8*Links!S$191))*(Nodes!BQ43-Links!S43)/(Links!S43/ATM_Conf!$C$10)</f>
        <v>#DIV/0!</v>
      </c>
      <c r="AI44" s="45" t="e">
        <f>AI43+(ATM_Conf!$C$5/ATM_Conf!$C$8)*(Links!AX43*EXP((-(Links!T43/Links!BM43)^Links!CB43)/Links!CB43)-Links!AI43)+(ATM_Conf!$C$5/Links!T$191)*Links!AI43*(Nodes!BD43-Links!AI43)-(ATM_Conf!$C$9*ATM_Conf!$C$5/(ATM_Conf!$C$8*Links!T$191))*(Nodes!BR43-Links!T43)/(Links!T43/ATM_Conf!$C$10)</f>
        <v>#DIV/0!</v>
      </c>
      <c r="AJ44" s="45" t="e">
        <f>AJ43+(ATM_Conf!$C$5/ATM_Conf!$C$8)*(Links!AY43*EXP((-(Links!U43/Links!BN43)^Links!CC43)/Links!CC43)-Links!AJ43)+(ATM_Conf!$C$5/Links!U$191)*Links!AJ43*(Nodes!BE43-Links!AJ43)-(ATM_Conf!$C$9*ATM_Conf!$C$5/(ATM_Conf!$C$8*Links!U$191))*(Nodes!BS43-Links!U43)/(Links!U43/ATM_Conf!$C$10)</f>
        <v>#DIV/0!</v>
      </c>
      <c r="AK44" s="45" t="e">
        <f>AK43+(ATM_Conf!$C$5/ATM_Conf!$C$8)*(Links!AZ43*EXP((-(Links!V43/Links!BO43)^Links!CD43)/Links!CD43)-Links!AK43)+(ATM_Conf!$C$5/Links!V$191)*Links!AK43*(Nodes!BF43-Links!AK43)-(ATM_Conf!$C$9*ATM_Conf!$C$5/(ATM_Conf!$C$8*Links!V$191))*(Nodes!BT43-Links!V43)/(Links!V43/ATM_Conf!$C$10)</f>
        <v>#DIV/0!</v>
      </c>
      <c r="AL44" s="45" t="e">
        <f>AL43+(ATM_Conf!$C$5/ATM_Conf!$C$8)*(Links!BA43*EXP((-(Links!W43/Links!BP43)^Links!CE43)/Links!CE43)-Links!AL43)+(ATM_Conf!$C$5/Links!W$191)*Links!AL43*(Nodes!BG43-Links!AL43)-(ATM_Conf!$C$9*ATM_Conf!$C$5/(ATM_Conf!$C$8*Links!W$191))*(Nodes!BU43-Links!W43)/(Links!W43/ATM_Conf!$C$10)</f>
        <v>#DIV/0!</v>
      </c>
      <c r="AM44" s="45" t="e">
        <f>AM43+(ATM_Conf!$C$5/ATM_Conf!$C$8)*(Links!BB43*EXP((-(Links!X43/Links!BQ43)^Links!CF43)/Links!CF43)-Links!AM43)+(ATM_Conf!$C$5/Links!X$191)*Links!AM43*(Nodes!BH43-Links!AM43)</f>
        <v>#DIV/0!</v>
      </c>
      <c r="AN44" s="45" t="e">
        <f>AN43+(ATM_Conf!$C$5/ATM_Conf!$C$8)*(Links!BC43*EXP((-(Links!Y43/Links!BR43)^Links!CG43)/Links!CG43)-Links!AN43)-(ATM_Conf!$C$9*ATM_Conf!$C$5/(ATM_Conf!$C$8*Links!Y$191))*(Nodes!BV43-Links!Y43)/(Links!Y43/ATM_Conf!$C$10)</f>
        <v>#DIV/0!</v>
      </c>
      <c r="AO44" s="45" t="e">
        <f>AO43+(ATM_Conf!$C$5/ATM_Conf!$C$8)*(Links!BD43*EXP((-(Links!Z43/Links!BS43)^Links!CH43)/Links!CH43)-Links!AO43)+(ATM_Conf!$C$5/Links!Z$191)*Links!AO43*(Nodes!BI43-Links!AO43)-(ATM_Conf!$C$9*ATM_Conf!$C$5/(ATM_Conf!$C$8*Links!Z$191))*(Nodes!BW43-Links!Z43)/(Links!Z43/ATM_Conf!$C$10)</f>
        <v>#DIV/0!</v>
      </c>
      <c r="AP44" s="45" t="e">
        <f>AP43+(ATM_Conf!$C$5/ATM_Conf!$C$8)*(Links!BE43*EXP((-(Links!AA43/Links!BT43)^Links!CI43)/Links!CI43)-Links!AP43)+(ATM_Conf!$C$5/Links!AA$191)*Links!AP43*(Nodes!BJ43-Links!AP43)-(ATM_Conf!$C$9*ATM_Conf!$C$5/(ATM_Conf!$C$8*Links!AA$191))*(Nodes!BX43-Links!AA43)/(Links!AA43/ATM_Conf!$C$10)</f>
        <v>#DIV/0!</v>
      </c>
      <c r="AQ44" s="45" t="e">
        <f>AQ43+(ATM_Conf!$C$5/ATM_Conf!$C$8)*(Links!BF43*EXP((-(Links!AB43/Links!BU43)^Links!CJ43)/Links!CJ43)-Links!AQ43)+(ATM_Conf!$C$5/Links!AB$191)*Links!AQ43*(Nodes!BK43-Links!AQ43)-(ATM_Conf!$C$9*ATM_Conf!$C$5/(ATM_Conf!$C$8*Links!AB$191))*(Nodes!BY43-Links!AB43)/(Links!AB43/ATM_Conf!$C$10)</f>
        <v>#DIV/0!</v>
      </c>
      <c r="AR44" s="45" t="e">
        <f>AR43+(ATM_Conf!$C$5/ATM_Conf!$C$8)*(Links!BG43*EXP((-(Links!AC43/Links!BV43)^Links!CK43)/Links!CK43)-Links!AR43)+(ATM_Conf!$C$5/Links!AC$191)*Links!AR43*(Nodes!BL43-Links!AR43)-(ATM_Conf!$C$9*ATM_Conf!$C$5/(ATM_Conf!$C$8*Links!AC$191))*(Nodes!BZ43-Links!AC43)/(Links!AC43/ATM_Conf!$C$10)</f>
        <v>#DIV/0!</v>
      </c>
      <c r="AS44" s="45" t="e">
        <f>AS43+(ATM_Conf!$C$5/ATM_Conf!$C$8)*(Links!BH43*EXP((-(Links!AD43/Links!BW43)^Links!CL43)/Links!CL43)-Links!AS43)+(ATM_Conf!$C$5/Links!AD$191)*Links!AS43*(Nodes!BM43-Links!AS43)-(ATM_Conf!$C$9*ATM_Conf!$C$5/(ATM_Conf!$C$8*Links!AD$191))*(Nodes!CA43-Links!AD43)/(Links!AD43/ATM_Conf!$C$10)</f>
        <v>#DIV/0!</v>
      </c>
      <c r="AT44" s="45" t="e">
        <f>AT43+(ATM_Conf!$C$5/ATM_Conf!$C$8)*(Links!BI43*EXP((-(Links!AE43/Links!BX43)^Links!CM43)/Links!CM43)-Links!AT43)+(ATM_Conf!$C$5/Links!AE$191)*Links!AT43*(Nodes!BN43-Links!AT43)</f>
        <v>#DIV/0!</v>
      </c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45"/>
      <c r="BK44" s="45"/>
      <c r="BL44" s="45"/>
      <c r="BM44" s="45"/>
      <c r="BN44" s="45"/>
      <c r="BO44" s="45"/>
      <c r="BP44" s="45"/>
      <c r="BQ44" s="45"/>
      <c r="BR44" s="45"/>
      <c r="BS44" s="45"/>
      <c r="BT44" s="45"/>
      <c r="BU44" s="45"/>
      <c r="BV44" s="45"/>
      <c r="BW44" s="45"/>
      <c r="BX44" s="4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45">
        <f t="shared" si="27"/>
        <v>0</v>
      </c>
      <c r="CO44" s="45">
        <f t="shared" si="27"/>
        <v>0</v>
      </c>
      <c r="CP44" s="45">
        <f t="shared" si="27"/>
        <v>0</v>
      </c>
      <c r="CQ44" s="45">
        <f t="shared" si="27"/>
        <v>0</v>
      </c>
      <c r="CR44" s="45">
        <f t="shared" si="27"/>
        <v>0</v>
      </c>
      <c r="CS44" s="45">
        <f t="shared" si="27"/>
        <v>0</v>
      </c>
      <c r="CT44" s="45">
        <f t="shared" si="27"/>
        <v>0</v>
      </c>
      <c r="CU44" s="45">
        <f t="shared" si="27"/>
        <v>0</v>
      </c>
      <c r="CV44" s="45">
        <f t="shared" si="27"/>
        <v>0</v>
      </c>
      <c r="CW44" s="45">
        <f t="shared" si="27"/>
        <v>0</v>
      </c>
      <c r="CX44" s="45">
        <f t="shared" si="27"/>
        <v>0</v>
      </c>
      <c r="CY44" s="45">
        <f t="shared" si="27"/>
        <v>0</v>
      </c>
      <c r="CZ44" s="45">
        <f t="shared" si="27"/>
        <v>0</v>
      </c>
      <c r="DA44" s="45">
        <f t="shared" si="27"/>
        <v>0</v>
      </c>
      <c r="DB44" s="45">
        <f t="shared" si="27"/>
        <v>0</v>
      </c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</row>
    <row r="45" spans="1:121" ht="14.25" x14ac:dyDescent="0.15">
      <c r="A45" s="48">
        <v>43</v>
      </c>
      <c r="B45" s="45" t="e">
        <f t="shared" si="2"/>
        <v>#DIV/0!</v>
      </c>
      <c r="C45" s="45" t="e">
        <f t="shared" si="3"/>
        <v>#DIV/0!</v>
      </c>
      <c r="D45" s="45" t="e">
        <f t="shared" si="4"/>
        <v>#DIV/0!</v>
      </c>
      <c r="E45" s="45" t="e">
        <f t="shared" si="5"/>
        <v>#DIV/0!</v>
      </c>
      <c r="F45" s="45" t="e">
        <f t="shared" si="6"/>
        <v>#DIV/0!</v>
      </c>
      <c r="G45" s="45" t="e">
        <f t="shared" si="7"/>
        <v>#DIV/0!</v>
      </c>
      <c r="H45" s="45" t="e">
        <f t="shared" si="8"/>
        <v>#DIV/0!</v>
      </c>
      <c r="I45" s="45" t="e">
        <f t="shared" si="9"/>
        <v>#DIV/0!</v>
      </c>
      <c r="J45" s="45" t="e">
        <f t="shared" si="10"/>
        <v>#DIV/0!</v>
      </c>
      <c r="K45" s="45" t="e">
        <f t="shared" si="11"/>
        <v>#DIV/0!</v>
      </c>
      <c r="L45" s="45" t="e">
        <f t="shared" si="12"/>
        <v>#DIV/0!</v>
      </c>
      <c r="M45" s="45" t="e">
        <f t="shared" si="13"/>
        <v>#DIV/0!</v>
      </c>
      <c r="N45" s="45" t="e">
        <f t="shared" si="14"/>
        <v>#DIV/0!</v>
      </c>
      <c r="O45" s="45" t="e">
        <f t="shared" si="15"/>
        <v>#DIV/0!</v>
      </c>
      <c r="P45" s="45" t="e">
        <f t="shared" si="16"/>
        <v>#DIV/0!</v>
      </c>
      <c r="Q45" s="55" t="e">
        <f>Q44+ATM_Conf!$C$5*(B44)/(Links!B$191*Links!Q$191)</f>
        <v>#DIV/0!</v>
      </c>
      <c r="R45" s="55" t="e">
        <f>R44+ATM_Conf!$C$5*(C44-B44)/(Links!C$191*Links!R$191)</f>
        <v>#DIV/0!</v>
      </c>
      <c r="S45" s="55" t="e">
        <f>S44+ATM_Conf!$C$5*(D44-C44)/(Links!D$191*Links!S$191)</f>
        <v>#DIV/0!</v>
      </c>
      <c r="T45" s="55" t="e">
        <f>T44+ATM_Conf!$C$5*(E44-D44)/(Links!E$191*Links!T$191)</f>
        <v>#DIV/0!</v>
      </c>
      <c r="U45" s="55" t="e">
        <f>U44+ATM_Conf!$C$5*(F44-E44)/(Links!F$191*Links!U$191)</f>
        <v>#DIV/0!</v>
      </c>
      <c r="V45" s="55" t="e">
        <f>V44+ATM_Conf!$C$5*(G44-F44)/(Links!G$191*Links!V$191)</f>
        <v>#DIV/0!</v>
      </c>
      <c r="W45" s="55" t="e">
        <f>W44+ATM_Conf!$C$5*(H44-G44)/(Links!H$191*Links!W$191)</f>
        <v>#DIV/0!</v>
      </c>
      <c r="X45" s="55" t="e">
        <f>X44+ATM_Conf!$C$5*(I44-H44)/(Links!I$191*Links!X$191)</f>
        <v>#DIV/0!</v>
      </c>
      <c r="Y45" s="55" t="e">
        <f>Y44+ATM_Conf!$C$5*(J44)/(Links!J$191*Links!Y$191)</f>
        <v>#DIV/0!</v>
      </c>
      <c r="Z45" s="55" t="e">
        <f>Z44+ATM_Conf!$C$5*(K44-J44)/(Links!K$191*Links!Z$191)</f>
        <v>#DIV/0!</v>
      </c>
      <c r="AA45" s="55" t="e">
        <f>AA44+ATM_Conf!$C$5*(L44-K44)/(Links!L$191*Links!AA$191)</f>
        <v>#DIV/0!</v>
      </c>
      <c r="AB45" s="55" t="e">
        <f>AB44+ATM_Conf!$C$5*(M44-L44)/(Links!M$191*Links!AB$191)</f>
        <v>#DIV/0!</v>
      </c>
      <c r="AC45" s="55" t="e">
        <f>AC44+ATM_Conf!$C$5*(N44-M44)/(Links!N$191*Links!AC$191)</f>
        <v>#DIV/0!</v>
      </c>
      <c r="AD45" s="55" t="e">
        <f>AD44+ATM_Conf!$C$5*(O44-N44)/(Links!O$191*Links!AD$191)</f>
        <v>#DIV/0!</v>
      </c>
      <c r="AE45" s="55" t="e">
        <f>AE44+ATM_Conf!$C$5*(P44-O44)/(Links!P$191*Links!AE$191)</f>
        <v>#DIV/0!</v>
      </c>
      <c r="AF45" s="45" t="e">
        <f>AF44+(ATM_Conf!$C$5/ATM_Conf!$C$8)*(Links!AU44*EXP((-(Links!Q44/Links!BJ44)^Links!BY44)/Links!BY44)-Links!AF44)-(ATM_Conf!$C$9*ATM_Conf!$C$5/(ATM_Conf!$C$8*Links!Q$191))*(Nodes!BO44-Links!Q44)/(Links!Q44/ATM_Conf!$C$10)</f>
        <v>#DIV/0!</v>
      </c>
      <c r="AG45" s="45" t="e">
        <f>AG44+(ATM_Conf!$C$5/ATM_Conf!$C$8)*(Links!AV44*EXP((-(Links!R44/Links!BK44)^Links!BZ44)/Links!BZ44)-Links!AG44)+(ATM_Conf!$C$5/Links!R$191)*Links!AG44*(Nodes!BB44-Links!AG44)-(ATM_Conf!$C$9*ATM_Conf!$C$5/(ATM_Conf!$C$8*Links!R$191))*(Nodes!BP44-Links!R44)/(Links!R44/ATM_Conf!$C$10)</f>
        <v>#DIV/0!</v>
      </c>
      <c r="AH45" s="45" t="e">
        <f>AH44+(ATM_Conf!$C$5/ATM_Conf!$C$8)*(Links!AW44*EXP((-(Links!S44/Links!BL44)^Links!CA44)/Links!CA44)-Links!AH44)+(ATM_Conf!$C$5/Links!S$191)*Links!AH44*(Nodes!BC44-Links!AH44)-(ATM_Conf!$C$9*ATM_Conf!$C$5/(ATM_Conf!$C$8*Links!S$191))*(Nodes!BQ44-Links!S44)/(Links!S44/ATM_Conf!$C$10)</f>
        <v>#DIV/0!</v>
      </c>
      <c r="AI45" s="45" t="e">
        <f>AI44+(ATM_Conf!$C$5/ATM_Conf!$C$8)*(Links!AX44*EXP((-(Links!T44/Links!BM44)^Links!CB44)/Links!CB44)-Links!AI44)+(ATM_Conf!$C$5/Links!T$191)*Links!AI44*(Nodes!BD44-Links!AI44)-(ATM_Conf!$C$9*ATM_Conf!$C$5/(ATM_Conf!$C$8*Links!T$191))*(Nodes!BR44-Links!T44)/(Links!T44/ATM_Conf!$C$10)</f>
        <v>#DIV/0!</v>
      </c>
      <c r="AJ45" s="45" t="e">
        <f>AJ44+(ATM_Conf!$C$5/ATM_Conf!$C$8)*(Links!AY44*EXP((-(Links!U44/Links!BN44)^Links!CC44)/Links!CC44)-Links!AJ44)+(ATM_Conf!$C$5/Links!U$191)*Links!AJ44*(Nodes!BE44-Links!AJ44)-(ATM_Conf!$C$9*ATM_Conf!$C$5/(ATM_Conf!$C$8*Links!U$191))*(Nodes!BS44-Links!U44)/(Links!U44/ATM_Conf!$C$10)</f>
        <v>#DIV/0!</v>
      </c>
      <c r="AK45" s="45" t="e">
        <f>AK44+(ATM_Conf!$C$5/ATM_Conf!$C$8)*(Links!AZ44*EXP((-(Links!V44/Links!BO44)^Links!CD44)/Links!CD44)-Links!AK44)+(ATM_Conf!$C$5/Links!V$191)*Links!AK44*(Nodes!BF44-Links!AK44)-(ATM_Conf!$C$9*ATM_Conf!$C$5/(ATM_Conf!$C$8*Links!V$191))*(Nodes!BT44-Links!V44)/(Links!V44/ATM_Conf!$C$10)</f>
        <v>#DIV/0!</v>
      </c>
      <c r="AL45" s="45" t="e">
        <f>AL44+(ATM_Conf!$C$5/ATM_Conf!$C$8)*(Links!BA44*EXP((-(Links!W44/Links!BP44)^Links!CE44)/Links!CE44)-Links!AL44)+(ATM_Conf!$C$5/Links!W$191)*Links!AL44*(Nodes!BG44-Links!AL44)-(ATM_Conf!$C$9*ATM_Conf!$C$5/(ATM_Conf!$C$8*Links!W$191))*(Nodes!BU44-Links!W44)/(Links!W44/ATM_Conf!$C$10)</f>
        <v>#DIV/0!</v>
      </c>
      <c r="AM45" s="45" t="e">
        <f>AM44+(ATM_Conf!$C$5/ATM_Conf!$C$8)*(Links!BB44*EXP((-(Links!X44/Links!BQ44)^Links!CF44)/Links!CF44)-Links!AM44)+(ATM_Conf!$C$5/Links!X$191)*Links!AM44*(Nodes!BH44-Links!AM44)</f>
        <v>#DIV/0!</v>
      </c>
      <c r="AN45" s="45" t="e">
        <f>AN44+(ATM_Conf!$C$5/ATM_Conf!$C$8)*(Links!BC44*EXP((-(Links!Y44/Links!BR44)^Links!CG44)/Links!CG44)-Links!AN44)-(ATM_Conf!$C$9*ATM_Conf!$C$5/(ATM_Conf!$C$8*Links!Y$191))*(Nodes!BV44-Links!Y44)/(Links!Y44/ATM_Conf!$C$10)</f>
        <v>#DIV/0!</v>
      </c>
      <c r="AO45" s="45" t="e">
        <f>AO44+(ATM_Conf!$C$5/ATM_Conf!$C$8)*(Links!BD44*EXP((-(Links!Z44/Links!BS44)^Links!CH44)/Links!CH44)-Links!AO44)+(ATM_Conf!$C$5/Links!Z$191)*Links!AO44*(Nodes!BI44-Links!AO44)-(ATM_Conf!$C$9*ATM_Conf!$C$5/(ATM_Conf!$C$8*Links!Z$191))*(Nodes!BW44-Links!Z44)/(Links!Z44/ATM_Conf!$C$10)</f>
        <v>#DIV/0!</v>
      </c>
      <c r="AP45" s="45" t="e">
        <f>AP44+(ATM_Conf!$C$5/ATM_Conf!$C$8)*(Links!BE44*EXP((-(Links!AA44/Links!BT44)^Links!CI44)/Links!CI44)-Links!AP44)+(ATM_Conf!$C$5/Links!AA$191)*Links!AP44*(Nodes!BJ44-Links!AP44)-(ATM_Conf!$C$9*ATM_Conf!$C$5/(ATM_Conf!$C$8*Links!AA$191))*(Nodes!BX44-Links!AA44)/(Links!AA44/ATM_Conf!$C$10)</f>
        <v>#DIV/0!</v>
      </c>
      <c r="AQ45" s="45" t="e">
        <f>AQ44+(ATM_Conf!$C$5/ATM_Conf!$C$8)*(Links!BF44*EXP((-(Links!AB44/Links!BU44)^Links!CJ44)/Links!CJ44)-Links!AQ44)+(ATM_Conf!$C$5/Links!AB$191)*Links!AQ44*(Nodes!BK44-Links!AQ44)-(ATM_Conf!$C$9*ATM_Conf!$C$5/(ATM_Conf!$C$8*Links!AB$191))*(Nodes!BY44-Links!AB44)/(Links!AB44/ATM_Conf!$C$10)</f>
        <v>#DIV/0!</v>
      </c>
      <c r="AR45" s="45" t="e">
        <f>AR44+(ATM_Conf!$C$5/ATM_Conf!$C$8)*(Links!BG44*EXP((-(Links!AC44/Links!BV44)^Links!CK44)/Links!CK44)-Links!AR44)+(ATM_Conf!$C$5/Links!AC$191)*Links!AR44*(Nodes!BL44-Links!AR44)-(ATM_Conf!$C$9*ATM_Conf!$C$5/(ATM_Conf!$C$8*Links!AC$191))*(Nodes!BZ44-Links!AC44)/(Links!AC44/ATM_Conf!$C$10)</f>
        <v>#DIV/0!</v>
      </c>
      <c r="AS45" s="45" t="e">
        <f>AS44+(ATM_Conf!$C$5/ATM_Conf!$C$8)*(Links!BH44*EXP((-(Links!AD44/Links!BW44)^Links!CL44)/Links!CL44)-Links!AS44)+(ATM_Conf!$C$5/Links!AD$191)*Links!AS44*(Nodes!BM44-Links!AS44)-(ATM_Conf!$C$9*ATM_Conf!$C$5/(ATM_Conf!$C$8*Links!AD$191))*(Nodes!CA44-Links!AD44)/(Links!AD44/ATM_Conf!$C$10)</f>
        <v>#DIV/0!</v>
      </c>
      <c r="AT45" s="45" t="e">
        <f>AT44+(ATM_Conf!$C$5/ATM_Conf!$C$8)*(Links!BI44*EXP((-(Links!AE44/Links!BX44)^Links!CM44)/Links!CM44)-Links!AT44)+(ATM_Conf!$C$5/Links!AE$191)*Links!AT44*(Nodes!BN44-Links!AT44)</f>
        <v>#DIV/0!</v>
      </c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45">
        <f t="shared" si="27"/>
        <v>0</v>
      </c>
      <c r="CO45" s="45">
        <f t="shared" si="27"/>
        <v>0</v>
      </c>
      <c r="CP45" s="45">
        <f t="shared" si="27"/>
        <v>0</v>
      </c>
      <c r="CQ45" s="45">
        <f t="shared" si="27"/>
        <v>0</v>
      </c>
      <c r="CR45" s="45">
        <f t="shared" si="27"/>
        <v>0</v>
      </c>
      <c r="CS45" s="45">
        <f t="shared" si="27"/>
        <v>0</v>
      </c>
      <c r="CT45" s="45">
        <f t="shared" si="27"/>
        <v>0</v>
      </c>
      <c r="CU45" s="45">
        <f t="shared" si="27"/>
        <v>0</v>
      </c>
      <c r="CV45" s="45">
        <f t="shared" si="27"/>
        <v>0</v>
      </c>
      <c r="CW45" s="45">
        <f t="shared" si="27"/>
        <v>0</v>
      </c>
      <c r="CX45" s="45">
        <f t="shared" si="27"/>
        <v>0</v>
      </c>
      <c r="CY45" s="45">
        <f t="shared" si="27"/>
        <v>0</v>
      </c>
      <c r="CZ45" s="45">
        <f t="shared" si="27"/>
        <v>0</v>
      </c>
      <c r="DA45" s="45">
        <f t="shared" si="27"/>
        <v>0</v>
      </c>
      <c r="DB45" s="45">
        <f t="shared" si="27"/>
        <v>0</v>
      </c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</row>
    <row r="46" spans="1:121" ht="14.25" x14ac:dyDescent="0.15">
      <c r="A46" s="48">
        <v>44</v>
      </c>
      <c r="B46" s="45" t="e">
        <f t="shared" si="2"/>
        <v>#DIV/0!</v>
      </c>
      <c r="C46" s="45" t="e">
        <f t="shared" si="3"/>
        <v>#DIV/0!</v>
      </c>
      <c r="D46" s="45" t="e">
        <f t="shared" si="4"/>
        <v>#DIV/0!</v>
      </c>
      <c r="E46" s="45" t="e">
        <f t="shared" si="5"/>
        <v>#DIV/0!</v>
      </c>
      <c r="F46" s="45" t="e">
        <f t="shared" si="6"/>
        <v>#DIV/0!</v>
      </c>
      <c r="G46" s="45" t="e">
        <f t="shared" si="7"/>
        <v>#DIV/0!</v>
      </c>
      <c r="H46" s="45" t="e">
        <f t="shared" si="8"/>
        <v>#DIV/0!</v>
      </c>
      <c r="I46" s="45" t="e">
        <f t="shared" si="9"/>
        <v>#DIV/0!</v>
      </c>
      <c r="J46" s="45" t="e">
        <f t="shared" si="10"/>
        <v>#DIV/0!</v>
      </c>
      <c r="K46" s="45" t="e">
        <f t="shared" si="11"/>
        <v>#DIV/0!</v>
      </c>
      <c r="L46" s="45" t="e">
        <f t="shared" si="12"/>
        <v>#DIV/0!</v>
      </c>
      <c r="M46" s="45" t="e">
        <f t="shared" si="13"/>
        <v>#DIV/0!</v>
      </c>
      <c r="N46" s="45" t="e">
        <f t="shared" si="14"/>
        <v>#DIV/0!</v>
      </c>
      <c r="O46" s="45" t="e">
        <f t="shared" si="15"/>
        <v>#DIV/0!</v>
      </c>
      <c r="P46" s="45" t="e">
        <f t="shared" si="16"/>
        <v>#DIV/0!</v>
      </c>
      <c r="Q46" s="55" t="e">
        <f>Q45+ATM_Conf!$C$5*(B45)/(Links!B$191*Links!Q$191)</f>
        <v>#DIV/0!</v>
      </c>
      <c r="R46" s="55" t="e">
        <f>R45+ATM_Conf!$C$5*(C45-B45)/(Links!C$191*Links!R$191)</f>
        <v>#DIV/0!</v>
      </c>
      <c r="S46" s="55" t="e">
        <f>S45+ATM_Conf!$C$5*(D45-C45)/(Links!D$191*Links!S$191)</f>
        <v>#DIV/0!</v>
      </c>
      <c r="T46" s="55" t="e">
        <f>T45+ATM_Conf!$C$5*(E45-D45)/(Links!E$191*Links!T$191)</f>
        <v>#DIV/0!</v>
      </c>
      <c r="U46" s="55" t="e">
        <f>U45+ATM_Conf!$C$5*(F45-E45)/(Links!F$191*Links!U$191)</f>
        <v>#DIV/0!</v>
      </c>
      <c r="V46" s="55" t="e">
        <f>V45+ATM_Conf!$C$5*(G45-F45)/(Links!G$191*Links!V$191)</f>
        <v>#DIV/0!</v>
      </c>
      <c r="W46" s="55" t="e">
        <f>W45+ATM_Conf!$C$5*(H45-G45)/(Links!H$191*Links!W$191)</f>
        <v>#DIV/0!</v>
      </c>
      <c r="X46" s="55" t="e">
        <f>X45+ATM_Conf!$C$5*(I45-H45)/(Links!I$191*Links!X$191)</f>
        <v>#DIV/0!</v>
      </c>
      <c r="Y46" s="55" t="e">
        <f>Y45+ATM_Conf!$C$5*(J45)/(Links!J$191*Links!Y$191)</f>
        <v>#DIV/0!</v>
      </c>
      <c r="Z46" s="55" t="e">
        <f>Z45+ATM_Conf!$C$5*(K45-J45)/(Links!K$191*Links!Z$191)</f>
        <v>#DIV/0!</v>
      </c>
      <c r="AA46" s="55" t="e">
        <f>AA45+ATM_Conf!$C$5*(L45-K45)/(Links!L$191*Links!AA$191)</f>
        <v>#DIV/0!</v>
      </c>
      <c r="AB46" s="55" t="e">
        <f>AB45+ATM_Conf!$C$5*(M45-L45)/(Links!M$191*Links!AB$191)</f>
        <v>#DIV/0!</v>
      </c>
      <c r="AC46" s="55" t="e">
        <f>AC45+ATM_Conf!$C$5*(N45-M45)/(Links!N$191*Links!AC$191)</f>
        <v>#DIV/0!</v>
      </c>
      <c r="AD46" s="55" t="e">
        <f>AD45+ATM_Conf!$C$5*(O45-N45)/(Links!O$191*Links!AD$191)</f>
        <v>#DIV/0!</v>
      </c>
      <c r="AE46" s="55" t="e">
        <f>AE45+ATM_Conf!$C$5*(P45-O45)/(Links!P$191*Links!AE$191)</f>
        <v>#DIV/0!</v>
      </c>
      <c r="AF46" s="45" t="e">
        <f>AF45+(ATM_Conf!$C$5/ATM_Conf!$C$8)*(Links!AU45*EXP((-(Links!Q45/Links!BJ45)^Links!BY45)/Links!BY45)-Links!AF45)-(ATM_Conf!$C$9*ATM_Conf!$C$5/(ATM_Conf!$C$8*Links!Q$191))*(Nodes!BO45-Links!Q45)/(Links!Q45/ATM_Conf!$C$10)</f>
        <v>#DIV/0!</v>
      </c>
      <c r="AG46" s="45" t="e">
        <f>AG45+(ATM_Conf!$C$5/ATM_Conf!$C$8)*(Links!AV45*EXP((-(Links!R45/Links!BK45)^Links!BZ45)/Links!BZ45)-Links!AG45)+(ATM_Conf!$C$5/Links!R$191)*Links!AG45*(Nodes!BB45-Links!AG45)-(ATM_Conf!$C$9*ATM_Conf!$C$5/(ATM_Conf!$C$8*Links!R$191))*(Nodes!BP45-Links!R45)/(Links!R45/ATM_Conf!$C$10)</f>
        <v>#DIV/0!</v>
      </c>
      <c r="AH46" s="45" t="e">
        <f>AH45+(ATM_Conf!$C$5/ATM_Conf!$C$8)*(Links!AW45*EXP((-(Links!S45/Links!BL45)^Links!CA45)/Links!CA45)-Links!AH45)+(ATM_Conf!$C$5/Links!S$191)*Links!AH45*(Nodes!BC45-Links!AH45)-(ATM_Conf!$C$9*ATM_Conf!$C$5/(ATM_Conf!$C$8*Links!S$191))*(Nodes!BQ45-Links!S45)/(Links!S45/ATM_Conf!$C$10)</f>
        <v>#DIV/0!</v>
      </c>
      <c r="AI46" s="45" t="e">
        <f>AI45+(ATM_Conf!$C$5/ATM_Conf!$C$8)*(Links!AX45*EXP((-(Links!T45/Links!BM45)^Links!CB45)/Links!CB45)-Links!AI45)+(ATM_Conf!$C$5/Links!T$191)*Links!AI45*(Nodes!BD45-Links!AI45)-(ATM_Conf!$C$9*ATM_Conf!$C$5/(ATM_Conf!$C$8*Links!T$191))*(Nodes!BR45-Links!T45)/(Links!T45/ATM_Conf!$C$10)</f>
        <v>#DIV/0!</v>
      </c>
      <c r="AJ46" s="45" t="e">
        <f>AJ45+(ATM_Conf!$C$5/ATM_Conf!$C$8)*(Links!AY45*EXP((-(Links!U45/Links!BN45)^Links!CC45)/Links!CC45)-Links!AJ45)+(ATM_Conf!$C$5/Links!U$191)*Links!AJ45*(Nodes!BE45-Links!AJ45)-(ATM_Conf!$C$9*ATM_Conf!$C$5/(ATM_Conf!$C$8*Links!U$191))*(Nodes!BS45-Links!U45)/(Links!U45/ATM_Conf!$C$10)</f>
        <v>#DIV/0!</v>
      </c>
      <c r="AK46" s="45" t="e">
        <f>AK45+(ATM_Conf!$C$5/ATM_Conf!$C$8)*(Links!AZ45*EXP((-(Links!V45/Links!BO45)^Links!CD45)/Links!CD45)-Links!AK45)+(ATM_Conf!$C$5/Links!V$191)*Links!AK45*(Nodes!BF45-Links!AK45)-(ATM_Conf!$C$9*ATM_Conf!$C$5/(ATM_Conf!$C$8*Links!V$191))*(Nodes!BT45-Links!V45)/(Links!V45/ATM_Conf!$C$10)</f>
        <v>#DIV/0!</v>
      </c>
      <c r="AL46" s="45" t="e">
        <f>AL45+(ATM_Conf!$C$5/ATM_Conf!$C$8)*(Links!BA45*EXP((-(Links!W45/Links!BP45)^Links!CE45)/Links!CE45)-Links!AL45)+(ATM_Conf!$C$5/Links!W$191)*Links!AL45*(Nodes!BG45-Links!AL45)-(ATM_Conf!$C$9*ATM_Conf!$C$5/(ATM_Conf!$C$8*Links!W$191))*(Nodes!BU45-Links!W45)/(Links!W45/ATM_Conf!$C$10)</f>
        <v>#DIV/0!</v>
      </c>
      <c r="AM46" s="45" t="e">
        <f>AM45+(ATM_Conf!$C$5/ATM_Conf!$C$8)*(Links!BB45*EXP((-(Links!X45/Links!BQ45)^Links!CF45)/Links!CF45)-Links!AM45)+(ATM_Conf!$C$5/Links!X$191)*Links!AM45*(Nodes!BH45-Links!AM45)</f>
        <v>#DIV/0!</v>
      </c>
      <c r="AN46" s="45" t="e">
        <f>AN45+(ATM_Conf!$C$5/ATM_Conf!$C$8)*(Links!BC45*EXP((-(Links!Y45/Links!BR45)^Links!CG45)/Links!CG45)-Links!AN45)-(ATM_Conf!$C$9*ATM_Conf!$C$5/(ATM_Conf!$C$8*Links!Y$191))*(Nodes!BV45-Links!Y45)/(Links!Y45/ATM_Conf!$C$10)</f>
        <v>#DIV/0!</v>
      </c>
      <c r="AO46" s="45" t="e">
        <f>AO45+(ATM_Conf!$C$5/ATM_Conf!$C$8)*(Links!BD45*EXP((-(Links!Z45/Links!BS45)^Links!CH45)/Links!CH45)-Links!AO45)+(ATM_Conf!$C$5/Links!Z$191)*Links!AO45*(Nodes!BI45-Links!AO45)-(ATM_Conf!$C$9*ATM_Conf!$C$5/(ATM_Conf!$C$8*Links!Z$191))*(Nodes!BW45-Links!Z45)/(Links!Z45/ATM_Conf!$C$10)</f>
        <v>#DIV/0!</v>
      </c>
      <c r="AP46" s="45" t="e">
        <f>AP45+(ATM_Conf!$C$5/ATM_Conf!$C$8)*(Links!BE45*EXP((-(Links!AA45/Links!BT45)^Links!CI45)/Links!CI45)-Links!AP45)+(ATM_Conf!$C$5/Links!AA$191)*Links!AP45*(Nodes!BJ45-Links!AP45)-(ATM_Conf!$C$9*ATM_Conf!$C$5/(ATM_Conf!$C$8*Links!AA$191))*(Nodes!BX45-Links!AA45)/(Links!AA45/ATM_Conf!$C$10)</f>
        <v>#DIV/0!</v>
      </c>
      <c r="AQ46" s="45" t="e">
        <f>AQ45+(ATM_Conf!$C$5/ATM_Conf!$C$8)*(Links!BF45*EXP((-(Links!AB45/Links!BU45)^Links!CJ45)/Links!CJ45)-Links!AQ45)+(ATM_Conf!$C$5/Links!AB$191)*Links!AQ45*(Nodes!BK45-Links!AQ45)-(ATM_Conf!$C$9*ATM_Conf!$C$5/(ATM_Conf!$C$8*Links!AB$191))*(Nodes!BY45-Links!AB45)/(Links!AB45/ATM_Conf!$C$10)</f>
        <v>#DIV/0!</v>
      </c>
      <c r="AR46" s="45" t="e">
        <f>AR45+(ATM_Conf!$C$5/ATM_Conf!$C$8)*(Links!BG45*EXP((-(Links!AC45/Links!BV45)^Links!CK45)/Links!CK45)-Links!AR45)+(ATM_Conf!$C$5/Links!AC$191)*Links!AR45*(Nodes!BL45-Links!AR45)-(ATM_Conf!$C$9*ATM_Conf!$C$5/(ATM_Conf!$C$8*Links!AC$191))*(Nodes!BZ45-Links!AC45)/(Links!AC45/ATM_Conf!$C$10)</f>
        <v>#DIV/0!</v>
      </c>
      <c r="AS46" s="45" t="e">
        <f>AS45+(ATM_Conf!$C$5/ATM_Conf!$C$8)*(Links!BH45*EXP((-(Links!AD45/Links!BW45)^Links!CL45)/Links!CL45)-Links!AS45)+(ATM_Conf!$C$5/Links!AD$191)*Links!AS45*(Nodes!BM45-Links!AS45)-(ATM_Conf!$C$9*ATM_Conf!$C$5/(ATM_Conf!$C$8*Links!AD$191))*(Nodes!CA45-Links!AD45)/(Links!AD45/ATM_Conf!$C$10)</f>
        <v>#DIV/0!</v>
      </c>
      <c r="AT46" s="45" t="e">
        <f>AT45+(ATM_Conf!$C$5/ATM_Conf!$C$8)*(Links!BI45*EXP((-(Links!AE45/Links!BX45)^Links!CM45)/Links!CM45)-Links!AT45)+(ATM_Conf!$C$5/Links!AE$191)*Links!AT45*(Nodes!BN45-Links!AT45)</f>
        <v>#DIV/0!</v>
      </c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45">
        <f t="shared" si="27"/>
        <v>0</v>
      </c>
      <c r="CO46" s="45">
        <f t="shared" si="27"/>
        <v>0</v>
      </c>
      <c r="CP46" s="45">
        <f t="shared" si="27"/>
        <v>0</v>
      </c>
      <c r="CQ46" s="45">
        <f t="shared" si="27"/>
        <v>0</v>
      </c>
      <c r="CR46" s="45">
        <f t="shared" si="27"/>
        <v>0</v>
      </c>
      <c r="CS46" s="45">
        <f t="shared" si="27"/>
        <v>0</v>
      </c>
      <c r="CT46" s="45">
        <f t="shared" si="27"/>
        <v>0</v>
      </c>
      <c r="CU46" s="45">
        <f t="shared" si="27"/>
        <v>0</v>
      </c>
      <c r="CV46" s="45">
        <f t="shared" si="27"/>
        <v>0</v>
      </c>
      <c r="CW46" s="45">
        <f t="shared" si="27"/>
        <v>0</v>
      </c>
      <c r="CX46" s="45">
        <f t="shared" si="27"/>
        <v>0</v>
      </c>
      <c r="CY46" s="45">
        <f t="shared" si="27"/>
        <v>0</v>
      </c>
      <c r="CZ46" s="45">
        <f t="shared" si="27"/>
        <v>0</v>
      </c>
      <c r="DA46" s="45">
        <f t="shared" si="27"/>
        <v>0</v>
      </c>
      <c r="DB46" s="45">
        <f t="shared" si="27"/>
        <v>0</v>
      </c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</row>
    <row r="47" spans="1:121" ht="14.25" x14ac:dyDescent="0.15">
      <c r="A47" s="48">
        <v>45</v>
      </c>
      <c r="B47" s="45" t="e">
        <f t="shared" si="2"/>
        <v>#DIV/0!</v>
      </c>
      <c r="C47" s="45" t="e">
        <f t="shared" si="3"/>
        <v>#DIV/0!</v>
      </c>
      <c r="D47" s="45" t="e">
        <f t="shared" si="4"/>
        <v>#DIV/0!</v>
      </c>
      <c r="E47" s="45" t="e">
        <f t="shared" si="5"/>
        <v>#DIV/0!</v>
      </c>
      <c r="F47" s="45" t="e">
        <f t="shared" si="6"/>
        <v>#DIV/0!</v>
      </c>
      <c r="G47" s="45" t="e">
        <f t="shared" si="7"/>
        <v>#DIV/0!</v>
      </c>
      <c r="H47" s="45" t="e">
        <f t="shared" si="8"/>
        <v>#DIV/0!</v>
      </c>
      <c r="I47" s="45" t="e">
        <f t="shared" si="9"/>
        <v>#DIV/0!</v>
      </c>
      <c r="J47" s="45" t="e">
        <f t="shared" si="10"/>
        <v>#DIV/0!</v>
      </c>
      <c r="K47" s="45" t="e">
        <f t="shared" si="11"/>
        <v>#DIV/0!</v>
      </c>
      <c r="L47" s="45" t="e">
        <f t="shared" si="12"/>
        <v>#DIV/0!</v>
      </c>
      <c r="M47" s="45" t="e">
        <f t="shared" si="13"/>
        <v>#DIV/0!</v>
      </c>
      <c r="N47" s="45" t="e">
        <f t="shared" si="14"/>
        <v>#DIV/0!</v>
      </c>
      <c r="O47" s="45" t="e">
        <f t="shared" si="15"/>
        <v>#DIV/0!</v>
      </c>
      <c r="P47" s="45" t="e">
        <f t="shared" si="16"/>
        <v>#DIV/0!</v>
      </c>
      <c r="Q47" s="55" t="e">
        <f>Q46+ATM_Conf!$C$5*(B46)/(Links!B$191*Links!Q$191)</f>
        <v>#DIV/0!</v>
      </c>
      <c r="R47" s="55" t="e">
        <f>R46+ATM_Conf!$C$5*(C46-B46)/(Links!C$191*Links!R$191)</f>
        <v>#DIV/0!</v>
      </c>
      <c r="S47" s="55" t="e">
        <f>S46+ATM_Conf!$C$5*(D46-C46)/(Links!D$191*Links!S$191)</f>
        <v>#DIV/0!</v>
      </c>
      <c r="T47" s="55" t="e">
        <f>T46+ATM_Conf!$C$5*(E46-D46)/(Links!E$191*Links!T$191)</f>
        <v>#DIV/0!</v>
      </c>
      <c r="U47" s="55" t="e">
        <f>U46+ATM_Conf!$C$5*(F46-E46)/(Links!F$191*Links!U$191)</f>
        <v>#DIV/0!</v>
      </c>
      <c r="V47" s="55" t="e">
        <f>V46+ATM_Conf!$C$5*(G46-F46)/(Links!G$191*Links!V$191)</f>
        <v>#DIV/0!</v>
      </c>
      <c r="W47" s="55" t="e">
        <f>W46+ATM_Conf!$C$5*(H46-G46)/(Links!H$191*Links!W$191)</f>
        <v>#DIV/0!</v>
      </c>
      <c r="X47" s="55" t="e">
        <f>X46+ATM_Conf!$C$5*(I46-H46)/(Links!I$191*Links!X$191)</f>
        <v>#DIV/0!</v>
      </c>
      <c r="Y47" s="55" t="e">
        <f>Y46+ATM_Conf!$C$5*(J46)/(Links!J$191*Links!Y$191)</f>
        <v>#DIV/0!</v>
      </c>
      <c r="Z47" s="55" t="e">
        <f>Z46+ATM_Conf!$C$5*(K46-J46)/(Links!K$191*Links!Z$191)</f>
        <v>#DIV/0!</v>
      </c>
      <c r="AA47" s="55" t="e">
        <f>AA46+ATM_Conf!$C$5*(L46-K46)/(Links!L$191*Links!AA$191)</f>
        <v>#DIV/0!</v>
      </c>
      <c r="AB47" s="55" t="e">
        <f>AB46+ATM_Conf!$C$5*(M46-L46)/(Links!M$191*Links!AB$191)</f>
        <v>#DIV/0!</v>
      </c>
      <c r="AC47" s="55" t="e">
        <f>AC46+ATM_Conf!$C$5*(N46-M46)/(Links!N$191*Links!AC$191)</f>
        <v>#DIV/0!</v>
      </c>
      <c r="AD47" s="55" t="e">
        <f>AD46+ATM_Conf!$C$5*(O46-N46)/(Links!O$191*Links!AD$191)</f>
        <v>#DIV/0!</v>
      </c>
      <c r="AE47" s="55" t="e">
        <f>AE46+ATM_Conf!$C$5*(P46-O46)/(Links!P$191*Links!AE$191)</f>
        <v>#DIV/0!</v>
      </c>
      <c r="AF47" s="45" t="e">
        <f>AF46+(ATM_Conf!$C$5/ATM_Conf!$C$8)*(Links!AU46*EXP((-(Links!Q46/Links!BJ46)^Links!BY46)/Links!BY46)-Links!AF46)-(ATM_Conf!$C$9*ATM_Conf!$C$5/(ATM_Conf!$C$8*Links!Q$191))*(Nodes!BO46-Links!Q46)/(Links!Q46/ATM_Conf!$C$10)</f>
        <v>#DIV/0!</v>
      </c>
      <c r="AG47" s="45" t="e">
        <f>AG46+(ATM_Conf!$C$5/ATM_Conf!$C$8)*(Links!AV46*EXP((-(Links!R46/Links!BK46)^Links!BZ46)/Links!BZ46)-Links!AG46)+(ATM_Conf!$C$5/Links!R$191)*Links!AG46*(Nodes!BB46-Links!AG46)-(ATM_Conf!$C$9*ATM_Conf!$C$5/(ATM_Conf!$C$8*Links!R$191))*(Nodes!BP46-Links!R46)/(Links!R46/ATM_Conf!$C$10)</f>
        <v>#DIV/0!</v>
      </c>
      <c r="AH47" s="45" t="e">
        <f>AH46+(ATM_Conf!$C$5/ATM_Conf!$C$8)*(Links!AW46*EXP((-(Links!S46/Links!BL46)^Links!CA46)/Links!CA46)-Links!AH46)+(ATM_Conf!$C$5/Links!S$191)*Links!AH46*(Nodes!BC46-Links!AH46)-(ATM_Conf!$C$9*ATM_Conf!$C$5/(ATM_Conf!$C$8*Links!S$191))*(Nodes!BQ46-Links!S46)/(Links!S46/ATM_Conf!$C$10)</f>
        <v>#DIV/0!</v>
      </c>
      <c r="AI47" s="45" t="e">
        <f>AI46+(ATM_Conf!$C$5/ATM_Conf!$C$8)*(Links!AX46*EXP((-(Links!T46/Links!BM46)^Links!CB46)/Links!CB46)-Links!AI46)+(ATM_Conf!$C$5/Links!T$191)*Links!AI46*(Nodes!BD46-Links!AI46)-(ATM_Conf!$C$9*ATM_Conf!$C$5/(ATM_Conf!$C$8*Links!T$191))*(Nodes!BR46-Links!T46)/(Links!T46/ATM_Conf!$C$10)</f>
        <v>#DIV/0!</v>
      </c>
      <c r="AJ47" s="45" t="e">
        <f>AJ46+(ATM_Conf!$C$5/ATM_Conf!$C$8)*(Links!AY46*EXP((-(Links!U46/Links!BN46)^Links!CC46)/Links!CC46)-Links!AJ46)+(ATM_Conf!$C$5/Links!U$191)*Links!AJ46*(Nodes!BE46-Links!AJ46)-(ATM_Conf!$C$9*ATM_Conf!$C$5/(ATM_Conf!$C$8*Links!U$191))*(Nodes!BS46-Links!U46)/(Links!U46/ATM_Conf!$C$10)</f>
        <v>#DIV/0!</v>
      </c>
      <c r="AK47" s="45" t="e">
        <f>AK46+(ATM_Conf!$C$5/ATM_Conf!$C$8)*(Links!AZ46*EXP((-(Links!V46/Links!BO46)^Links!CD46)/Links!CD46)-Links!AK46)+(ATM_Conf!$C$5/Links!V$191)*Links!AK46*(Nodes!BF46-Links!AK46)-(ATM_Conf!$C$9*ATM_Conf!$C$5/(ATM_Conf!$C$8*Links!V$191))*(Nodes!BT46-Links!V46)/(Links!V46/ATM_Conf!$C$10)</f>
        <v>#DIV/0!</v>
      </c>
      <c r="AL47" s="45" t="e">
        <f>AL46+(ATM_Conf!$C$5/ATM_Conf!$C$8)*(Links!BA46*EXP((-(Links!W46/Links!BP46)^Links!CE46)/Links!CE46)-Links!AL46)+(ATM_Conf!$C$5/Links!W$191)*Links!AL46*(Nodes!BG46-Links!AL46)-(ATM_Conf!$C$9*ATM_Conf!$C$5/(ATM_Conf!$C$8*Links!W$191))*(Nodes!BU46-Links!W46)/(Links!W46/ATM_Conf!$C$10)</f>
        <v>#DIV/0!</v>
      </c>
      <c r="AM47" s="45" t="e">
        <f>AM46+(ATM_Conf!$C$5/ATM_Conf!$C$8)*(Links!BB46*EXP((-(Links!X46/Links!BQ46)^Links!CF46)/Links!CF46)-Links!AM46)+(ATM_Conf!$C$5/Links!X$191)*Links!AM46*(Nodes!BH46-Links!AM46)</f>
        <v>#DIV/0!</v>
      </c>
      <c r="AN47" s="45" t="e">
        <f>AN46+(ATM_Conf!$C$5/ATM_Conf!$C$8)*(Links!BC46*EXP((-(Links!Y46/Links!BR46)^Links!CG46)/Links!CG46)-Links!AN46)-(ATM_Conf!$C$9*ATM_Conf!$C$5/(ATM_Conf!$C$8*Links!Y$191))*(Nodes!BV46-Links!Y46)/(Links!Y46/ATM_Conf!$C$10)</f>
        <v>#DIV/0!</v>
      </c>
      <c r="AO47" s="45" t="e">
        <f>AO46+(ATM_Conf!$C$5/ATM_Conf!$C$8)*(Links!BD46*EXP((-(Links!Z46/Links!BS46)^Links!CH46)/Links!CH46)-Links!AO46)+(ATM_Conf!$C$5/Links!Z$191)*Links!AO46*(Nodes!BI46-Links!AO46)-(ATM_Conf!$C$9*ATM_Conf!$C$5/(ATM_Conf!$C$8*Links!Z$191))*(Nodes!BW46-Links!Z46)/(Links!Z46/ATM_Conf!$C$10)</f>
        <v>#DIV/0!</v>
      </c>
      <c r="AP47" s="45" t="e">
        <f>AP46+(ATM_Conf!$C$5/ATM_Conf!$C$8)*(Links!BE46*EXP((-(Links!AA46/Links!BT46)^Links!CI46)/Links!CI46)-Links!AP46)+(ATM_Conf!$C$5/Links!AA$191)*Links!AP46*(Nodes!BJ46-Links!AP46)-(ATM_Conf!$C$9*ATM_Conf!$C$5/(ATM_Conf!$C$8*Links!AA$191))*(Nodes!BX46-Links!AA46)/(Links!AA46/ATM_Conf!$C$10)</f>
        <v>#DIV/0!</v>
      </c>
      <c r="AQ47" s="45" t="e">
        <f>AQ46+(ATM_Conf!$C$5/ATM_Conf!$C$8)*(Links!BF46*EXP((-(Links!AB46/Links!BU46)^Links!CJ46)/Links!CJ46)-Links!AQ46)+(ATM_Conf!$C$5/Links!AB$191)*Links!AQ46*(Nodes!BK46-Links!AQ46)-(ATM_Conf!$C$9*ATM_Conf!$C$5/(ATM_Conf!$C$8*Links!AB$191))*(Nodes!BY46-Links!AB46)/(Links!AB46/ATM_Conf!$C$10)</f>
        <v>#DIV/0!</v>
      </c>
      <c r="AR47" s="45" t="e">
        <f>AR46+(ATM_Conf!$C$5/ATM_Conf!$C$8)*(Links!BG46*EXP((-(Links!AC46/Links!BV46)^Links!CK46)/Links!CK46)-Links!AR46)+(ATM_Conf!$C$5/Links!AC$191)*Links!AR46*(Nodes!BL46-Links!AR46)-(ATM_Conf!$C$9*ATM_Conf!$C$5/(ATM_Conf!$C$8*Links!AC$191))*(Nodes!BZ46-Links!AC46)/(Links!AC46/ATM_Conf!$C$10)</f>
        <v>#DIV/0!</v>
      </c>
      <c r="AS47" s="45" t="e">
        <f>AS46+(ATM_Conf!$C$5/ATM_Conf!$C$8)*(Links!BH46*EXP((-(Links!AD46/Links!BW46)^Links!CL46)/Links!CL46)-Links!AS46)+(ATM_Conf!$C$5/Links!AD$191)*Links!AS46*(Nodes!BM46-Links!AS46)-(ATM_Conf!$C$9*ATM_Conf!$C$5/(ATM_Conf!$C$8*Links!AD$191))*(Nodes!CA46-Links!AD46)/(Links!AD46/ATM_Conf!$C$10)</f>
        <v>#DIV/0!</v>
      </c>
      <c r="AT47" s="45" t="e">
        <f>AT46+(ATM_Conf!$C$5/ATM_Conf!$C$8)*(Links!BI46*EXP((-(Links!AE46/Links!BX46)^Links!CM46)/Links!CM46)-Links!AT46)+(ATM_Conf!$C$5/Links!AE$191)*Links!AT46*(Nodes!BN46-Links!AT46)</f>
        <v>#DIV/0!</v>
      </c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45">
        <f t="shared" si="27"/>
        <v>0</v>
      </c>
      <c r="CO47" s="45">
        <f t="shared" si="27"/>
        <v>0</v>
      </c>
      <c r="CP47" s="45">
        <f t="shared" si="27"/>
        <v>0</v>
      </c>
      <c r="CQ47" s="45">
        <f t="shared" si="27"/>
        <v>0</v>
      </c>
      <c r="CR47" s="45">
        <f t="shared" si="27"/>
        <v>0</v>
      </c>
      <c r="CS47" s="45">
        <f t="shared" si="27"/>
        <v>0</v>
      </c>
      <c r="CT47" s="45">
        <f t="shared" si="27"/>
        <v>0</v>
      </c>
      <c r="CU47" s="45">
        <f t="shared" si="27"/>
        <v>0</v>
      </c>
      <c r="CV47" s="45">
        <f t="shared" si="27"/>
        <v>0</v>
      </c>
      <c r="CW47" s="45">
        <f t="shared" si="27"/>
        <v>0</v>
      </c>
      <c r="CX47" s="45">
        <f t="shared" si="27"/>
        <v>0</v>
      </c>
      <c r="CY47" s="45">
        <f t="shared" si="27"/>
        <v>0</v>
      </c>
      <c r="CZ47" s="45">
        <f t="shared" si="27"/>
        <v>0</v>
      </c>
      <c r="DA47" s="45">
        <f t="shared" si="27"/>
        <v>0</v>
      </c>
      <c r="DB47" s="45">
        <f t="shared" si="27"/>
        <v>0</v>
      </c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</row>
    <row r="48" spans="1:121" ht="14.25" x14ac:dyDescent="0.15">
      <c r="A48" s="48">
        <v>46</v>
      </c>
      <c r="B48" s="45" t="e">
        <f t="shared" si="2"/>
        <v>#DIV/0!</v>
      </c>
      <c r="C48" s="45" t="e">
        <f t="shared" si="3"/>
        <v>#DIV/0!</v>
      </c>
      <c r="D48" s="45" t="e">
        <f t="shared" si="4"/>
        <v>#DIV/0!</v>
      </c>
      <c r="E48" s="45" t="e">
        <f t="shared" si="5"/>
        <v>#DIV/0!</v>
      </c>
      <c r="F48" s="45" t="e">
        <f t="shared" si="6"/>
        <v>#DIV/0!</v>
      </c>
      <c r="G48" s="45" t="e">
        <f t="shared" si="7"/>
        <v>#DIV/0!</v>
      </c>
      <c r="H48" s="45" t="e">
        <f t="shared" si="8"/>
        <v>#DIV/0!</v>
      </c>
      <c r="I48" s="45" t="e">
        <f t="shared" si="9"/>
        <v>#DIV/0!</v>
      </c>
      <c r="J48" s="45" t="e">
        <f t="shared" si="10"/>
        <v>#DIV/0!</v>
      </c>
      <c r="K48" s="45" t="e">
        <f t="shared" si="11"/>
        <v>#DIV/0!</v>
      </c>
      <c r="L48" s="45" t="e">
        <f t="shared" si="12"/>
        <v>#DIV/0!</v>
      </c>
      <c r="M48" s="45" t="e">
        <f t="shared" si="13"/>
        <v>#DIV/0!</v>
      </c>
      <c r="N48" s="45" t="e">
        <f t="shared" si="14"/>
        <v>#DIV/0!</v>
      </c>
      <c r="O48" s="45" t="e">
        <f t="shared" si="15"/>
        <v>#DIV/0!</v>
      </c>
      <c r="P48" s="45" t="e">
        <f t="shared" si="16"/>
        <v>#DIV/0!</v>
      </c>
      <c r="Q48" s="55" t="e">
        <f>Q47+ATM_Conf!$C$5*(B47)/(Links!B$191*Links!Q$191)</f>
        <v>#DIV/0!</v>
      </c>
      <c r="R48" s="55" t="e">
        <f>R47+ATM_Conf!$C$5*(C47-B47)/(Links!C$191*Links!R$191)</f>
        <v>#DIV/0!</v>
      </c>
      <c r="S48" s="55" t="e">
        <f>S47+ATM_Conf!$C$5*(D47-C47)/(Links!D$191*Links!S$191)</f>
        <v>#DIV/0!</v>
      </c>
      <c r="T48" s="55" t="e">
        <f>T47+ATM_Conf!$C$5*(E47-D47)/(Links!E$191*Links!T$191)</f>
        <v>#DIV/0!</v>
      </c>
      <c r="U48" s="55" t="e">
        <f>U47+ATM_Conf!$C$5*(F47-E47)/(Links!F$191*Links!U$191)</f>
        <v>#DIV/0!</v>
      </c>
      <c r="V48" s="55" t="e">
        <f>V47+ATM_Conf!$C$5*(G47-F47)/(Links!G$191*Links!V$191)</f>
        <v>#DIV/0!</v>
      </c>
      <c r="W48" s="55" t="e">
        <f>W47+ATM_Conf!$C$5*(H47-G47)/(Links!H$191*Links!W$191)</f>
        <v>#DIV/0!</v>
      </c>
      <c r="X48" s="55" t="e">
        <f>X47+ATM_Conf!$C$5*(I47-H47)/(Links!I$191*Links!X$191)</f>
        <v>#DIV/0!</v>
      </c>
      <c r="Y48" s="55" t="e">
        <f>Y47+ATM_Conf!$C$5*(J47)/(Links!J$191*Links!Y$191)</f>
        <v>#DIV/0!</v>
      </c>
      <c r="Z48" s="55" t="e">
        <f>Z47+ATM_Conf!$C$5*(K47-J47)/(Links!K$191*Links!Z$191)</f>
        <v>#DIV/0!</v>
      </c>
      <c r="AA48" s="55" t="e">
        <f>AA47+ATM_Conf!$C$5*(L47-K47)/(Links!L$191*Links!AA$191)</f>
        <v>#DIV/0!</v>
      </c>
      <c r="AB48" s="55" t="e">
        <f>AB47+ATM_Conf!$C$5*(M47-L47)/(Links!M$191*Links!AB$191)</f>
        <v>#DIV/0!</v>
      </c>
      <c r="AC48" s="55" t="e">
        <f>AC47+ATM_Conf!$C$5*(N47-M47)/(Links!N$191*Links!AC$191)</f>
        <v>#DIV/0!</v>
      </c>
      <c r="AD48" s="55" t="e">
        <f>AD47+ATM_Conf!$C$5*(O47-N47)/(Links!O$191*Links!AD$191)</f>
        <v>#DIV/0!</v>
      </c>
      <c r="AE48" s="55" t="e">
        <f>AE47+ATM_Conf!$C$5*(P47-O47)/(Links!P$191*Links!AE$191)</f>
        <v>#DIV/0!</v>
      </c>
      <c r="AF48" s="45" t="e">
        <f>AF47+(ATM_Conf!$C$5/ATM_Conf!$C$8)*(Links!AU47*EXP((-(Links!Q47/Links!BJ47)^Links!BY47)/Links!BY47)-Links!AF47)-(ATM_Conf!$C$9*ATM_Conf!$C$5/(ATM_Conf!$C$8*Links!Q$191))*(Nodes!BO47-Links!Q47)/(Links!Q47/ATM_Conf!$C$10)</f>
        <v>#DIV/0!</v>
      </c>
      <c r="AG48" s="45" t="e">
        <f>AG47+(ATM_Conf!$C$5/ATM_Conf!$C$8)*(Links!AV47*EXP((-(Links!R47/Links!BK47)^Links!BZ47)/Links!BZ47)-Links!AG47)+(ATM_Conf!$C$5/Links!R$191)*Links!AG47*(Nodes!BB47-Links!AG47)-(ATM_Conf!$C$9*ATM_Conf!$C$5/(ATM_Conf!$C$8*Links!R$191))*(Nodes!BP47-Links!R47)/(Links!R47/ATM_Conf!$C$10)</f>
        <v>#DIV/0!</v>
      </c>
      <c r="AH48" s="45" t="e">
        <f>AH47+(ATM_Conf!$C$5/ATM_Conf!$C$8)*(Links!AW47*EXP((-(Links!S47/Links!BL47)^Links!CA47)/Links!CA47)-Links!AH47)+(ATM_Conf!$C$5/Links!S$191)*Links!AH47*(Nodes!BC47-Links!AH47)-(ATM_Conf!$C$9*ATM_Conf!$C$5/(ATM_Conf!$C$8*Links!S$191))*(Nodes!BQ47-Links!S47)/(Links!S47/ATM_Conf!$C$10)</f>
        <v>#DIV/0!</v>
      </c>
      <c r="AI48" s="45" t="e">
        <f>AI47+(ATM_Conf!$C$5/ATM_Conf!$C$8)*(Links!AX47*EXP((-(Links!T47/Links!BM47)^Links!CB47)/Links!CB47)-Links!AI47)+(ATM_Conf!$C$5/Links!T$191)*Links!AI47*(Nodes!BD47-Links!AI47)-(ATM_Conf!$C$9*ATM_Conf!$C$5/(ATM_Conf!$C$8*Links!T$191))*(Nodes!BR47-Links!T47)/(Links!T47/ATM_Conf!$C$10)</f>
        <v>#DIV/0!</v>
      </c>
      <c r="AJ48" s="45" t="e">
        <f>AJ47+(ATM_Conf!$C$5/ATM_Conf!$C$8)*(Links!AY47*EXP((-(Links!U47/Links!BN47)^Links!CC47)/Links!CC47)-Links!AJ47)+(ATM_Conf!$C$5/Links!U$191)*Links!AJ47*(Nodes!BE47-Links!AJ47)-(ATM_Conf!$C$9*ATM_Conf!$C$5/(ATM_Conf!$C$8*Links!U$191))*(Nodes!BS47-Links!U47)/(Links!U47/ATM_Conf!$C$10)</f>
        <v>#DIV/0!</v>
      </c>
      <c r="AK48" s="45" t="e">
        <f>AK47+(ATM_Conf!$C$5/ATM_Conf!$C$8)*(Links!AZ47*EXP((-(Links!V47/Links!BO47)^Links!CD47)/Links!CD47)-Links!AK47)+(ATM_Conf!$C$5/Links!V$191)*Links!AK47*(Nodes!BF47-Links!AK47)-(ATM_Conf!$C$9*ATM_Conf!$C$5/(ATM_Conf!$C$8*Links!V$191))*(Nodes!BT47-Links!V47)/(Links!V47/ATM_Conf!$C$10)</f>
        <v>#DIV/0!</v>
      </c>
      <c r="AL48" s="45" t="e">
        <f>AL47+(ATM_Conf!$C$5/ATM_Conf!$C$8)*(Links!BA47*EXP((-(Links!W47/Links!BP47)^Links!CE47)/Links!CE47)-Links!AL47)+(ATM_Conf!$C$5/Links!W$191)*Links!AL47*(Nodes!BG47-Links!AL47)-(ATM_Conf!$C$9*ATM_Conf!$C$5/(ATM_Conf!$C$8*Links!W$191))*(Nodes!BU47-Links!W47)/(Links!W47/ATM_Conf!$C$10)</f>
        <v>#DIV/0!</v>
      </c>
      <c r="AM48" s="45" t="e">
        <f>AM47+(ATM_Conf!$C$5/ATM_Conf!$C$8)*(Links!BB47*EXP((-(Links!X47/Links!BQ47)^Links!CF47)/Links!CF47)-Links!AM47)+(ATM_Conf!$C$5/Links!X$191)*Links!AM47*(Nodes!BH47-Links!AM47)</f>
        <v>#DIV/0!</v>
      </c>
      <c r="AN48" s="45" t="e">
        <f>AN47+(ATM_Conf!$C$5/ATM_Conf!$C$8)*(Links!BC47*EXP((-(Links!Y47/Links!BR47)^Links!CG47)/Links!CG47)-Links!AN47)-(ATM_Conf!$C$9*ATM_Conf!$C$5/(ATM_Conf!$C$8*Links!Y$191))*(Nodes!BV47-Links!Y47)/(Links!Y47/ATM_Conf!$C$10)</f>
        <v>#DIV/0!</v>
      </c>
      <c r="AO48" s="45" t="e">
        <f>AO47+(ATM_Conf!$C$5/ATM_Conf!$C$8)*(Links!BD47*EXP((-(Links!Z47/Links!BS47)^Links!CH47)/Links!CH47)-Links!AO47)+(ATM_Conf!$C$5/Links!Z$191)*Links!AO47*(Nodes!BI47-Links!AO47)-(ATM_Conf!$C$9*ATM_Conf!$C$5/(ATM_Conf!$C$8*Links!Z$191))*(Nodes!BW47-Links!Z47)/(Links!Z47/ATM_Conf!$C$10)</f>
        <v>#DIV/0!</v>
      </c>
      <c r="AP48" s="45" t="e">
        <f>AP47+(ATM_Conf!$C$5/ATM_Conf!$C$8)*(Links!BE47*EXP((-(Links!AA47/Links!BT47)^Links!CI47)/Links!CI47)-Links!AP47)+(ATM_Conf!$C$5/Links!AA$191)*Links!AP47*(Nodes!BJ47-Links!AP47)-(ATM_Conf!$C$9*ATM_Conf!$C$5/(ATM_Conf!$C$8*Links!AA$191))*(Nodes!BX47-Links!AA47)/(Links!AA47/ATM_Conf!$C$10)</f>
        <v>#DIV/0!</v>
      </c>
      <c r="AQ48" s="45" t="e">
        <f>AQ47+(ATM_Conf!$C$5/ATM_Conf!$C$8)*(Links!BF47*EXP((-(Links!AB47/Links!BU47)^Links!CJ47)/Links!CJ47)-Links!AQ47)+(ATM_Conf!$C$5/Links!AB$191)*Links!AQ47*(Nodes!BK47-Links!AQ47)-(ATM_Conf!$C$9*ATM_Conf!$C$5/(ATM_Conf!$C$8*Links!AB$191))*(Nodes!BY47-Links!AB47)/(Links!AB47/ATM_Conf!$C$10)</f>
        <v>#DIV/0!</v>
      </c>
      <c r="AR48" s="45" t="e">
        <f>AR47+(ATM_Conf!$C$5/ATM_Conf!$C$8)*(Links!BG47*EXP((-(Links!AC47/Links!BV47)^Links!CK47)/Links!CK47)-Links!AR47)+(ATM_Conf!$C$5/Links!AC$191)*Links!AR47*(Nodes!BL47-Links!AR47)-(ATM_Conf!$C$9*ATM_Conf!$C$5/(ATM_Conf!$C$8*Links!AC$191))*(Nodes!BZ47-Links!AC47)/(Links!AC47/ATM_Conf!$C$10)</f>
        <v>#DIV/0!</v>
      </c>
      <c r="AS48" s="45" t="e">
        <f>AS47+(ATM_Conf!$C$5/ATM_Conf!$C$8)*(Links!BH47*EXP((-(Links!AD47/Links!BW47)^Links!CL47)/Links!CL47)-Links!AS47)+(ATM_Conf!$C$5/Links!AD$191)*Links!AS47*(Nodes!BM47-Links!AS47)-(ATM_Conf!$C$9*ATM_Conf!$C$5/(ATM_Conf!$C$8*Links!AD$191))*(Nodes!CA47-Links!AD47)/(Links!AD47/ATM_Conf!$C$10)</f>
        <v>#DIV/0!</v>
      </c>
      <c r="AT48" s="45" t="e">
        <f>AT47+(ATM_Conf!$C$5/ATM_Conf!$C$8)*(Links!BI47*EXP((-(Links!AE47/Links!BX47)^Links!CM47)/Links!CM47)-Links!AT47)+(ATM_Conf!$C$5/Links!AE$191)*Links!AT47*(Nodes!BN47-Links!AT47)</f>
        <v>#DIV/0!</v>
      </c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45">
        <f t="shared" si="27"/>
        <v>0</v>
      </c>
      <c r="CO48" s="45">
        <f t="shared" si="27"/>
        <v>0</v>
      </c>
      <c r="CP48" s="45">
        <f t="shared" si="27"/>
        <v>0</v>
      </c>
      <c r="CQ48" s="45">
        <f t="shared" si="27"/>
        <v>0</v>
      </c>
      <c r="CR48" s="45">
        <f t="shared" si="27"/>
        <v>0</v>
      </c>
      <c r="CS48" s="45">
        <f t="shared" si="27"/>
        <v>0</v>
      </c>
      <c r="CT48" s="45">
        <f t="shared" si="27"/>
        <v>0</v>
      </c>
      <c r="CU48" s="45">
        <f t="shared" si="27"/>
        <v>0</v>
      </c>
      <c r="CV48" s="45">
        <f t="shared" si="27"/>
        <v>0</v>
      </c>
      <c r="CW48" s="45">
        <f t="shared" si="27"/>
        <v>0</v>
      </c>
      <c r="CX48" s="45">
        <f t="shared" si="27"/>
        <v>0</v>
      </c>
      <c r="CY48" s="45">
        <f t="shared" si="27"/>
        <v>0</v>
      </c>
      <c r="CZ48" s="45">
        <f t="shared" si="27"/>
        <v>0</v>
      </c>
      <c r="DA48" s="45">
        <f t="shared" si="27"/>
        <v>0</v>
      </c>
      <c r="DB48" s="45">
        <f t="shared" si="27"/>
        <v>0</v>
      </c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</row>
    <row r="49" spans="1:121" ht="14.25" x14ac:dyDescent="0.15">
      <c r="A49" s="48">
        <v>47</v>
      </c>
      <c r="B49" s="45" t="e">
        <f t="shared" si="2"/>
        <v>#DIV/0!</v>
      </c>
      <c r="C49" s="45" t="e">
        <f t="shared" si="3"/>
        <v>#DIV/0!</v>
      </c>
      <c r="D49" s="45" t="e">
        <f t="shared" si="4"/>
        <v>#DIV/0!</v>
      </c>
      <c r="E49" s="45" t="e">
        <f t="shared" si="5"/>
        <v>#DIV/0!</v>
      </c>
      <c r="F49" s="45" t="e">
        <f t="shared" si="6"/>
        <v>#DIV/0!</v>
      </c>
      <c r="G49" s="45" t="e">
        <f t="shared" si="7"/>
        <v>#DIV/0!</v>
      </c>
      <c r="H49" s="45" t="e">
        <f t="shared" si="8"/>
        <v>#DIV/0!</v>
      </c>
      <c r="I49" s="45" t="e">
        <f t="shared" si="9"/>
        <v>#DIV/0!</v>
      </c>
      <c r="J49" s="45" t="e">
        <f t="shared" si="10"/>
        <v>#DIV/0!</v>
      </c>
      <c r="K49" s="45" t="e">
        <f t="shared" si="11"/>
        <v>#DIV/0!</v>
      </c>
      <c r="L49" s="45" t="e">
        <f t="shared" si="12"/>
        <v>#DIV/0!</v>
      </c>
      <c r="M49" s="45" t="e">
        <f t="shared" si="13"/>
        <v>#DIV/0!</v>
      </c>
      <c r="N49" s="45" t="e">
        <f t="shared" si="14"/>
        <v>#DIV/0!</v>
      </c>
      <c r="O49" s="45" t="e">
        <f t="shared" si="15"/>
        <v>#DIV/0!</v>
      </c>
      <c r="P49" s="45" t="e">
        <f t="shared" si="16"/>
        <v>#DIV/0!</v>
      </c>
      <c r="Q49" s="55" t="e">
        <f>Q48+ATM_Conf!$C$5*(B48)/(Links!B$191*Links!Q$191)</f>
        <v>#DIV/0!</v>
      </c>
      <c r="R49" s="55" t="e">
        <f>R48+ATM_Conf!$C$5*(C48-B48)/(Links!C$191*Links!R$191)</f>
        <v>#DIV/0!</v>
      </c>
      <c r="S49" s="55" t="e">
        <f>S48+ATM_Conf!$C$5*(D48-C48)/(Links!D$191*Links!S$191)</f>
        <v>#DIV/0!</v>
      </c>
      <c r="T49" s="55" t="e">
        <f>T48+ATM_Conf!$C$5*(E48-D48)/(Links!E$191*Links!T$191)</f>
        <v>#DIV/0!</v>
      </c>
      <c r="U49" s="55" t="e">
        <f>U48+ATM_Conf!$C$5*(F48-E48)/(Links!F$191*Links!U$191)</f>
        <v>#DIV/0!</v>
      </c>
      <c r="V49" s="55" t="e">
        <f>V48+ATM_Conf!$C$5*(G48-F48)/(Links!G$191*Links!V$191)</f>
        <v>#DIV/0!</v>
      </c>
      <c r="W49" s="55" t="e">
        <f>W48+ATM_Conf!$C$5*(H48-G48)/(Links!H$191*Links!W$191)</f>
        <v>#DIV/0!</v>
      </c>
      <c r="X49" s="55" t="e">
        <f>X48+ATM_Conf!$C$5*(I48-H48)/(Links!I$191*Links!X$191)</f>
        <v>#DIV/0!</v>
      </c>
      <c r="Y49" s="55" t="e">
        <f>Y48+ATM_Conf!$C$5*(J48)/(Links!J$191*Links!Y$191)</f>
        <v>#DIV/0!</v>
      </c>
      <c r="Z49" s="55" t="e">
        <f>Z48+ATM_Conf!$C$5*(K48-J48)/(Links!K$191*Links!Z$191)</f>
        <v>#DIV/0!</v>
      </c>
      <c r="AA49" s="55" t="e">
        <f>AA48+ATM_Conf!$C$5*(L48-K48)/(Links!L$191*Links!AA$191)</f>
        <v>#DIV/0!</v>
      </c>
      <c r="AB49" s="55" t="e">
        <f>AB48+ATM_Conf!$C$5*(M48-L48)/(Links!M$191*Links!AB$191)</f>
        <v>#DIV/0!</v>
      </c>
      <c r="AC49" s="55" t="e">
        <f>AC48+ATM_Conf!$C$5*(N48-M48)/(Links!N$191*Links!AC$191)</f>
        <v>#DIV/0!</v>
      </c>
      <c r="AD49" s="55" t="e">
        <f>AD48+ATM_Conf!$C$5*(O48-N48)/(Links!O$191*Links!AD$191)</f>
        <v>#DIV/0!</v>
      </c>
      <c r="AE49" s="55" t="e">
        <f>AE48+ATM_Conf!$C$5*(P48-O48)/(Links!P$191*Links!AE$191)</f>
        <v>#DIV/0!</v>
      </c>
      <c r="AF49" s="45" t="e">
        <f>AF48+(ATM_Conf!$C$5/ATM_Conf!$C$8)*(Links!AU48*EXP((-(Links!Q48/Links!BJ48)^Links!BY48)/Links!BY48)-Links!AF48)-(ATM_Conf!$C$9*ATM_Conf!$C$5/(ATM_Conf!$C$8*Links!Q$191))*(Nodes!BO48-Links!Q48)/(Links!Q48/ATM_Conf!$C$10)</f>
        <v>#DIV/0!</v>
      </c>
      <c r="AG49" s="45" t="e">
        <f>AG48+(ATM_Conf!$C$5/ATM_Conf!$C$8)*(Links!AV48*EXP((-(Links!R48/Links!BK48)^Links!BZ48)/Links!BZ48)-Links!AG48)+(ATM_Conf!$C$5/Links!R$191)*Links!AG48*(Nodes!BB48-Links!AG48)-(ATM_Conf!$C$9*ATM_Conf!$C$5/(ATM_Conf!$C$8*Links!R$191))*(Nodes!BP48-Links!R48)/(Links!R48/ATM_Conf!$C$10)</f>
        <v>#DIV/0!</v>
      </c>
      <c r="AH49" s="45" t="e">
        <f>AH48+(ATM_Conf!$C$5/ATM_Conf!$C$8)*(Links!AW48*EXP((-(Links!S48/Links!BL48)^Links!CA48)/Links!CA48)-Links!AH48)+(ATM_Conf!$C$5/Links!S$191)*Links!AH48*(Nodes!BC48-Links!AH48)-(ATM_Conf!$C$9*ATM_Conf!$C$5/(ATM_Conf!$C$8*Links!S$191))*(Nodes!BQ48-Links!S48)/(Links!S48/ATM_Conf!$C$10)</f>
        <v>#DIV/0!</v>
      </c>
      <c r="AI49" s="45" t="e">
        <f>AI48+(ATM_Conf!$C$5/ATM_Conf!$C$8)*(Links!AX48*EXP((-(Links!T48/Links!BM48)^Links!CB48)/Links!CB48)-Links!AI48)+(ATM_Conf!$C$5/Links!T$191)*Links!AI48*(Nodes!BD48-Links!AI48)-(ATM_Conf!$C$9*ATM_Conf!$C$5/(ATM_Conf!$C$8*Links!T$191))*(Nodes!BR48-Links!T48)/(Links!T48/ATM_Conf!$C$10)</f>
        <v>#DIV/0!</v>
      </c>
      <c r="AJ49" s="45" t="e">
        <f>AJ48+(ATM_Conf!$C$5/ATM_Conf!$C$8)*(Links!AY48*EXP((-(Links!U48/Links!BN48)^Links!CC48)/Links!CC48)-Links!AJ48)+(ATM_Conf!$C$5/Links!U$191)*Links!AJ48*(Nodes!BE48-Links!AJ48)-(ATM_Conf!$C$9*ATM_Conf!$C$5/(ATM_Conf!$C$8*Links!U$191))*(Nodes!BS48-Links!U48)/(Links!U48/ATM_Conf!$C$10)</f>
        <v>#DIV/0!</v>
      </c>
      <c r="AK49" s="45" t="e">
        <f>AK48+(ATM_Conf!$C$5/ATM_Conf!$C$8)*(Links!AZ48*EXP((-(Links!V48/Links!BO48)^Links!CD48)/Links!CD48)-Links!AK48)+(ATM_Conf!$C$5/Links!V$191)*Links!AK48*(Nodes!BF48-Links!AK48)-(ATM_Conf!$C$9*ATM_Conf!$C$5/(ATM_Conf!$C$8*Links!V$191))*(Nodes!BT48-Links!V48)/(Links!V48/ATM_Conf!$C$10)</f>
        <v>#DIV/0!</v>
      </c>
      <c r="AL49" s="45" t="e">
        <f>AL48+(ATM_Conf!$C$5/ATM_Conf!$C$8)*(Links!BA48*EXP((-(Links!W48/Links!BP48)^Links!CE48)/Links!CE48)-Links!AL48)+(ATM_Conf!$C$5/Links!W$191)*Links!AL48*(Nodes!BG48-Links!AL48)-(ATM_Conf!$C$9*ATM_Conf!$C$5/(ATM_Conf!$C$8*Links!W$191))*(Nodes!BU48-Links!W48)/(Links!W48/ATM_Conf!$C$10)</f>
        <v>#DIV/0!</v>
      </c>
      <c r="AM49" s="45" t="e">
        <f>AM48+(ATM_Conf!$C$5/ATM_Conf!$C$8)*(Links!BB48*EXP((-(Links!X48/Links!BQ48)^Links!CF48)/Links!CF48)-Links!AM48)+(ATM_Conf!$C$5/Links!X$191)*Links!AM48*(Nodes!BH48-Links!AM48)</f>
        <v>#DIV/0!</v>
      </c>
      <c r="AN49" s="45" t="e">
        <f>AN48+(ATM_Conf!$C$5/ATM_Conf!$C$8)*(Links!BC48*EXP((-(Links!Y48/Links!BR48)^Links!CG48)/Links!CG48)-Links!AN48)-(ATM_Conf!$C$9*ATM_Conf!$C$5/(ATM_Conf!$C$8*Links!Y$191))*(Nodes!BV48-Links!Y48)/(Links!Y48/ATM_Conf!$C$10)</f>
        <v>#DIV/0!</v>
      </c>
      <c r="AO49" s="45" t="e">
        <f>AO48+(ATM_Conf!$C$5/ATM_Conf!$C$8)*(Links!BD48*EXP((-(Links!Z48/Links!BS48)^Links!CH48)/Links!CH48)-Links!AO48)+(ATM_Conf!$C$5/Links!Z$191)*Links!AO48*(Nodes!BI48-Links!AO48)-(ATM_Conf!$C$9*ATM_Conf!$C$5/(ATM_Conf!$C$8*Links!Z$191))*(Nodes!BW48-Links!Z48)/(Links!Z48/ATM_Conf!$C$10)</f>
        <v>#DIV/0!</v>
      </c>
      <c r="AP49" s="45" t="e">
        <f>AP48+(ATM_Conf!$C$5/ATM_Conf!$C$8)*(Links!BE48*EXP((-(Links!AA48/Links!BT48)^Links!CI48)/Links!CI48)-Links!AP48)+(ATM_Conf!$C$5/Links!AA$191)*Links!AP48*(Nodes!BJ48-Links!AP48)-(ATM_Conf!$C$9*ATM_Conf!$C$5/(ATM_Conf!$C$8*Links!AA$191))*(Nodes!BX48-Links!AA48)/(Links!AA48/ATM_Conf!$C$10)</f>
        <v>#DIV/0!</v>
      </c>
      <c r="AQ49" s="45" t="e">
        <f>AQ48+(ATM_Conf!$C$5/ATM_Conf!$C$8)*(Links!BF48*EXP((-(Links!AB48/Links!BU48)^Links!CJ48)/Links!CJ48)-Links!AQ48)+(ATM_Conf!$C$5/Links!AB$191)*Links!AQ48*(Nodes!BK48-Links!AQ48)-(ATM_Conf!$C$9*ATM_Conf!$C$5/(ATM_Conf!$C$8*Links!AB$191))*(Nodes!BY48-Links!AB48)/(Links!AB48/ATM_Conf!$C$10)</f>
        <v>#DIV/0!</v>
      </c>
      <c r="AR49" s="45" t="e">
        <f>AR48+(ATM_Conf!$C$5/ATM_Conf!$C$8)*(Links!BG48*EXP((-(Links!AC48/Links!BV48)^Links!CK48)/Links!CK48)-Links!AR48)+(ATM_Conf!$C$5/Links!AC$191)*Links!AR48*(Nodes!BL48-Links!AR48)-(ATM_Conf!$C$9*ATM_Conf!$C$5/(ATM_Conf!$C$8*Links!AC$191))*(Nodes!BZ48-Links!AC48)/(Links!AC48/ATM_Conf!$C$10)</f>
        <v>#DIV/0!</v>
      </c>
      <c r="AS49" s="45" t="e">
        <f>AS48+(ATM_Conf!$C$5/ATM_Conf!$C$8)*(Links!BH48*EXP((-(Links!AD48/Links!BW48)^Links!CL48)/Links!CL48)-Links!AS48)+(ATM_Conf!$C$5/Links!AD$191)*Links!AS48*(Nodes!BM48-Links!AS48)-(ATM_Conf!$C$9*ATM_Conf!$C$5/(ATM_Conf!$C$8*Links!AD$191))*(Nodes!CA48-Links!AD48)/(Links!AD48/ATM_Conf!$C$10)</f>
        <v>#DIV/0!</v>
      </c>
      <c r="AT49" s="45" t="e">
        <f>AT48+(ATM_Conf!$C$5/ATM_Conf!$C$8)*(Links!BI48*EXP((-(Links!AE48/Links!BX48)^Links!CM48)/Links!CM48)-Links!AT48)+(ATM_Conf!$C$5/Links!AE$191)*Links!AT48*(Nodes!BN48-Links!AT48)</f>
        <v>#DIV/0!</v>
      </c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45">
        <f t="shared" si="27"/>
        <v>0</v>
      </c>
      <c r="CO49" s="45">
        <f t="shared" si="27"/>
        <v>0</v>
      </c>
      <c r="CP49" s="45">
        <f t="shared" si="27"/>
        <v>0</v>
      </c>
      <c r="CQ49" s="45">
        <f t="shared" si="27"/>
        <v>0</v>
      </c>
      <c r="CR49" s="45">
        <f t="shared" si="27"/>
        <v>0</v>
      </c>
      <c r="CS49" s="45">
        <f t="shared" si="27"/>
        <v>0</v>
      </c>
      <c r="CT49" s="45">
        <f t="shared" si="27"/>
        <v>0</v>
      </c>
      <c r="CU49" s="45">
        <f t="shared" si="27"/>
        <v>0</v>
      </c>
      <c r="CV49" s="45">
        <f t="shared" si="27"/>
        <v>0</v>
      </c>
      <c r="CW49" s="45">
        <f t="shared" si="27"/>
        <v>0</v>
      </c>
      <c r="CX49" s="45">
        <f t="shared" si="27"/>
        <v>0</v>
      </c>
      <c r="CY49" s="45">
        <f t="shared" si="27"/>
        <v>0</v>
      </c>
      <c r="CZ49" s="45">
        <f t="shared" si="27"/>
        <v>0</v>
      </c>
      <c r="DA49" s="45">
        <f t="shared" si="27"/>
        <v>0</v>
      </c>
      <c r="DB49" s="45">
        <f t="shared" si="27"/>
        <v>0</v>
      </c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</row>
    <row r="50" spans="1:121" ht="14.25" x14ac:dyDescent="0.15">
      <c r="A50" s="48">
        <v>48</v>
      </c>
      <c r="B50" s="45" t="e">
        <f t="shared" si="2"/>
        <v>#DIV/0!</v>
      </c>
      <c r="C50" s="45" t="e">
        <f t="shared" si="3"/>
        <v>#DIV/0!</v>
      </c>
      <c r="D50" s="45" t="e">
        <f t="shared" si="4"/>
        <v>#DIV/0!</v>
      </c>
      <c r="E50" s="45" t="e">
        <f t="shared" si="5"/>
        <v>#DIV/0!</v>
      </c>
      <c r="F50" s="45" t="e">
        <f t="shared" si="6"/>
        <v>#DIV/0!</v>
      </c>
      <c r="G50" s="45" t="e">
        <f t="shared" si="7"/>
        <v>#DIV/0!</v>
      </c>
      <c r="H50" s="45" t="e">
        <f t="shared" si="8"/>
        <v>#DIV/0!</v>
      </c>
      <c r="I50" s="45" t="e">
        <f t="shared" si="9"/>
        <v>#DIV/0!</v>
      </c>
      <c r="J50" s="45" t="e">
        <f t="shared" si="10"/>
        <v>#DIV/0!</v>
      </c>
      <c r="K50" s="45" t="e">
        <f t="shared" si="11"/>
        <v>#DIV/0!</v>
      </c>
      <c r="L50" s="45" t="e">
        <f t="shared" si="12"/>
        <v>#DIV/0!</v>
      </c>
      <c r="M50" s="45" t="e">
        <f t="shared" si="13"/>
        <v>#DIV/0!</v>
      </c>
      <c r="N50" s="45" t="e">
        <f t="shared" si="14"/>
        <v>#DIV/0!</v>
      </c>
      <c r="O50" s="45" t="e">
        <f t="shared" si="15"/>
        <v>#DIV/0!</v>
      </c>
      <c r="P50" s="45" t="e">
        <f t="shared" si="16"/>
        <v>#DIV/0!</v>
      </c>
      <c r="Q50" s="55" t="e">
        <f>Q49+ATM_Conf!$C$5*(B49)/(Links!B$191*Links!Q$191)</f>
        <v>#DIV/0!</v>
      </c>
      <c r="R50" s="55" t="e">
        <f>R49+ATM_Conf!$C$5*(C49-B49)/(Links!C$191*Links!R$191)</f>
        <v>#DIV/0!</v>
      </c>
      <c r="S50" s="55" t="e">
        <f>S49+ATM_Conf!$C$5*(D49-C49)/(Links!D$191*Links!S$191)</f>
        <v>#DIV/0!</v>
      </c>
      <c r="T50" s="55" t="e">
        <f>T49+ATM_Conf!$C$5*(E49-D49)/(Links!E$191*Links!T$191)</f>
        <v>#DIV/0!</v>
      </c>
      <c r="U50" s="55" t="e">
        <f>U49+ATM_Conf!$C$5*(F49-E49)/(Links!F$191*Links!U$191)</f>
        <v>#DIV/0!</v>
      </c>
      <c r="V50" s="55" t="e">
        <f>V49+ATM_Conf!$C$5*(G49-F49)/(Links!G$191*Links!V$191)</f>
        <v>#DIV/0!</v>
      </c>
      <c r="W50" s="55" t="e">
        <f>W49+ATM_Conf!$C$5*(H49-G49)/(Links!H$191*Links!W$191)</f>
        <v>#DIV/0!</v>
      </c>
      <c r="X50" s="55" t="e">
        <f>X49+ATM_Conf!$C$5*(I49-H49)/(Links!I$191*Links!X$191)</f>
        <v>#DIV/0!</v>
      </c>
      <c r="Y50" s="55" t="e">
        <f>Y49+ATM_Conf!$C$5*(J49)/(Links!J$191*Links!Y$191)</f>
        <v>#DIV/0!</v>
      </c>
      <c r="Z50" s="55" t="e">
        <f>Z49+ATM_Conf!$C$5*(K49-J49)/(Links!K$191*Links!Z$191)</f>
        <v>#DIV/0!</v>
      </c>
      <c r="AA50" s="55" t="e">
        <f>AA49+ATM_Conf!$C$5*(L49-K49)/(Links!L$191*Links!AA$191)</f>
        <v>#DIV/0!</v>
      </c>
      <c r="AB50" s="55" t="e">
        <f>AB49+ATM_Conf!$C$5*(M49-L49)/(Links!M$191*Links!AB$191)</f>
        <v>#DIV/0!</v>
      </c>
      <c r="AC50" s="55" t="e">
        <f>AC49+ATM_Conf!$C$5*(N49-M49)/(Links!N$191*Links!AC$191)</f>
        <v>#DIV/0!</v>
      </c>
      <c r="AD50" s="55" t="e">
        <f>AD49+ATM_Conf!$C$5*(O49-N49)/(Links!O$191*Links!AD$191)</f>
        <v>#DIV/0!</v>
      </c>
      <c r="AE50" s="55" t="e">
        <f>AE49+ATM_Conf!$C$5*(P49-O49)/(Links!P$191*Links!AE$191)</f>
        <v>#DIV/0!</v>
      </c>
      <c r="AF50" s="45" t="e">
        <f>AF49+(ATM_Conf!$C$5/ATM_Conf!$C$8)*(Links!AU49*EXP((-(Links!Q49/Links!BJ49)^Links!BY49)/Links!BY49)-Links!AF49)-(ATM_Conf!$C$9*ATM_Conf!$C$5/(ATM_Conf!$C$8*Links!Q$191))*(Nodes!BO49-Links!Q49)/(Links!Q49/ATM_Conf!$C$10)</f>
        <v>#DIV/0!</v>
      </c>
      <c r="AG50" s="45" t="e">
        <f>AG49+(ATM_Conf!$C$5/ATM_Conf!$C$8)*(Links!AV49*EXP((-(Links!R49/Links!BK49)^Links!BZ49)/Links!BZ49)-Links!AG49)+(ATM_Conf!$C$5/Links!R$191)*Links!AG49*(Nodes!BB49-Links!AG49)-(ATM_Conf!$C$9*ATM_Conf!$C$5/(ATM_Conf!$C$8*Links!R$191))*(Nodes!BP49-Links!R49)/(Links!R49/ATM_Conf!$C$10)</f>
        <v>#DIV/0!</v>
      </c>
      <c r="AH50" s="45" t="e">
        <f>AH49+(ATM_Conf!$C$5/ATM_Conf!$C$8)*(Links!AW49*EXP((-(Links!S49/Links!BL49)^Links!CA49)/Links!CA49)-Links!AH49)+(ATM_Conf!$C$5/Links!S$191)*Links!AH49*(Nodes!BC49-Links!AH49)-(ATM_Conf!$C$9*ATM_Conf!$C$5/(ATM_Conf!$C$8*Links!S$191))*(Nodes!BQ49-Links!S49)/(Links!S49/ATM_Conf!$C$10)</f>
        <v>#DIV/0!</v>
      </c>
      <c r="AI50" s="45" t="e">
        <f>AI49+(ATM_Conf!$C$5/ATM_Conf!$C$8)*(Links!AX49*EXP((-(Links!T49/Links!BM49)^Links!CB49)/Links!CB49)-Links!AI49)+(ATM_Conf!$C$5/Links!T$191)*Links!AI49*(Nodes!BD49-Links!AI49)-(ATM_Conf!$C$9*ATM_Conf!$C$5/(ATM_Conf!$C$8*Links!T$191))*(Nodes!BR49-Links!T49)/(Links!T49/ATM_Conf!$C$10)</f>
        <v>#DIV/0!</v>
      </c>
      <c r="AJ50" s="45" t="e">
        <f>AJ49+(ATM_Conf!$C$5/ATM_Conf!$C$8)*(Links!AY49*EXP((-(Links!U49/Links!BN49)^Links!CC49)/Links!CC49)-Links!AJ49)+(ATM_Conf!$C$5/Links!U$191)*Links!AJ49*(Nodes!BE49-Links!AJ49)-(ATM_Conf!$C$9*ATM_Conf!$C$5/(ATM_Conf!$C$8*Links!U$191))*(Nodes!BS49-Links!U49)/(Links!U49/ATM_Conf!$C$10)</f>
        <v>#DIV/0!</v>
      </c>
      <c r="AK50" s="45" t="e">
        <f>AK49+(ATM_Conf!$C$5/ATM_Conf!$C$8)*(Links!AZ49*EXP((-(Links!V49/Links!BO49)^Links!CD49)/Links!CD49)-Links!AK49)+(ATM_Conf!$C$5/Links!V$191)*Links!AK49*(Nodes!BF49-Links!AK49)-(ATM_Conf!$C$9*ATM_Conf!$C$5/(ATM_Conf!$C$8*Links!V$191))*(Nodes!BT49-Links!V49)/(Links!V49/ATM_Conf!$C$10)</f>
        <v>#DIV/0!</v>
      </c>
      <c r="AL50" s="45" t="e">
        <f>AL49+(ATM_Conf!$C$5/ATM_Conf!$C$8)*(Links!BA49*EXP((-(Links!W49/Links!BP49)^Links!CE49)/Links!CE49)-Links!AL49)+(ATM_Conf!$C$5/Links!W$191)*Links!AL49*(Nodes!BG49-Links!AL49)-(ATM_Conf!$C$9*ATM_Conf!$C$5/(ATM_Conf!$C$8*Links!W$191))*(Nodes!BU49-Links!W49)/(Links!W49/ATM_Conf!$C$10)</f>
        <v>#DIV/0!</v>
      </c>
      <c r="AM50" s="45" t="e">
        <f>AM49+(ATM_Conf!$C$5/ATM_Conf!$C$8)*(Links!BB49*EXP((-(Links!X49/Links!BQ49)^Links!CF49)/Links!CF49)-Links!AM49)+(ATM_Conf!$C$5/Links!X$191)*Links!AM49*(Nodes!BH49-Links!AM49)</f>
        <v>#DIV/0!</v>
      </c>
      <c r="AN50" s="45" t="e">
        <f>AN49+(ATM_Conf!$C$5/ATM_Conf!$C$8)*(Links!BC49*EXP((-(Links!Y49/Links!BR49)^Links!CG49)/Links!CG49)-Links!AN49)-(ATM_Conf!$C$9*ATM_Conf!$C$5/(ATM_Conf!$C$8*Links!Y$191))*(Nodes!BV49-Links!Y49)/(Links!Y49/ATM_Conf!$C$10)</f>
        <v>#DIV/0!</v>
      </c>
      <c r="AO50" s="45" t="e">
        <f>AO49+(ATM_Conf!$C$5/ATM_Conf!$C$8)*(Links!BD49*EXP((-(Links!Z49/Links!BS49)^Links!CH49)/Links!CH49)-Links!AO49)+(ATM_Conf!$C$5/Links!Z$191)*Links!AO49*(Nodes!BI49-Links!AO49)-(ATM_Conf!$C$9*ATM_Conf!$C$5/(ATM_Conf!$C$8*Links!Z$191))*(Nodes!BW49-Links!Z49)/(Links!Z49/ATM_Conf!$C$10)</f>
        <v>#DIV/0!</v>
      </c>
      <c r="AP50" s="45" t="e">
        <f>AP49+(ATM_Conf!$C$5/ATM_Conf!$C$8)*(Links!BE49*EXP((-(Links!AA49/Links!BT49)^Links!CI49)/Links!CI49)-Links!AP49)+(ATM_Conf!$C$5/Links!AA$191)*Links!AP49*(Nodes!BJ49-Links!AP49)-(ATM_Conf!$C$9*ATM_Conf!$C$5/(ATM_Conf!$C$8*Links!AA$191))*(Nodes!BX49-Links!AA49)/(Links!AA49/ATM_Conf!$C$10)</f>
        <v>#DIV/0!</v>
      </c>
      <c r="AQ50" s="45" t="e">
        <f>AQ49+(ATM_Conf!$C$5/ATM_Conf!$C$8)*(Links!BF49*EXP((-(Links!AB49/Links!BU49)^Links!CJ49)/Links!CJ49)-Links!AQ49)+(ATM_Conf!$C$5/Links!AB$191)*Links!AQ49*(Nodes!BK49-Links!AQ49)-(ATM_Conf!$C$9*ATM_Conf!$C$5/(ATM_Conf!$C$8*Links!AB$191))*(Nodes!BY49-Links!AB49)/(Links!AB49/ATM_Conf!$C$10)</f>
        <v>#DIV/0!</v>
      </c>
      <c r="AR50" s="45" t="e">
        <f>AR49+(ATM_Conf!$C$5/ATM_Conf!$C$8)*(Links!BG49*EXP((-(Links!AC49/Links!BV49)^Links!CK49)/Links!CK49)-Links!AR49)+(ATM_Conf!$C$5/Links!AC$191)*Links!AR49*(Nodes!BL49-Links!AR49)-(ATM_Conf!$C$9*ATM_Conf!$C$5/(ATM_Conf!$C$8*Links!AC$191))*(Nodes!BZ49-Links!AC49)/(Links!AC49/ATM_Conf!$C$10)</f>
        <v>#DIV/0!</v>
      </c>
      <c r="AS50" s="45" t="e">
        <f>AS49+(ATM_Conf!$C$5/ATM_Conf!$C$8)*(Links!BH49*EXP((-(Links!AD49/Links!BW49)^Links!CL49)/Links!CL49)-Links!AS49)+(ATM_Conf!$C$5/Links!AD$191)*Links!AS49*(Nodes!BM49-Links!AS49)-(ATM_Conf!$C$9*ATM_Conf!$C$5/(ATM_Conf!$C$8*Links!AD$191))*(Nodes!CA49-Links!AD49)/(Links!AD49/ATM_Conf!$C$10)</f>
        <v>#DIV/0!</v>
      </c>
      <c r="AT50" s="45" t="e">
        <f>AT49+(ATM_Conf!$C$5/ATM_Conf!$C$8)*(Links!BI49*EXP((-(Links!AE49/Links!BX49)^Links!CM49)/Links!CM49)-Links!AT49)+(ATM_Conf!$C$5/Links!AE$191)*Links!AT49*(Nodes!BN49-Links!AT49)</f>
        <v>#DIV/0!</v>
      </c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45">
        <f t="shared" si="27"/>
        <v>0</v>
      </c>
      <c r="CO50" s="45">
        <f t="shared" si="27"/>
        <v>0</v>
      </c>
      <c r="CP50" s="45">
        <f t="shared" si="27"/>
        <v>0</v>
      </c>
      <c r="CQ50" s="45">
        <f t="shared" si="27"/>
        <v>0</v>
      </c>
      <c r="CR50" s="45">
        <f t="shared" si="27"/>
        <v>0</v>
      </c>
      <c r="CS50" s="45">
        <f t="shared" si="27"/>
        <v>0</v>
      </c>
      <c r="CT50" s="45">
        <f t="shared" si="27"/>
        <v>0</v>
      </c>
      <c r="CU50" s="45">
        <f t="shared" si="27"/>
        <v>0</v>
      </c>
      <c r="CV50" s="45">
        <f t="shared" si="27"/>
        <v>0</v>
      </c>
      <c r="CW50" s="45">
        <f t="shared" si="27"/>
        <v>0</v>
      </c>
      <c r="CX50" s="45">
        <f t="shared" si="27"/>
        <v>0</v>
      </c>
      <c r="CY50" s="45">
        <f t="shared" si="27"/>
        <v>0</v>
      </c>
      <c r="CZ50" s="45">
        <f t="shared" si="27"/>
        <v>0</v>
      </c>
      <c r="DA50" s="45">
        <f t="shared" si="27"/>
        <v>0</v>
      </c>
      <c r="DB50" s="45">
        <f t="shared" si="27"/>
        <v>0</v>
      </c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</row>
    <row r="51" spans="1:121" ht="14.25" x14ac:dyDescent="0.15">
      <c r="A51" s="48">
        <v>49</v>
      </c>
      <c r="B51" s="45" t="e">
        <f t="shared" si="2"/>
        <v>#DIV/0!</v>
      </c>
      <c r="C51" s="45" t="e">
        <f t="shared" si="3"/>
        <v>#DIV/0!</v>
      </c>
      <c r="D51" s="45" t="e">
        <f t="shared" si="4"/>
        <v>#DIV/0!</v>
      </c>
      <c r="E51" s="45" t="e">
        <f t="shared" si="5"/>
        <v>#DIV/0!</v>
      </c>
      <c r="F51" s="45" t="e">
        <f t="shared" si="6"/>
        <v>#DIV/0!</v>
      </c>
      <c r="G51" s="45" t="e">
        <f t="shared" si="7"/>
        <v>#DIV/0!</v>
      </c>
      <c r="H51" s="45" t="e">
        <f t="shared" si="8"/>
        <v>#DIV/0!</v>
      </c>
      <c r="I51" s="45" t="e">
        <f t="shared" si="9"/>
        <v>#DIV/0!</v>
      </c>
      <c r="J51" s="45" t="e">
        <f t="shared" si="10"/>
        <v>#DIV/0!</v>
      </c>
      <c r="K51" s="45" t="e">
        <f t="shared" si="11"/>
        <v>#DIV/0!</v>
      </c>
      <c r="L51" s="45" t="e">
        <f t="shared" si="12"/>
        <v>#DIV/0!</v>
      </c>
      <c r="M51" s="45" t="e">
        <f t="shared" si="13"/>
        <v>#DIV/0!</v>
      </c>
      <c r="N51" s="45" t="e">
        <f t="shared" si="14"/>
        <v>#DIV/0!</v>
      </c>
      <c r="O51" s="45" t="e">
        <f t="shared" si="15"/>
        <v>#DIV/0!</v>
      </c>
      <c r="P51" s="45" t="e">
        <f t="shared" si="16"/>
        <v>#DIV/0!</v>
      </c>
      <c r="Q51" s="55" t="e">
        <f>Q50+ATM_Conf!$C$5*(B50)/(Links!B$191*Links!Q$191)</f>
        <v>#DIV/0!</v>
      </c>
      <c r="R51" s="55" t="e">
        <f>R50+ATM_Conf!$C$5*(C50-B50)/(Links!C$191*Links!R$191)</f>
        <v>#DIV/0!</v>
      </c>
      <c r="S51" s="55" t="e">
        <f>S50+ATM_Conf!$C$5*(D50-C50)/(Links!D$191*Links!S$191)</f>
        <v>#DIV/0!</v>
      </c>
      <c r="T51" s="55" t="e">
        <f>T50+ATM_Conf!$C$5*(E50-D50)/(Links!E$191*Links!T$191)</f>
        <v>#DIV/0!</v>
      </c>
      <c r="U51" s="55" t="e">
        <f>U50+ATM_Conf!$C$5*(F50-E50)/(Links!F$191*Links!U$191)</f>
        <v>#DIV/0!</v>
      </c>
      <c r="V51" s="55" t="e">
        <f>V50+ATM_Conf!$C$5*(G50-F50)/(Links!G$191*Links!V$191)</f>
        <v>#DIV/0!</v>
      </c>
      <c r="W51" s="55" t="e">
        <f>W50+ATM_Conf!$C$5*(H50-G50)/(Links!H$191*Links!W$191)</f>
        <v>#DIV/0!</v>
      </c>
      <c r="X51" s="55" t="e">
        <f>X50+ATM_Conf!$C$5*(I50-H50)/(Links!I$191*Links!X$191)</f>
        <v>#DIV/0!</v>
      </c>
      <c r="Y51" s="55" t="e">
        <f>Y50+ATM_Conf!$C$5*(J50)/(Links!J$191*Links!Y$191)</f>
        <v>#DIV/0!</v>
      </c>
      <c r="Z51" s="55" t="e">
        <f>Z50+ATM_Conf!$C$5*(K50-J50)/(Links!K$191*Links!Z$191)</f>
        <v>#DIV/0!</v>
      </c>
      <c r="AA51" s="55" t="e">
        <f>AA50+ATM_Conf!$C$5*(L50-K50)/(Links!L$191*Links!AA$191)</f>
        <v>#DIV/0!</v>
      </c>
      <c r="AB51" s="55" t="e">
        <f>AB50+ATM_Conf!$C$5*(M50-L50)/(Links!M$191*Links!AB$191)</f>
        <v>#DIV/0!</v>
      </c>
      <c r="AC51" s="55" t="e">
        <f>AC50+ATM_Conf!$C$5*(N50-M50)/(Links!N$191*Links!AC$191)</f>
        <v>#DIV/0!</v>
      </c>
      <c r="AD51" s="55" t="e">
        <f>AD50+ATM_Conf!$C$5*(O50-N50)/(Links!O$191*Links!AD$191)</f>
        <v>#DIV/0!</v>
      </c>
      <c r="AE51" s="55" t="e">
        <f>AE50+ATM_Conf!$C$5*(P50-O50)/(Links!P$191*Links!AE$191)</f>
        <v>#DIV/0!</v>
      </c>
      <c r="AF51" s="45" t="e">
        <f>AF50+(ATM_Conf!$C$5/ATM_Conf!$C$8)*(Links!AU50*EXP((-(Links!Q50/Links!BJ50)^Links!BY50)/Links!BY50)-Links!AF50)-(ATM_Conf!$C$9*ATM_Conf!$C$5/(ATM_Conf!$C$8*Links!Q$191))*(Nodes!BO50-Links!Q50)/(Links!Q50/ATM_Conf!$C$10)</f>
        <v>#DIV/0!</v>
      </c>
      <c r="AG51" s="45" t="e">
        <f>AG50+(ATM_Conf!$C$5/ATM_Conf!$C$8)*(Links!AV50*EXP((-(Links!R50/Links!BK50)^Links!BZ50)/Links!BZ50)-Links!AG50)+(ATM_Conf!$C$5/Links!R$191)*Links!AG50*(Nodes!BB50-Links!AG50)-(ATM_Conf!$C$9*ATM_Conf!$C$5/(ATM_Conf!$C$8*Links!R$191))*(Nodes!BP50-Links!R50)/(Links!R50/ATM_Conf!$C$10)</f>
        <v>#DIV/0!</v>
      </c>
      <c r="AH51" s="45" t="e">
        <f>AH50+(ATM_Conf!$C$5/ATM_Conf!$C$8)*(Links!AW50*EXP((-(Links!S50/Links!BL50)^Links!CA50)/Links!CA50)-Links!AH50)+(ATM_Conf!$C$5/Links!S$191)*Links!AH50*(Nodes!BC50-Links!AH50)-(ATM_Conf!$C$9*ATM_Conf!$C$5/(ATM_Conf!$C$8*Links!S$191))*(Nodes!BQ50-Links!S50)/(Links!S50/ATM_Conf!$C$10)</f>
        <v>#DIV/0!</v>
      </c>
      <c r="AI51" s="45" t="e">
        <f>AI50+(ATM_Conf!$C$5/ATM_Conf!$C$8)*(Links!AX50*EXP((-(Links!T50/Links!BM50)^Links!CB50)/Links!CB50)-Links!AI50)+(ATM_Conf!$C$5/Links!T$191)*Links!AI50*(Nodes!BD50-Links!AI50)-(ATM_Conf!$C$9*ATM_Conf!$C$5/(ATM_Conf!$C$8*Links!T$191))*(Nodes!BR50-Links!T50)/(Links!T50/ATM_Conf!$C$10)</f>
        <v>#DIV/0!</v>
      </c>
      <c r="AJ51" s="45" t="e">
        <f>AJ50+(ATM_Conf!$C$5/ATM_Conf!$C$8)*(Links!AY50*EXP((-(Links!U50/Links!BN50)^Links!CC50)/Links!CC50)-Links!AJ50)+(ATM_Conf!$C$5/Links!U$191)*Links!AJ50*(Nodes!BE50-Links!AJ50)-(ATM_Conf!$C$9*ATM_Conf!$C$5/(ATM_Conf!$C$8*Links!U$191))*(Nodes!BS50-Links!U50)/(Links!U50/ATM_Conf!$C$10)</f>
        <v>#DIV/0!</v>
      </c>
      <c r="AK51" s="45" t="e">
        <f>AK50+(ATM_Conf!$C$5/ATM_Conf!$C$8)*(Links!AZ50*EXP((-(Links!V50/Links!BO50)^Links!CD50)/Links!CD50)-Links!AK50)+(ATM_Conf!$C$5/Links!V$191)*Links!AK50*(Nodes!BF50-Links!AK50)-(ATM_Conf!$C$9*ATM_Conf!$C$5/(ATM_Conf!$C$8*Links!V$191))*(Nodes!BT50-Links!V50)/(Links!V50/ATM_Conf!$C$10)</f>
        <v>#DIV/0!</v>
      </c>
      <c r="AL51" s="45" t="e">
        <f>AL50+(ATM_Conf!$C$5/ATM_Conf!$C$8)*(Links!BA50*EXP((-(Links!W50/Links!BP50)^Links!CE50)/Links!CE50)-Links!AL50)+(ATM_Conf!$C$5/Links!W$191)*Links!AL50*(Nodes!BG50-Links!AL50)-(ATM_Conf!$C$9*ATM_Conf!$C$5/(ATM_Conf!$C$8*Links!W$191))*(Nodes!BU50-Links!W50)/(Links!W50/ATM_Conf!$C$10)</f>
        <v>#DIV/0!</v>
      </c>
      <c r="AM51" s="45" t="e">
        <f>AM50+(ATM_Conf!$C$5/ATM_Conf!$C$8)*(Links!BB50*EXP((-(Links!X50/Links!BQ50)^Links!CF50)/Links!CF50)-Links!AM50)+(ATM_Conf!$C$5/Links!X$191)*Links!AM50*(Nodes!BH50-Links!AM50)</f>
        <v>#DIV/0!</v>
      </c>
      <c r="AN51" s="45" t="e">
        <f>AN50+(ATM_Conf!$C$5/ATM_Conf!$C$8)*(Links!BC50*EXP((-(Links!Y50/Links!BR50)^Links!CG50)/Links!CG50)-Links!AN50)-(ATM_Conf!$C$9*ATM_Conf!$C$5/(ATM_Conf!$C$8*Links!Y$191))*(Nodes!BV50-Links!Y50)/(Links!Y50/ATM_Conf!$C$10)</f>
        <v>#DIV/0!</v>
      </c>
      <c r="AO51" s="45" t="e">
        <f>AO50+(ATM_Conf!$C$5/ATM_Conf!$C$8)*(Links!BD50*EXP((-(Links!Z50/Links!BS50)^Links!CH50)/Links!CH50)-Links!AO50)+(ATM_Conf!$C$5/Links!Z$191)*Links!AO50*(Nodes!BI50-Links!AO50)-(ATM_Conf!$C$9*ATM_Conf!$C$5/(ATM_Conf!$C$8*Links!Z$191))*(Nodes!BW50-Links!Z50)/(Links!Z50/ATM_Conf!$C$10)</f>
        <v>#DIV/0!</v>
      </c>
      <c r="AP51" s="45" t="e">
        <f>AP50+(ATM_Conf!$C$5/ATM_Conf!$C$8)*(Links!BE50*EXP((-(Links!AA50/Links!BT50)^Links!CI50)/Links!CI50)-Links!AP50)+(ATM_Conf!$C$5/Links!AA$191)*Links!AP50*(Nodes!BJ50-Links!AP50)-(ATM_Conf!$C$9*ATM_Conf!$C$5/(ATM_Conf!$C$8*Links!AA$191))*(Nodes!BX50-Links!AA50)/(Links!AA50/ATM_Conf!$C$10)</f>
        <v>#DIV/0!</v>
      </c>
      <c r="AQ51" s="45" t="e">
        <f>AQ50+(ATM_Conf!$C$5/ATM_Conf!$C$8)*(Links!BF50*EXP((-(Links!AB50/Links!BU50)^Links!CJ50)/Links!CJ50)-Links!AQ50)+(ATM_Conf!$C$5/Links!AB$191)*Links!AQ50*(Nodes!BK50-Links!AQ50)-(ATM_Conf!$C$9*ATM_Conf!$C$5/(ATM_Conf!$C$8*Links!AB$191))*(Nodes!BY50-Links!AB50)/(Links!AB50/ATM_Conf!$C$10)</f>
        <v>#DIV/0!</v>
      </c>
      <c r="AR51" s="45" t="e">
        <f>AR50+(ATM_Conf!$C$5/ATM_Conf!$C$8)*(Links!BG50*EXP((-(Links!AC50/Links!BV50)^Links!CK50)/Links!CK50)-Links!AR50)+(ATM_Conf!$C$5/Links!AC$191)*Links!AR50*(Nodes!BL50-Links!AR50)-(ATM_Conf!$C$9*ATM_Conf!$C$5/(ATM_Conf!$C$8*Links!AC$191))*(Nodes!BZ50-Links!AC50)/(Links!AC50/ATM_Conf!$C$10)</f>
        <v>#DIV/0!</v>
      </c>
      <c r="AS51" s="45" t="e">
        <f>AS50+(ATM_Conf!$C$5/ATM_Conf!$C$8)*(Links!BH50*EXP((-(Links!AD50/Links!BW50)^Links!CL50)/Links!CL50)-Links!AS50)+(ATM_Conf!$C$5/Links!AD$191)*Links!AS50*(Nodes!BM50-Links!AS50)-(ATM_Conf!$C$9*ATM_Conf!$C$5/(ATM_Conf!$C$8*Links!AD$191))*(Nodes!CA50-Links!AD50)/(Links!AD50/ATM_Conf!$C$10)</f>
        <v>#DIV/0!</v>
      </c>
      <c r="AT51" s="45" t="e">
        <f>AT50+(ATM_Conf!$C$5/ATM_Conf!$C$8)*(Links!BI50*EXP((-(Links!AE50/Links!BX50)^Links!CM50)/Links!CM50)-Links!AT50)+(ATM_Conf!$C$5/Links!AE$191)*Links!AT50*(Nodes!BN50-Links!AT50)</f>
        <v>#DIV/0!</v>
      </c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45"/>
      <c r="BK51" s="45"/>
      <c r="BL51" s="45"/>
      <c r="BM51" s="45"/>
      <c r="BN51" s="45"/>
      <c r="BO51" s="45"/>
      <c r="BP51" s="45"/>
      <c r="BQ51" s="45"/>
      <c r="BR51" s="45"/>
      <c r="BS51" s="45"/>
      <c r="BT51" s="45"/>
      <c r="BU51" s="45"/>
      <c r="BV51" s="45"/>
      <c r="BW51" s="45"/>
      <c r="BX51" s="4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53">
        <f>(CN51-CN39)^2</f>
        <v>0</v>
      </c>
      <c r="DD51" s="53">
        <f t="shared" ref="DD51:DQ51" si="28">(CO51-CO39)^2</f>
        <v>0</v>
      </c>
      <c r="DE51" s="53">
        <f t="shared" si="28"/>
        <v>0</v>
      </c>
      <c r="DF51" s="53">
        <f t="shared" si="28"/>
        <v>0</v>
      </c>
      <c r="DG51" s="53">
        <f t="shared" si="28"/>
        <v>0</v>
      </c>
      <c r="DH51" s="53">
        <f t="shared" si="28"/>
        <v>0</v>
      </c>
      <c r="DI51" s="53">
        <f t="shared" si="28"/>
        <v>0</v>
      </c>
      <c r="DJ51" s="53">
        <f t="shared" si="28"/>
        <v>0</v>
      </c>
      <c r="DK51" s="53">
        <f t="shared" si="28"/>
        <v>0</v>
      </c>
      <c r="DL51" s="53">
        <f t="shared" si="28"/>
        <v>0</v>
      </c>
      <c r="DM51" s="53">
        <f t="shared" si="28"/>
        <v>0</v>
      </c>
      <c r="DN51" s="53">
        <f t="shared" si="28"/>
        <v>0</v>
      </c>
      <c r="DO51" s="53">
        <f t="shared" si="28"/>
        <v>0</v>
      </c>
      <c r="DP51" s="53">
        <f t="shared" si="28"/>
        <v>0</v>
      </c>
      <c r="DQ51" s="53">
        <f t="shared" si="28"/>
        <v>0</v>
      </c>
    </row>
    <row r="52" spans="1:121" ht="14.25" x14ac:dyDescent="0.15">
      <c r="A52" s="48">
        <v>50</v>
      </c>
      <c r="B52" s="45" t="e">
        <f t="shared" si="2"/>
        <v>#DIV/0!</v>
      </c>
      <c r="C52" s="45" t="e">
        <f t="shared" si="3"/>
        <v>#DIV/0!</v>
      </c>
      <c r="D52" s="45" t="e">
        <f t="shared" si="4"/>
        <v>#DIV/0!</v>
      </c>
      <c r="E52" s="45" t="e">
        <f t="shared" si="5"/>
        <v>#DIV/0!</v>
      </c>
      <c r="F52" s="45" t="e">
        <f t="shared" si="6"/>
        <v>#DIV/0!</v>
      </c>
      <c r="G52" s="45" t="e">
        <f t="shared" si="7"/>
        <v>#DIV/0!</v>
      </c>
      <c r="H52" s="45" t="e">
        <f t="shared" si="8"/>
        <v>#DIV/0!</v>
      </c>
      <c r="I52" s="45" t="e">
        <f t="shared" si="9"/>
        <v>#DIV/0!</v>
      </c>
      <c r="J52" s="45" t="e">
        <f t="shared" si="10"/>
        <v>#DIV/0!</v>
      </c>
      <c r="K52" s="45" t="e">
        <f t="shared" si="11"/>
        <v>#DIV/0!</v>
      </c>
      <c r="L52" s="45" t="e">
        <f t="shared" si="12"/>
        <v>#DIV/0!</v>
      </c>
      <c r="M52" s="45" t="e">
        <f t="shared" si="13"/>
        <v>#DIV/0!</v>
      </c>
      <c r="N52" s="45" t="e">
        <f t="shared" si="14"/>
        <v>#DIV/0!</v>
      </c>
      <c r="O52" s="45" t="e">
        <f t="shared" si="15"/>
        <v>#DIV/0!</v>
      </c>
      <c r="P52" s="45" t="e">
        <f t="shared" si="16"/>
        <v>#DIV/0!</v>
      </c>
      <c r="Q52" s="55" t="e">
        <f>Q51+ATM_Conf!$C$5*(B51)/(Links!B$191*Links!Q$191)</f>
        <v>#DIV/0!</v>
      </c>
      <c r="R52" s="55" t="e">
        <f>R51+ATM_Conf!$C$5*(C51-B51)/(Links!C$191*Links!R$191)</f>
        <v>#DIV/0!</v>
      </c>
      <c r="S52" s="55" t="e">
        <f>S51+ATM_Conf!$C$5*(D51-C51)/(Links!D$191*Links!S$191)</f>
        <v>#DIV/0!</v>
      </c>
      <c r="T52" s="55" t="e">
        <f>T51+ATM_Conf!$C$5*(E51-D51)/(Links!E$191*Links!T$191)</f>
        <v>#DIV/0!</v>
      </c>
      <c r="U52" s="55" t="e">
        <f>U51+ATM_Conf!$C$5*(F51-E51)/(Links!F$191*Links!U$191)</f>
        <v>#DIV/0!</v>
      </c>
      <c r="V52" s="55" t="e">
        <f>V51+ATM_Conf!$C$5*(G51-F51)/(Links!G$191*Links!V$191)</f>
        <v>#DIV/0!</v>
      </c>
      <c r="W52" s="55" t="e">
        <f>W51+ATM_Conf!$C$5*(H51-G51)/(Links!H$191*Links!W$191)</f>
        <v>#DIV/0!</v>
      </c>
      <c r="X52" s="55" t="e">
        <f>X51+ATM_Conf!$C$5*(I51-H51)/(Links!I$191*Links!X$191)</f>
        <v>#DIV/0!</v>
      </c>
      <c r="Y52" s="55" t="e">
        <f>Y51+ATM_Conf!$C$5*(J51)/(Links!J$191*Links!Y$191)</f>
        <v>#DIV/0!</v>
      </c>
      <c r="Z52" s="55" t="e">
        <f>Z51+ATM_Conf!$C$5*(K51-J51)/(Links!K$191*Links!Z$191)</f>
        <v>#DIV/0!</v>
      </c>
      <c r="AA52" s="55" t="e">
        <f>AA51+ATM_Conf!$C$5*(L51-K51)/(Links!L$191*Links!AA$191)</f>
        <v>#DIV/0!</v>
      </c>
      <c r="AB52" s="55" t="e">
        <f>AB51+ATM_Conf!$C$5*(M51-L51)/(Links!M$191*Links!AB$191)</f>
        <v>#DIV/0!</v>
      </c>
      <c r="AC52" s="55" t="e">
        <f>AC51+ATM_Conf!$C$5*(N51-M51)/(Links!N$191*Links!AC$191)</f>
        <v>#DIV/0!</v>
      </c>
      <c r="AD52" s="55" t="e">
        <f>AD51+ATM_Conf!$C$5*(O51-N51)/(Links!O$191*Links!AD$191)</f>
        <v>#DIV/0!</v>
      </c>
      <c r="AE52" s="55" t="e">
        <f>AE51+ATM_Conf!$C$5*(P51-O51)/(Links!P$191*Links!AE$191)</f>
        <v>#DIV/0!</v>
      </c>
      <c r="AF52" s="45" t="e">
        <f>AF51+(ATM_Conf!$C$5/ATM_Conf!$C$8)*(Links!AU51*EXP((-(Links!Q51/Links!BJ51)^Links!BY51)/Links!BY51)-Links!AF51)-(ATM_Conf!$C$9*ATM_Conf!$C$5/(ATM_Conf!$C$8*Links!Q$191))*(Nodes!BO51-Links!Q51)/(Links!Q51/ATM_Conf!$C$10)</f>
        <v>#DIV/0!</v>
      </c>
      <c r="AG52" s="45" t="e">
        <f>AG51+(ATM_Conf!$C$5/ATM_Conf!$C$8)*(Links!AV51*EXP((-(Links!R51/Links!BK51)^Links!BZ51)/Links!BZ51)-Links!AG51)+(ATM_Conf!$C$5/Links!R$191)*Links!AG51*(Nodes!BB51-Links!AG51)-(ATM_Conf!$C$9*ATM_Conf!$C$5/(ATM_Conf!$C$8*Links!R$191))*(Nodes!BP51-Links!R51)/(Links!R51/ATM_Conf!$C$10)</f>
        <v>#DIV/0!</v>
      </c>
      <c r="AH52" s="45" t="e">
        <f>AH51+(ATM_Conf!$C$5/ATM_Conf!$C$8)*(Links!AW51*EXP((-(Links!S51/Links!BL51)^Links!CA51)/Links!CA51)-Links!AH51)+(ATM_Conf!$C$5/Links!S$191)*Links!AH51*(Nodes!BC51-Links!AH51)-(ATM_Conf!$C$9*ATM_Conf!$C$5/(ATM_Conf!$C$8*Links!S$191))*(Nodes!BQ51-Links!S51)/(Links!S51/ATM_Conf!$C$10)</f>
        <v>#DIV/0!</v>
      </c>
      <c r="AI52" s="45" t="e">
        <f>AI51+(ATM_Conf!$C$5/ATM_Conf!$C$8)*(Links!AX51*EXP((-(Links!T51/Links!BM51)^Links!CB51)/Links!CB51)-Links!AI51)+(ATM_Conf!$C$5/Links!T$191)*Links!AI51*(Nodes!BD51-Links!AI51)-(ATM_Conf!$C$9*ATM_Conf!$C$5/(ATM_Conf!$C$8*Links!T$191))*(Nodes!BR51-Links!T51)/(Links!T51/ATM_Conf!$C$10)</f>
        <v>#DIV/0!</v>
      </c>
      <c r="AJ52" s="45" t="e">
        <f>AJ51+(ATM_Conf!$C$5/ATM_Conf!$C$8)*(Links!AY51*EXP((-(Links!U51/Links!BN51)^Links!CC51)/Links!CC51)-Links!AJ51)+(ATM_Conf!$C$5/Links!U$191)*Links!AJ51*(Nodes!BE51-Links!AJ51)-(ATM_Conf!$C$9*ATM_Conf!$C$5/(ATM_Conf!$C$8*Links!U$191))*(Nodes!BS51-Links!U51)/(Links!U51/ATM_Conf!$C$10)</f>
        <v>#DIV/0!</v>
      </c>
      <c r="AK52" s="45" t="e">
        <f>AK51+(ATM_Conf!$C$5/ATM_Conf!$C$8)*(Links!AZ51*EXP((-(Links!V51/Links!BO51)^Links!CD51)/Links!CD51)-Links!AK51)+(ATM_Conf!$C$5/Links!V$191)*Links!AK51*(Nodes!BF51-Links!AK51)-(ATM_Conf!$C$9*ATM_Conf!$C$5/(ATM_Conf!$C$8*Links!V$191))*(Nodes!BT51-Links!V51)/(Links!V51/ATM_Conf!$C$10)</f>
        <v>#DIV/0!</v>
      </c>
      <c r="AL52" s="45" t="e">
        <f>AL51+(ATM_Conf!$C$5/ATM_Conf!$C$8)*(Links!BA51*EXP((-(Links!W51/Links!BP51)^Links!CE51)/Links!CE51)-Links!AL51)+(ATM_Conf!$C$5/Links!W$191)*Links!AL51*(Nodes!BG51-Links!AL51)-(ATM_Conf!$C$9*ATM_Conf!$C$5/(ATM_Conf!$C$8*Links!W$191))*(Nodes!BU51-Links!W51)/(Links!W51/ATM_Conf!$C$10)</f>
        <v>#DIV/0!</v>
      </c>
      <c r="AM52" s="45" t="e">
        <f>AM51+(ATM_Conf!$C$5/ATM_Conf!$C$8)*(Links!BB51*EXP((-(Links!X51/Links!BQ51)^Links!CF51)/Links!CF51)-Links!AM51)+(ATM_Conf!$C$5/Links!X$191)*Links!AM51*(Nodes!BH51-Links!AM51)</f>
        <v>#DIV/0!</v>
      </c>
      <c r="AN52" s="45" t="e">
        <f>AN51+(ATM_Conf!$C$5/ATM_Conf!$C$8)*(Links!BC51*EXP((-(Links!Y51/Links!BR51)^Links!CG51)/Links!CG51)-Links!AN51)-(ATM_Conf!$C$9*ATM_Conf!$C$5/(ATM_Conf!$C$8*Links!Y$191))*(Nodes!BV51-Links!Y51)/(Links!Y51/ATM_Conf!$C$10)</f>
        <v>#DIV/0!</v>
      </c>
      <c r="AO52" s="45" t="e">
        <f>AO51+(ATM_Conf!$C$5/ATM_Conf!$C$8)*(Links!BD51*EXP((-(Links!Z51/Links!BS51)^Links!CH51)/Links!CH51)-Links!AO51)+(ATM_Conf!$C$5/Links!Z$191)*Links!AO51*(Nodes!BI51-Links!AO51)-(ATM_Conf!$C$9*ATM_Conf!$C$5/(ATM_Conf!$C$8*Links!Z$191))*(Nodes!BW51-Links!Z51)/(Links!Z51/ATM_Conf!$C$10)</f>
        <v>#DIV/0!</v>
      </c>
      <c r="AP52" s="45" t="e">
        <f>AP51+(ATM_Conf!$C$5/ATM_Conf!$C$8)*(Links!BE51*EXP((-(Links!AA51/Links!BT51)^Links!CI51)/Links!CI51)-Links!AP51)+(ATM_Conf!$C$5/Links!AA$191)*Links!AP51*(Nodes!BJ51-Links!AP51)-(ATM_Conf!$C$9*ATM_Conf!$C$5/(ATM_Conf!$C$8*Links!AA$191))*(Nodes!BX51-Links!AA51)/(Links!AA51/ATM_Conf!$C$10)</f>
        <v>#DIV/0!</v>
      </c>
      <c r="AQ52" s="45" t="e">
        <f>AQ51+(ATM_Conf!$C$5/ATM_Conf!$C$8)*(Links!BF51*EXP((-(Links!AB51/Links!BU51)^Links!CJ51)/Links!CJ51)-Links!AQ51)+(ATM_Conf!$C$5/Links!AB$191)*Links!AQ51*(Nodes!BK51-Links!AQ51)-(ATM_Conf!$C$9*ATM_Conf!$C$5/(ATM_Conf!$C$8*Links!AB$191))*(Nodes!BY51-Links!AB51)/(Links!AB51/ATM_Conf!$C$10)</f>
        <v>#DIV/0!</v>
      </c>
      <c r="AR52" s="45" t="e">
        <f>AR51+(ATM_Conf!$C$5/ATM_Conf!$C$8)*(Links!BG51*EXP((-(Links!AC51/Links!BV51)^Links!CK51)/Links!CK51)-Links!AR51)+(ATM_Conf!$C$5/Links!AC$191)*Links!AR51*(Nodes!BL51-Links!AR51)-(ATM_Conf!$C$9*ATM_Conf!$C$5/(ATM_Conf!$C$8*Links!AC$191))*(Nodes!BZ51-Links!AC51)/(Links!AC51/ATM_Conf!$C$10)</f>
        <v>#DIV/0!</v>
      </c>
      <c r="AS52" s="45" t="e">
        <f>AS51+(ATM_Conf!$C$5/ATM_Conf!$C$8)*(Links!BH51*EXP((-(Links!AD51/Links!BW51)^Links!CL51)/Links!CL51)-Links!AS51)+(ATM_Conf!$C$5/Links!AD$191)*Links!AS51*(Nodes!BM51-Links!AS51)-(ATM_Conf!$C$9*ATM_Conf!$C$5/(ATM_Conf!$C$8*Links!AD$191))*(Nodes!CA51-Links!AD51)/(Links!AD51/ATM_Conf!$C$10)</f>
        <v>#DIV/0!</v>
      </c>
      <c r="AT52" s="45" t="e">
        <f>AT51+(ATM_Conf!$C$5/ATM_Conf!$C$8)*(Links!BI51*EXP((-(Links!AE51/Links!BX51)^Links!CM51)/Links!CM51)-Links!AT51)+(ATM_Conf!$C$5/Links!AE$191)*Links!AT51*(Nodes!BN51-Links!AT51)</f>
        <v>#DIV/0!</v>
      </c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45">
        <f>CN$51</f>
        <v>0</v>
      </c>
      <c r="CO52" s="45">
        <f t="shared" ref="CO52:DB52" si="29">CO$51</f>
        <v>0</v>
      </c>
      <c r="CP52" s="45">
        <f t="shared" si="29"/>
        <v>0</v>
      </c>
      <c r="CQ52" s="45">
        <f t="shared" si="29"/>
        <v>0</v>
      </c>
      <c r="CR52" s="45">
        <f t="shared" si="29"/>
        <v>0</v>
      </c>
      <c r="CS52" s="45">
        <f t="shared" si="29"/>
        <v>0</v>
      </c>
      <c r="CT52" s="45">
        <f t="shared" si="29"/>
        <v>0</v>
      </c>
      <c r="CU52" s="45">
        <f t="shared" si="29"/>
        <v>0</v>
      </c>
      <c r="CV52" s="45">
        <f t="shared" si="29"/>
        <v>0</v>
      </c>
      <c r="CW52" s="45">
        <f t="shared" si="29"/>
        <v>0</v>
      </c>
      <c r="CX52" s="45">
        <f t="shared" si="29"/>
        <v>0</v>
      </c>
      <c r="CY52" s="45">
        <f t="shared" si="29"/>
        <v>0</v>
      </c>
      <c r="CZ52" s="45">
        <f t="shared" si="29"/>
        <v>0</v>
      </c>
      <c r="DA52" s="45">
        <f t="shared" si="29"/>
        <v>0</v>
      </c>
      <c r="DB52" s="45">
        <f t="shared" si="29"/>
        <v>0</v>
      </c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</row>
    <row r="53" spans="1:121" ht="14.25" x14ac:dyDescent="0.15">
      <c r="A53" s="48">
        <v>51</v>
      </c>
      <c r="B53" s="45" t="e">
        <f t="shared" si="2"/>
        <v>#DIV/0!</v>
      </c>
      <c r="C53" s="45" t="e">
        <f t="shared" si="3"/>
        <v>#DIV/0!</v>
      </c>
      <c r="D53" s="45" t="e">
        <f t="shared" si="4"/>
        <v>#DIV/0!</v>
      </c>
      <c r="E53" s="45" t="e">
        <f t="shared" si="5"/>
        <v>#DIV/0!</v>
      </c>
      <c r="F53" s="45" t="e">
        <f t="shared" si="6"/>
        <v>#DIV/0!</v>
      </c>
      <c r="G53" s="45" t="e">
        <f t="shared" si="7"/>
        <v>#DIV/0!</v>
      </c>
      <c r="H53" s="45" t="e">
        <f t="shared" si="8"/>
        <v>#DIV/0!</v>
      </c>
      <c r="I53" s="45" t="e">
        <f t="shared" si="9"/>
        <v>#DIV/0!</v>
      </c>
      <c r="J53" s="45" t="e">
        <f t="shared" si="10"/>
        <v>#DIV/0!</v>
      </c>
      <c r="K53" s="45" t="e">
        <f t="shared" si="11"/>
        <v>#DIV/0!</v>
      </c>
      <c r="L53" s="45" t="e">
        <f t="shared" si="12"/>
        <v>#DIV/0!</v>
      </c>
      <c r="M53" s="45" t="e">
        <f t="shared" si="13"/>
        <v>#DIV/0!</v>
      </c>
      <c r="N53" s="45" t="e">
        <f t="shared" si="14"/>
        <v>#DIV/0!</v>
      </c>
      <c r="O53" s="45" t="e">
        <f t="shared" si="15"/>
        <v>#DIV/0!</v>
      </c>
      <c r="P53" s="45" t="e">
        <f t="shared" si="16"/>
        <v>#DIV/0!</v>
      </c>
      <c r="Q53" s="55" t="e">
        <f>Q52+ATM_Conf!$C$5*(B52)/(Links!B$191*Links!Q$191)</f>
        <v>#DIV/0!</v>
      </c>
      <c r="R53" s="55" t="e">
        <f>R52+ATM_Conf!$C$5*(C52-B52)/(Links!C$191*Links!R$191)</f>
        <v>#DIV/0!</v>
      </c>
      <c r="S53" s="55" t="e">
        <f>S52+ATM_Conf!$C$5*(D52-C52)/(Links!D$191*Links!S$191)</f>
        <v>#DIV/0!</v>
      </c>
      <c r="T53" s="55" t="e">
        <f>T52+ATM_Conf!$C$5*(E52-D52)/(Links!E$191*Links!T$191)</f>
        <v>#DIV/0!</v>
      </c>
      <c r="U53" s="55" t="e">
        <f>U52+ATM_Conf!$C$5*(F52-E52)/(Links!F$191*Links!U$191)</f>
        <v>#DIV/0!</v>
      </c>
      <c r="V53" s="55" t="e">
        <f>V52+ATM_Conf!$C$5*(G52-F52)/(Links!G$191*Links!V$191)</f>
        <v>#DIV/0!</v>
      </c>
      <c r="W53" s="55" t="e">
        <f>W52+ATM_Conf!$C$5*(H52-G52)/(Links!H$191*Links!W$191)</f>
        <v>#DIV/0!</v>
      </c>
      <c r="X53" s="55" t="e">
        <f>X52+ATM_Conf!$C$5*(I52-H52)/(Links!I$191*Links!X$191)</f>
        <v>#DIV/0!</v>
      </c>
      <c r="Y53" s="55" t="e">
        <f>Y52+ATM_Conf!$C$5*(J52)/(Links!J$191*Links!Y$191)</f>
        <v>#DIV/0!</v>
      </c>
      <c r="Z53" s="55" t="e">
        <f>Z52+ATM_Conf!$C$5*(K52-J52)/(Links!K$191*Links!Z$191)</f>
        <v>#DIV/0!</v>
      </c>
      <c r="AA53" s="55" t="e">
        <f>AA52+ATM_Conf!$C$5*(L52-K52)/(Links!L$191*Links!AA$191)</f>
        <v>#DIV/0!</v>
      </c>
      <c r="AB53" s="55" t="e">
        <f>AB52+ATM_Conf!$C$5*(M52-L52)/(Links!M$191*Links!AB$191)</f>
        <v>#DIV/0!</v>
      </c>
      <c r="AC53" s="55" t="e">
        <f>AC52+ATM_Conf!$C$5*(N52-M52)/(Links!N$191*Links!AC$191)</f>
        <v>#DIV/0!</v>
      </c>
      <c r="AD53" s="55" t="e">
        <f>AD52+ATM_Conf!$C$5*(O52-N52)/(Links!O$191*Links!AD$191)</f>
        <v>#DIV/0!</v>
      </c>
      <c r="AE53" s="55" t="e">
        <f>AE52+ATM_Conf!$C$5*(P52-O52)/(Links!P$191*Links!AE$191)</f>
        <v>#DIV/0!</v>
      </c>
      <c r="AF53" s="45" t="e">
        <f>AF52+(ATM_Conf!$C$5/ATM_Conf!$C$8)*(Links!AU52*EXP((-(Links!Q52/Links!BJ52)^Links!BY52)/Links!BY52)-Links!AF52)-(ATM_Conf!$C$9*ATM_Conf!$C$5/(ATM_Conf!$C$8*Links!Q$191))*(Nodes!BO52-Links!Q52)/(Links!Q52/ATM_Conf!$C$10)</f>
        <v>#DIV/0!</v>
      </c>
      <c r="AG53" s="45" t="e">
        <f>AG52+(ATM_Conf!$C$5/ATM_Conf!$C$8)*(Links!AV52*EXP((-(Links!R52/Links!BK52)^Links!BZ52)/Links!BZ52)-Links!AG52)+(ATM_Conf!$C$5/Links!R$191)*Links!AG52*(Nodes!BB52-Links!AG52)-(ATM_Conf!$C$9*ATM_Conf!$C$5/(ATM_Conf!$C$8*Links!R$191))*(Nodes!BP52-Links!R52)/(Links!R52/ATM_Conf!$C$10)</f>
        <v>#DIV/0!</v>
      </c>
      <c r="AH53" s="45" t="e">
        <f>AH52+(ATM_Conf!$C$5/ATM_Conf!$C$8)*(Links!AW52*EXP((-(Links!S52/Links!BL52)^Links!CA52)/Links!CA52)-Links!AH52)+(ATM_Conf!$C$5/Links!S$191)*Links!AH52*(Nodes!BC52-Links!AH52)-(ATM_Conf!$C$9*ATM_Conf!$C$5/(ATM_Conf!$C$8*Links!S$191))*(Nodes!BQ52-Links!S52)/(Links!S52/ATM_Conf!$C$10)</f>
        <v>#DIV/0!</v>
      </c>
      <c r="AI53" s="45" t="e">
        <f>AI52+(ATM_Conf!$C$5/ATM_Conf!$C$8)*(Links!AX52*EXP((-(Links!T52/Links!BM52)^Links!CB52)/Links!CB52)-Links!AI52)+(ATM_Conf!$C$5/Links!T$191)*Links!AI52*(Nodes!BD52-Links!AI52)-(ATM_Conf!$C$9*ATM_Conf!$C$5/(ATM_Conf!$C$8*Links!T$191))*(Nodes!BR52-Links!T52)/(Links!T52/ATM_Conf!$C$10)</f>
        <v>#DIV/0!</v>
      </c>
      <c r="AJ53" s="45" t="e">
        <f>AJ52+(ATM_Conf!$C$5/ATM_Conf!$C$8)*(Links!AY52*EXP((-(Links!U52/Links!BN52)^Links!CC52)/Links!CC52)-Links!AJ52)+(ATM_Conf!$C$5/Links!U$191)*Links!AJ52*(Nodes!BE52-Links!AJ52)-(ATM_Conf!$C$9*ATM_Conf!$C$5/(ATM_Conf!$C$8*Links!U$191))*(Nodes!BS52-Links!U52)/(Links!U52/ATM_Conf!$C$10)</f>
        <v>#DIV/0!</v>
      </c>
      <c r="AK53" s="45" t="e">
        <f>AK52+(ATM_Conf!$C$5/ATM_Conf!$C$8)*(Links!AZ52*EXP((-(Links!V52/Links!BO52)^Links!CD52)/Links!CD52)-Links!AK52)+(ATM_Conf!$C$5/Links!V$191)*Links!AK52*(Nodes!BF52-Links!AK52)-(ATM_Conf!$C$9*ATM_Conf!$C$5/(ATM_Conf!$C$8*Links!V$191))*(Nodes!BT52-Links!V52)/(Links!V52/ATM_Conf!$C$10)</f>
        <v>#DIV/0!</v>
      </c>
      <c r="AL53" s="45" t="e">
        <f>AL52+(ATM_Conf!$C$5/ATM_Conf!$C$8)*(Links!BA52*EXP((-(Links!W52/Links!BP52)^Links!CE52)/Links!CE52)-Links!AL52)+(ATM_Conf!$C$5/Links!W$191)*Links!AL52*(Nodes!BG52-Links!AL52)-(ATM_Conf!$C$9*ATM_Conf!$C$5/(ATM_Conf!$C$8*Links!W$191))*(Nodes!BU52-Links!W52)/(Links!W52/ATM_Conf!$C$10)</f>
        <v>#DIV/0!</v>
      </c>
      <c r="AM53" s="45" t="e">
        <f>AM52+(ATM_Conf!$C$5/ATM_Conf!$C$8)*(Links!BB52*EXP((-(Links!X52/Links!BQ52)^Links!CF52)/Links!CF52)-Links!AM52)+(ATM_Conf!$C$5/Links!X$191)*Links!AM52*(Nodes!BH52-Links!AM52)</f>
        <v>#DIV/0!</v>
      </c>
      <c r="AN53" s="45" t="e">
        <f>AN52+(ATM_Conf!$C$5/ATM_Conf!$C$8)*(Links!BC52*EXP((-(Links!Y52/Links!BR52)^Links!CG52)/Links!CG52)-Links!AN52)-(ATM_Conf!$C$9*ATM_Conf!$C$5/(ATM_Conf!$C$8*Links!Y$191))*(Nodes!BV52-Links!Y52)/(Links!Y52/ATM_Conf!$C$10)</f>
        <v>#DIV/0!</v>
      </c>
      <c r="AO53" s="45" t="e">
        <f>AO52+(ATM_Conf!$C$5/ATM_Conf!$C$8)*(Links!BD52*EXP((-(Links!Z52/Links!BS52)^Links!CH52)/Links!CH52)-Links!AO52)+(ATM_Conf!$C$5/Links!Z$191)*Links!AO52*(Nodes!BI52-Links!AO52)-(ATM_Conf!$C$9*ATM_Conf!$C$5/(ATM_Conf!$C$8*Links!Z$191))*(Nodes!BW52-Links!Z52)/(Links!Z52/ATM_Conf!$C$10)</f>
        <v>#DIV/0!</v>
      </c>
      <c r="AP53" s="45" t="e">
        <f>AP52+(ATM_Conf!$C$5/ATM_Conf!$C$8)*(Links!BE52*EXP((-(Links!AA52/Links!BT52)^Links!CI52)/Links!CI52)-Links!AP52)+(ATM_Conf!$C$5/Links!AA$191)*Links!AP52*(Nodes!BJ52-Links!AP52)-(ATM_Conf!$C$9*ATM_Conf!$C$5/(ATM_Conf!$C$8*Links!AA$191))*(Nodes!BX52-Links!AA52)/(Links!AA52/ATM_Conf!$C$10)</f>
        <v>#DIV/0!</v>
      </c>
      <c r="AQ53" s="45" t="e">
        <f>AQ52+(ATM_Conf!$C$5/ATM_Conf!$C$8)*(Links!BF52*EXP((-(Links!AB52/Links!BU52)^Links!CJ52)/Links!CJ52)-Links!AQ52)+(ATM_Conf!$C$5/Links!AB$191)*Links!AQ52*(Nodes!BK52-Links!AQ52)-(ATM_Conf!$C$9*ATM_Conf!$C$5/(ATM_Conf!$C$8*Links!AB$191))*(Nodes!BY52-Links!AB52)/(Links!AB52/ATM_Conf!$C$10)</f>
        <v>#DIV/0!</v>
      </c>
      <c r="AR53" s="45" t="e">
        <f>AR52+(ATM_Conf!$C$5/ATM_Conf!$C$8)*(Links!BG52*EXP((-(Links!AC52/Links!BV52)^Links!CK52)/Links!CK52)-Links!AR52)+(ATM_Conf!$C$5/Links!AC$191)*Links!AR52*(Nodes!BL52-Links!AR52)-(ATM_Conf!$C$9*ATM_Conf!$C$5/(ATM_Conf!$C$8*Links!AC$191))*(Nodes!BZ52-Links!AC52)/(Links!AC52/ATM_Conf!$C$10)</f>
        <v>#DIV/0!</v>
      </c>
      <c r="AS53" s="45" t="e">
        <f>AS52+(ATM_Conf!$C$5/ATM_Conf!$C$8)*(Links!BH52*EXP((-(Links!AD52/Links!BW52)^Links!CL52)/Links!CL52)-Links!AS52)+(ATM_Conf!$C$5/Links!AD$191)*Links!AS52*(Nodes!BM52-Links!AS52)-(ATM_Conf!$C$9*ATM_Conf!$C$5/(ATM_Conf!$C$8*Links!AD$191))*(Nodes!CA52-Links!AD52)/(Links!AD52/ATM_Conf!$C$10)</f>
        <v>#DIV/0!</v>
      </c>
      <c r="AT53" s="45" t="e">
        <f>AT52+(ATM_Conf!$C$5/ATM_Conf!$C$8)*(Links!BI52*EXP((-(Links!AE52/Links!BX52)^Links!CM52)/Links!CM52)-Links!AT52)+(ATM_Conf!$C$5/Links!AE$191)*Links!AT52*(Nodes!BN52-Links!AT52)</f>
        <v>#DIV/0!</v>
      </c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45">
        <f t="shared" ref="CN53:DB62" si="30">CN$51</f>
        <v>0</v>
      </c>
      <c r="CO53" s="45">
        <f t="shared" si="30"/>
        <v>0</v>
      </c>
      <c r="CP53" s="45">
        <f t="shared" si="30"/>
        <v>0</v>
      </c>
      <c r="CQ53" s="45">
        <f t="shared" si="30"/>
        <v>0</v>
      </c>
      <c r="CR53" s="45">
        <f t="shared" si="30"/>
        <v>0</v>
      </c>
      <c r="CS53" s="45">
        <f t="shared" si="30"/>
        <v>0</v>
      </c>
      <c r="CT53" s="45">
        <f t="shared" si="30"/>
        <v>0</v>
      </c>
      <c r="CU53" s="45">
        <f t="shared" si="30"/>
        <v>0</v>
      </c>
      <c r="CV53" s="45">
        <f t="shared" si="30"/>
        <v>0</v>
      </c>
      <c r="CW53" s="45">
        <f t="shared" si="30"/>
        <v>0</v>
      </c>
      <c r="CX53" s="45">
        <f t="shared" si="30"/>
        <v>0</v>
      </c>
      <c r="CY53" s="45">
        <f t="shared" si="30"/>
        <v>0</v>
      </c>
      <c r="CZ53" s="45">
        <f t="shared" si="30"/>
        <v>0</v>
      </c>
      <c r="DA53" s="45">
        <f t="shared" si="30"/>
        <v>0</v>
      </c>
      <c r="DB53" s="45">
        <f t="shared" si="30"/>
        <v>0</v>
      </c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</row>
    <row r="54" spans="1:121" ht="14.25" x14ac:dyDescent="0.15">
      <c r="A54" s="48">
        <v>52</v>
      </c>
      <c r="B54" s="45" t="e">
        <f t="shared" si="2"/>
        <v>#DIV/0!</v>
      </c>
      <c r="C54" s="45" t="e">
        <f t="shared" si="3"/>
        <v>#DIV/0!</v>
      </c>
      <c r="D54" s="45" t="e">
        <f t="shared" si="4"/>
        <v>#DIV/0!</v>
      </c>
      <c r="E54" s="45" t="e">
        <f t="shared" si="5"/>
        <v>#DIV/0!</v>
      </c>
      <c r="F54" s="45" t="e">
        <f t="shared" si="6"/>
        <v>#DIV/0!</v>
      </c>
      <c r="G54" s="45" t="e">
        <f t="shared" si="7"/>
        <v>#DIV/0!</v>
      </c>
      <c r="H54" s="45" t="e">
        <f t="shared" si="8"/>
        <v>#DIV/0!</v>
      </c>
      <c r="I54" s="45" t="e">
        <f t="shared" si="9"/>
        <v>#DIV/0!</v>
      </c>
      <c r="J54" s="45" t="e">
        <f t="shared" si="10"/>
        <v>#DIV/0!</v>
      </c>
      <c r="K54" s="45" t="e">
        <f t="shared" si="11"/>
        <v>#DIV/0!</v>
      </c>
      <c r="L54" s="45" t="e">
        <f t="shared" si="12"/>
        <v>#DIV/0!</v>
      </c>
      <c r="M54" s="45" t="e">
        <f t="shared" si="13"/>
        <v>#DIV/0!</v>
      </c>
      <c r="N54" s="45" t="e">
        <f t="shared" si="14"/>
        <v>#DIV/0!</v>
      </c>
      <c r="O54" s="45" t="e">
        <f t="shared" si="15"/>
        <v>#DIV/0!</v>
      </c>
      <c r="P54" s="45" t="e">
        <f t="shared" si="16"/>
        <v>#DIV/0!</v>
      </c>
      <c r="Q54" s="55" t="e">
        <f>Q53+ATM_Conf!$C$5*(B53)/(Links!B$191*Links!Q$191)</f>
        <v>#DIV/0!</v>
      </c>
      <c r="R54" s="55" t="e">
        <f>R53+ATM_Conf!$C$5*(C53-B53)/(Links!C$191*Links!R$191)</f>
        <v>#DIV/0!</v>
      </c>
      <c r="S54" s="55" t="e">
        <f>S53+ATM_Conf!$C$5*(D53-C53)/(Links!D$191*Links!S$191)</f>
        <v>#DIV/0!</v>
      </c>
      <c r="T54" s="55" t="e">
        <f>T53+ATM_Conf!$C$5*(E53-D53)/(Links!E$191*Links!T$191)</f>
        <v>#DIV/0!</v>
      </c>
      <c r="U54" s="55" t="e">
        <f>U53+ATM_Conf!$C$5*(F53-E53)/(Links!F$191*Links!U$191)</f>
        <v>#DIV/0!</v>
      </c>
      <c r="V54" s="55" t="e">
        <f>V53+ATM_Conf!$C$5*(G53-F53)/(Links!G$191*Links!V$191)</f>
        <v>#DIV/0!</v>
      </c>
      <c r="W54" s="55" t="e">
        <f>W53+ATM_Conf!$C$5*(H53-G53)/(Links!H$191*Links!W$191)</f>
        <v>#DIV/0!</v>
      </c>
      <c r="X54" s="55" t="e">
        <f>X53+ATM_Conf!$C$5*(I53-H53)/(Links!I$191*Links!X$191)</f>
        <v>#DIV/0!</v>
      </c>
      <c r="Y54" s="55" t="e">
        <f>Y53+ATM_Conf!$C$5*(J53)/(Links!J$191*Links!Y$191)</f>
        <v>#DIV/0!</v>
      </c>
      <c r="Z54" s="55" t="e">
        <f>Z53+ATM_Conf!$C$5*(K53-J53)/(Links!K$191*Links!Z$191)</f>
        <v>#DIV/0!</v>
      </c>
      <c r="AA54" s="55" t="e">
        <f>AA53+ATM_Conf!$C$5*(L53-K53)/(Links!L$191*Links!AA$191)</f>
        <v>#DIV/0!</v>
      </c>
      <c r="AB54" s="55" t="e">
        <f>AB53+ATM_Conf!$C$5*(M53-L53)/(Links!M$191*Links!AB$191)</f>
        <v>#DIV/0!</v>
      </c>
      <c r="AC54" s="55" t="e">
        <f>AC53+ATM_Conf!$C$5*(N53-M53)/(Links!N$191*Links!AC$191)</f>
        <v>#DIV/0!</v>
      </c>
      <c r="AD54" s="55" t="e">
        <f>AD53+ATM_Conf!$C$5*(O53-N53)/(Links!O$191*Links!AD$191)</f>
        <v>#DIV/0!</v>
      </c>
      <c r="AE54" s="55" t="e">
        <f>AE53+ATM_Conf!$C$5*(P53-O53)/(Links!P$191*Links!AE$191)</f>
        <v>#DIV/0!</v>
      </c>
      <c r="AF54" s="45" t="e">
        <f>AF53+(ATM_Conf!$C$5/ATM_Conf!$C$8)*(Links!AU53*EXP((-(Links!Q53/Links!BJ53)^Links!BY53)/Links!BY53)-Links!AF53)-(ATM_Conf!$C$9*ATM_Conf!$C$5/(ATM_Conf!$C$8*Links!Q$191))*(Nodes!BO53-Links!Q53)/(Links!Q53/ATM_Conf!$C$10)</f>
        <v>#DIV/0!</v>
      </c>
      <c r="AG54" s="45" t="e">
        <f>AG53+(ATM_Conf!$C$5/ATM_Conf!$C$8)*(Links!AV53*EXP((-(Links!R53/Links!BK53)^Links!BZ53)/Links!BZ53)-Links!AG53)+(ATM_Conf!$C$5/Links!R$191)*Links!AG53*(Nodes!BB53-Links!AG53)-(ATM_Conf!$C$9*ATM_Conf!$C$5/(ATM_Conf!$C$8*Links!R$191))*(Nodes!BP53-Links!R53)/(Links!R53/ATM_Conf!$C$10)</f>
        <v>#DIV/0!</v>
      </c>
      <c r="AH54" s="45" t="e">
        <f>AH53+(ATM_Conf!$C$5/ATM_Conf!$C$8)*(Links!AW53*EXP((-(Links!S53/Links!BL53)^Links!CA53)/Links!CA53)-Links!AH53)+(ATM_Conf!$C$5/Links!S$191)*Links!AH53*(Nodes!BC53-Links!AH53)-(ATM_Conf!$C$9*ATM_Conf!$C$5/(ATM_Conf!$C$8*Links!S$191))*(Nodes!BQ53-Links!S53)/(Links!S53/ATM_Conf!$C$10)</f>
        <v>#DIV/0!</v>
      </c>
      <c r="AI54" s="45" t="e">
        <f>AI53+(ATM_Conf!$C$5/ATM_Conf!$C$8)*(Links!AX53*EXP((-(Links!T53/Links!BM53)^Links!CB53)/Links!CB53)-Links!AI53)+(ATM_Conf!$C$5/Links!T$191)*Links!AI53*(Nodes!BD53-Links!AI53)-(ATM_Conf!$C$9*ATM_Conf!$C$5/(ATM_Conf!$C$8*Links!T$191))*(Nodes!BR53-Links!T53)/(Links!T53/ATM_Conf!$C$10)</f>
        <v>#DIV/0!</v>
      </c>
      <c r="AJ54" s="45" t="e">
        <f>AJ53+(ATM_Conf!$C$5/ATM_Conf!$C$8)*(Links!AY53*EXP((-(Links!U53/Links!BN53)^Links!CC53)/Links!CC53)-Links!AJ53)+(ATM_Conf!$C$5/Links!U$191)*Links!AJ53*(Nodes!BE53-Links!AJ53)-(ATM_Conf!$C$9*ATM_Conf!$C$5/(ATM_Conf!$C$8*Links!U$191))*(Nodes!BS53-Links!U53)/(Links!U53/ATM_Conf!$C$10)</f>
        <v>#DIV/0!</v>
      </c>
      <c r="AK54" s="45" t="e">
        <f>AK53+(ATM_Conf!$C$5/ATM_Conf!$C$8)*(Links!AZ53*EXP((-(Links!V53/Links!BO53)^Links!CD53)/Links!CD53)-Links!AK53)+(ATM_Conf!$C$5/Links!V$191)*Links!AK53*(Nodes!BF53-Links!AK53)-(ATM_Conf!$C$9*ATM_Conf!$C$5/(ATM_Conf!$C$8*Links!V$191))*(Nodes!BT53-Links!V53)/(Links!V53/ATM_Conf!$C$10)</f>
        <v>#DIV/0!</v>
      </c>
      <c r="AL54" s="45" t="e">
        <f>AL53+(ATM_Conf!$C$5/ATM_Conf!$C$8)*(Links!BA53*EXP((-(Links!W53/Links!BP53)^Links!CE53)/Links!CE53)-Links!AL53)+(ATM_Conf!$C$5/Links!W$191)*Links!AL53*(Nodes!BG53-Links!AL53)-(ATM_Conf!$C$9*ATM_Conf!$C$5/(ATM_Conf!$C$8*Links!W$191))*(Nodes!BU53-Links!W53)/(Links!W53/ATM_Conf!$C$10)</f>
        <v>#DIV/0!</v>
      </c>
      <c r="AM54" s="45" t="e">
        <f>AM53+(ATM_Conf!$C$5/ATM_Conf!$C$8)*(Links!BB53*EXP((-(Links!X53/Links!BQ53)^Links!CF53)/Links!CF53)-Links!AM53)+(ATM_Conf!$C$5/Links!X$191)*Links!AM53*(Nodes!BH53-Links!AM53)</f>
        <v>#DIV/0!</v>
      </c>
      <c r="AN54" s="45" t="e">
        <f>AN53+(ATM_Conf!$C$5/ATM_Conf!$C$8)*(Links!BC53*EXP((-(Links!Y53/Links!BR53)^Links!CG53)/Links!CG53)-Links!AN53)-(ATM_Conf!$C$9*ATM_Conf!$C$5/(ATM_Conf!$C$8*Links!Y$191))*(Nodes!BV53-Links!Y53)/(Links!Y53/ATM_Conf!$C$10)</f>
        <v>#DIV/0!</v>
      </c>
      <c r="AO54" s="45" t="e">
        <f>AO53+(ATM_Conf!$C$5/ATM_Conf!$C$8)*(Links!BD53*EXP((-(Links!Z53/Links!BS53)^Links!CH53)/Links!CH53)-Links!AO53)+(ATM_Conf!$C$5/Links!Z$191)*Links!AO53*(Nodes!BI53-Links!AO53)-(ATM_Conf!$C$9*ATM_Conf!$C$5/(ATM_Conf!$C$8*Links!Z$191))*(Nodes!BW53-Links!Z53)/(Links!Z53/ATM_Conf!$C$10)</f>
        <v>#DIV/0!</v>
      </c>
      <c r="AP54" s="45" t="e">
        <f>AP53+(ATM_Conf!$C$5/ATM_Conf!$C$8)*(Links!BE53*EXP((-(Links!AA53/Links!BT53)^Links!CI53)/Links!CI53)-Links!AP53)+(ATM_Conf!$C$5/Links!AA$191)*Links!AP53*(Nodes!BJ53-Links!AP53)-(ATM_Conf!$C$9*ATM_Conf!$C$5/(ATM_Conf!$C$8*Links!AA$191))*(Nodes!BX53-Links!AA53)/(Links!AA53/ATM_Conf!$C$10)</f>
        <v>#DIV/0!</v>
      </c>
      <c r="AQ54" s="45" t="e">
        <f>AQ53+(ATM_Conf!$C$5/ATM_Conf!$C$8)*(Links!BF53*EXP((-(Links!AB53/Links!BU53)^Links!CJ53)/Links!CJ53)-Links!AQ53)+(ATM_Conf!$C$5/Links!AB$191)*Links!AQ53*(Nodes!BK53-Links!AQ53)-(ATM_Conf!$C$9*ATM_Conf!$C$5/(ATM_Conf!$C$8*Links!AB$191))*(Nodes!BY53-Links!AB53)/(Links!AB53/ATM_Conf!$C$10)</f>
        <v>#DIV/0!</v>
      </c>
      <c r="AR54" s="45" t="e">
        <f>AR53+(ATM_Conf!$C$5/ATM_Conf!$C$8)*(Links!BG53*EXP((-(Links!AC53/Links!BV53)^Links!CK53)/Links!CK53)-Links!AR53)+(ATM_Conf!$C$5/Links!AC$191)*Links!AR53*(Nodes!BL53-Links!AR53)-(ATM_Conf!$C$9*ATM_Conf!$C$5/(ATM_Conf!$C$8*Links!AC$191))*(Nodes!BZ53-Links!AC53)/(Links!AC53/ATM_Conf!$C$10)</f>
        <v>#DIV/0!</v>
      </c>
      <c r="AS54" s="45" t="e">
        <f>AS53+(ATM_Conf!$C$5/ATM_Conf!$C$8)*(Links!BH53*EXP((-(Links!AD53/Links!BW53)^Links!CL53)/Links!CL53)-Links!AS53)+(ATM_Conf!$C$5/Links!AD$191)*Links!AS53*(Nodes!BM53-Links!AS53)-(ATM_Conf!$C$9*ATM_Conf!$C$5/(ATM_Conf!$C$8*Links!AD$191))*(Nodes!CA53-Links!AD53)/(Links!AD53/ATM_Conf!$C$10)</f>
        <v>#DIV/0!</v>
      </c>
      <c r="AT54" s="45" t="e">
        <f>AT53+(ATM_Conf!$C$5/ATM_Conf!$C$8)*(Links!BI53*EXP((-(Links!AE53/Links!BX53)^Links!CM53)/Links!CM53)-Links!AT53)+(ATM_Conf!$C$5/Links!AE$191)*Links!AT53*(Nodes!BN53-Links!AT53)</f>
        <v>#DIV/0!</v>
      </c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45"/>
      <c r="BK54" s="45"/>
      <c r="BL54" s="45"/>
      <c r="BM54" s="45"/>
      <c r="BN54" s="45"/>
      <c r="BO54" s="45"/>
      <c r="BP54" s="45"/>
      <c r="BQ54" s="45"/>
      <c r="BR54" s="45"/>
      <c r="BS54" s="45"/>
      <c r="BT54" s="45"/>
      <c r="BU54" s="45"/>
      <c r="BV54" s="45"/>
      <c r="BW54" s="45"/>
      <c r="BX54" s="4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45">
        <f t="shared" si="30"/>
        <v>0</v>
      </c>
      <c r="CO54" s="45">
        <f t="shared" si="30"/>
        <v>0</v>
      </c>
      <c r="CP54" s="45">
        <f t="shared" si="30"/>
        <v>0</v>
      </c>
      <c r="CQ54" s="45">
        <f t="shared" si="30"/>
        <v>0</v>
      </c>
      <c r="CR54" s="45">
        <f t="shared" si="30"/>
        <v>0</v>
      </c>
      <c r="CS54" s="45">
        <f t="shared" si="30"/>
        <v>0</v>
      </c>
      <c r="CT54" s="45">
        <f t="shared" si="30"/>
        <v>0</v>
      </c>
      <c r="CU54" s="45">
        <f t="shared" si="30"/>
        <v>0</v>
      </c>
      <c r="CV54" s="45">
        <f t="shared" si="30"/>
        <v>0</v>
      </c>
      <c r="CW54" s="45">
        <f t="shared" si="30"/>
        <v>0</v>
      </c>
      <c r="CX54" s="45">
        <f t="shared" si="30"/>
        <v>0</v>
      </c>
      <c r="CY54" s="45">
        <f t="shared" si="30"/>
        <v>0</v>
      </c>
      <c r="CZ54" s="45">
        <f t="shared" si="30"/>
        <v>0</v>
      </c>
      <c r="DA54" s="45">
        <f t="shared" si="30"/>
        <v>0</v>
      </c>
      <c r="DB54" s="45">
        <f t="shared" si="30"/>
        <v>0</v>
      </c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</row>
    <row r="55" spans="1:121" ht="14.25" x14ac:dyDescent="0.15">
      <c r="A55" s="48">
        <v>53</v>
      </c>
      <c r="B55" s="45" t="e">
        <f t="shared" si="2"/>
        <v>#DIV/0!</v>
      </c>
      <c r="C55" s="45" t="e">
        <f t="shared" si="3"/>
        <v>#DIV/0!</v>
      </c>
      <c r="D55" s="45" t="e">
        <f t="shared" si="4"/>
        <v>#DIV/0!</v>
      </c>
      <c r="E55" s="45" t="e">
        <f t="shared" si="5"/>
        <v>#DIV/0!</v>
      </c>
      <c r="F55" s="45" t="e">
        <f t="shared" si="6"/>
        <v>#DIV/0!</v>
      </c>
      <c r="G55" s="45" t="e">
        <f t="shared" si="7"/>
        <v>#DIV/0!</v>
      </c>
      <c r="H55" s="45" t="e">
        <f t="shared" si="8"/>
        <v>#DIV/0!</v>
      </c>
      <c r="I55" s="45" t="e">
        <f t="shared" si="9"/>
        <v>#DIV/0!</v>
      </c>
      <c r="J55" s="45" t="e">
        <f t="shared" si="10"/>
        <v>#DIV/0!</v>
      </c>
      <c r="K55" s="45" t="e">
        <f t="shared" si="11"/>
        <v>#DIV/0!</v>
      </c>
      <c r="L55" s="45" t="e">
        <f t="shared" si="12"/>
        <v>#DIV/0!</v>
      </c>
      <c r="M55" s="45" t="e">
        <f t="shared" si="13"/>
        <v>#DIV/0!</v>
      </c>
      <c r="N55" s="45" t="e">
        <f t="shared" si="14"/>
        <v>#DIV/0!</v>
      </c>
      <c r="O55" s="45" t="e">
        <f t="shared" si="15"/>
        <v>#DIV/0!</v>
      </c>
      <c r="P55" s="45" t="e">
        <f t="shared" si="16"/>
        <v>#DIV/0!</v>
      </c>
      <c r="Q55" s="55" t="e">
        <f>Q54+ATM_Conf!$C$5*(B54)/(Links!B$191*Links!Q$191)</f>
        <v>#DIV/0!</v>
      </c>
      <c r="R55" s="55" t="e">
        <f>R54+ATM_Conf!$C$5*(C54-B54)/(Links!C$191*Links!R$191)</f>
        <v>#DIV/0!</v>
      </c>
      <c r="S55" s="55" t="e">
        <f>S54+ATM_Conf!$C$5*(D54-C54)/(Links!D$191*Links!S$191)</f>
        <v>#DIV/0!</v>
      </c>
      <c r="T55" s="55" t="e">
        <f>T54+ATM_Conf!$C$5*(E54-D54)/(Links!E$191*Links!T$191)</f>
        <v>#DIV/0!</v>
      </c>
      <c r="U55" s="55" t="e">
        <f>U54+ATM_Conf!$C$5*(F54-E54)/(Links!F$191*Links!U$191)</f>
        <v>#DIV/0!</v>
      </c>
      <c r="V55" s="55" t="e">
        <f>V54+ATM_Conf!$C$5*(G54-F54)/(Links!G$191*Links!V$191)</f>
        <v>#DIV/0!</v>
      </c>
      <c r="W55" s="55" t="e">
        <f>W54+ATM_Conf!$C$5*(H54-G54)/(Links!H$191*Links!W$191)</f>
        <v>#DIV/0!</v>
      </c>
      <c r="X55" s="55" t="e">
        <f>X54+ATM_Conf!$C$5*(I54-H54)/(Links!I$191*Links!X$191)</f>
        <v>#DIV/0!</v>
      </c>
      <c r="Y55" s="55" t="e">
        <f>Y54+ATM_Conf!$C$5*(J54)/(Links!J$191*Links!Y$191)</f>
        <v>#DIV/0!</v>
      </c>
      <c r="Z55" s="55" t="e">
        <f>Z54+ATM_Conf!$C$5*(K54-J54)/(Links!K$191*Links!Z$191)</f>
        <v>#DIV/0!</v>
      </c>
      <c r="AA55" s="55" t="e">
        <f>AA54+ATM_Conf!$C$5*(L54-K54)/(Links!L$191*Links!AA$191)</f>
        <v>#DIV/0!</v>
      </c>
      <c r="AB55" s="55" t="e">
        <f>AB54+ATM_Conf!$C$5*(M54-L54)/(Links!M$191*Links!AB$191)</f>
        <v>#DIV/0!</v>
      </c>
      <c r="AC55" s="55" t="e">
        <f>AC54+ATM_Conf!$C$5*(N54-M54)/(Links!N$191*Links!AC$191)</f>
        <v>#DIV/0!</v>
      </c>
      <c r="AD55" s="55" t="e">
        <f>AD54+ATM_Conf!$C$5*(O54-N54)/(Links!O$191*Links!AD$191)</f>
        <v>#DIV/0!</v>
      </c>
      <c r="AE55" s="55" t="e">
        <f>AE54+ATM_Conf!$C$5*(P54-O54)/(Links!P$191*Links!AE$191)</f>
        <v>#DIV/0!</v>
      </c>
      <c r="AF55" s="45" t="e">
        <f>AF54+(ATM_Conf!$C$5/ATM_Conf!$C$8)*(Links!AU54*EXP((-(Links!Q54/Links!BJ54)^Links!BY54)/Links!BY54)-Links!AF54)-(ATM_Conf!$C$9*ATM_Conf!$C$5/(ATM_Conf!$C$8*Links!Q$191))*(Nodes!BO54-Links!Q54)/(Links!Q54/ATM_Conf!$C$10)</f>
        <v>#DIV/0!</v>
      </c>
      <c r="AG55" s="45" t="e">
        <f>AG54+(ATM_Conf!$C$5/ATM_Conf!$C$8)*(Links!AV54*EXP((-(Links!R54/Links!BK54)^Links!BZ54)/Links!BZ54)-Links!AG54)+(ATM_Conf!$C$5/Links!R$191)*Links!AG54*(Nodes!BB54-Links!AG54)-(ATM_Conf!$C$9*ATM_Conf!$C$5/(ATM_Conf!$C$8*Links!R$191))*(Nodes!BP54-Links!R54)/(Links!R54/ATM_Conf!$C$10)</f>
        <v>#DIV/0!</v>
      </c>
      <c r="AH55" s="45" t="e">
        <f>AH54+(ATM_Conf!$C$5/ATM_Conf!$C$8)*(Links!AW54*EXP((-(Links!S54/Links!BL54)^Links!CA54)/Links!CA54)-Links!AH54)+(ATM_Conf!$C$5/Links!S$191)*Links!AH54*(Nodes!BC54-Links!AH54)-(ATM_Conf!$C$9*ATM_Conf!$C$5/(ATM_Conf!$C$8*Links!S$191))*(Nodes!BQ54-Links!S54)/(Links!S54/ATM_Conf!$C$10)</f>
        <v>#DIV/0!</v>
      </c>
      <c r="AI55" s="45" t="e">
        <f>AI54+(ATM_Conf!$C$5/ATM_Conf!$C$8)*(Links!AX54*EXP((-(Links!T54/Links!BM54)^Links!CB54)/Links!CB54)-Links!AI54)+(ATM_Conf!$C$5/Links!T$191)*Links!AI54*(Nodes!BD54-Links!AI54)-(ATM_Conf!$C$9*ATM_Conf!$C$5/(ATM_Conf!$C$8*Links!T$191))*(Nodes!BR54-Links!T54)/(Links!T54/ATM_Conf!$C$10)</f>
        <v>#DIV/0!</v>
      </c>
      <c r="AJ55" s="45" t="e">
        <f>AJ54+(ATM_Conf!$C$5/ATM_Conf!$C$8)*(Links!AY54*EXP((-(Links!U54/Links!BN54)^Links!CC54)/Links!CC54)-Links!AJ54)+(ATM_Conf!$C$5/Links!U$191)*Links!AJ54*(Nodes!BE54-Links!AJ54)-(ATM_Conf!$C$9*ATM_Conf!$C$5/(ATM_Conf!$C$8*Links!U$191))*(Nodes!BS54-Links!U54)/(Links!U54/ATM_Conf!$C$10)</f>
        <v>#DIV/0!</v>
      </c>
      <c r="AK55" s="45" t="e">
        <f>AK54+(ATM_Conf!$C$5/ATM_Conf!$C$8)*(Links!AZ54*EXP((-(Links!V54/Links!BO54)^Links!CD54)/Links!CD54)-Links!AK54)+(ATM_Conf!$C$5/Links!V$191)*Links!AK54*(Nodes!BF54-Links!AK54)-(ATM_Conf!$C$9*ATM_Conf!$C$5/(ATM_Conf!$C$8*Links!V$191))*(Nodes!BT54-Links!V54)/(Links!V54/ATM_Conf!$C$10)</f>
        <v>#DIV/0!</v>
      </c>
      <c r="AL55" s="45" t="e">
        <f>AL54+(ATM_Conf!$C$5/ATM_Conf!$C$8)*(Links!BA54*EXP((-(Links!W54/Links!BP54)^Links!CE54)/Links!CE54)-Links!AL54)+(ATM_Conf!$C$5/Links!W$191)*Links!AL54*(Nodes!BG54-Links!AL54)-(ATM_Conf!$C$9*ATM_Conf!$C$5/(ATM_Conf!$C$8*Links!W$191))*(Nodes!BU54-Links!W54)/(Links!W54/ATM_Conf!$C$10)</f>
        <v>#DIV/0!</v>
      </c>
      <c r="AM55" s="45" t="e">
        <f>AM54+(ATM_Conf!$C$5/ATM_Conf!$C$8)*(Links!BB54*EXP((-(Links!X54/Links!BQ54)^Links!CF54)/Links!CF54)-Links!AM54)+(ATM_Conf!$C$5/Links!X$191)*Links!AM54*(Nodes!BH54-Links!AM54)</f>
        <v>#DIV/0!</v>
      </c>
      <c r="AN55" s="45" t="e">
        <f>AN54+(ATM_Conf!$C$5/ATM_Conf!$C$8)*(Links!BC54*EXP((-(Links!Y54/Links!BR54)^Links!CG54)/Links!CG54)-Links!AN54)-(ATM_Conf!$C$9*ATM_Conf!$C$5/(ATM_Conf!$C$8*Links!Y$191))*(Nodes!BV54-Links!Y54)/(Links!Y54/ATM_Conf!$C$10)</f>
        <v>#DIV/0!</v>
      </c>
      <c r="AO55" s="45" t="e">
        <f>AO54+(ATM_Conf!$C$5/ATM_Conf!$C$8)*(Links!BD54*EXP((-(Links!Z54/Links!BS54)^Links!CH54)/Links!CH54)-Links!AO54)+(ATM_Conf!$C$5/Links!Z$191)*Links!AO54*(Nodes!BI54-Links!AO54)-(ATM_Conf!$C$9*ATM_Conf!$C$5/(ATM_Conf!$C$8*Links!Z$191))*(Nodes!BW54-Links!Z54)/(Links!Z54/ATM_Conf!$C$10)</f>
        <v>#DIV/0!</v>
      </c>
      <c r="AP55" s="45" t="e">
        <f>AP54+(ATM_Conf!$C$5/ATM_Conf!$C$8)*(Links!BE54*EXP((-(Links!AA54/Links!BT54)^Links!CI54)/Links!CI54)-Links!AP54)+(ATM_Conf!$C$5/Links!AA$191)*Links!AP54*(Nodes!BJ54-Links!AP54)-(ATM_Conf!$C$9*ATM_Conf!$C$5/(ATM_Conf!$C$8*Links!AA$191))*(Nodes!BX54-Links!AA54)/(Links!AA54/ATM_Conf!$C$10)</f>
        <v>#DIV/0!</v>
      </c>
      <c r="AQ55" s="45" t="e">
        <f>AQ54+(ATM_Conf!$C$5/ATM_Conf!$C$8)*(Links!BF54*EXP((-(Links!AB54/Links!BU54)^Links!CJ54)/Links!CJ54)-Links!AQ54)+(ATM_Conf!$C$5/Links!AB$191)*Links!AQ54*(Nodes!BK54-Links!AQ54)-(ATM_Conf!$C$9*ATM_Conf!$C$5/(ATM_Conf!$C$8*Links!AB$191))*(Nodes!BY54-Links!AB54)/(Links!AB54/ATM_Conf!$C$10)</f>
        <v>#DIV/0!</v>
      </c>
      <c r="AR55" s="45" t="e">
        <f>AR54+(ATM_Conf!$C$5/ATM_Conf!$C$8)*(Links!BG54*EXP((-(Links!AC54/Links!BV54)^Links!CK54)/Links!CK54)-Links!AR54)+(ATM_Conf!$C$5/Links!AC$191)*Links!AR54*(Nodes!BL54-Links!AR54)-(ATM_Conf!$C$9*ATM_Conf!$C$5/(ATM_Conf!$C$8*Links!AC$191))*(Nodes!BZ54-Links!AC54)/(Links!AC54/ATM_Conf!$C$10)</f>
        <v>#DIV/0!</v>
      </c>
      <c r="AS55" s="45" t="e">
        <f>AS54+(ATM_Conf!$C$5/ATM_Conf!$C$8)*(Links!BH54*EXP((-(Links!AD54/Links!BW54)^Links!CL54)/Links!CL54)-Links!AS54)+(ATM_Conf!$C$5/Links!AD$191)*Links!AS54*(Nodes!BM54-Links!AS54)-(ATM_Conf!$C$9*ATM_Conf!$C$5/(ATM_Conf!$C$8*Links!AD$191))*(Nodes!CA54-Links!AD54)/(Links!AD54/ATM_Conf!$C$10)</f>
        <v>#DIV/0!</v>
      </c>
      <c r="AT55" s="45" t="e">
        <f>AT54+(ATM_Conf!$C$5/ATM_Conf!$C$8)*(Links!BI54*EXP((-(Links!AE54/Links!BX54)^Links!CM54)/Links!CM54)-Links!AT54)+(ATM_Conf!$C$5/Links!AE$191)*Links!AT54*(Nodes!BN54-Links!AT54)</f>
        <v>#DIV/0!</v>
      </c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45">
        <f t="shared" si="30"/>
        <v>0</v>
      </c>
      <c r="CO55" s="45">
        <f t="shared" si="30"/>
        <v>0</v>
      </c>
      <c r="CP55" s="45">
        <f t="shared" si="30"/>
        <v>0</v>
      </c>
      <c r="CQ55" s="45">
        <f t="shared" si="30"/>
        <v>0</v>
      </c>
      <c r="CR55" s="45">
        <f t="shared" si="30"/>
        <v>0</v>
      </c>
      <c r="CS55" s="45">
        <f t="shared" si="30"/>
        <v>0</v>
      </c>
      <c r="CT55" s="45">
        <f t="shared" si="30"/>
        <v>0</v>
      </c>
      <c r="CU55" s="45">
        <f t="shared" si="30"/>
        <v>0</v>
      </c>
      <c r="CV55" s="45">
        <f t="shared" si="30"/>
        <v>0</v>
      </c>
      <c r="CW55" s="45">
        <f t="shared" si="30"/>
        <v>0</v>
      </c>
      <c r="CX55" s="45">
        <f t="shared" si="30"/>
        <v>0</v>
      </c>
      <c r="CY55" s="45">
        <f t="shared" si="30"/>
        <v>0</v>
      </c>
      <c r="CZ55" s="45">
        <f t="shared" si="30"/>
        <v>0</v>
      </c>
      <c r="DA55" s="45">
        <f t="shared" si="30"/>
        <v>0</v>
      </c>
      <c r="DB55" s="45">
        <f t="shared" si="30"/>
        <v>0</v>
      </c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</row>
    <row r="56" spans="1:121" ht="14.25" x14ac:dyDescent="0.15">
      <c r="A56" s="48">
        <v>54</v>
      </c>
      <c r="B56" s="45" t="e">
        <f t="shared" si="2"/>
        <v>#DIV/0!</v>
      </c>
      <c r="C56" s="45" t="e">
        <f t="shared" si="3"/>
        <v>#DIV/0!</v>
      </c>
      <c r="D56" s="45" t="e">
        <f t="shared" si="4"/>
        <v>#DIV/0!</v>
      </c>
      <c r="E56" s="45" t="e">
        <f t="shared" si="5"/>
        <v>#DIV/0!</v>
      </c>
      <c r="F56" s="45" t="e">
        <f t="shared" si="6"/>
        <v>#DIV/0!</v>
      </c>
      <c r="G56" s="45" t="e">
        <f t="shared" si="7"/>
        <v>#DIV/0!</v>
      </c>
      <c r="H56" s="45" t="e">
        <f t="shared" si="8"/>
        <v>#DIV/0!</v>
      </c>
      <c r="I56" s="45" t="e">
        <f t="shared" si="9"/>
        <v>#DIV/0!</v>
      </c>
      <c r="J56" s="45" t="e">
        <f t="shared" si="10"/>
        <v>#DIV/0!</v>
      </c>
      <c r="K56" s="45" t="e">
        <f t="shared" si="11"/>
        <v>#DIV/0!</v>
      </c>
      <c r="L56" s="45" t="e">
        <f t="shared" si="12"/>
        <v>#DIV/0!</v>
      </c>
      <c r="M56" s="45" t="e">
        <f t="shared" si="13"/>
        <v>#DIV/0!</v>
      </c>
      <c r="N56" s="45" t="e">
        <f t="shared" si="14"/>
        <v>#DIV/0!</v>
      </c>
      <c r="O56" s="45" t="e">
        <f t="shared" si="15"/>
        <v>#DIV/0!</v>
      </c>
      <c r="P56" s="45" t="e">
        <f t="shared" si="16"/>
        <v>#DIV/0!</v>
      </c>
      <c r="Q56" s="55" t="e">
        <f>Q55+ATM_Conf!$C$5*(B55)/(Links!B$191*Links!Q$191)</f>
        <v>#DIV/0!</v>
      </c>
      <c r="R56" s="55" t="e">
        <f>R55+ATM_Conf!$C$5*(C55-B55)/(Links!C$191*Links!R$191)</f>
        <v>#DIV/0!</v>
      </c>
      <c r="S56" s="55" t="e">
        <f>S55+ATM_Conf!$C$5*(D55-C55)/(Links!D$191*Links!S$191)</f>
        <v>#DIV/0!</v>
      </c>
      <c r="T56" s="55" t="e">
        <f>T55+ATM_Conf!$C$5*(E55-D55)/(Links!E$191*Links!T$191)</f>
        <v>#DIV/0!</v>
      </c>
      <c r="U56" s="55" t="e">
        <f>U55+ATM_Conf!$C$5*(F55-E55)/(Links!F$191*Links!U$191)</f>
        <v>#DIV/0!</v>
      </c>
      <c r="V56" s="55" t="e">
        <f>V55+ATM_Conf!$C$5*(G55-F55)/(Links!G$191*Links!V$191)</f>
        <v>#DIV/0!</v>
      </c>
      <c r="W56" s="55" t="e">
        <f>W55+ATM_Conf!$C$5*(H55-G55)/(Links!H$191*Links!W$191)</f>
        <v>#DIV/0!</v>
      </c>
      <c r="X56" s="55" t="e">
        <f>X55+ATM_Conf!$C$5*(I55-H55)/(Links!I$191*Links!X$191)</f>
        <v>#DIV/0!</v>
      </c>
      <c r="Y56" s="55" t="e">
        <f>Y55+ATM_Conf!$C$5*(J55)/(Links!J$191*Links!Y$191)</f>
        <v>#DIV/0!</v>
      </c>
      <c r="Z56" s="55" t="e">
        <f>Z55+ATM_Conf!$C$5*(K55-J55)/(Links!K$191*Links!Z$191)</f>
        <v>#DIV/0!</v>
      </c>
      <c r="AA56" s="55" t="e">
        <f>AA55+ATM_Conf!$C$5*(L55-K55)/(Links!L$191*Links!AA$191)</f>
        <v>#DIV/0!</v>
      </c>
      <c r="AB56" s="55" t="e">
        <f>AB55+ATM_Conf!$C$5*(M55-L55)/(Links!M$191*Links!AB$191)</f>
        <v>#DIV/0!</v>
      </c>
      <c r="AC56" s="55" t="e">
        <f>AC55+ATM_Conf!$C$5*(N55-M55)/(Links!N$191*Links!AC$191)</f>
        <v>#DIV/0!</v>
      </c>
      <c r="AD56" s="55" t="e">
        <f>AD55+ATM_Conf!$C$5*(O55-N55)/(Links!O$191*Links!AD$191)</f>
        <v>#DIV/0!</v>
      </c>
      <c r="AE56" s="55" t="e">
        <f>AE55+ATM_Conf!$C$5*(P55-O55)/(Links!P$191*Links!AE$191)</f>
        <v>#DIV/0!</v>
      </c>
      <c r="AF56" s="45" t="e">
        <f>AF55+(ATM_Conf!$C$5/ATM_Conf!$C$8)*(Links!AU55*EXP((-(Links!Q55/Links!BJ55)^Links!BY55)/Links!BY55)-Links!AF55)-(ATM_Conf!$C$9*ATM_Conf!$C$5/(ATM_Conf!$C$8*Links!Q$191))*(Nodes!BO55-Links!Q55)/(Links!Q55/ATM_Conf!$C$10)</f>
        <v>#DIV/0!</v>
      </c>
      <c r="AG56" s="45" t="e">
        <f>AG55+(ATM_Conf!$C$5/ATM_Conf!$C$8)*(Links!AV55*EXP((-(Links!R55/Links!BK55)^Links!BZ55)/Links!BZ55)-Links!AG55)+(ATM_Conf!$C$5/Links!R$191)*Links!AG55*(Nodes!BB55-Links!AG55)-(ATM_Conf!$C$9*ATM_Conf!$C$5/(ATM_Conf!$C$8*Links!R$191))*(Nodes!BP55-Links!R55)/(Links!R55/ATM_Conf!$C$10)</f>
        <v>#DIV/0!</v>
      </c>
      <c r="AH56" s="45" t="e">
        <f>AH55+(ATM_Conf!$C$5/ATM_Conf!$C$8)*(Links!AW55*EXP((-(Links!S55/Links!BL55)^Links!CA55)/Links!CA55)-Links!AH55)+(ATM_Conf!$C$5/Links!S$191)*Links!AH55*(Nodes!BC55-Links!AH55)-(ATM_Conf!$C$9*ATM_Conf!$C$5/(ATM_Conf!$C$8*Links!S$191))*(Nodes!BQ55-Links!S55)/(Links!S55/ATM_Conf!$C$10)</f>
        <v>#DIV/0!</v>
      </c>
      <c r="AI56" s="45" t="e">
        <f>AI55+(ATM_Conf!$C$5/ATM_Conf!$C$8)*(Links!AX55*EXP((-(Links!T55/Links!BM55)^Links!CB55)/Links!CB55)-Links!AI55)+(ATM_Conf!$C$5/Links!T$191)*Links!AI55*(Nodes!BD55-Links!AI55)-(ATM_Conf!$C$9*ATM_Conf!$C$5/(ATM_Conf!$C$8*Links!T$191))*(Nodes!BR55-Links!T55)/(Links!T55/ATM_Conf!$C$10)</f>
        <v>#DIV/0!</v>
      </c>
      <c r="AJ56" s="45" t="e">
        <f>AJ55+(ATM_Conf!$C$5/ATM_Conf!$C$8)*(Links!AY55*EXP((-(Links!U55/Links!BN55)^Links!CC55)/Links!CC55)-Links!AJ55)+(ATM_Conf!$C$5/Links!U$191)*Links!AJ55*(Nodes!BE55-Links!AJ55)-(ATM_Conf!$C$9*ATM_Conf!$C$5/(ATM_Conf!$C$8*Links!U$191))*(Nodes!BS55-Links!U55)/(Links!U55/ATM_Conf!$C$10)</f>
        <v>#DIV/0!</v>
      </c>
      <c r="AK56" s="45" t="e">
        <f>AK55+(ATM_Conf!$C$5/ATM_Conf!$C$8)*(Links!AZ55*EXP((-(Links!V55/Links!BO55)^Links!CD55)/Links!CD55)-Links!AK55)+(ATM_Conf!$C$5/Links!V$191)*Links!AK55*(Nodes!BF55-Links!AK55)-(ATM_Conf!$C$9*ATM_Conf!$C$5/(ATM_Conf!$C$8*Links!V$191))*(Nodes!BT55-Links!V55)/(Links!V55/ATM_Conf!$C$10)</f>
        <v>#DIV/0!</v>
      </c>
      <c r="AL56" s="45" t="e">
        <f>AL55+(ATM_Conf!$C$5/ATM_Conf!$C$8)*(Links!BA55*EXP((-(Links!W55/Links!BP55)^Links!CE55)/Links!CE55)-Links!AL55)+(ATM_Conf!$C$5/Links!W$191)*Links!AL55*(Nodes!BG55-Links!AL55)-(ATM_Conf!$C$9*ATM_Conf!$C$5/(ATM_Conf!$C$8*Links!W$191))*(Nodes!BU55-Links!W55)/(Links!W55/ATM_Conf!$C$10)</f>
        <v>#DIV/0!</v>
      </c>
      <c r="AM56" s="45" t="e">
        <f>AM55+(ATM_Conf!$C$5/ATM_Conf!$C$8)*(Links!BB55*EXP((-(Links!X55/Links!BQ55)^Links!CF55)/Links!CF55)-Links!AM55)+(ATM_Conf!$C$5/Links!X$191)*Links!AM55*(Nodes!BH55-Links!AM55)</f>
        <v>#DIV/0!</v>
      </c>
      <c r="AN56" s="45" t="e">
        <f>AN55+(ATM_Conf!$C$5/ATM_Conf!$C$8)*(Links!BC55*EXP((-(Links!Y55/Links!BR55)^Links!CG55)/Links!CG55)-Links!AN55)-(ATM_Conf!$C$9*ATM_Conf!$C$5/(ATM_Conf!$C$8*Links!Y$191))*(Nodes!BV55-Links!Y55)/(Links!Y55/ATM_Conf!$C$10)</f>
        <v>#DIV/0!</v>
      </c>
      <c r="AO56" s="45" t="e">
        <f>AO55+(ATM_Conf!$C$5/ATM_Conf!$C$8)*(Links!BD55*EXP((-(Links!Z55/Links!BS55)^Links!CH55)/Links!CH55)-Links!AO55)+(ATM_Conf!$C$5/Links!Z$191)*Links!AO55*(Nodes!BI55-Links!AO55)-(ATM_Conf!$C$9*ATM_Conf!$C$5/(ATM_Conf!$C$8*Links!Z$191))*(Nodes!BW55-Links!Z55)/(Links!Z55/ATM_Conf!$C$10)</f>
        <v>#DIV/0!</v>
      </c>
      <c r="AP56" s="45" t="e">
        <f>AP55+(ATM_Conf!$C$5/ATM_Conf!$C$8)*(Links!BE55*EXP((-(Links!AA55/Links!BT55)^Links!CI55)/Links!CI55)-Links!AP55)+(ATM_Conf!$C$5/Links!AA$191)*Links!AP55*(Nodes!BJ55-Links!AP55)-(ATM_Conf!$C$9*ATM_Conf!$C$5/(ATM_Conf!$C$8*Links!AA$191))*(Nodes!BX55-Links!AA55)/(Links!AA55/ATM_Conf!$C$10)</f>
        <v>#DIV/0!</v>
      </c>
      <c r="AQ56" s="45" t="e">
        <f>AQ55+(ATM_Conf!$C$5/ATM_Conf!$C$8)*(Links!BF55*EXP((-(Links!AB55/Links!BU55)^Links!CJ55)/Links!CJ55)-Links!AQ55)+(ATM_Conf!$C$5/Links!AB$191)*Links!AQ55*(Nodes!BK55-Links!AQ55)-(ATM_Conf!$C$9*ATM_Conf!$C$5/(ATM_Conf!$C$8*Links!AB$191))*(Nodes!BY55-Links!AB55)/(Links!AB55/ATM_Conf!$C$10)</f>
        <v>#DIV/0!</v>
      </c>
      <c r="AR56" s="45" t="e">
        <f>AR55+(ATM_Conf!$C$5/ATM_Conf!$C$8)*(Links!BG55*EXP((-(Links!AC55/Links!BV55)^Links!CK55)/Links!CK55)-Links!AR55)+(ATM_Conf!$C$5/Links!AC$191)*Links!AR55*(Nodes!BL55-Links!AR55)-(ATM_Conf!$C$9*ATM_Conf!$C$5/(ATM_Conf!$C$8*Links!AC$191))*(Nodes!BZ55-Links!AC55)/(Links!AC55/ATM_Conf!$C$10)</f>
        <v>#DIV/0!</v>
      </c>
      <c r="AS56" s="45" t="e">
        <f>AS55+(ATM_Conf!$C$5/ATM_Conf!$C$8)*(Links!BH55*EXP((-(Links!AD55/Links!BW55)^Links!CL55)/Links!CL55)-Links!AS55)+(ATM_Conf!$C$5/Links!AD$191)*Links!AS55*(Nodes!BM55-Links!AS55)-(ATM_Conf!$C$9*ATM_Conf!$C$5/(ATM_Conf!$C$8*Links!AD$191))*(Nodes!CA55-Links!AD55)/(Links!AD55/ATM_Conf!$C$10)</f>
        <v>#DIV/0!</v>
      </c>
      <c r="AT56" s="45" t="e">
        <f>AT55+(ATM_Conf!$C$5/ATM_Conf!$C$8)*(Links!BI55*EXP((-(Links!AE55/Links!BX55)^Links!CM55)/Links!CM55)-Links!AT55)+(ATM_Conf!$C$5/Links!AE$191)*Links!AT55*(Nodes!BN55-Links!AT55)</f>
        <v>#DIV/0!</v>
      </c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45">
        <f t="shared" si="30"/>
        <v>0</v>
      </c>
      <c r="CO56" s="45">
        <f t="shared" si="30"/>
        <v>0</v>
      </c>
      <c r="CP56" s="45">
        <f t="shared" si="30"/>
        <v>0</v>
      </c>
      <c r="CQ56" s="45">
        <f t="shared" si="30"/>
        <v>0</v>
      </c>
      <c r="CR56" s="45">
        <f t="shared" si="30"/>
        <v>0</v>
      </c>
      <c r="CS56" s="45">
        <f t="shared" si="30"/>
        <v>0</v>
      </c>
      <c r="CT56" s="45">
        <f t="shared" si="30"/>
        <v>0</v>
      </c>
      <c r="CU56" s="45">
        <f t="shared" si="30"/>
        <v>0</v>
      </c>
      <c r="CV56" s="45">
        <f t="shared" si="30"/>
        <v>0</v>
      </c>
      <c r="CW56" s="45">
        <f t="shared" si="30"/>
        <v>0</v>
      </c>
      <c r="CX56" s="45">
        <f t="shared" si="30"/>
        <v>0</v>
      </c>
      <c r="CY56" s="45">
        <f t="shared" si="30"/>
        <v>0</v>
      </c>
      <c r="CZ56" s="45">
        <f t="shared" si="30"/>
        <v>0</v>
      </c>
      <c r="DA56" s="45">
        <f t="shared" si="30"/>
        <v>0</v>
      </c>
      <c r="DB56" s="45">
        <f t="shared" si="30"/>
        <v>0</v>
      </c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</row>
    <row r="57" spans="1:121" ht="14.25" x14ac:dyDescent="0.15">
      <c r="A57" s="48">
        <v>55</v>
      </c>
      <c r="B57" s="45" t="e">
        <f t="shared" si="2"/>
        <v>#DIV/0!</v>
      </c>
      <c r="C57" s="45" t="e">
        <f t="shared" si="3"/>
        <v>#DIV/0!</v>
      </c>
      <c r="D57" s="45" t="e">
        <f t="shared" si="4"/>
        <v>#DIV/0!</v>
      </c>
      <c r="E57" s="45" t="e">
        <f t="shared" si="5"/>
        <v>#DIV/0!</v>
      </c>
      <c r="F57" s="45" t="e">
        <f t="shared" si="6"/>
        <v>#DIV/0!</v>
      </c>
      <c r="G57" s="45" t="e">
        <f t="shared" si="7"/>
        <v>#DIV/0!</v>
      </c>
      <c r="H57" s="45" t="e">
        <f t="shared" si="8"/>
        <v>#DIV/0!</v>
      </c>
      <c r="I57" s="45" t="e">
        <f t="shared" si="9"/>
        <v>#DIV/0!</v>
      </c>
      <c r="J57" s="45" t="e">
        <f t="shared" si="10"/>
        <v>#DIV/0!</v>
      </c>
      <c r="K57" s="45" t="e">
        <f t="shared" si="11"/>
        <v>#DIV/0!</v>
      </c>
      <c r="L57" s="45" t="e">
        <f t="shared" si="12"/>
        <v>#DIV/0!</v>
      </c>
      <c r="M57" s="45" t="e">
        <f t="shared" si="13"/>
        <v>#DIV/0!</v>
      </c>
      <c r="N57" s="45" t="e">
        <f t="shared" si="14"/>
        <v>#DIV/0!</v>
      </c>
      <c r="O57" s="45" t="e">
        <f t="shared" si="15"/>
        <v>#DIV/0!</v>
      </c>
      <c r="P57" s="45" t="e">
        <f t="shared" si="16"/>
        <v>#DIV/0!</v>
      </c>
      <c r="Q57" s="55" t="e">
        <f>Q56+ATM_Conf!$C$5*(B56)/(Links!B$191*Links!Q$191)</f>
        <v>#DIV/0!</v>
      </c>
      <c r="R57" s="55" t="e">
        <f>R56+ATM_Conf!$C$5*(C56-B56)/(Links!C$191*Links!R$191)</f>
        <v>#DIV/0!</v>
      </c>
      <c r="S57" s="55" t="e">
        <f>S56+ATM_Conf!$C$5*(D56-C56)/(Links!D$191*Links!S$191)</f>
        <v>#DIV/0!</v>
      </c>
      <c r="T57" s="55" t="e">
        <f>T56+ATM_Conf!$C$5*(E56-D56)/(Links!E$191*Links!T$191)</f>
        <v>#DIV/0!</v>
      </c>
      <c r="U57" s="55" t="e">
        <f>U56+ATM_Conf!$C$5*(F56-E56)/(Links!F$191*Links!U$191)</f>
        <v>#DIV/0!</v>
      </c>
      <c r="V57" s="55" t="e">
        <f>V56+ATM_Conf!$C$5*(G56-F56)/(Links!G$191*Links!V$191)</f>
        <v>#DIV/0!</v>
      </c>
      <c r="W57" s="55" t="e">
        <f>W56+ATM_Conf!$C$5*(H56-G56)/(Links!H$191*Links!W$191)</f>
        <v>#DIV/0!</v>
      </c>
      <c r="X57" s="55" t="e">
        <f>X56+ATM_Conf!$C$5*(I56-H56)/(Links!I$191*Links!X$191)</f>
        <v>#DIV/0!</v>
      </c>
      <c r="Y57" s="55" t="e">
        <f>Y56+ATM_Conf!$C$5*(J56)/(Links!J$191*Links!Y$191)</f>
        <v>#DIV/0!</v>
      </c>
      <c r="Z57" s="55" t="e">
        <f>Z56+ATM_Conf!$C$5*(K56-J56)/(Links!K$191*Links!Z$191)</f>
        <v>#DIV/0!</v>
      </c>
      <c r="AA57" s="55" t="e">
        <f>AA56+ATM_Conf!$C$5*(L56-K56)/(Links!L$191*Links!AA$191)</f>
        <v>#DIV/0!</v>
      </c>
      <c r="AB57" s="55" t="e">
        <f>AB56+ATM_Conf!$C$5*(M56-L56)/(Links!M$191*Links!AB$191)</f>
        <v>#DIV/0!</v>
      </c>
      <c r="AC57" s="55" t="e">
        <f>AC56+ATM_Conf!$C$5*(N56-M56)/(Links!N$191*Links!AC$191)</f>
        <v>#DIV/0!</v>
      </c>
      <c r="AD57" s="55" t="e">
        <f>AD56+ATM_Conf!$C$5*(O56-N56)/(Links!O$191*Links!AD$191)</f>
        <v>#DIV/0!</v>
      </c>
      <c r="AE57" s="55" t="e">
        <f>AE56+ATM_Conf!$C$5*(P56-O56)/(Links!P$191*Links!AE$191)</f>
        <v>#DIV/0!</v>
      </c>
      <c r="AF57" s="45" t="e">
        <f>AF56+(ATM_Conf!$C$5/ATM_Conf!$C$8)*(Links!AU56*EXP((-(Links!Q56/Links!BJ56)^Links!BY56)/Links!BY56)-Links!AF56)-(ATM_Conf!$C$9*ATM_Conf!$C$5/(ATM_Conf!$C$8*Links!Q$191))*(Nodes!BO56-Links!Q56)/(Links!Q56/ATM_Conf!$C$10)</f>
        <v>#DIV/0!</v>
      </c>
      <c r="AG57" s="45" t="e">
        <f>AG56+(ATM_Conf!$C$5/ATM_Conf!$C$8)*(Links!AV56*EXP((-(Links!R56/Links!BK56)^Links!BZ56)/Links!BZ56)-Links!AG56)+(ATM_Conf!$C$5/Links!R$191)*Links!AG56*(Nodes!BB56-Links!AG56)-(ATM_Conf!$C$9*ATM_Conf!$C$5/(ATM_Conf!$C$8*Links!R$191))*(Nodes!BP56-Links!R56)/(Links!R56/ATM_Conf!$C$10)</f>
        <v>#DIV/0!</v>
      </c>
      <c r="AH57" s="45" t="e">
        <f>AH56+(ATM_Conf!$C$5/ATM_Conf!$C$8)*(Links!AW56*EXP((-(Links!S56/Links!BL56)^Links!CA56)/Links!CA56)-Links!AH56)+(ATM_Conf!$C$5/Links!S$191)*Links!AH56*(Nodes!BC56-Links!AH56)-(ATM_Conf!$C$9*ATM_Conf!$C$5/(ATM_Conf!$C$8*Links!S$191))*(Nodes!BQ56-Links!S56)/(Links!S56/ATM_Conf!$C$10)</f>
        <v>#DIV/0!</v>
      </c>
      <c r="AI57" s="45" t="e">
        <f>AI56+(ATM_Conf!$C$5/ATM_Conf!$C$8)*(Links!AX56*EXP((-(Links!T56/Links!BM56)^Links!CB56)/Links!CB56)-Links!AI56)+(ATM_Conf!$C$5/Links!T$191)*Links!AI56*(Nodes!BD56-Links!AI56)-(ATM_Conf!$C$9*ATM_Conf!$C$5/(ATM_Conf!$C$8*Links!T$191))*(Nodes!BR56-Links!T56)/(Links!T56/ATM_Conf!$C$10)</f>
        <v>#DIV/0!</v>
      </c>
      <c r="AJ57" s="45" t="e">
        <f>AJ56+(ATM_Conf!$C$5/ATM_Conf!$C$8)*(Links!AY56*EXP((-(Links!U56/Links!BN56)^Links!CC56)/Links!CC56)-Links!AJ56)+(ATM_Conf!$C$5/Links!U$191)*Links!AJ56*(Nodes!BE56-Links!AJ56)-(ATM_Conf!$C$9*ATM_Conf!$C$5/(ATM_Conf!$C$8*Links!U$191))*(Nodes!BS56-Links!U56)/(Links!U56/ATM_Conf!$C$10)</f>
        <v>#DIV/0!</v>
      </c>
      <c r="AK57" s="45" t="e">
        <f>AK56+(ATM_Conf!$C$5/ATM_Conf!$C$8)*(Links!AZ56*EXP((-(Links!V56/Links!BO56)^Links!CD56)/Links!CD56)-Links!AK56)+(ATM_Conf!$C$5/Links!V$191)*Links!AK56*(Nodes!BF56-Links!AK56)-(ATM_Conf!$C$9*ATM_Conf!$C$5/(ATM_Conf!$C$8*Links!V$191))*(Nodes!BT56-Links!V56)/(Links!V56/ATM_Conf!$C$10)</f>
        <v>#DIV/0!</v>
      </c>
      <c r="AL57" s="45" t="e">
        <f>AL56+(ATM_Conf!$C$5/ATM_Conf!$C$8)*(Links!BA56*EXP((-(Links!W56/Links!BP56)^Links!CE56)/Links!CE56)-Links!AL56)+(ATM_Conf!$C$5/Links!W$191)*Links!AL56*(Nodes!BG56-Links!AL56)-(ATM_Conf!$C$9*ATM_Conf!$C$5/(ATM_Conf!$C$8*Links!W$191))*(Nodes!BU56-Links!W56)/(Links!W56/ATM_Conf!$C$10)</f>
        <v>#DIV/0!</v>
      </c>
      <c r="AM57" s="45" t="e">
        <f>AM56+(ATM_Conf!$C$5/ATM_Conf!$C$8)*(Links!BB56*EXP((-(Links!X56/Links!BQ56)^Links!CF56)/Links!CF56)-Links!AM56)+(ATM_Conf!$C$5/Links!X$191)*Links!AM56*(Nodes!BH56-Links!AM56)</f>
        <v>#DIV/0!</v>
      </c>
      <c r="AN57" s="45" t="e">
        <f>AN56+(ATM_Conf!$C$5/ATM_Conf!$C$8)*(Links!BC56*EXP((-(Links!Y56/Links!BR56)^Links!CG56)/Links!CG56)-Links!AN56)-(ATM_Conf!$C$9*ATM_Conf!$C$5/(ATM_Conf!$C$8*Links!Y$191))*(Nodes!BV56-Links!Y56)/(Links!Y56/ATM_Conf!$C$10)</f>
        <v>#DIV/0!</v>
      </c>
      <c r="AO57" s="45" t="e">
        <f>AO56+(ATM_Conf!$C$5/ATM_Conf!$C$8)*(Links!BD56*EXP((-(Links!Z56/Links!BS56)^Links!CH56)/Links!CH56)-Links!AO56)+(ATM_Conf!$C$5/Links!Z$191)*Links!AO56*(Nodes!BI56-Links!AO56)-(ATM_Conf!$C$9*ATM_Conf!$C$5/(ATM_Conf!$C$8*Links!Z$191))*(Nodes!BW56-Links!Z56)/(Links!Z56/ATM_Conf!$C$10)</f>
        <v>#DIV/0!</v>
      </c>
      <c r="AP57" s="45" t="e">
        <f>AP56+(ATM_Conf!$C$5/ATM_Conf!$C$8)*(Links!BE56*EXP((-(Links!AA56/Links!BT56)^Links!CI56)/Links!CI56)-Links!AP56)+(ATM_Conf!$C$5/Links!AA$191)*Links!AP56*(Nodes!BJ56-Links!AP56)-(ATM_Conf!$C$9*ATM_Conf!$C$5/(ATM_Conf!$C$8*Links!AA$191))*(Nodes!BX56-Links!AA56)/(Links!AA56/ATM_Conf!$C$10)</f>
        <v>#DIV/0!</v>
      </c>
      <c r="AQ57" s="45" t="e">
        <f>AQ56+(ATM_Conf!$C$5/ATM_Conf!$C$8)*(Links!BF56*EXP((-(Links!AB56/Links!BU56)^Links!CJ56)/Links!CJ56)-Links!AQ56)+(ATM_Conf!$C$5/Links!AB$191)*Links!AQ56*(Nodes!BK56-Links!AQ56)-(ATM_Conf!$C$9*ATM_Conf!$C$5/(ATM_Conf!$C$8*Links!AB$191))*(Nodes!BY56-Links!AB56)/(Links!AB56/ATM_Conf!$C$10)</f>
        <v>#DIV/0!</v>
      </c>
      <c r="AR57" s="45" t="e">
        <f>AR56+(ATM_Conf!$C$5/ATM_Conf!$C$8)*(Links!BG56*EXP((-(Links!AC56/Links!BV56)^Links!CK56)/Links!CK56)-Links!AR56)+(ATM_Conf!$C$5/Links!AC$191)*Links!AR56*(Nodes!BL56-Links!AR56)-(ATM_Conf!$C$9*ATM_Conf!$C$5/(ATM_Conf!$C$8*Links!AC$191))*(Nodes!BZ56-Links!AC56)/(Links!AC56/ATM_Conf!$C$10)</f>
        <v>#DIV/0!</v>
      </c>
      <c r="AS57" s="45" t="e">
        <f>AS56+(ATM_Conf!$C$5/ATM_Conf!$C$8)*(Links!BH56*EXP((-(Links!AD56/Links!BW56)^Links!CL56)/Links!CL56)-Links!AS56)+(ATM_Conf!$C$5/Links!AD$191)*Links!AS56*(Nodes!BM56-Links!AS56)-(ATM_Conf!$C$9*ATM_Conf!$C$5/(ATM_Conf!$C$8*Links!AD$191))*(Nodes!CA56-Links!AD56)/(Links!AD56/ATM_Conf!$C$10)</f>
        <v>#DIV/0!</v>
      </c>
      <c r="AT57" s="45" t="e">
        <f>AT56+(ATM_Conf!$C$5/ATM_Conf!$C$8)*(Links!BI56*EXP((-(Links!AE56/Links!BX56)^Links!CM56)/Links!CM56)-Links!AT56)+(ATM_Conf!$C$5/Links!AE$191)*Links!AT56*(Nodes!BN56-Links!AT56)</f>
        <v>#DIV/0!</v>
      </c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45"/>
      <c r="BK57" s="45"/>
      <c r="BL57" s="45"/>
      <c r="BM57" s="45"/>
      <c r="BN57" s="45"/>
      <c r="BO57" s="45"/>
      <c r="BP57" s="45"/>
      <c r="BQ57" s="45"/>
      <c r="BR57" s="45"/>
      <c r="BS57" s="45"/>
      <c r="BT57" s="45"/>
      <c r="BU57" s="45"/>
      <c r="BV57" s="45"/>
      <c r="BW57" s="45"/>
      <c r="BX57" s="4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45">
        <f t="shared" si="30"/>
        <v>0</v>
      </c>
      <c r="CO57" s="45">
        <f t="shared" si="30"/>
        <v>0</v>
      </c>
      <c r="CP57" s="45">
        <f t="shared" si="30"/>
        <v>0</v>
      </c>
      <c r="CQ57" s="45">
        <f t="shared" si="30"/>
        <v>0</v>
      </c>
      <c r="CR57" s="45">
        <f t="shared" si="30"/>
        <v>0</v>
      </c>
      <c r="CS57" s="45">
        <f t="shared" si="30"/>
        <v>0</v>
      </c>
      <c r="CT57" s="45">
        <f t="shared" si="30"/>
        <v>0</v>
      </c>
      <c r="CU57" s="45">
        <f t="shared" si="30"/>
        <v>0</v>
      </c>
      <c r="CV57" s="45">
        <f t="shared" si="30"/>
        <v>0</v>
      </c>
      <c r="CW57" s="45">
        <f t="shared" si="30"/>
        <v>0</v>
      </c>
      <c r="CX57" s="45">
        <f t="shared" si="30"/>
        <v>0</v>
      </c>
      <c r="CY57" s="45">
        <f t="shared" si="30"/>
        <v>0</v>
      </c>
      <c r="CZ57" s="45">
        <f t="shared" si="30"/>
        <v>0</v>
      </c>
      <c r="DA57" s="45">
        <f t="shared" si="30"/>
        <v>0</v>
      </c>
      <c r="DB57" s="45">
        <f t="shared" si="30"/>
        <v>0</v>
      </c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</row>
    <row r="58" spans="1:121" ht="14.25" x14ac:dyDescent="0.15">
      <c r="A58" s="48">
        <v>56</v>
      </c>
      <c r="B58" s="45" t="e">
        <f t="shared" si="2"/>
        <v>#DIV/0!</v>
      </c>
      <c r="C58" s="45" t="e">
        <f t="shared" si="3"/>
        <v>#DIV/0!</v>
      </c>
      <c r="D58" s="45" t="e">
        <f t="shared" si="4"/>
        <v>#DIV/0!</v>
      </c>
      <c r="E58" s="45" t="e">
        <f t="shared" si="5"/>
        <v>#DIV/0!</v>
      </c>
      <c r="F58" s="45" t="e">
        <f t="shared" si="6"/>
        <v>#DIV/0!</v>
      </c>
      <c r="G58" s="45" t="e">
        <f t="shared" si="7"/>
        <v>#DIV/0!</v>
      </c>
      <c r="H58" s="45" t="e">
        <f t="shared" si="8"/>
        <v>#DIV/0!</v>
      </c>
      <c r="I58" s="45" t="e">
        <f t="shared" si="9"/>
        <v>#DIV/0!</v>
      </c>
      <c r="J58" s="45" t="e">
        <f t="shared" si="10"/>
        <v>#DIV/0!</v>
      </c>
      <c r="K58" s="45" t="e">
        <f t="shared" si="11"/>
        <v>#DIV/0!</v>
      </c>
      <c r="L58" s="45" t="e">
        <f t="shared" si="12"/>
        <v>#DIV/0!</v>
      </c>
      <c r="M58" s="45" t="e">
        <f t="shared" si="13"/>
        <v>#DIV/0!</v>
      </c>
      <c r="N58" s="45" t="e">
        <f t="shared" si="14"/>
        <v>#DIV/0!</v>
      </c>
      <c r="O58" s="45" t="e">
        <f t="shared" si="15"/>
        <v>#DIV/0!</v>
      </c>
      <c r="P58" s="45" t="e">
        <f t="shared" si="16"/>
        <v>#DIV/0!</v>
      </c>
      <c r="Q58" s="55" t="e">
        <f>Q57+ATM_Conf!$C$5*(B57)/(Links!B$191*Links!Q$191)</f>
        <v>#DIV/0!</v>
      </c>
      <c r="R58" s="55" t="e">
        <f>R57+ATM_Conf!$C$5*(C57-B57)/(Links!C$191*Links!R$191)</f>
        <v>#DIV/0!</v>
      </c>
      <c r="S58" s="55" t="e">
        <f>S57+ATM_Conf!$C$5*(D57-C57)/(Links!D$191*Links!S$191)</f>
        <v>#DIV/0!</v>
      </c>
      <c r="T58" s="55" t="e">
        <f>T57+ATM_Conf!$C$5*(E57-D57)/(Links!E$191*Links!T$191)</f>
        <v>#DIV/0!</v>
      </c>
      <c r="U58" s="55" t="e">
        <f>U57+ATM_Conf!$C$5*(F57-E57)/(Links!F$191*Links!U$191)</f>
        <v>#DIV/0!</v>
      </c>
      <c r="V58" s="55" t="e">
        <f>V57+ATM_Conf!$C$5*(G57-F57)/(Links!G$191*Links!V$191)</f>
        <v>#DIV/0!</v>
      </c>
      <c r="W58" s="55" t="e">
        <f>W57+ATM_Conf!$C$5*(H57-G57)/(Links!H$191*Links!W$191)</f>
        <v>#DIV/0!</v>
      </c>
      <c r="X58" s="55" t="e">
        <f>X57+ATM_Conf!$C$5*(I57-H57)/(Links!I$191*Links!X$191)</f>
        <v>#DIV/0!</v>
      </c>
      <c r="Y58" s="55" t="e">
        <f>Y57+ATM_Conf!$C$5*(J57)/(Links!J$191*Links!Y$191)</f>
        <v>#DIV/0!</v>
      </c>
      <c r="Z58" s="55" t="e">
        <f>Z57+ATM_Conf!$C$5*(K57-J57)/(Links!K$191*Links!Z$191)</f>
        <v>#DIV/0!</v>
      </c>
      <c r="AA58" s="55" t="e">
        <f>AA57+ATM_Conf!$C$5*(L57-K57)/(Links!L$191*Links!AA$191)</f>
        <v>#DIV/0!</v>
      </c>
      <c r="AB58" s="55" t="e">
        <f>AB57+ATM_Conf!$C$5*(M57-L57)/(Links!M$191*Links!AB$191)</f>
        <v>#DIV/0!</v>
      </c>
      <c r="AC58" s="55" t="e">
        <f>AC57+ATM_Conf!$C$5*(N57-M57)/(Links!N$191*Links!AC$191)</f>
        <v>#DIV/0!</v>
      </c>
      <c r="AD58" s="55" t="e">
        <f>AD57+ATM_Conf!$C$5*(O57-N57)/(Links!O$191*Links!AD$191)</f>
        <v>#DIV/0!</v>
      </c>
      <c r="AE58" s="55" t="e">
        <f>AE57+ATM_Conf!$C$5*(P57-O57)/(Links!P$191*Links!AE$191)</f>
        <v>#DIV/0!</v>
      </c>
      <c r="AF58" s="45" t="e">
        <f>AF57+(ATM_Conf!$C$5/ATM_Conf!$C$8)*(Links!AU57*EXP((-(Links!Q57/Links!BJ57)^Links!BY57)/Links!BY57)-Links!AF57)-(ATM_Conf!$C$9*ATM_Conf!$C$5/(ATM_Conf!$C$8*Links!Q$191))*(Nodes!BO57-Links!Q57)/(Links!Q57/ATM_Conf!$C$10)</f>
        <v>#DIV/0!</v>
      </c>
      <c r="AG58" s="45" t="e">
        <f>AG57+(ATM_Conf!$C$5/ATM_Conf!$C$8)*(Links!AV57*EXP((-(Links!R57/Links!BK57)^Links!BZ57)/Links!BZ57)-Links!AG57)+(ATM_Conf!$C$5/Links!R$191)*Links!AG57*(Nodes!BB57-Links!AG57)-(ATM_Conf!$C$9*ATM_Conf!$C$5/(ATM_Conf!$C$8*Links!R$191))*(Nodes!BP57-Links!R57)/(Links!R57/ATM_Conf!$C$10)</f>
        <v>#DIV/0!</v>
      </c>
      <c r="AH58" s="45" t="e">
        <f>AH57+(ATM_Conf!$C$5/ATM_Conf!$C$8)*(Links!AW57*EXP((-(Links!S57/Links!BL57)^Links!CA57)/Links!CA57)-Links!AH57)+(ATM_Conf!$C$5/Links!S$191)*Links!AH57*(Nodes!BC57-Links!AH57)-(ATM_Conf!$C$9*ATM_Conf!$C$5/(ATM_Conf!$C$8*Links!S$191))*(Nodes!BQ57-Links!S57)/(Links!S57/ATM_Conf!$C$10)</f>
        <v>#DIV/0!</v>
      </c>
      <c r="AI58" s="45" t="e">
        <f>AI57+(ATM_Conf!$C$5/ATM_Conf!$C$8)*(Links!AX57*EXP((-(Links!T57/Links!BM57)^Links!CB57)/Links!CB57)-Links!AI57)+(ATM_Conf!$C$5/Links!T$191)*Links!AI57*(Nodes!BD57-Links!AI57)-(ATM_Conf!$C$9*ATM_Conf!$C$5/(ATM_Conf!$C$8*Links!T$191))*(Nodes!BR57-Links!T57)/(Links!T57/ATM_Conf!$C$10)</f>
        <v>#DIV/0!</v>
      </c>
      <c r="AJ58" s="45" t="e">
        <f>AJ57+(ATM_Conf!$C$5/ATM_Conf!$C$8)*(Links!AY57*EXP((-(Links!U57/Links!BN57)^Links!CC57)/Links!CC57)-Links!AJ57)+(ATM_Conf!$C$5/Links!U$191)*Links!AJ57*(Nodes!BE57-Links!AJ57)-(ATM_Conf!$C$9*ATM_Conf!$C$5/(ATM_Conf!$C$8*Links!U$191))*(Nodes!BS57-Links!U57)/(Links!U57/ATM_Conf!$C$10)</f>
        <v>#DIV/0!</v>
      </c>
      <c r="AK58" s="45" t="e">
        <f>AK57+(ATM_Conf!$C$5/ATM_Conf!$C$8)*(Links!AZ57*EXP((-(Links!V57/Links!BO57)^Links!CD57)/Links!CD57)-Links!AK57)+(ATM_Conf!$C$5/Links!V$191)*Links!AK57*(Nodes!BF57-Links!AK57)-(ATM_Conf!$C$9*ATM_Conf!$C$5/(ATM_Conf!$C$8*Links!V$191))*(Nodes!BT57-Links!V57)/(Links!V57/ATM_Conf!$C$10)</f>
        <v>#DIV/0!</v>
      </c>
      <c r="AL58" s="45" t="e">
        <f>AL57+(ATM_Conf!$C$5/ATM_Conf!$C$8)*(Links!BA57*EXP((-(Links!W57/Links!BP57)^Links!CE57)/Links!CE57)-Links!AL57)+(ATM_Conf!$C$5/Links!W$191)*Links!AL57*(Nodes!BG57-Links!AL57)-(ATM_Conf!$C$9*ATM_Conf!$C$5/(ATM_Conf!$C$8*Links!W$191))*(Nodes!BU57-Links!W57)/(Links!W57/ATM_Conf!$C$10)</f>
        <v>#DIV/0!</v>
      </c>
      <c r="AM58" s="45" t="e">
        <f>AM57+(ATM_Conf!$C$5/ATM_Conf!$C$8)*(Links!BB57*EXP((-(Links!X57/Links!BQ57)^Links!CF57)/Links!CF57)-Links!AM57)+(ATM_Conf!$C$5/Links!X$191)*Links!AM57*(Nodes!BH57-Links!AM57)</f>
        <v>#DIV/0!</v>
      </c>
      <c r="AN58" s="45" t="e">
        <f>AN57+(ATM_Conf!$C$5/ATM_Conf!$C$8)*(Links!BC57*EXP((-(Links!Y57/Links!BR57)^Links!CG57)/Links!CG57)-Links!AN57)-(ATM_Conf!$C$9*ATM_Conf!$C$5/(ATM_Conf!$C$8*Links!Y$191))*(Nodes!BV57-Links!Y57)/(Links!Y57/ATM_Conf!$C$10)</f>
        <v>#DIV/0!</v>
      </c>
      <c r="AO58" s="45" t="e">
        <f>AO57+(ATM_Conf!$C$5/ATM_Conf!$C$8)*(Links!BD57*EXP((-(Links!Z57/Links!BS57)^Links!CH57)/Links!CH57)-Links!AO57)+(ATM_Conf!$C$5/Links!Z$191)*Links!AO57*(Nodes!BI57-Links!AO57)-(ATM_Conf!$C$9*ATM_Conf!$C$5/(ATM_Conf!$C$8*Links!Z$191))*(Nodes!BW57-Links!Z57)/(Links!Z57/ATM_Conf!$C$10)</f>
        <v>#DIV/0!</v>
      </c>
      <c r="AP58" s="45" t="e">
        <f>AP57+(ATM_Conf!$C$5/ATM_Conf!$C$8)*(Links!BE57*EXP((-(Links!AA57/Links!BT57)^Links!CI57)/Links!CI57)-Links!AP57)+(ATM_Conf!$C$5/Links!AA$191)*Links!AP57*(Nodes!BJ57-Links!AP57)-(ATM_Conf!$C$9*ATM_Conf!$C$5/(ATM_Conf!$C$8*Links!AA$191))*(Nodes!BX57-Links!AA57)/(Links!AA57/ATM_Conf!$C$10)</f>
        <v>#DIV/0!</v>
      </c>
      <c r="AQ58" s="45" t="e">
        <f>AQ57+(ATM_Conf!$C$5/ATM_Conf!$C$8)*(Links!BF57*EXP((-(Links!AB57/Links!BU57)^Links!CJ57)/Links!CJ57)-Links!AQ57)+(ATM_Conf!$C$5/Links!AB$191)*Links!AQ57*(Nodes!BK57-Links!AQ57)-(ATM_Conf!$C$9*ATM_Conf!$C$5/(ATM_Conf!$C$8*Links!AB$191))*(Nodes!BY57-Links!AB57)/(Links!AB57/ATM_Conf!$C$10)</f>
        <v>#DIV/0!</v>
      </c>
      <c r="AR58" s="45" t="e">
        <f>AR57+(ATM_Conf!$C$5/ATM_Conf!$C$8)*(Links!BG57*EXP((-(Links!AC57/Links!BV57)^Links!CK57)/Links!CK57)-Links!AR57)+(ATM_Conf!$C$5/Links!AC$191)*Links!AR57*(Nodes!BL57-Links!AR57)-(ATM_Conf!$C$9*ATM_Conf!$C$5/(ATM_Conf!$C$8*Links!AC$191))*(Nodes!BZ57-Links!AC57)/(Links!AC57/ATM_Conf!$C$10)</f>
        <v>#DIV/0!</v>
      </c>
      <c r="AS58" s="45" t="e">
        <f>AS57+(ATM_Conf!$C$5/ATM_Conf!$C$8)*(Links!BH57*EXP((-(Links!AD57/Links!BW57)^Links!CL57)/Links!CL57)-Links!AS57)+(ATM_Conf!$C$5/Links!AD$191)*Links!AS57*(Nodes!BM57-Links!AS57)-(ATM_Conf!$C$9*ATM_Conf!$C$5/(ATM_Conf!$C$8*Links!AD$191))*(Nodes!CA57-Links!AD57)/(Links!AD57/ATM_Conf!$C$10)</f>
        <v>#DIV/0!</v>
      </c>
      <c r="AT58" s="45" t="e">
        <f>AT57+(ATM_Conf!$C$5/ATM_Conf!$C$8)*(Links!BI57*EXP((-(Links!AE57/Links!BX57)^Links!CM57)/Links!CM57)-Links!AT57)+(ATM_Conf!$C$5/Links!AE$191)*Links!AT57*(Nodes!BN57-Links!AT57)</f>
        <v>#DIV/0!</v>
      </c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45"/>
      <c r="BK58" s="45"/>
      <c r="BL58" s="45"/>
      <c r="BM58" s="45"/>
      <c r="BN58" s="45"/>
      <c r="BO58" s="45"/>
      <c r="BP58" s="45"/>
      <c r="BQ58" s="45"/>
      <c r="BR58" s="45"/>
      <c r="BS58" s="45"/>
      <c r="BT58" s="45"/>
      <c r="BU58" s="45"/>
      <c r="BV58" s="45"/>
      <c r="BW58" s="45"/>
      <c r="BX58" s="4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45">
        <f t="shared" si="30"/>
        <v>0</v>
      </c>
      <c r="CO58" s="45">
        <f t="shared" si="30"/>
        <v>0</v>
      </c>
      <c r="CP58" s="45">
        <f t="shared" si="30"/>
        <v>0</v>
      </c>
      <c r="CQ58" s="45">
        <f t="shared" si="30"/>
        <v>0</v>
      </c>
      <c r="CR58" s="45">
        <f t="shared" si="30"/>
        <v>0</v>
      </c>
      <c r="CS58" s="45">
        <f t="shared" si="30"/>
        <v>0</v>
      </c>
      <c r="CT58" s="45">
        <f t="shared" si="30"/>
        <v>0</v>
      </c>
      <c r="CU58" s="45">
        <f t="shared" si="30"/>
        <v>0</v>
      </c>
      <c r="CV58" s="45">
        <f t="shared" si="30"/>
        <v>0</v>
      </c>
      <c r="CW58" s="45">
        <f t="shared" si="30"/>
        <v>0</v>
      </c>
      <c r="CX58" s="45">
        <f t="shared" si="30"/>
        <v>0</v>
      </c>
      <c r="CY58" s="45">
        <f t="shared" si="30"/>
        <v>0</v>
      </c>
      <c r="CZ58" s="45">
        <f t="shared" si="30"/>
        <v>0</v>
      </c>
      <c r="DA58" s="45">
        <f t="shared" si="30"/>
        <v>0</v>
      </c>
      <c r="DB58" s="45">
        <f t="shared" si="30"/>
        <v>0</v>
      </c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</row>
    <row r="59" spans="1:121" ht="14.25" x14ac:dyDescent="0.15">
      <c r="A59" s="48">
        <v>57</v>
      </c>
      <c r="B59" s="45" t="e">
        <f t="shared" si="2"/>
        <v>#DIV/0!</v>
      </c>
      <c r="C59" s="45" t="e">
        <f t="shared" si="3"/>
        <v>#DIV/0!</v>
      </c>
      <c r="D59" s="45" t="e">
        <f t="shared" si="4"/>
        <v>#DIV/0!</v>
      </c>
      <c r="E59" s="45" t="e">
        <f t="shared" si="5"/>
        <v>#DIV/0!</v>
      </c>
      <c r="F59" s="45" t="e">
        <f t="shared" si="6"/>
        <v>#DIV/0!</v>
      </c>
      <c r="G59" s="45" t="e">
        <f t="shared" si="7"/>
        <v>#DIV/0!</v>
      </c>
      <c r="H59" s="45" t="e">
        <f t="shared" si="8"/>
        <v>#DIV/0!</v>
      </c>
      <c r="I59" s="45" t="e">
        <f t="shared" si="9"/>
        <v>#DIV/0!</v>
      </c>
      <c r="J59" s="45" t="e">
        <f t="shared" si="10"/>
        <v>#DIV/0!</v>
      </c>
      <c r="K59" s="45" t="e">
        <f t="shared" si="11"/>
        <v>#DIV/0!</v>
      </c>
      <c r="L59" s="45" t="e">
        <f t="shared" si="12"/>
        <v>#DIV/0!</v>
      </c>
      <c r="M59" s="45" t="e">
        <f t="shared" si="13"/>
        <v>#DIV/0!</v>
      </c>
      <c r="N59" s="45" t="e">
        <f t="shared" si="14"/>
        <v>#DIV/0!</v>
      </c>
      <c r="O59" s="45" t="e">
        <f t="shared" si="15"/>
        <v>#DIV/0!</v>
      </c>
      <c r="P59" s="45" t="e">
        <f t="shared" si="16"/>
        <v>#DIV/0!</v>
      </c>
      <c r="Q59" s="55" t="e">
        <f>Q58+ATM_Conf!$C$5*(B58)/(Links!B$191*Links!Q$191)</f>
        <v>#DIV/0!</v>
      </c>
      <c r="R59" s="55" t="e">
        <f>R58+ATM_Conf!$C$5*(C58-B58)/(Links!C$191*Links!R$191)</f>
        <v>#DIV/0!</v>
      </c>
      <c r="S59" s="55" t="e">
        <f>S58+ATM_Conf!$C$5*(D58-C58)/(Links!D$191*Links!S$191)</f>
        <v>#DIV/0!</v>
      </c>
      <c r="T59" s="55" t="e">
        <f>T58+ATM_Conf!$C$5*(E58-D58)/(Links!E$191*Links!T$191)</f>
        <v>#DIV/0!</v>
      </c>
      <c r="U59" s="55" t="e">
        <f>U58+ATM_Conf!$C$5*(F58-E58)/(Links!F$191*Links!U$191)</f>
        <v>#DIV/0!</v>
      </c>
      <c r="V59" s="55" t="e">
        <f>V58+ATM_Conf!$C$5*(G58-F58)/(Links!G$191*Links!V$191)</f>
        <v>#DIV/0!</v>
      </c>
      <c r="W59" s="55" t="e">
        <f>W58+ATM_Conf!$C$5*(H58-G58)/(Links!H$191*Links!W$191)</f>
        <v>#DIV/0!</v>
      </c>
      <c r="X59" s="55" t="e">
        <f>X58+ATM_Conf!$C$5*(I58-H58)/(Links!I$191*Links!X$191)</f>
        <v>#DIV/0!</v>
      </c>
      <c r="Y59" s="55" t="e">
        <f>Y58+ATM_Conf!$C$5*(J58)/(Links!J$191*Links!Y$191)</f>
        <v>#DIV/0!</v>
      </c>
      <c r="Z59" s="55" t="e">
        <f>Z58+ATM_Conf!$C$5*(K58-J58)/(Links!K$191*Links!Z$191)</f>
        <v>#DIV/0!</v>
      </c>
      <c r="AA59" s="55" t="e">
        <f>AA58+ATM_Conf!$C$5*(L58-K58)/(Links!L$191*Links!AA$191)</f>
        <v>#DIV/0!</v>
      </c>
      <c r="AB59" s="55" t="e">
        <f>AB58+ATM_Conf!$C$5*(M58-L58)/(Links!M$191*Links!AB$191)</f>
        <v>#DIV/0!</v>
      </c>
      <c r="AC59" s="55" t="e">
        <f>AC58+ATM_Conf!$C$5*(N58-M58)/(Links!N$191*Links!AC$191)</f>
        <v>#DIV/0!</v>
      </c>
      <c r="AD59" s="55" t="e">
        <f>AD58+ATM_Conf!$C$5*(O58-N58)/(Links!O$191*Links!AD$191)</f>
        <v>#DIV/0!</v>
      </c>
      <c r="AE59" s="55" t="e">
        <f>AE58+ATM_Conf!$C$5*(P58-O58)/(Links!P$191*Links!AE$191)</f>
        <v>#DIV/0!</v>
      </c>
      <c r="AF59" s="45" t="e">
        <f>AF58+(ATM_Conf!$C$5/ATM_Conf!$C$8)*(Links!AU58*EXP((-(Links!Q58/Links!BJ58)^Links!BY58)/Links!BY58)-Links!AF58)-(ATM_Conf!$C$9*ATM_Conf!$C$5/(ATM_Conf!$C$8*Links!Q$191))*(Nodes!BO58-Links!Q58)/(Links!Q58/ATM_Conf!$C$10)</f>
        <v>#DIV/0!</v>
      </c>
      <c r="AG59" s="45" t="e">
        <f>AG58+(ATM_Conf!$C$5/ATM_Conf!$C$8)*(Links!AV58*EXP((-(Links!R58/Links!BK58)^Links!BZ58)/Links!BZ58)-Links!AG58)+(ATM_Conf!$C$5/Links!R$191)*Links!AG58*(Nodes!BB58-Links!AG58)-(ATM_Conf!$C$9*ATM_Conf!$C$5/(ATM_Conf!$C$8*Links!R$191))*(Nodes!BP58-Links!R58)/(Links!R58/ATM_Conf!$C$10)</f>
        <v>#DIV/0!</v>
      </c>
      <c r="AH59" s="45" t="e">
        <f>AH58+(ATM_Conf!$C$5/ATM_Conf!$C$8)*(Links!AW58*EXP((-(Links!S58/Links!BL58)^Links!CA58)/Links!CA58)-Links!AH58)+(ATM_Conf!$C$5/Links!S$191)*Links!AH58*(Nodes!BC58-Links!AH58)-(ATM_Conf!$C$9*ATM_Conf!$C$5/(ATM_Conf!$C$8*Links!S$191))*(Nodes!BQ58-Links!S58)/(Links!S58/ATM_Conf!$C$10)</f>
        <v>#DIV/0!</v>
      </c>
      <c r="AI59" s="45" t="e">
        <f>AI58+(ATM_Conf!$C$5/ATM_Conf!$C$8)*(Links!AX58*EXP((-(Links!T58/Links!BM58)^Links!CB58)/Links!CB58)-Links!AI58)+(ATM_Conf!$C$5/Links!T$191)*Links!AI58*(Nodes!BD58-Links!AI58)-(ATM_Conf!$C$9*ATM_Conf!$C$5/(ATM_Conf!$C$8*Links!T$191))*(Nodes!BR58-Links!T58)/(Links!T58/ATM_Conf!$C$10)</f>
        <v>#DIV/0!</v>
      </c>
      <c r="AJ59" s="45" t="e">
        <f>AJ58+(ATM_Conf!$C$5/ATM_Conf!$C$8)*(Links!AY58*EXP((-(Links!U58/Links!BN58)^Links!CC58)/Links!CC58)-Links!AJ58)+(ATM_Conf!$C$5/Links!U$191)*Links!AJ58*(Nodes!BE58-Links!AJ58)-(ATM_Conf!$C$9*ATM_Conf!$C$5/(ATM_Conf!$C$8*Links!U$191))*(Nodes!BS58-Links!U58)/(Links!U58/ATM_Conf!$C$10)</f>
        <v>#DIV/0!</v>
      </c>
      <c r="AK59" s="45" t="e">
        <f>AK58+(ATM_Conf!$C$5/ATM_Conf!$C$8)*(Links!AZ58*EXP((-(Links!V58/Links!BO58)^Links!CD58)/Links!CD58)-Links!AK58)+(ATM_Conf!$C$5/Links!V$191)*Links!AK58*(Nodes!BF58-Links!AK58)-(ATM_Conf!$C$9*ATM_Conf!$C$5/(ATM_Conf!$C$8*Links!V$191))*(Nodes!BT58-Links!V58)/(Links!V58/ATM_Conf!$C$10)</f>
        <v>#DIV/0!</v>
      </c>
      <c r="AL59" s="45" t="e">
        <f>AL58+(ATM_Conf!$C$5/ATM_Conf!$C$8)*(Links!BA58*EXP((-(Links!W58/Links!BP58)^Links!CE58)/Links!CE58)-Links!AL58)+(ATM_Conf!$C$5/Links!W$191)*Links!AL58*(Nodes!BG58-Links!AL58)-(ATM_Conf!$C$9*ATM_Conf!$C$5/(ATM_Conf!$C$8*Links!W$191))*(Nodes!BU58-Links!W58)/(Links!W58/ATM_Conf!$C$10)</f>
        <v>#DIV/0!</v>
      </c>
      <c r="AM59" s="45" t="e">
        <f>AM58+(ATM_Conf!$C$5/ATM_Conf!$C$8)*(Links!BB58*EXP((-(Links!X58/Links!BQ58)^Links!CF58)/Links!CF58)-Links!AM58)+(ATM_Conf!$C$5/Links!X$191)*Links!AM58*(Nodes!BH58-Links!AM58)</f>
        <v>#DIV/0!</v>
      </c>
      <c r="AN59" s="45" t="e">
        <f>AN58+(ATM_Conf!$C$5/ATM_Conf!$C$8)*(Links!BC58*EXP((-(Links!Y58/Links!BR58)^Links!CG58)/Links!CG58)-Links!AN58)-(ATM_Conf!$C$9*ATM_Conf!$C$5/(ATM_Conf!$C$8*Links!Y$191))*(Nodes!BV58-Links!Y58)/(Links!Y58/ATM_Conf!$C$10)</f>
        <v>#DIV/0!</v>
      </c>
      <c r="AO59" s="45" t="e">
        <f>AO58+(ATM_Conf!$C$5/ATM_Conf!$C$8)*(Links!BD58*EXP((-(Links!Z58/Links!BS58)^Links!CH58)/Links!CH58)-Links!AO58)+(ATM_Conf!$C$5/Links!Z$191)*Links!AO58*(Nodes!BI58-Links!AO58)-(ATM_Conf!$C$9*ATM_Conf!$C$5/(ATM_Conf!$C$8*Links!Z$191))*(Nodes!BW58-Links!Z58)/(Links!Z58/ATM_Conf!$C$10)</f>
        <v>#DIV/0!</v>
      </c>
      <c r="AP59" s="45" t="e">
        <f>AP58+(ATM_Conf!$C$5/ATM_Conf!$C$8)*(Links!BE58*EXP((-(Links!AA58/Links!BT58)^Links!CI58)/Links!CI58)-Links!AP58)+(ATM_Conf!$C$5/Links!AA$191)*Links!AP58*(Nodes!BJ58-Links!AP58)-(ATM_Conf!$C$9*ATM_Conf!$C$5/(ATM_Conf!$C$8*Links!AA$191))*(Nodes!BX58-Links!AA58)/(Links!AA58/ATM_Conf!$C$10)</f>
        <v>#DIV/0!</v>
      </c>
      <c r="AQ59" s="45" t="e">
        <f>AQ58+(ATM_Conf!$C$5/ATM_Conf!$C$8)*(Links!BF58*EXP((-(Links!AB58/Links!BU58)^Links!CJ58)/Links!CJ58)-Links!AQ58)+(ATM_Conf!$C$5/Links!AB$191)*Links!AQ58*(Nodes!BK58-Links!AQ58)-(ATM_Conf!$C$9*ATM_Conf!$C$5/(ATM_Conf!$C$8*Links!AB$191))*(Nodes!BY58-Links!AB58)/(Links!AB58/ATM_Conf!$C$10)</f>
        <v>#DIV/0!</v>
      </c>
      <c r="AR59" s="45" t="e">
        <f>AR58+(ATM_Conf!$C$5/ATM_Conf!$C$8)*(Links!BG58*EXP((-(Links!AC58/Links!BV58)^Links!CK58)/Links!CK58)-Links!AR58)+(ATM_Conf!$C$5/Links!AC$191)*Links!AR58*(Nodes!BL58-Links!AR58)-(ATM_Conf!$C$9*ATM_Conf!$C$5/(ATM_Conf!$C$8*Links!AC$191))*(Nodes!BZ58-Links!AC58)/(Links!AC58/ATM_Conf!$C$10)</f>
        <v>#DIV/0!</v>
      </c>
      <c r="AS59" s="45" t="e">
        <f>AS58+(ATM_Conf!$C$5/ATM_Conf!$C$8)*(Links!BH58*EXP((-(Links!AD58/Links!BW58)^Links!CL58)/Links!CL58)-Links!AS58)+(ATM_Conf!$C$5/Links!AD$191)*Links!AS58*(Nodes!BM58-Links!AS58)-(ATM_Conf!$C$9*ATM_Conf!$C$5/(ATM_Conf!$C$8*Links!AD$191))*(Nodes!CA58-Links!AD58)/(Links!AD58/ATM_Conf!$C$10)</f>
        <v>#DIV/0!</v>
      </c>
      <c r="AT59" s="45" t="e">
        <f>AT58+(ATM_Conf!$C$5/ATM_Conf!$C$8)*(Links!BI58*EXP((-(Links!AE58/Links!BX58)^Links!CM58)/Links!CM58)-Links!AT58)+(ATM_Conf!$C$5/Links!AE$191)*Links!AT58*(Nodes!BN58-Links!AT58)</f>
        <v>#DIV/0!</v>
      </c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45"/>
      <c r="BK59" s="45"/>
      <c r="BL59" s="45"/>
      <c r="BM59" s="45"/>
      <c r="BN59" s="45"/>
      <c r="BO59" s="45"/>
      <c r="BP59" s="45"/>
      <c r="BQ59" s="45"/>
      <c r="BR59" s="45"/>
      <c r="BS59" s="45"/>
      <c r="BT59" s="45"/>
      <c r="BU59" s="45"/>
      <c r="BV59" s="45"/>
      <c r="BW59" s="45"/>
      <c r="BX59" s="4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45">
        <f t="shared" si="30"/>
        <v>0</v>
      </c>
      <c r="CO59" s="45">
        <f t="shared" si="30"/>
        <v>0</v>
      </c>
      <c r="CP59" s="45">
        <f t="shared" si="30"/>
        <v>0</v>
      </c>
      <c r="CQ59" s="45">
        <f t="shared" si="30"/>
        <v>0</v>
      </c>
      <c r="CR59" s="45">
        <f t="shared" si="30"/>
        <v>0</v>
      </c>
      <c r="CS59" s="45">
        <f t="shared" si="30"/>
        <v>0</v>
      </c>
      <c r="CT59" s="45">
        <f t="shared" si="30"/>
        <v>0</v>
      </c>
      <c r="CU59" s="45">
        <f t="shared" si="30"/>
        <v>0</v>
      </c>
      <c r="CV59" s="45">
        <f t="shared" si="30"/>
        <v>0</v>
      </c>
      <c r="CW59" s="45">
        <f t="shared" si="30"/>
        <v>0</v>
      </c>
      <c r="CX59" s="45">
        <f t="shared" si="30"/>
        <v>0</v>
      </c>
      <c r="CY59" s="45">
        <f t="shared" si="30"/>
        <v>0</v>
      </c>
      <c r="CZ59" s="45">
        <f t="shared" si="30"/>
        <v>0</v>
      </c>
      <c r="DA59" s="45">
        <f t="shared" si="30"/>
        <v>0</v>
      </c>
      <c r="DB59" s="45">
        <f t="shared" si="30"/>
        <v>0</v>
      </c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</row>
    <row r="60" spans="1:121" ht="14.25" x14ac:dyDescent="0.15">
      <c r="A60" s="48">
        <v>58</v>
      </c>
      <c r="B60" s="45" t="e">
        <f t="shared" si="2"/>
        <v>#DIV/0!</v>
      </c>
      <c r="C60" s="45" t="e">
        <f t="shared" si="3"/>
        <v>#DIV/0!</v>
      </c>
      <c r="D60" s="45" t="e">
        <f t="shared" si="4"/>
        <v>#DIV/0!</v>
      </c>
      <c r="E60" s="45" t="e">
        <f t="shared" si="5"/>
        <v>#DIV/0!</v>
      </c>
      <c r="F60" s="45" t="e">
        <f t="shared" si="6"/>
        <v>#DIV/0!</v>
      </c>
      <c r="G60" s="45" t="e">
        <f t="shared" si="7"/>
        <v>#DIV/0!</v>
      </c>
      <c r="H60" s="45" t="e">
        <f t="shared" si="8"/>
        <v>#DIV/0!</v>
      </c>
      <c r="I60" s="45" t="e">
        <f t="shared" si="9"/>
        <v>#DIV/0!</v>
      </c>
      <c r="J60" s="45" t="e">
        <f t="shared" si="10"/>
        <v>#DIV/0!</v>
      </c>
      <c r="K60" s="45" t="e">
        <f t="shared" si="11"/>
        <v>#DIV/0!</v>
      </c>
      <c r="L60" s="45" t="e">
        <f t="shared" si="12"/>
        <v>#DIV/0!</v>
      </c>
      <c r="M60" s="45" t="e">
        <f t="shared" si="13"/>
        <v>#DIV/0!</v>
      </c>
      <c r="N60" s="45" t="e">
        <f t="shared" si="14"/>
        <v>#DIV/0!</v>
      </c>
      <c r="O60" s="45" t="e">
        <f t="shared" si="15"/>
        <v>#DIV/0!</v>
      </c>
      <c r="P60" s="45" t="e">
        <f t="shared" si="16"/>
        <v>#DIV/0!</v>
      </c>
      <c r="Q60" s="55" t="e">
        <f>Q59+ATM_Conf!$C$5*(B59)/(Links!B$191*Links!Q$191)</f>
        <v>#DIV/0!</v>
      </c>
      <c r="R60" s="55" t="e">
        <f>R59+ATM_Conf!$C$5*(C59-B59)/(Links!C$191*Links!R$191)</f>
        <v>#DIV/0!</v>
      </c>
      <c r="S60" s="55" t="e">
        <f>S59+ATM_Conf!$C$5*(D59-C59)/(Links!D$191*Links!S$191)</f>
        <v>#DIV/0!</v>
      </c>
      <c r="T60" s="55" t="e">
        <f>T59+ATM_Conf!$C$5*(E59-D59)/(Links!E$191*Links!T$191)</f>
        <v>#DIV/0!</v>
      </c>
      <c r="U60" s="55" t="e">
        <f>U59+ATM_Conf!$C$5*(F59-E59)/(Links!F$191*Links!U$191)</f>
        <v>#DIV/0!</v>
      </c>
      <c r="V60" s="55" t="e">
        <f>V59+ATM_Conf!$C$5*(G59-F59)/(Links!G$191*Links!V$191)</f>
        <v>#DIV/0!</v>
      </c>
      <c r="W60" s="55" t="e">
        <f>W59+ATM_Conf!$C$5*(H59-G59)/(Links!H$191*Links!W$191)</f>
        <v>#DIV/0!</v>
      </c>
      <c r="X60" s="55" t="e">
        <f>X59+ATM_Conf!$C$5*(I59-H59)/(Links!I$191*Links!X$191)</f>
        <v>#DIV/0!</v>
      </c>
      <c r="Y60" s="55" t="e">
        <f>Y59+ATM_Conf!$C$5*(J59)/(Links!J$191*Links!Y$191)</f>
        <v>#DIV/0!</v>
      </c>
      <c r="Z60" s="55" t="e">
        <f>Z59+ATM_Conf!$C$5*(K59-J59)/(Links!K$191*Links!Z$191)</f>
        <v>#DIV/0!</v>
      </c>
      <c r="AA60" s="55" t="e">
        <f>AA59+ATM_Conf!$C$5*(L59-K59)/(Links!L$191*Links!AA$191)</f>
        <v>#DIV/0!</v>
      </c>
      <c r="AB60" s="55" t="e">
        <f>AB59+ATM_Conf!$C$5*(M59-L59)/(Links!M$191*Links!AB$191)</f>
        <v>#DIV/0!</v>
      </c>
      <c r="AC60" s="55" t="e">
        <f>AC59+ATM_Conf!$C$5*(N59-M59)/(Links!N$191*Links!AC$191)</f>
        <v>#DIV/0!</v>
      </c>
      <c r="AD60" s="55" t="e">
        <f>AD59+ATM_Conf!$C$5*(O59-N59)/(Links!O$191*Links!AD$191)</f>
        <v>#DIV/0!</v>
      </c>
      <c r="AE60" s="55" t="e">
        <f>AE59+ATM_Conf!$C$5*(P59-O59)/(Links!P$191*Links!AE$191)</f>
        <v>#DIV/0!</v>
      </c>
      <c r="AF60" s="45" t="e">
        <f>AF59+(ATM_Conf!$C$5/ATM_Conf!$C$8)*(Links!AU59*EXP((-(Links!Q59/Links!BJ59)^Links!BY59)/Links!BY59)-Links!AF59)-(ATM_Conf!$C$9*ATM_Conf!$C$5/(ATM_Conf!$C$8*Links!Q$191))*(Nodes!BO59-Links!Q59)/(Links!Q59/ATM_Conf!$C$10)</f>
        <v>#DIV/0!</v>
      </c>
      <c r="AG60" s="45" t="e">
        <f>AG59+(ATM_Conf!$C$5/ATM_Conf!$C$8)*(Links!AV59*EXP((-(Links!R59/Links!BK59)^Links!BZ59)/Links!BZ59)-Links!AG59)+(ATM_Conf!$C$5/Links!R$191)*Links!AG59*(Nodes!BB59-Links!AG59)-(ATM_Conf!$C$9*ATM_Conf!$C$5/(ATM_Conf!$C$8*Links!R$191))*(Nodes!BP59-Links!R59)/(Links!R59/ATM_Conf!$C$10)</f>
        <v>#DIV/0!</v>
      </c>
      <c r="AH60" s="45" t="e">
        <f>AH59+(ATM_Conf!$C$5/ATM_Conf!$C$8)*(Links!AW59*EXP((-(Links!S59/Links!BL59)^Links!CA59)/Links!CA59)-Links!AH59)+(ATM_Conf!$C$5/Links!S$191)*Links!AH59*(Nodes!BC59-Links!AH59)-(ATM_Conf!$C$9*ATM_Conf!$C$5/(ATM_Conf!$C$8*Links!S$191))*(Nodes!BQ59-Links!S59)/(Links!S59/ATM_Conf!$C$10)</f>
        <v>#DIV/0!</v>
      </c>
      <c r="AI60" s="45" t="e">
        <f>AI59+(ATM_Conf!$C$5/ATM_Conf!$C$8)*(Links!AX59*EXP((-(Links!T59/Links!BM59)^Links!CB59)/Links!CB59)-Links!AI59)+(ATM_Conf!$C$5/Links!T$191)*Links!AI59*(Nodes!BD59-Links!AI59)-(ATM_Conf!$C$9*ATM_Conf!$C$5/(ATM_Conf!$C$8*Links!T$191))*(Nodes!BR59-Links!T59)/(Links!T59/ATM_Conf!$C$10)</f>
        <v>#DIV/0!</v>
      </c>
      <c r="AJ60" s="45" t="e">
        <f>AJ59+(ATM_Conf!$C$5/ATM_Conf!$C$8)*(Links!AY59*EXP((-(Links!U59/Links!BN59)^Links!CC59)/Links!CC59)-Links!AJ59)+(ATM_Conf!$C$5/Links!U$191)*Links!AJ59*(Nodes!BE59-Links!AJ59)-(ATM_Conf!$C$9*ATM_Conf!$C$5/(ATM_Conf!$C$8*Links!U$191))*(Nodes!BS59-Links!U59)/(Links!U59/ATM_Conf!$C$10)</f>
        <v>#DIV/0!</v>
      </c>
      <c r="AK60" s="45" t="e">
        <f>AK59+(ATM_Conf!$C$5/ATM_Conf!$C$8)*(Links!AZ59*EXP((-(Links!V59/Links!BO59)^Links!CD59)/Links!CD59)-Links!AK59)+(ATM_Conf!$C$5/Links!V$191)*Links!AK59*(Nodes!BF59-Links!AK59)-(ATM_Conf!$C$9*ATM_Conf!$C$5/(ATM_Conf!$C$8*Links!V$191))*(Nodes!BT59-Links!V59)/(Links!V59/ATM_Conf!$C$10)</f>
        <v>#DIV/0!</v>
      </c>
      <c r="AL60" s="45" t="e">
        <f>AL59+(ATM_Conf!$C$5/ATM_Conf!$C$8)*(Links!BA59*EXP((-(Links!W59/Links!BP59)^Links!CE59)/Links!CE59)-Links!AL59)+(ATM_Conf!$C$5/Links!W$191)*Links!AL59*(Nodes!BG59-Links!AL59)-(ATM_Conf!$C$9*ATM_Conf!$C$5/(ATM_Conf!$C$8*Links!W$191))*(Nodes!BU59-Links!W59)/(Links!W59/ATM_Conf!$C$10)</f>
        <v>#DIV/0!</v>
      </c>
      <c r="AM60" s="45" t="e">
        <f>AM59+(ATM_Conf!$C$5/ATM_Conf!$C$8)*(Links!BB59*EXP((-(Links!X59/Links!BQ59)^Links!CF59)/Links!CF59)-Links!AM59)+(ATM_Conf!$C$5/Links!X$191)*Links!AM59*(Nodes!BH59-Links!AM59)</f>
        <v>#DIV/0!</v>
      </c>
      <c r="AN60" s="45" t="e">
        <f>AN59+(ATM_Conf!$C$5/ATM_Conf!$C$8)*(Links!BC59*EXP((-(Links!Y59/Links!BR59)^Links!CG59)/Links!CG59)-Links!AN59)-(ATM_Conf!$C$9*ATM_Conf!$C$5/(ATM_Conf!$C$8*Links!Y$191))*(Nodes!BV59-Links!Y59)/(Links!Y59/ATM_Conf!$C$10)</f>
        <v>#DIV/0!</v>
      </c>
      <c r="AO60" s="45" t="e">
        <f>AO59+(ATM_Conf!$C$5/ATM_Conf!$C$8)*(Links!BD59*EXP((-(Links!Z59/Links!BS59)^Links!CH59)/Links!CH59)-Links!AO59)+(ATM_Conf!$C$5/Links!Z$191)*Links!AO59*(Nodes!BI59-Links!AO59)-(ATM_Conf!$C$9*ATM_Conf!$C$5/(ATM_Conf!$C$8*Links!Z$191))*(Nodes!BW59-Links!Z59)/(Links!Z59/ATM_Conf!$C$10)</f>
        <v>#DIV/0!</v>
      </c>
      <c r="AP60" s="45" t="e">
        <f>AP59+(ATM_Conf!$C$5/ATM_Conf!$C$8)*(Links!BE59*EXP((-(Links!AA59/Links!BT59)^Links!CI59)/Links!CI59)-Links!AP59)+(ATM_Conf!$C$5/Links!AA$191)*Links!AP59*(Nodes!BJ59-Links!AP59)-(ATM_Conf!$C$9*ATM_Conf!$C$5/(ATM_Conf!$C$8*Links!AA$191))*(Nodes!BX59-Links!AA59)/(Links!AA59/ATM_Conf!$C$10)</f>
        <v>#DIV/0!</v>
      </c>
      <c r="AQ60" s="45" t="e">
        <f>AQ59+(ATM_Conf!$C$5/ATM_Conf!$C$8)*(Links!BF59*EXP((-(Links!AB59/Links!BU59)^Links!CJ59)/Links!CJ59)-Links!AQ59)+(ATM_Conf!$C$5/Links!AB$191)*Links!AQ59*(Nodes!BK59-Links!AQ59)-(ATM_Conf!$C$9*ATM_Conf!$C$5/(ATM_Conf!$C$8*Links!AB$191))*(Nodes!BY59-Links!AB59)/(Links!AB59/ATM_Conf!$C$10)</f>
        <v>#DIV/0!</v>
      </c>
      <c r="AR60" s="45" t="e">
        <f>AR59+(ATM_Conf!$C$5/ATM_Conf!$C$8)*(Links!BG59*EXP((-(Links!AC59/Links!BV59)^Links!CK59)/Links!CK59)-Links!AR59)+(ATM_Conf!$C$5/Links!AC$191)*Links!AR59*(Nodes!BL59-Links!AR59)-(ATM_Conf!$C$9*ATM_Conf!$C$5/(ATM_Conf!$C$8*Links!AC$191))*(Nodes!BZ59-Links!AC59)/(Links!AC59/ATM_Conf!$C$10)</f>
        <v>#DIV/0!</v>
      </c>
      <c r="AS60" s="45" t="e">
        <f>AS59+(ATM_Conf!$C$5/ATM_Conf!$C$8)*(Links!BH59*EXP((-(Links!AD59/Links!BW59)^Links!CL59)/Links!CL59)-Links!AS59)+(ATM_Conf!$C$5/Links!AD$191)*Links!AS59*(Nodes!BM59-Links!AS59)-(ATM_Conf!$C$9*ATM_Conf!$C$5/(ATM_Conf!$C$8*Links!AD$191))*(Nodes!CA59-Links!AD59)/(Links!AD59/ATM_Conf!$C$10)</f>
        <v>#DIV/0!</v>
      </c>
      <c r="AT60" s="45" t="e">
        <f>AT59+(ATM_Conf!$C$5/ATM_Conf!$C$8)*(Links!BI59*EXP((-(Links!AE59/Links!BX59)^Links!CM59)/Links!CM59)-Links!AT59)+(ATM_Conf!$C$5/Links!AE$191)*Links!AT59*(Nodes!BN59-Links!AT59)</f>
        <v>#DIV/0!</v>
      </c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45"/>
      <c r="BK60" s="45"/>
      <c r="BL60" s="45"/>
      <c r="BM60" s="45"/>
      <c r="BN60" s="45"/>
      <c r="BO60" s="45"/>
      <c r="BP60" s="45"/>
      <c r="BQ60" s="45"/>
      <c r="BR60" s="45"/>
      <c r="BS60" s="45"/>
      <c r="BT60" s="45"/>
      <c r="BU60" s="45"/>
      <c r="BV60" s="45"/>
      <c r="BW60" s="45"/>
      <c r="BX60" s="4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45">
        <f t="shared" si="30"/>
        <v>0</v>
      </c>
      <c r="CO60" s="45">
        <f t="shared" si="30"/>
        <v>0</v>
      </c>
      <c r="CP60" s="45">
        <f t="shared" si="30"/>
        <v>0</v>
      </c>
      <c r="CQ60" s="45">
        <f t="shared" si="30"/>
        <v>0</v>
      </c>
      <c r="CR60" s="45">
        <f t="shared" si="30"/>
        <v>0</v>
      </c>
      <c r="CS60" s="45">
        <f t="shared" si="30"/>
        <v>0</v>
      </c>
      <c r="CT60" s="45">
        <f t="shared" si="30"/>
        <v>0</v>
      </c>
      <c r="CU60" s="45">
        <f t="shared" si="30"/>
        <v>0</v>
      </c>
      <c r="CV60" s="45">
        <f t="shared" si="30"/>
        <v>0</v>
      </c>
      <c r="CW60" s="45">
        <f t="shared" si="30"/>
        <v>0</v>
      </c>
      <c r="CX60" s="45">
        <f t="shared" si="30"/>
        <v>0</v>
      </c>
      <c r="CY60" s="45">
        <f t="shared" si="30"/>
        <v>0</v>
      </c>
      <c r="CZ60" s="45">
        <f t="shared" si="30"/>
        <v>0</v>
      </c>
      <c r="DA60" s="45">
        <f t="shared" si="30"/>
        <v>0</v>
      </c>
      <c r="DB60" s="45">
        <f t="shared" si="30"/>
        <v>0</v>
      </c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</row>
    <row r="61" spans="1:121" ht="14.25" x14ac:dyDescent="0.15">
      <c r="A61" s="48">
        <v>59</v>
      </c>
      <c r="B61" s="45" t="e">
        <f t="shared" si="2"/>
        <v>#DIV/0!</v>
      </c>
      <c r="C61" s="45" t="e">
        <f t="shared" si="3"/>
        <v>#DIV/0!</v>
      </c>
      <c r="D61" s="45" t="e">
        <f t="shared" si="4"/>
        <v>#DIV/0!</v>
      </c>
      <c r="E61" s="45" t="e">
        <f t="shared" si="5"/>
        <v>#DIV/0!</v>
      </c>
      <c r="F61" s="45" t="e">
        <f t="shared" si="6"/>
        <v>#DIV/0!</v>
      </c>
      <c r="G61" s="45" t="e">
        <f t="shared" si="7"/>
        <v>#DIV/0!</v>
      </c>
      <c r="H61" s="45" t="e">
        <f t="shared" si="8"/>
        <v>#DIV/0!</v>
      </c>
      <c r="I61" s="45" t="e">
        <f t="shared" si="9"/>
        <v>#DIV/0!</v>
      </c>
      <c r="J61" s="45" t="e">
        <f t="shared" si="10"/>
        <v>#DIV/0!</v>
      </c>
      <c r="K61" s="45" t="e">
        <f t="shared" si="11"/>
        <v>#DIV/0!</v>
      </c>
      <c r="L61" s="45" t="e">
        <f t="shared" si="12"/>
        <v>#DIV/0!</v>
      </c>
      <c r="M61" s="45" t="e">
        <f t="shared" si="13"/>
        <v>#DIV/0!</v>
      </c>
      <c r="N61" s="45" t="e">
        <f t="shared" si="14"/>
        <v>#DIV/0!</v>
      </c>
      <c r="O61" s="45" t="e">
        <f t="shared" si="15"/>
        <v>#DIV/0!</v>
      </c>
      <c r="P61" s="45" t="e">
        <f t="shared" si="16"/>
        <v>#DIV/0!</v>
      </c>
      <c r="Q61" s="55" t="e">
        <f>Q60+ATM_Conf!$C$5*(B60)/(Links!B$191*Links!Q$191)</f>
        <v>#DIV/0!</v>
      </c>
      <c r="R61" s="55" t="e">
        <f>R60+ATM_Conf!$C$5*(C60-B60)/(Links!C$191*Links!R$191)</f>
        <v>#DIV/0!</v>
      </c>
      <c r="S61" s="55" t="e">
        <f>S60+ATM_Conf!$C$5*(D60-C60)/(Links!D$191*Links!S$191)</f>
        <v>#DIV/0!</v>
      </c>
      <c r="T61" s="55" t="e">
        <f>T60+ATM_Conf!$C$5*(E60-D60)/(Links!E$191*Links!T$191)</f>
        <v>#DIV/0!</v>
      </c>
      <c r="U61" s="55" t="e">
        <f>U60+ATM_Conf!$C$5*(F60-E60)/(Links!F$191*Links!U$191)</f>
        <v>#DIV/0!</v>
      </c>
      <c r="V61" s="55" t="e">
        <f>V60+ATM_Conf!$C$5*(G60-F60)/(Links!G$191*Links!V$191)</f>
        <v>#DIV/0!</v>
      </c>
      <c r="W61" s="55" t="e">
        <f>W60+ATM_Conf!$C$5*(H60-G60)/(Links!H$191*Links!W$191)</f>
        <v>#DIV/0!</v>
      </c>
      <c r="X61" s="55" t="e">
        <f>X60+ATM_Conf!$C$5*(I60-H60)/(Links!I$191*Links!X$191)</f>
        <v>#DIV/0!</v>
      </c>
      <c r="Y61" s="55" t="e">
        <f>Y60+ATM_Conf!$C$5*(J60)/(Links!J$191*Links!Y$191)</f>
        <v>#DIV/0!</v>
      </c>
      <c r="Z61" s="55" t="e">
        <f>Z60+ATM_Conf!$C$5*(K60-J60)/(Links!K$191*Links!Z$191)</f>
        <v>#DIV/0!</v>
      </c>
      <c r="AA61" s="55" t="e">
        <f>AA60+ATM_Conf!$C$5*(L60-K60)/(Links!L$191*Links!AA$191)</f>
        <v>#DIV/0!</v>
      </c>
      <c r="AB61" s="55" t="e">
        <f>AB60+ATM_Conf!$C$5*(M60-L60)/(Links!M$191*Links!AB$191)</f>
        <v>#DIV/0!</v>
      </c>
      <c r="AC61" s="55" t="e">
        <f>AC60+ATM_Conf!$C$5*(N60-M60)/(Links!N$191*Links!AC$191)</f>
        <v>#DIV/0!</v>
      </c>
      <c r="AD61" s="55" t="e">
        <f>AD60+ATM_Conf!$C$5*(O60-N60)/(Links!O$191*Links!AD$191)</f>
        <v>#DIV/0!</v>
      </c>
      <c r="AE61" s="55" t="e">
        <f>AE60+ATM_Conf!$C$5*(P60-O60)/(Links!P$191*Links!AE$191)</f>
        <v>#DIV/0!</v>
      </c>
      <c r="AF61" s="45" t="e">
        <f>AF60+(ATM_Conf!$C$5/ATM_Conf!$C$8)*(Links!AU60*EXP((-(Links!Q60/Links!BJ60)^Links!BY60)/Links!BY60)-Links!AF60)-(ATM_Conf!$C$9*ATM_Conf!$C$5/(ATM_Conf!$C$8*Links!Q$191))*(Nodes!BO60-Links!Q60)/(Links!Q60/ATM_Conf!$C$10)</f>
        <v>#DIV/0!</v>
      </c>
      <c r="AG61" s="45" t="e">
        <f>AG60+(ATM_Conf!$C$5/ATM_Conf!$C$8)*(Links!AV60*EXP((-(Links!R60/Links!BK60)^Links!BZ60)/Links!BZ60)-Links!AG60)+(ATM_Conf!$C$5/Links!R$191)*Links!AG60*(Nodes!BB60-Links!AG60)-(ATM_Conf!$C$9*ATM_Conf!$C$5/(ATM_Conf!$C$8*Links!R$191))*(Nodes!BP60-Links!R60)/(Links!R60/ATM_Conf!$C$10)</f>
        <v>#DIV/0!</v>
      </c>
      <c r="AH61" s="45" t="e">
        <f>AH60+(ATM_Conf!$C$5/ATM_Conf!$C$8)*(Links!AW60*EXP((-(Links!S60/Links!BL60)^Links!CA60)/Links!CA60)-Links!AH60)+(ATM_Conf!$C$5/Links!S$191)*Links!AH60*(Nodes!BC60-Links!AH60)-(ATM_Conf!$C$9*ATM_Conf!$C$5/(ATM_Conf!$C$8*Links!S$191))*(Nodes!BQ60-Links!S60)/(Links!S60/ATM_Conf!$C$10)</f>
        <v>#DIV/0!</v>
      </c>
      <c r="AI61" s="45" t="e">
        <f>AI60+(ATM_Conf!$C$5/ATM_Conf!$C$8)*(Links!AX60*EXP((-(Links!T60/Links!BM60)^Links!CB60)/Links!CB60)-Links!AI60)+(ATM_Conf!$C$5/Links!T$191)*Links!AI60*(Nodes!BD60-Links!AI60)-(ATM_Conf!$C$9*ATM_Conf!$C$5/(ATM_Conf!$C$8*Links!T$191))*(Nodes!BR60-Links!T60)/(Links!T60/ATM_Conf!$C$10)</f>
        <v>#DIV/0!</v>
      </c>
      <c r="AJ61" s="45" t="e">
        <f>AJ60+(ATM_Conf!$C$5/ATM_Conf!$C$8)*(Links!AY60*EXP((-(Links!U60/Links!BN60)^Links!CC60)/Links!CC60)-Links!AJ60)+(ATM_Conf!$C$5/Links!U$191)*Links!AJ60*(Nodes!BE60-Links!AJ60)-(ATM_Conf!$C$9*ATM_Conf!$C$5/(ATM_Conf!$C$8*Links!U$191))*(Nodes!BS60-Links!U60)/(Links!U60/ATM_Conf!$C$10)</f>
        <v>#DIV/0!</v>
      </c>
      <c r="AK61" s="45" t="e">
        <f>AK60+(ATM_Conf!$C$5/ATM_Conf!$C$8)*(Links!AZ60*EXP((-(Links!V60/Links!BO60)^Links!CD60)/Links!CD60)-Links!AK60)+(ATM_Conf!$C$5/Links!V$191)*Links!AK60*(Nodes!BF60-Links!AK60)-(ATM_Conf!$C$9*ATM_Conf!$C$5/(ATM_Conf!$C$8*Links!V$191))*(Nodes!BT60-Links!V60)/(Links!V60/ATM_Conf!$C$10)</f>
        <v>#DIV/0!</v>
      </c>
      <c r="AL61" s="45" t="e">
        <f>AL60+(ATM_Conf!$C$5/ATM_Conf!$C$8)*(Links!BA60*EXP((-(Links!W60/Links!BP60)^Links!CE60)/Links!CE60)-Links!AL60)+(ATM_Conf!$C$5/Links!W$191)*Links!AL60*(Nodes!BG60-Links!AL60)-(ATM_Conf!$C$9*ATM_Conf!$C$5/(ATM_Conf!$C$8*Links!W$191))*(Nodes!BU60-Links!W60)/(Links!W60/ATM_Conf!$C$10)</f>
        <v>#DIV/0!</v>
      </c>
      <c r="AM61" s="45" t="e">
        <f>AM60+(ATM_Conf!$C$5/ATM_Conf!$C$8)*(Links!BB60*EXP((-(Links!X60/Links!BQ60)^Links!CF60)/Links!CF60)-Links!AM60)+(ATM_Conf!$C$5/Links!X$191)*Links!AM60*(Nodes!BH60-Links!AM60)</f>
        <v>#DIV/0!</v>
      </c>
      <c r="AN61" s="45" t="e">
        <f>AN60+(ATM_Conf!$C$5/ATM_Conf!$C$8)*(Links!BC60*EXP((-(Links!Y60/Links!BR60)^Links!CG60)/Links!CG60)-Links!AN60)-(ATM_Conf!$C$9*ATM_Conf!$C$5/(ATM_Conf!$C$8*Links!Y$191))*(Nodes!BV60-Links!Y60)/(Links!Y60/ATM_Conf!$C$10)</f>
        <v>#DIV/0!</v>
      </c>
      <c r="AO61" s="45" t="e">
        <f>AO60+(ATM_Conf!$C$5/ATM_Conf!$C$8)*(Links!BD60*EXP((-(Links!Z60/Links!BS60)^Links!CH60)/Links!CH60)-Links!AO60)+(ATM_Conf!$C$5/Links!Z$191)*Links!AO60*(Nodes!BI60-Links!AO60)-(ATM_Conf!$C$9*ATM_Conf!$C$5/(ATM_Conf!$C$8*Links!Z$191))*(Nodes!BW60-Links!Z60)/(Links!Z60/ATM_Conf!$C$10)</f>
        <v>#DIV/0!</v>
      </c>
      <c r="AP61" s="45" t="e">
        <f>AP60+(ATM_Conf!$C$5/ATM_Conf!$C$8)*(Links!BE60*EXP((-(Links!AA60/Links!BT60)^Links!CI60)/Links!CI60)-Links!AP60)+(ATM_Conf!$C$5/Links!AA$191)*Links!AP60*(Nodes!BJ60-Links!AP60)-(ATM_Conf!$C$9*ATM_Conf!$C$5/(ATM_Conf!$C$8*Links!AA$191))*(Nodes!BX60-Links!AA60)/(Links!AA60/ATM_Conf!$C$10)</f>
        <v>#DIV/0!</v>
      </c>
      <c r="AQ61" s="45" t="e">
        <f>AQ60+(ATM_Conf!$C$5/ATM_Conf!$C$8)*(Links!BF60*EXP((-(Links!AB60/Links!BU60)^Links!CJ60)/Links!CJ60)-Links!AQ60)+(ATM_Conf!$C$5/Links!AB$191)*Links!AQ60*(Nodes!BK60-Links!AQ60)-(ATM_Conf!$C$9*ATM_Conf!$C$5/(ATM_Conf!$C$8*Links!AB$191))*(Nodes!BY60-Links!AB60)/(Links!AB60/ATM_Conf!$C$10)</f>
        <v>#DIV/0!</v>
      </c>
      <c r="AR61" s="45" t="e">
        <f>AR60+(ATM_Conf!$C$5/ATM_Conf!$C$8)*(Links!BG60*EXP((-(Links!AC60/Links!BV60)^Links!CK60)/Links!CK60)-Links!AR60)+(ATM_Conf!$C$5/Links!AC$191)*Links!AR60*(Nodes!BL60-Links!AR60)-(ATM_Conf!$C$9*ATM_Conf!$C$5/(ATM_Conf!$C$8*Links!AC$191))*(Nodes!BZ60-Links!AC60)/(Links!AC60/ATM_Conf!$C$10)</f>
        <v>#DIV/0!</v>
      </c>
      <c r="AS61" s="45" t="e">
        <f>AS60+(ATM_Conf!$C$5/ATM_Conf!$C$8)*(Links!BH60*EXP((-(Links!AD60/Links!BW60)^Links!CL60)/Links!CL60)-Links!AS60)+(ATM_Conf!$C$5/Links!AD$191)*Links!AS60*(Nodes!BM60-Links!AS60)-(ATM_Conf!$C$9*ATM_Conf!$C$5/(ATM_Conf!$C$8*Links!AD$191))*(Nodes!CA60-Links!AD60)/(Links!AD60/ATM_Conf!$C$10)</f>
        <v>#DIV/0!</v>
      </c>
      <c r="AT61" s="45" t="e">
        <f>AT60+(ATM_Conf!$C$5/ATM_Conf!$C$8)*(Links!BI60*EXP((-(Links!AE60/Links!BX60)^Links!CM60)/Links!CM60)-Links!AT60)+(ATM_Conf!$C$5/Links!AE$191)*Links!AT60*(Nodes!BN60-Links!AT60)</f>
        <v>#DIV/0!</v>
      </c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45"/>
      <c r="BK61" s="45"/>
      <c r="BL61" s="45"/>
      <c r="BM61" s="45"/>
      <c r="BN61" s="45"/>
      <c r="BO61" s="45"/>
      <c r="BP61" s="45"/>
      <c r="BQ61" s="45"/>
      <c r="BR61" s="45"/>
      <c r="BS61" s="45"/>
      <c r="BT61" s="45"/>
      <c r="BU61" s="45"/>
      <c r="BV61" s="45"/>
      <c r="BW61" s="45"/>
      <c r="BX61" s="4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45">
        <f t="shared" si="30"/>
        <v>0</v>
      </c>
      <c r="CO61" s="45">
        <f t="shared" si="30"/>
        <v>0</v>
      </c>
      <c r="CP61" s="45">
        <f t="shared" si="30"/>
        <v>0</v>
      </c>
      <c r="CQ61" s="45">
        <f t="shared" si="30"/>
        <v>0</v>
      </c>
      <c r="CR61" s="45">
        <f t="shared" si="30"/>
        <v>0</v>
      </c>
      <c r="CS61" s="45">
        <f t="shared" si="30"/>
        <v>0</v>
      </c>
      <c r="CT61" s="45">
        <f t="shared" si="30"/>
        <v>0</v>
      </c>
      <c r="CU61" s="45">
        <f t="shared" si="30"/>
        <v>0</v>
      </c>
      <c r="CV61" s="45">
        <f t="shared" si="30"/>
        <v>0</v>
      </c>
      <c r="CW61" s="45">
        <f t="shared" si="30"/>
        <v>0</v>
      </c>
      <c r="CX61" s="45">
        <f t="shared" si="30"/>
        <v>0</v>
      </c>
      <c r="CY61" s="45">
        <f t="shared" si="30"/>
        <v>0</v>
      </c>
      <c r="CZ61" s="45">
        <f t="shared" si="30"/>
        <v>0</v>
      </c>
      <c r="DA61" s="45">
        <f t="shared" si="30"/>
        <v>0</v>
      </c>
      <c r="DB61" s="45">
        <f t="shared" si="30"/>
        <v>0</v>
      </c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</row>
    <row r="62" spans="1:121" ht="14.25" x14ac:dyDescent="0.15">
      <c r="A62" s="48">
        <v>60</v>
      </c>
      <c r="B62" s="45" t="e">
        <f t="shared" si="2"/>
        <v>#DIV/0!</v>
      </c>
      <c r="C62" s="45" t="e">
        <f t="shared" si="3"/>
        <v>#DIV/0!</v>
      </c>
      <c r="D62" s="45" t="e">
        <f t="shared" si="4"/>
        <v>#DIV/0!</v>
      </c>
      <c r="E62" s="45" t="e">
        <f t="shared" si="5"/>
        <v>#DIV/0!</v>
      </c>
      <c r="F62" s="45" t="e">
        <f t="shared" si="6"/>
        <v>#DIV/0!</v>
      </c>
      <c r="G62" s="45" t="e">
        <f t="shared" si="7"/>
        <v>#DIV/0!</v>
      </c>
      <c r="H62" s="45" t="e">
        <f t="shared" si="8"/>
        <v>#DIV/0!</v>
      </c>
      <c r="I62" s="45" t="e">
        <f t="shared" si="9"/>
        <v>#DIV/0!</v>
      </c>
      <c r="J62" s="45" t="e">
        <f t="shared" si="10"/>
        <v>#DIV/0!</v>
      </c>
      <c r="K62" s="45" t="e">
        <f t="shared" si="11"/>
        <v>#DIV/0!</v>
      </c>
      <c r="L62" s="45" t="e">
        <f t="shared" si="12"/>
        <v>#DIV/0!</v>
      </c>
      <c r="M62" s="45" t="e">
        <f t="shared" si="13"/>
        <v>#DIV/0!</v>
      </c>
      <c r="N62" s="45" t="e">
        <f t="shared" si="14"/>
        <v>#DIV/0!</v>
      </c>
      <c r="O62" s="45" t="e">
        <f t="shared" si="15"/>
        <v>#DIV/0!</v>
      </c>
      <c r="P62" s="45" t="e">
        <f t="shared" si="16"/>
        <v>#DIV/0!</v>
      </c>
      <c r="Q62" s="55" t="e">
        <f>Q61+ATM_Conf!$C$5*(B61)/(Links!B$191*Links!Q$191)</f>
        <v>#DIV/0!</v>
      </c>
      <c r="R62" s="55" t="e">
        <f>R61+ATM_Conf!$C$5*(C61-B61)/(Links!C$191*Links!R$191)</f>
        <v>#DIV/0!</v>
      </c>
      <c r="S62" s="55" t="e">
        <f>S61+ATM_Conf!$C$5*(D61-C61)/(Links!D$191*Links!S$191)</f>
        <v>#DIV/0!</v>
      </c>
      <c r="T62" s="55" t="e">
        <f>T61+ATM_Conf!$C$5*(E61-D61)/(Links!E$191*Links!T$191)</f>
        <v>#DIV/0!</v>
      </c>
      <c r="U62" s="55" t="e">
        <f>U61+ATM_Conf!$C$5*(F61-E61)/(Links!F$191*Links!U$191)</f>
        <v>#DIV/0!</v>
      </c>
      <c r="V62" s="55" t="e">
        <f>V61+ATM_Conf!$C$5*(G61-F61)/(Links!G$191*Links!V$191)</f>
        <v>#DIV/0!</v>
      </c>
      <c r="W62" s="55" t="e">
        <f>W61+ATM_Conf!$C$5*(H61-G61)/(Links!H$191*Links!W$191)</f>
        <v>#DIV/0!</v>
      </c>
      <c r="X62" s="55" t="e">
        <f>X61+ATM_Conf!$C$5*(I61-H61)/(Links!I$191*Links!X$191)</f>
        <v>#DIV/0!</v>
      </c>
      <c r="Y62" s="55" t="e">
        <f>Y61+ATM_Conf!$C$5*(J61)/(Links!J$191*Links!Y$191)</f>
        <v>#DIV/0!</v>
      </c>
      <c r="Z62" s="55" t="e">
        <f>Z61+ATM_Conf!$C$5*(K61-J61)/(Links!K$191*Links!Z$191)</f>
        <v>#DIV/0!</v>
      </c>
      <c r="AA62" s="55" t="e">
        <f>AA61+ATM_Conf!$C$5*(L61-K61)/(Links!L$191*Links!AA$191)</f>
        <v>#DIV/0!</v>
      </c>
      <c r="AB62" s="55" t="e">
        <f>AB61+ATM_Conf!$C$5*(M61-L61)/(Links!M$191*Links!AB$191)</f>
        <v>#DIV/0!</v>
      </c>
      <c r="AC62" s="55" t="e">
        <f>AC61+ATM_Conf!$C$5*(N61-M61)/(Links!N$191*Links!AC$191)</f>
        <v>#DIV/0!</v>
      </c>
      <c r="AD62" s="55" t="e">
        <f>AD61+ATM_Conf!$C$5*(O61-N61)/(Links!O$191*Links!AD$191)</f>
        <v>#DIV/0!</v>
      </c>
      <c r="AE62" s="55" t="e">
        <f>AE61+ATM_Conf!$C$5*(P61-O61)/(Links!P$191*Links!AE$191)</f>
        <v>#DIV/0!</v>
      </c>
      <c r="AF62" s="45" t="e">
        <f>AF61+(ATM_Conf!$C$5/ATM_Conf!$C$8)*(Links!AU61*EXP((-(Links!Q61/Links!BJ61)^Links!BY61)/Links!BY61)-Links!AF61)-(ATM_Conf!$C$9*ATM_Conf!$C$5/(ATM_Conf!$C$8*Links!Q$191))*(Nodes!BO61-Links!Q61)/(Links!Q61/ATM_Conf!$C$10)</f>
        <v>#DIV/0!</v>
      </c>
      <c r="AG62" s="45" t="e">
        <f>AG61+(ATM_Conf!$C$5/ATM_Conf!$C$8)*(Links!AV61*EXP((-(Links!R61/Links!BK61)^Links!BZ61)/Links!BZ61)-Links!AG61)+(ATM_Conf!$C$5/Links!R$191)*Links!AG61*(Nodes!BB61-Links!AG61)-(ATM_Conf!$C$9*ATM_Conf!$C$5/(ATM_Conf!$C$8*Links!R$191))*(Nodes!BP61-Links!R61)/(Links!R61/ATM_Conf!$C$10)</f>
        <v>#DIV/0!</v>
      </c>
      <c r="AH62" s="45" t="e">
        <f>AH61+(ATM_Conf!$C$5/ATM_Conf!$C$8)*(Links!AW61*EXP((-(Links!S61/Links!BL61)^Links!CA61)/Links!CA61)-Links!AH61)+(ATM_Conf!$C$5/Links!S$191)*Links!AH61*(Nodes!BC61-Links!AH61)-(ATM_Conf!$C$9*ATM_Conf!$C$5/(ATM_Conf!$C$8*Links!S$191))*(Nodes!BQ61-Links!S61)/(Links!S61/ATM_Conf!$C$10)</f>
        <v>#DIV/0!</v>
      </c>
      <c r="AI62" s="45" t="e">
        <f>AI61+(ATM_Conf!$C$5/ATM_Conf!$C$8)*(Links!AX61*EXP((-(Links!T61/Links!BM61)^Links!CB61)/Links!CB61)-Links!AI61)+(ATM_Conf!$C$5/Links!T$191)*Links!AI61*(Nodes!BD61-Links!AI61)-(ATM_Conf!$C$9*ATM_Conf!$C$5/(ATM_Conf!$C$8*Links!T$191))*(Nodes!BR61-Links!T61)/(Links!T61/ATM_Conf!$C$10)</f>
        <v>#DIV/0!</v>
      </c>
      <c r="AJ62" s="45" t="e">
        <f>AJ61+(ATM_Conf!$C$5/ATM_Conf!$C$8)*(Links!AY61*EXP((-(Links!U61/Links!BN61)^Links!CC61)/Links!CC61)-Links!AJ61)+(ATM_Conf!$C$5/Links!U$191)*Links!AJ61*(Nodes!BE61-Links!AJ61)-(ATM_Conf!$C$9*ATM_Conf!$C$5/(ATM_Conf!$C$8*Links!U$191))*(Nodes!BS61-Links!U61)/(Links!U61/ATM_Conf!$C$10)</f>
        <v>#DIV/0!</v>
      </c>
      <c r="AK62" s="45" t="e">
        <f>AK61+(ATM_Conf!$C$5/ATM_Conf!$C$8)*(Links!AZ61*EXP((-(Links!V61/Links!BO61)^Links!CD61)/Links!CD61)-Links!AK61)+(ATM_Conf!$C$5/Links!V$191)*Links!AK61*(Nodes!BF61-Links!AK61)-(ATM_Conf!$C$9*ATM_Conf!$C$5/(ATM_Conf!$C$8*Links!V$191))*(Nodes!BT61-Links!V61)/(Links!V61/ATM_Conf!$C$10)</f>
        <v>#DIV/0!</v>
      </c>
      <c r="AL62" s="45" t="e">
        <f>AL61+(ATM_Conf!$C$5/ATM_Conf!$C$8)*(Links!BA61*EXP((-(Links!W61/Links!BP61)^Links!CE61)/Links!CE61)-Links!AL61)+(ATM_Conf!$C$5/Links!W$191)*Links!AL61*(Nodes!BG61-Links!AL61)-(ATM_Conf!$C$9*ATM_Conf!$C$5/(ATM_Conf!$C$8*Links!W$191))*(Nodes!BU61-Links!W61)/(Links!W61/ATM_Conf!$C$10)</f>
        <v>#DIV/0!</v>
      </c>
      <c r="AM62" s="45" t="e">
        <f>AM61+(ATM_Conf!$C$5/ATM_Conf!$C$8)*(Links!BB61*EXP((-(Links!X61/Links!BQ61)^Links!CF61)/Links!CF61)-Links!AM61)+(ATM_Conf!$C$5/Links!X$191)*Links!AM61*(Nodes!BH61-Links!AM61)</f>
        <v>#DIV/0!</v>
      </c>
      <c r="AN62" s="45" t="e">
        <f>AN61+(ATM_Conf!$C$5/ATM_Conf!$C$8)*(Links!BC61*EXP((-(Links!Y61/Links!BR61)^Links!CG61)/Links!CG61)-Links!AN61)-(ATM_Conf!$C$9*ATM_Conf!$C$5/(ATM_Conf!$C$8*Links!Y$191))*(Nodes!BV61-Links!Y61)/(Links!Y61/ATM_Conf!$C$10)</f>
        <v>#DIV/0!</v>
      </c>
      <c r="AO62" s="45" t="e">
        <f>AO61+(ATM_Conf!$C$5/ATM_Conf!$C$8)*(Links!BD61*EXP((-(Links!Z61/Links!BS61)^Links!CH61)/Links!CH61)-Links!AO61)+(ATM_Conf!$C$5/Links!Z$191)*Links!AO61*(Nodes!BI61-Links!AO61)-(ATM_Conf!$C$9*ATM_Conf!$C$5/(ATM_Conf!$C$8*Links!Z$191))*(Nodes!BW61-Links!Z61)/(Links!Z61/ATM_Conf!$C$10)</f>
        <v>#DIV/0!</v>
      </c>
      <c r="AP62" s="45" t="e">
        <f>AP61+(ATM_Conf!$C$5/ATM_Conf!$C$8)*(Links!BE61*EXP((-(Links!AA61/Links!BT61)^Links!CI61)/Links!CI61)-Links!AP61)+(ATM_Conf!$C$5/Links!AA$191)*Links!AP61*(Nodes!BJ61-Links!AP61)-(ATM_Conf!$C$9*ATM_Conf!$C$5/(ATM_Conf!$C$8*Links!AA$191))*(Nodes!BX61-Links!AA61)/(Links!AA61/ATM_Conf!$C$10)</f>
        <v>#DIV/0!</v>
      </c>
      <c r="AQ62" s="45" t="e">
        <f>AQ61+(ATM_Conf!$C$5/ATM_Conf!$C$8)*(Links!BF61*EXP((-(Links!AB61/Links!BU61)^Links!CJ61)/Links!CJ61)-Links!AQ61)+(ATM_Conf!$C$5/Links!AB$191)*Links!AQ61*(Nodes!BK61-Links!AQ61)-(ATM_Conf!$C$9*ATM_Conf!$C$5/(ATM_Conf!$C$8*Links!AB$191))*(Nodes!BY61-Links!AB61)/(Links!AB61/ATM_Conf!$C$10)</f>
        <v>#DIV/0!</v>
      </c>
      <c r="AR62" s="45" t="e">
        <f>AR61+(ATM_Conf!$C$5/ATM_Conf!$C$8)*(Links!BG61*EXP((-(Links!AC61/Links!BV61)^Links!CK61)/Links!CK61)-Links!AR61)+(ATM_Conf!$C$5/Links!AC$191)*Links!AR61*(Nodes!BL61-Links!AR61)-(ATM_Conf!$C$9*ATM_Conf!$C$5/(ATM_Conf!$C$8*Links!AC$191))*(Nodes!BZ61-Links!AC61)/(Links!AC61/ATM_Conf!$C$10)</f>
        <v>#DIV/0!</v>
      </c>
      <c r="AS62" s="45" t="e">
        <f>AS61+(ATM_Conf!$C$5/ATM_Conf!$C$8)*(Links!BH61*EXP((-(Links!AD61/Links!BW61)^Links!CL61)/Links!CL61)-Links!AS61)+(ATM_Conf!$C$5/Links!AD$191)*Links!AS61*(Nodes!BM61-Links!AS61)-(ATM_Conf!$C$9*ATM_Conf!$C$5/(ATM_Conf!$C$8*Links!AD$191))*(Nodes!CA61-Links!AD61)/(Links!AD61/ATM_Conf!$C$10)</f>
        <v>#DIV/0!</v>
      </c>
      <c r="AT62" s="45" t="e">
        <f>AT61+(ATM_Conf!$C$5/ATM_Conf!$C$8)*(Links!BI61*EXP((-(Links!AE61/Links!BX61)^Links!CM61)/Links!CM61)-Links!AT61)+(ATM_Conf!$C$5/Links!AE$191)*Links!AT61*(Nodes!BN61-Links!AT61)</f>
        <v>#DIV/0!</v>
      </c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45"/>
      <c r="BK62" s="45"/>
      <c r="BL62" s="45"/>
      <c r="BM62" s="45"/>
      <c r="BN62" s="45"/>
      <c r="BO62" s="45"/>
      <c r="BP62" s="45"/>
      <c r="BQ62" s="45"/>
      <c r="BR62" s="45"/>
      <c r="BS62" s="45"/>
      <c r="BT62" s="45"/>
      <c r="BU62" s="45"/>
      <c r="BV62" s="45"/>
      <c r="BW62" s="45"/>
      <c r="BX62" s="4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45">
        <f t="shared" si="30"/>
        <v>0</v>
      </c>
      <c r="CO62" s="45">
        <f t="shared" si="30"/>
        <v>0</v>
      </c>
      <c r="CP62" s="45">
        <f t="shared" si="30"/>
        <v>0</v>
      </c>
      <c r="CQ62" s="45">
        <f t="shared" si="30"/>
        <v>0</v>
      </c>
      <c r="CR62" s="45">
        <f t="shared" si="30"/>
        <v>0</v>
      </c>
      <c r="CS62" s="45">
        <f t="shared" si="30"/>
        <v>0</v>
      </c>
      <c r="CT62" s="45">
        <f t="shared" si="30"/>
        <v>0</v>
      </c>
      <c r="CU62" s="45">
        <f t="shared" si="30"/>
        <v>0</v>
      </c>
      <c r="CV62" s="45">
        <f t="shared" si="30"/>
        <v>0</v>
      </c>
      <c r="CW62" s="45">
        <f t="shared" si="30"/>
        <v>0</v>
      </c>
      <c r="CX62" s="45">
        <f t="shared" si="30"/>
        <v>0</v>
      </c>
      <c r="CY62" s="45">
        <f t="shared" si="30"/>
        <v>0</v>
      </c>
      <c r="CZ62" s="45">
        <f t="shared" si="30"/>
        <v>0</v>
      </c>
      <c r="DA62" s="45">
        <f t="shared" si="30"/>
        <v>0</v>
      </c>
      <c r="DB62" s="45">
        <f t="shared" si="30"/>
        <v>0</v>
      </c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</row>
    <row r="63" spans="1:121" ht="14.25" x14ac:dyDescent="0.15">
      <c r="A63" s="48">
        <v>61</v>
      </c>
      <c r="B63" s="45" t="e">
        <f t="shared" si="2"/>
        <v>#DIV/0!</v>
      </c>
      <c r="C63" s="45" t="e">
        <f t="shared" si="3"/>
        <v>#DIV/0!</v>
      </c>
      <c r="D63" s="45" t="e">
        <f t="shared" si="4"/>
        <v>#DIV/0!</v>
      </c>
      <c r="E63" s="45" t="e">
        <f t="shared" si="5"/>
        <v>#DIV/0!</v>
      </c>
      <c r="F63" s="45" t="e">
        <f t="shared" si="6"/>
        <v>#DIV/0!</v>
      </c>
      <c r="G63" s="45" t="e">
        <f t="shared" si="7"/>
        <v>#DIV/0!</v>
      </c>
      <c r="H63" s="45" t="e">
        <f t="shared" si="8"/>
        <v>#DIV/0!</v>
      </c>
      <c r="I63" s="45" t="e">
        <f t="shared" si="9"/>
        <v>#DIV/0!</v>
      </c>
      <c r="J63" s="45" t="e">
        <f t="shared" si="10"/>
        <v>#DIV/0!</v>
      </c>
      <c r="K63" s="45" t="e">
        <f t="shared" si="11"/>
        <v>#DIV/0!</v>
      </c>
      <c r="L63" s="45" t="e">
        <f t="shared" si="12"/>
        <v>#DIV/0!</v>
      </c>
      <c r="M63" s="45" t="e">
        <f t="shared" si="13"/>
        <v>#DIV/0!</v>
      </c>
      <c r="N63" s="45" t="e">
        <f t="shared" si="14"/>
        <v>#DIV/0!</v>
      </c>
      <c r="O63" s="45" t="e">
        <f t="shared" si="15"/>
        <v>#DIV/0!</v>
      </c>
      <c r="P63" s="45" t="e">
        <f t="shared" si="16"/>
        <v>#DIV/0!</v>
      </c>
      <c r="Q63" s="55" t="e">
        <f>Q62+ATM_Conf!$C$5*(B62)/(Links!B$191*Links!Q$191)</f>
        <v>#DIV/0!</v>
      </c>
      <c r="R63" s="55" t="e">
        <f>R62+ATM_Conf!$C$5*(C62-B62)/(Links!C$191*Links!R$191)</f>
        <v>#DIV/0!</v>
      </c>
      <c r="S63" s="55" t="e">
        <f>S62+ATM_Conf!$C$5*(D62-C62)/(Links!D$191*Links!S$191)</f>
        <v>#DIV/0!</v>
      </c>
      <c r="T63" s="55" t="e">
        <f>T62+ATM_Conf!$C$5*(E62-D62)/(Links!E$191*Links!T$191)</f>
        <v>#DIV/0!</v>
      </c>
      <c r="U63" s="55" t="e">
        <f>U62+ATM_Conf!$C$5*(F62-E62)/(Links!F$191*Links!U$191)</f>
        <v>#DIV/0!</v>
      </c>
      <c r="V63" s="55" t="e">
        <f>V62+ATM_Conf!$C$5*(G62-F62)/(Links!G$191*Links!V$191)</f>
        <v>#DIV/0!</v>
      </c>
      <c r="W63" s="55" t="e">
        <f>W62+ATM_Conf!$C$5*(H62-G62)/(Links!H$191*Links!W$191)</f>
        <v>#DIV/0!</v>
      </c>
      <c r="X63" s="55" t="e">
        <f>X62+ATM_Conf!$C$5*(I62-H62)/(Links!I$191*Links!X$191)</f>
        <v>#DIV/0!</v>
      </c>
      <c r="Y63" s="55" t="e">
        <f>Y62+ATM_Conf!$C$5*(J62)/(Links!J$191*Links!Y$191)</f>
        <v>#DIV/0!</v>
      </c>
      <c r="Z63" s="55" t="e">
        <f>Z62+ATM_Conf!$C$5*(K62-J62)/(Links!K$191*Links!Z$191)</f>
        <v>#DIV/0!</v>
      </c>
      <c r="AA63" s="55" t="e">
        <f>AA62+ATM_Conf!$C$5*(L62-K62)/(Links!L$191*Links!AA$191)</f>
        <v>#DIV/0!</v>
      </c>
      <c r="AB63" s="55" t="e">
        <f>AB62+ATM_Conf!$C$5*(M62-L62)/(Links!M$191*Links!AB$191)</f>
        <v>#DIV/0!</v>
      </c>
      <c r="AC63" s="55" t="e">
        <f>AC62+ATM_Conf!$C$5*(N62-M62)/(Links!N$191*Links!AC$191)</f>
        <v>#DIV/0!</v>
      </c>
      <c r="AD63" s="55" t="e">
        <f>AD62+ATM_Conf!$C$5*(O62-N62)/(Links!O$191*Links!AD$191)</f>
        <v>#DIV/0!</v>
      </c>
      <c r="AE63" s="55" t="e">
        <f>AE62+ATM_Conf!$C$5*(P62-O62)/(Links!P$191*Links!AE$191)</f>
        <v>#DIV/0!</v>
      </c>
      <c r="AF63" s="45" t="e">
        <f>AF62+(ATM_Conf!$C$5/ATM_Conf!$C$8)*(Links!AU62*EXP((-(Links!Q62/Links!BJ62)^Links!BY62)/Links!BY62)-Links!AF62)-(ATM_Conf!$C$9*ATM_Conf!$C$5/(ATM_Conf!$C$8*Links!Q$191))*(Nodes!BO62-Links!Q62)/(Links!Q62/ATM_Conf!$C$10)</f>
        <v>#DIV/0!</v>
      </c>
      <c r="AG63" s="45" t="e">
        <f>AG62+(ATM_Conf!$C$5/ATM_Conf!$C$8)*(Links!AV62*EXP((-(Links!R62/Links!BK62)^Links!BZ62)/Links!BZ62)-Links!AG62)+(ATM_Conf!$C$5/Links!R$191)*Links!AG62*(Nodes!BB62-Links!AG62)-(ATM_Conf!$C$9*ATM_Conf!$C$5/(ATM_Conf!$C$8*Links!R$191))*(Nodes!BP62-Links!R62)/(Links!R62/ATM_Conf!$C$10)</f>
        <v>#DIV/0!</v>
      </c>
      <c r="AH63" s="45" t="e">
        <f>AH62+(ATM_Conf!$C$5/ATM_Conf!$C$8)*(Links!AW62*EXP((-(Links!S62/Links!BL62)^Links!CA62)/Links!CA62)-Links!AH62)+(ATM_Conf!$C$5/Links!S$191)*Links!AH62*(Nodes!BC62-Links!AH62)-(ATM_Conf!$C$9*ATM_Conf!$C$5/(ATM_Conf!$C$8*Links!S$191))*(Nodes!BQ62-Links!S62)/(Links!S62/ATM_Conf!$C$10)</f>
        <v>#DIV/0!</v>
      </c>
      <c r="AI63" s="45" t="e">
        <f>AI62+(ATM_Conf!$C$5/ATM_Conf!$C$8)*(Links!AX62*EXP((-(Links!T62/Links!BM62)^Links!CB62)/Links!CB62)-Links!AI62)+(ATM_Conf!$C$5/Links!T$191)*Links!AI62*(Nodes!BD62-Links!AI62)-(ATM_Conf!$C$9*ATM_Conf!$C$5/(ATM_Conf!$C$8*Links!T$191))*(Nodes!BR62-Links!T62)/(Links!T62/ATM_Conf!$C$10)</f>
        <v>#DIV/0!</v>
      </c>
      <c r="AJ63" s="45" t="e">
        <f>AJ62+(ATM_Conf!$C$5/ATM_Conf!$C$8)*(Links!AY62*EXP((-(Links!U62/Links!BN62)^Links!CC62)/Links!CC62)-Links!AJ62)+(ATM_Conf!$C$5/Links!U$191)*Links!AJ62*(Nodes!BE62-Links!AJ62)-(ATM_Conf!$C$9*ATM_Conf!$C$5/(ATM_Conf!$C$8*Links!U$191))*(Nodes!BS62-Links!U62)/(Links!U62/ATM_Conf!$C$10)</f>
        <v>#DIV/0!</v>
      </c>
      <c r="AK63" s="45" t="e">
        <f>AK62+(ATM_Conf!$C$5/ATM_Conf!$C$8)*(Links!AZ62*EXP((-(Links!V62/Links!BO62)^Links!CD62)/Links!CD62)-Links!AK62)+(ATM_Conf!$C$5/Links!V$191)*Links!AK62*(Nodes!BF62-Links!AK62)-(ATM_Conf!$C$9*ATM_Conf!$C$5/(ATM_Conf!$C$8*Links!V$191))*(Nodes!BT62-Links!V62)/(Links!V62/ATM_Conf!$C$10)</f>
        <v>#DIV/0!</v>
      </c>
      <c r="AL63" s="45" t="e">
        <f>AL62+(ATM_Conf!$C$5/ATM_Conf!$C$8)*(Links!BA62*EXP((-(Links!W62/Links!BP62)^Links!CE62)/Links!CE62)-Links!AL62)+(ATM_Conf!$C$5/Links!W$191)*Links!AL62*(Nodes!BG62-Links!AL62)-(ATM_Conf!$C$9*ATM_Conf!$C$5/(ATM_Conf!$C$8*Links!W$191))*(Nodes!BU62-Links!W62)/(Links!W62/ATM_Conf!$C$10)</f>
        <v>#DIV/0!</v>
      </c>
      <c r="AM63" s="45" t="e">
        <f>AM62+(ATM_Conf!$C$5/ATM_Conf!$C$8)*(Links!BB62*EXP((-(Links!X62/Links!BQ62)^Links!CF62)/Links!CF62)-Links!AM62)+(ATM_Conf!$C$5/Links!X$191)*Links!AM62*(Nodes!BH62-Links!AM62)</f>
        <v>#DIV/0!</v>
      </c>
      <c r="AN63" s="45" t="e">
        <f>AN62+(ATM_Conf!$C$5/ATM_Conf!$C$8)*(Links!BC62*EXP((-(Links!Y62/Links!BR62)^Links!CG62)/Links!CG62)-Links!AN62)-(ATM_Conf!$C$9*ATM_Conf!$C$5/(ATM_Conf!$C$8*Links!Y$191))*(Nodes!BV62-Links!Y62)/(Links!Y62/ATM_Conf!$C$10)</f>
        <v>#DIV/0!</v>
      </c>
      <c r="AO63" s="45" t="e">
        <f>AO62+(ATM_Conf!$C$5/ATM_Conf!$C$8)*(Links!BD62*EXP((-(Links!Z62/Links!BS62)^Links!CH62)/Links!CH62)-Links!AO62)+(ATM_Conf!$C$5/Links!Z$191)*Links!AO62*(Nodes!BI62-Links!AO62)-(ATM_Conf!$C$9*ATM_Conf!$C$5/(ATM_Conf!$C$8*Links!Z$191))*(Nodes!BW62-Links!Z62)/(Links!Z62/ATM_Conf!$C$10)</f>
        <v>#DIV/0!</v>
      </c>
      <c r="AP63" s="45" t="e">
        <f>AP62+(ATM_Conf!$C$5/ATM_Conf!$C$8)*(Links!BE62*EXP((-(Links!AA62/Links!BT62)^Links!CI62)/Links!CI62)-Links!AP62)+(ATM_Conf!$C$5/Links!AA$191)*Links!AP62*(Nodes!BJ62-Links!AP62)-(ATM_Conf!$C$9*ATM_Conf!$C$5/(ATM_Conf!$C$8*Links!AA$191))*(Nodes!BX62-Links!AA62)/(Links!AA62/ATM_Conf!$C$10)</f>
        <v>#DIV/0!</v>
      </c>
      <c r="AQ63" s="45" t="e">
        <f>AQ62+(ATM_Conf!$C$5/ATM_Conf!$C$8)*(Links!BF62*EXP((-(Links!AB62/Links!BU62)^Links!CJ62)/Links!CJ62)-Links!AQ62)+(ATM_Conf!$C$5/Links!AB$191)*Links!AQ62*(Nodes!BK62-Links!AQ62)-(ATM_Conf!$C$9*ATM_Conf!$C$5/(ATM_Conf!$C$8*Links!AB$191))*(Nodes!BY62-Links!AB62)/(Links!AB62/ATM_Conf!$C$10)</f>
        <v>#DIV/0!</v>
      </c>
      <c r="AR63" s="45" t="e">
        <f>AR62+(ATM_Conf!$C$5/ATM_Conf!$C$8)*(Links!BG62*EXP((-(Links!AC62/Links!BV62)^Links!CK62)/Links!CK62)-Links!AR62)+(ATM_Conf!$C$5/Links!AC$191)*Links!AR62*(Nodes!BL62-Links!AR62)-(ATM_Conf!$C$9*ATM_Conf!$C$5/(ATM_Conf!$C$8*Links!AC$191))*(Nodes!BZ62-Links!AC62)/(Links!AC62/ATM_Conf!$C$10)</f>
        <v>#DIV/0!</v>
      </c>
      <c r="AS63" s="45" t="e">
        <f>AS62+(ATM_Conf!$C$5/ATM_Conf!$C$8)*(Links!BH62*EXP((-(Links!AD62/Links!BW62)^Links!CL62)/Links!CL62)-Links!AS62)+(ATM_Conf!$C$5/Links!AD$191)*Links!AS62*(Nodes!BM62-Links!AS62)-(ATM_Conf!$C$9*ATM_Conf!$C$5/(ATM_Conf!$C$8*Links!AD$191))*(Nodes!CA62-Links!AD62)/(Links!AD62/ATM_Conf!$C$10)</f>
        <v>#DIV/0!</v>
      </c>
      <c r="AT63" s="45" t="e">
        <f>AT62+(ATM_Conf!$C$5/ATM_Conf!$C$8)*(Links!BI62*EXP((-(Links!AE62/Links!BX62)^Links!CM62)/Links!CM62)-Links!AT62)+(ATM_Conf!$C$5/Links!AE$191)*Links!AT62*(Nodes!BN62-Links!AT62)</f>
        <v>#DIV/0!</v>
      </c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45"/>
      <c r="BK63" s="45"/>
      <c r="BL63" s="45"/>
      <c r="BM63" s="45"/>
      <c r="BN63" s="45"/>
      <c r="BO63" s="45"/>
      <c r="BP63" s="45"/>
      <c r="BQ63" s="45"/>
      <c r="BR63" s="45"/>
      <c r="BS63" s="45"/>
      <c r="BT63" s="45"/>
      <c r="BU63" s="45"/>
      <c r="BV63" s="45"/>
      <c r="BW63" s="45"/>
      <c r="BX63" s="4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53">
        <f>(CN63-CN51)^2</f>
        <v>0</v>
      </c>
      <c r="DD63" s="53">
        <f t="shared" ref="DD63:DQ63" si="31">(CO63-CO51)^2</f>
        <v>0</v>
      </c>
      <c r="DE63" s="53">
        <f t="shared" si="31"/>
        <v>0</v>
      </c>
      <c r="DF63" s="53">
        <f t="shared" si="31"/>
        <v>0</v>
      </c>
      <c r="DG63" s="53">
        <f t="shared" si="31"/>
        <v>0</v>
      </c>
      <c r="DH63" s="53">
        <f t="shared" si="31"/>
        <v>0</v>
      </c>
      <c r="DI63" s="53">
        <f t="shared" si="31"/>
        <v>0</v>
      </c>
      <c r="DJ63" s="53">
        <f t="shared" si="31"/>
        <v>0</v>
      </c>
      <c r="DK63" s="53">
        <f t="shared" si="31"/>
        <v>0</v>
      </c>
      <c r="DL63" s="53">
        <f t="shared" si="31"/>
        <v>0</v>
      </c>
      <c r="DM63" s="53">
        <f t="shared" si="31"/>
        <v>0</v>
      </c>
      <c r="DN63" s="53">
        <f t="shared" si="31"/>
        <v>0</v>
      </c>
      <c r="DO63" s="53">
        <f t="shared" si="31"/>
        <v>0</v>
      </c>
      <c r="DP63" s="53">
        <f t="shared" si="31"/>
        <v>0</v>
      </c>
      <c r="DQ63" s="53">
        <f t="shared" si="31"/>
        <v>0</v>
      </c>
    </row>
    <row r="64" spans="1:121" ht="14.25" x14ac:dyDescent="0.15">
      <c r="A64" s="48">
        <v>62</v>
      </c>
      <c r="B64" s="45" t="e">
        <f t="shared" si="2"/>
        <v>#DIV/0!</v>
      </c>
      <c r="C64" s="45" t="e">
        <f t="shared" si="3"/>
        <v>#DIV/0!</v>
      </c>
      <c r="D64" s="45" t="e">
        <f t="shared" si="4"/>
        <v>#DIV/0!</v>
      </c>
      <c r="E64" s="45" t="e">
        <f t="shared" si="5"/>
        <v>#DIV/0!</v>
      </c>
      <c r="F64" s="45" t="e">
        <f t="shared" si="6"/>
        <v>#DIV/0!</v>
      </c>
      <c r="G64" s="45" t="e">
        <f t="shared" si="7"/>
        <v>#DIV/0!</v>
      </c>
      <c r="H64" s="45" t="e">
        <f t="shared" si="8"/>
        <v>#DIV/0!</v>
      </c>
      <c r="I64" s="45" t="e">
        <f t="shared" si="9"/>
        <v>#DIV/0!</v>
      </c>
      <c r="J64" s="45" t="e">
        <f t="shared" si="10"/>
        <v>#DIV/0!</v>
      </c>
      <c r="K64" s="45" t="e">
        <f t="shared" si="11"/>
        <v>#DIV/0!</v>
      </c>
      <c r="L64" s="45" t="e">
        <f t="shared" si="12"/>
        <v>#DIV/0!</v>
      </c>
      <c r="M64" s="45" t="e">
        <f t="shared" si="13"/>
        <v>#DIV/0!</v>
      </c>
      <c r="N64" s="45" t="e">
        <f t="shared" si="14"/>
        <v>#DIV/0!</v>
      </c>
      <c r="O64" s="45" t="e">
        <f t="shared" si="15"/>
        <v>#DIV/0!</v>
      </c>
      <c r="P64" s="45" t="e">
        <f t="shared" si="16"/>
        <v>#DIV/0!</v>
      </c>
      <c r="Q64" s="55" t="e">
        <f>Q63+ATM_Conf!$C$5*(B63)/(Links!B$191*Links!Q$191)</f>
        <v>#DIV/0!</v>
      </c>
      <c r="R64" s="55" t="e">
        <f>R63+ATM_Conf!$C$5*(C63-B63)/(Links!C$191*Links!R$191)</f>
        <v>#DIV/0!</v>
      </c>
      <c r="S64" s="55" t="e">
        <f>S63+ATM_Conf!$C$5*(D63-C63)/(Links!D$191*Links!S$191)</f>
        <v>#DIV/0!</v>
      </c>
      <c r="T64" s="55" t="e">
        <f>T63+ATM_Conf!$C$5*(E63-D63)/(Links!E$191*Links!T$191)</f>
        <v>#DIV/0!</v>
      </c>
      <c r="U64" s="55" t="e">
        <f>U63+ATM_Conf!$C$5*(F63-E63)/(Links!F$191*Links!U$191)</f>
        <v>#DIV/0!</v>
      </c>
      <c r="V64" s="55" t="e">
        <f>V63+ATM_Conf!$C$5*(G63-F63)/(Links!G$191*Links!V$191)</f>
        <v>#DIV/0!</v>
      </c>
      <c r="W64" s="55" t="e">
        <f>W63+ATM_Conf!$C$5*(H63-G63)/(Links!H$191*Links!W$191)</f>
        <v>#DIV/0!</v>
      </c>
      <c r="X64" s="55" t="e">
        <f>X63+ATM_Conf!$C$5*(I63-H63)/(Links!I$191*Links!X$191)</f>
        <v>#DIV/0!</v>
      </c>
      <c r="Y64" s="55" t="e">
        <f>Y63+ATM_Conf!$C$5*(J63)/(Links!J$191*Links!Y$191)</f>
        <v>#DIV/0!</v>
      </c>
      <c r="Z64" s="55" t="e">
        <f>Z63+ATM_Conf!$C$5*(K63-J63)/(Links!K$191*Links!Z$191)</f>
        <v>#DIV/0!</v>
      </c>
      <c r="AA64" s="55" t="e">
        <f>AA63+ATM_Conf!$C$5*(L63-K63)/(Links!L$191*Links!AA$191)</f>
        <v>#DIV/0!</v>
      </c>
      <c r="AB64" s="55" t="e">
        <f>AB63+ATM_Conf!$C$5*(M63-L63)/(Links!M$191*Links!AB$191)</f>
        <v>#DIV/0!</v>
      </c>
      <c r="AC64" s="55" t="e">
        <f>AC63+ATM_Conf!$C$5*(N63-M63)/(Links!N$191*Links!AC$191)</f>
        <v>#DIV/0!</v>
      </c>
      <c r="AD64" s="55" t="e">
        <f>AD63+ATM_Conf!$C$5*(O63-N63)/(Links!O$191*Links!AD$191)</f>
        <v>#DIV/0!</v>
      </c>
      <c r="AE64" s="55" t="e">
        <f>AE63+ATM_Conf!$C$5*(P63-O63)/(Links!P$191*Links!AE$191)</f>
        <v>#DIV/0!</v>
      </c>
      <c r="AF64" s="45" t="e">
        <f>AF63+(ATM_Conf!$C$5/ATM_Conf!$C$8)*(Links!AU63*EXP((-(Links!Q63/Links!BJ63)^Links!BY63)/Links!BY63)-Links!AF63)-(ATM_Conf!$C$9*ATM_Conf!$C$5/(ATM_Conf!$C$8*Links!Q$191))*(Nodes!BO63-Links!Q63)/(Links!Q63/ATM_Conf!$C$10)</f>
        <v>#DIV/0!</v>
      </c>
      <c r="AG64" s="45" t="e">
        <f>AG63+(ATM_Conf!$C$5/ATM_Conf!$C$8)*(Links!AV63*EXP((-(Links!R63/Links!BK63)^Links!BZ63)/Links!BZ63)-Links!AG63)+(ATM_Conf!$C$5/Links!R$191)*Links!AG63*(Nodes!BB63-Links!AG63)-(ATM_Conf!$C$9*ATM_Conf!$C$5/(ATM_Conf!$C$8*Links!R$191))*(Nodes!BP63-Links!R63)/(Links!R63/ATM_Conf!$C$10)</f>
        <v>#DIV/0!</v>
      </c>
      <c r="AH64" s="45" t="e">
        <f>AH63+(ATM_Conf!$C$5/ATM_Conf!$C$8)*(Links!AW63*EXP((-(Links!S63/Links!BL63)^Links!CA63)/Links!CA63)-Links!AH63)+(ATM_Conf!$C$5/Links!S$191)*Links!AH63*(Nodes!BC63-Links!AH63)-(ATM_Conf!$C$9*ATM_Conf!$C$5/(ATM_Conf!$C$8*Links!S$191))*(Nodes!BQ63-Links!S63)/(Links!S63/ATM_Conf!$C$10)</f>
        <v>#DIV/0!</v>
      </c>
      <c r="AI64" s="45" t="e">
        <f>AI63+(ATM_Conf!$C$5/ATM_Conf!$C$8)*(Links!AX63*EXP((-(Links!T63/Links!BM63)^Links!CB63)/Links!CB63)-Links!AI63)+(ATM_Conf!$C$5/Links!T$191)*Links!AI63*(Nodes!BD63-Links!AI63)-(ATM_Conf!$C$9*ATM_Conf!$C$5/(ATM_Conf!$C$8*Links!T$191))*(Nodes!BR63-Links!T63)/(Links!T63/ATM_Conf!$C$10)</f>
        <v>#DIV/0!</v>
      </c>
      <c r="AJ64" s="45" t="e">
        <f>AJ63+(ATM_Conf!$C$5/ATM_Conf!$C$8)*(Links!AY63*EXP((-(Links!U63/Links!BN63)^Links!CC63)/Links!CC63)-Links!AJ63)+(ATM_Conf!$C$5/Links!U$191)*Links!AJ63*(Nodes!BE63-Links!AJ63)-(ATM_Conf!$C$9*ATM_Conf!$C$5/(ATM_Conf!$C$8*Links!U$191))*(Nodes!BS63-Links!U63)/(Links!U63/ATM_Conf!$C$10)</f>
        <v>#DIV/0!</v>
      </c>
      <c r="AK64" s="45" t="e">
        <f>AK63+(ATM_Conf!$C$5/ATM_Conf!$C$8)*(Links!AZ63*EXP((-(Links!V63/Links!BO63)^Links!CD63)/Links!CD63)-Links!AK63)+(ATM_Conf!$C$5/Links!V$191)*Links!AK63*(Nodes!BF63-Links!AK63)-(ATM_Conf!$C$9*ATM_Conf!$C$5/(ATM_Conf!$C$8*Links!V$191))*(Nodes!BT63-Links!V63)/(Links!V63/ATM_Conf!$C$10)</f>
        <v>#DIV/0!</v>
      </c>
      <c r="AL64" s="45" t="e">
        <f>AL63+(ATM_Conf!$C$5/ATM_Conf!$C$8)*(Links!BA63*EXP((-(Links!W63/Links!BP63)^Links!CE63)/Links!CE63)-Links!AL63)+(ATM_Conf!$C$5/Links!W$191)*Links!AL63*(Nodes!BG63-Links!AL63)-(ATM_Conf!$C$9*ATM_Conf!$C$5/(ATM_Conf!$C$8*Links!W$191))*(Nodes!BU63-Links!W63)/(Links!W63/ATM_Conf!$C$10)</f>
        <v>#DIV/0!</v>
      </c>
      <c r="AM64" s="45" t="e">
        <f>AM63+(ATM_Conf!$C$5/ATM_Conf!$C$8)*(Links!BB63*EXP((-(Links!X63/Links!BQ63)^Links!CF63)/Links!CF63)-Links!AM63)+(ATM_Conf!$C$5/Links!X$191)*Links!AM63*(Nodes!BH63-Links!AM63)</f>
        <v>#DIV/0!</v>
      </c>
      <c r="AN64" s="45" t="e">
        <f>AN63+(ATM_Conf!$C$5/ATM_Conf!$C$8)*(Links!BC63*EXP((-(Links!Y63/Links!BR63)^Links!CG63)/Links!CG63)-Links!AN63)-(ATM_Conf!$C$9*ATM_Conf!$C$5/(ATM_Conf!$C$8*Links!Y$191))*(Nodes!BV63-Links!Y63)/(Links!Y63/ATM_Conf!$C$10)</f>
        <v>#DIV/0!</v>
      </c>
      <c r="AO64" s="45" t="e">
        <f>AO63+(ATM_Conf!$C$5/ATM_Conf!$C$8)*(Links!BD63*EXP((-(Links!Z63/Links!BS63)^Links!CH63)/Links!CH63)-Links!AO63)+(ATM_Conf!$C$5/Links!Z$191)*Links!AO63*(Nodes!BI63-Links!AO63)-(ATM_Conf!$C$9*ATM_Conf!$C$5/(ATM_Conf!$C$8*Links!Z$191))*(Nodes!BW63-Links!Z63)/(Links!Z63/ATM_Conf!$C$10)</f>
        <v>#DIV/0!</v>
      </c>
      <c r="AP64" s="45" t="e">
        <f>AP63+(ATM_Conf!$C$5/ATM_Conf!$C$8)*(Links!BE63*EXP((-(Links!AA63/Links!BT63)^Links!CI63)/Links!CI63)-Links!AP63)+(ATM_Conf!$C$5/Links!AA$191)*Links!AP63*(Nodes!BJ63-Links!AP63)-(ATM_Conf!$C$9*ATM_Conf!$C$5/(ATM_Conf!$C$8*Links!AA$191))*(Nodes!BX63-Links!AA63)/(Links!AA63/ATM_Conf!$C$10)</f>
        <v>#DIV/0!</v>
      </c>
      <c r="AQ64" s="45" t="e">
        <f>AQ63+(ATM_Conf!$C$5/ATM_Conf!$C$8)*(Links!BF63*EXP((-(Links!AB63/Links!BU63)^Links!CJ63)/Links!CJ63)-Links!AQ63)+(ATM_Conf!$C$5/Links!AB$191)*Links!AQ63*(Nodes!BK63-Links!AQ63)-(ATM_Conf!$C$9*ATM_Conf!$C$5/(ATM_Conf!$C$8*Links!AB$191))*(Nodes!BY63-Links!AB63)/(Links!AB63/ATM_Conf!$C$10)</f>
        <v>#DIV/0!</v>
      </c>
      <c r="AR64" s="45" t="e">
        <f>AR63+(ATM_Conf!$C$5/ATM_Conf!$C$8)*(Links!BG63*EXP((-(Links!AC63/Links!BV63)^Links!CK63)/Links!CK63)-Links!AR63)+(ATM_Conf!$C$5/Links!AC$191)*Links!AR63*(Nodes!BL63-Links!AR63)-(ATM_Conf!$C$9*ATM_Conf!$C$5/(ATM_Conf!$C$8*Links!AC$191))*(Nodes!BZ63-Links!AC63)/(Links!AC63/ATM_Conf!$C$10)</f>
        <v>#DIV/0!</v>
      </c>
      <c r="AS64" s="45" t="e">
        <f>AS63+(ATM_Conf!$C$5/ATM_Conf!$C$8)*(Links!BH63*EXP((-(Links!AD63/Links!BW63)^Links!CL63)/Links!CL63)-Links!AS63)+(ATM_Conf!$C$5/Links!AD$191)*Links!AS63*(Nodes!BM63-Links!AS63)-(ATM_Conf!$C$9*ATM_Conf!$C$5/(ATM_Conf!$C$8*Links!AD$191))*(Nodes!CA63-Links!AD63)/(Links!AD63/ATM_Conf!$C$10)</f>
        <v>#DIV/0!</v>
      </c>
      <c r="AT64" s="45" t="e">
        <f>AT63+(ATM_Conf!$C$5/ATM_Conf!$C$8)*(Links!BI63*EXP((-(Links!AE63/Links!BX63)^Links!CM63)/Links!CM63)-Links!AT63)+(ATM_Conf!$C$5/Links!AE$191)*Links!AT63*(Nodes!BN63-Links!AT63)</f>
        <v>#DIV/0!</v>
      </c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45"/>
      <c r="BK64" s="45"/>
      <c r="BL64" s="45"/>
      <c r="BM64" s="45"/>
      <c r="BN64" s="45"/>
      <c r="BO64" s="45"/>
      <c r="BP64" s="45"/>
      <c r="BQ64" s="45"/>
      <c r="BR64" s="45"/>
      <c r="BS64" s="45"/>
      <c r="BT64" s="45"/>
      <c r="BU64" s="45"/>
      <c r="BV64" s="45"/>
      <c r="BW64" s="45"/>
      <c r="BX64" s="4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45">
        <f>CN$63</f>
        <v>0</v>
      </c>
      <c r="CO64" s="45">
        <f t="shared" ref="CO64:DB64" si="32">CO$63</f>
        <v>0</v>
      </c>
      <c r="CP64" s="45">
        <f t="shared" si="32"/>
        <v>0</v>
      </c>
      <c r="CQ64" s="45">
        <f t="shared" si="32"/>
        <v>0</v>
      </c>
      <c r="CR64" s="45">
        <f t="shared" si="32"/>
        <v>0</v>
      </c>
      <c r="CS64" s="45">
        <f t="shared" si="32"/>
        <v>0</v>
      </c>
      <c r="CT64" s="45">
        <f t="shared" si="32"/>
        <v>0</v>
      </c>
      <c r="CU64" s="45">
        <f t="shared" si="32"/>
        <v>0</v>
      </c>
      <c r="CV64" s="45">
        <f t="shared" si="32"/>
        <v>0</v>
      </c>
      <c r="CW64" s="45">
        <f t="shared" si="32"/>
        <v>0</v>
      </c>
      <c r="CX64" s="45">
        <f t="shared" si="32"/>
        <v>0</v>
      </c>
      <c r="CY64" s="45">
        <f t="shared" si="32"/>
        <v>0</v>
      </c>
      <c r="CZ64" s="45">
        <f t="shared" si="32"/>
        <v>0</v>
      </c>
      <c r="DA64" s="45">
        <f t="shared" si="32"/>
        <v>0</v>
      </c>
      <c r="DB64" s="45">
        <f t="shared" si="32"/>
        <v>0</v>
      </c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</row>
    <row r="65" spans="1:121" ht="14.25" x14ac:dyDescent="0.15">
      <c r="A65" s="48">
        <v>63</v>
      </c>
      <c r="B65" s="45" t="e">
        <f t="shared" si="2"/>
        <v>#DIV/0!</v>
      </c>
      <c r="C65" s="45" t="e">
        <f t="shared" si="3"/>
        <v>#DIV/0!</v>
      </c>
      <c r="D65" s="45" t="e">
        <f t="shared" si="4"/>
        <v>#DIV/0!</v>
      </c>
      <c r="E65" s="45" t="e">
        <f t="shared" si="5"/>
        <v>#DIV/0!</v>
      </c>
      <c r="F65" s="45" t="e">
        <f t="shared" si="6"/>
        <v>#DIV/0!</v>
      </c>
      <c r="G65" s="45" t="e">
        <f t="shared" si="7"/>
        <v>#DIV/0!</v>
      </c>
      <c r="H65" s="45" t="e">
        <f t="shared" si="8"/>
        <v>#DIV/0!</v>
      </c>
      <c r="I65" s="45" t="e">
        <f t="shared" si="9"/>
        <v>#DIV/0!</v>
      </c>
      <c r="J65" s="45" t="e">
        <f t="shared" si="10"/>
        <v>#DIV/0!</v>
      </c>
      <c r="K65" s="45" t="e">
        <f t="shared" si="11"/>
        <v>#DIV/0!</v>
      </c>
      <c r="L65" s="45" t="e">
        <f t="shared" si="12"/>
        <v>#DIV/0!</v>
      </c>
      <c r="M65" s="45" t="e">
        <f t="shared" si="13"/>
        <v>#DIV/0!</v>
      </c>
      <c r="N65" s="45" t="e">
        <f t="shared" si="14"/>
        <v>#DIV/0!</v>
      </c>
      <c r="O65" s="45" t="e">
        <f t="shared" si="15"/>
        <v>#DIV/0!</v>
      </c>
      <c r="P65" s="45" t="e">
        <f t="shared" si="16"/>
        <v>#DIV/0!</v>
      </c>
      <c r="Q65" s="55" t="e">
        <f>Q64+ATM_Conf!$C$5*(B64)/(Links!B$191*Links!Q$191)</f>
        <v>#DIV/0!</v>
      </c>
      <c r="R65" s="55" t="e">
        <f>R64+ATM_Conf!$C$5*(C64-B64)/(Links!C$191*Links!R$191)</f>
        <v>#DIV/0!</v>
      </c>
      <c r="S65" s="55" t="e">
        <f>S64+ATM_Conf!$C$5*(D64-C64)/(Links!D$191*Links!S$191)</f>
        <v>#DIV/0!</v>
      </c>
      <c r="T65" s="55" t="e">
        <f>T64+ATM_Conf!$C$5*(E64-D64)/(Links!E$191*Links!T$191)</f>
        <v>#DIV/0!</v>
      </c>
      <c r="U65" s="55" t="e">
        <f>U64+ATM_Conf!$C$5*(F64-E64)/(Links!F$191*Links!U$191)</f>
        <v>#DIV/0!</v>
      </c>
      <c r="V65" s="55" t="e">
        <f>V64+ATM_Conf!$C$5*(G64-F64)/(Links!G$191*Links!V$191)</f>
        <v>#DIV/0!</v>
      </c>
      <c r="W65" s="55" t="e">
        <f>W64+ATM_Conf!$C$5*(H64-G64)/(Links!H$191*Links!W$191)</f>
        <v>#DIV/0!</v>
      </c>
      <c r="X65" s="55" t="e">
        <f>X64+ATM_Conf!$C$5*(I64-H64)/(Links!I$191*Links!X$191)</f>
        <v>#DIV/0!</v>
      </c>
      <c r="Y65" s="55" t="e">
        <f>Y64+ATM_Conf!$C$5*(J64)/(Links!J$191*Links!Y$191)</f>
        <v>#DIV/0!</v>
      </c>
      <c r="Z65" s="55" t="e">
        <f>Z64+ATM_Conf!$C$5*(K64-J64)/(Links!K$191*Links!Z$191)</f>
        <v>#DIV/0!</v>
      </c>
      <c r="AA65" s="55" t="e">
        <f>AA64+ATM_Conf!$C$5*(L64-K64)/(Links!L$191*Links!AA$191)</f>
        <v>#DIV/0!</v>
      </c>
      <c r="AB65" s="55" t="e">
        <f>AB64+ATM_Conf!$C$5*(M64-L64)/(Links!M$191*Links!AB$191)</f>
        <v>#DIV/0!</v>
      </c>
      <c r="AC65" s="55" t="e">
        <f>AC64+ATM_Conf!$C$5*(N64-M64)/(Links!N$191*Links!AC$191)</f>
        <v>#DIV/0!</v>
      </c>
      <c r="AD65" s="55" t="e">
        <f>AD64+ATM_Conf!$C$5*(O64-N64)/(Links!O$191*Links!AD$191)</f>
        <v>#DIV/0!</v>
      </c>
      <c r="AE65" s="55" t="e">
        <f>AE64+ATM_Conf!$C$5*(P64-O64)/(Links!P$191*Links!AE$191)</f>
        <v>#DIV/0!</v>
      </c>
      <c r="AF65" s="45" t="e">
        <f>AF64+(ATM_Conf!$C$5/ATM_Conf!$C$8)*(Links!AU64*EXP((-(Links!Q64/Links!BJ64)^Links!BY64)/Links!BY64)-Links!AF64)-(ATM_Conf!$C$9*ATM_Conf!$C$5/(ATM_Conf!$C$8*Links!Q$191))*(Nodes!BO64-Links!Q64)/(Links!Q64/ATM_Conf!$C$10)</f>
        <v>#DIV/0!</v>
      </c>
      <c r="AG65" s="45" t="e">
        <f>AG64+(ATM_Conf!$C$5/ATM_Conf!$C$8)*(Links!AV64*EXP((-(Links!R64/Links!BK64)^Links!BZ64)/Links!BZ64)-Links!AG64)+(ATM_Conf!$C$5/Links!R$191)*Links!AG64*(Nodes!BB64-Links!AG64)-(ATM_Conf!$C$9*ATM_Conf!$C$5/(ATM_Conf!$C$8*Links!R$191))*(Nodes!BP64-Links!R64)/(Links!R64/ATM_Conf!$C$10)</f>
        <v>#DIV/0!</v>
      </c>
      <c r="AH65" s="45" t="e">
        <f>AH64+(ATM_Conf!$C$5/ATM_Conf!$C$8)*(Links!AW64*EXP((-(Links!S64/Links!BL64)^Links!CA64)/Links!CA64)-Links!AH64)+(ATM_Conf!$C$5/Links!S$191)*Links!AH64*(Nodes!BC64-Links!AH64)-(ATM_Conf!$C$9*ATM_Conf!$C$5/(ATM_Conf!$C$8*Links!S$191))*(Nodes!BQ64-Links!S64)/(Links!S64/ATM_Conf!$C$10)</f>
        <v>#DIV/0!</v>
      </c>
      <c r="AI65" s="45" t="e">
        <f>AI64+(ATM_Conf!$C$5/ATM_Conf!$C$8)*(Links!AX64*EXP((-(Links!T64/Links!BM64)^Links!CB64)/Links!CB64)-Links!AI64)+(ATM_Conf!$C$5/Links!T$191)*Links!AI64*(Nodes!BD64-Links!AI64)-(ATM_Conf!$C$9*ATM_Conf!$C$5/(ATM_Conf!$C$8*Links!T$191))*(Nodes!BR64-Links!T64)/(Links!T64/ATM_Conf!$C$10)</f>
        <v>#DIV/0!</v>
      </c>
      <c r="AJ65" s="45" t="e">
        <f>AJ64+(ATM_Conf!$C$5/ATM_Conf!$C$8)*(Links!AY64*EXP((-(Links!U64/Links!BN64)^Links!CC64)/Links!CC64)-Links!AJ64)+(ATM_Conf!$C$5/Links!U$191)*Links!AJ64*(Nodes!BE64-Links!AJ64)-(ATM_Conf!$C$9*ATM_Conf!$C$5/(ATM_Conf!$C$8*Links!U$191))*(Nodes!BS64-Links!U64)/(Links!U64/ATM_Conf!$C$10)</f>
        <v>#DIV/0!</v>
      </c>
      <c r="AK65" s="45" t="e">
        <f>AK64+(ATM_Conf!$C$5/ATM_Conf!$C$8)*(Links!AZ64*EXP((-(Links!V64/Links!BO64)^Links!CD64)/Links!CD64)-Links!AK64)+(ATM_Conf!$C$5/Links!V$191)*Links!AK64*(Nodes!BF64-Links!AK64)-(ATM_Conf!$C$9*ATM_Conf!$C$5/(ATM_Conf!$C$8*Links!V$191))*(Nodes!BT64-Links!V64)/(Links!V64/ATM_Conf!$C$10)</f>
        <v>#DIV/0!</v>
      </c>
      <c r="AL65" s="45" t="e">
        <f>AL64+(ATM_Conf!$C$5/ATM_Conf!$C$8)*(Links!BA64*EXP((-(Links!W64/Links!BP64)^Links!CE64)/Links!CE64)-Links!AL64)+(ATM_Conf!$C$5/Links!W$191)*Links!AL64*(Nodes!BG64-Links!AL64)-(ATM_Conf!$C$9*ATM_Conf!$C$5/(ATM_Conf!$C$8*Links!W$191))*(Nodes!BU64-Links!W64)/(Links!W64/ATM_Conf!$C$10)</f>
        <v>#DIV/0!</v>
      </c>
      <c r="AM65" s="45" t="e">
        <f>AM64+(ATM_Conf!$C$5/ATM_Conf!$C$8)*(Links!BB64*EXP((-(Links!X64/Links!BQ64)^Links!CF64)/Links!CF64)-Links!AM64)+(ATM_Conf!$C$5/Links!X$191)*Links!AM64*(Nodes!BH64-Links!AM64)</f>
        <v>#DIV/0!</v>
      </c>
      <c r="AN65" s="45" t="e">
        <f>AN64+(ATM_Conf!$C$5/ATM_Conf!$C$8)*(Links!BC64*EXP((-(Links!Y64/Links!BR64)^Links!CG64)/Links!CG64)-Links!AN64)-(ATM_Conf!$C$9*ATM_Conf!$C$5/(ATM_Conf!$C$8*Links!Y$191))*(Nodes!BV64-Links!Y64)/(Links!Y64/ATM_Conf!$C$10)</f>
        <v>#DIV/0!</v>
      </c>
      <c r="AO65" s="45" t="e">
        <f>AO64+(ATM_Conf!$C$5/ATM_Conf!$C$8)*(Links!BD64*EXP((-(Links!Z64/Links!BS64)^Links!CH64)/Links!CH64)-Links!AO64)+(ATM_Conf!$C$5/Links!Z$191)*Links!AO64*(Nodes!BI64-Links!AO64)-(ATM_Conf!$C$9*ATM_Conf!$C$5/(ATM_Conf!$C$8*Links!Z$191))*(Nodes!BW64-Links!Z64)/(Links!Z64/ATM_Conf!$C$10)</f>
        <v>#DIV/0!</v>
      </c>
      <c r="AP65" s="45" t="e">
        <f>AP64+(ATM_Conf!$C$5/ATM_Conf!$C$8)*(Links!BE64*EXP((-(Links!AA64/Links!BT64)^Links!CI64)/Links!CI64)-Links!AP64)+(ATM_Conf!$C$5/Links!AA$191)*Links!AP64*(Nodes!BJ64-Links!AP64)-(ATM_Conf!$C$9*ATM_Conf!$C$5/(ATM_Conf!$C$8*Links!AA$191))*(Nodes!BX64-Links!AA64)/(Links!AA64/ATM_Conf!$C$10)</f>
        <v>#DIV/0!</v>
      </c>
      <c r="AQ65" s="45" t="e">
        <f>AQ64+(ATM_Conf!$C$5/ATM_Conf!$C$8)*(Links!BF64*EXP((-(Links!AB64/Links!BU64)^Links!CJ64)/Links!CJ64)-Links!AQ64)+(ATM_Conf!$C$5/Links!AB$191)*Links!AQ64*(Nodes!BK64-Links!AQ64)-(ATM_Conf!$C$9*ATM_Conf!$C$5/(ATM_Conf!$C$8*Links!AB$191))*(Nodes!BY64-Links!AB64)/(Links!AB64/ATM_Conf!$C$10)</f>
        <v>#DIV/0!</v>
      </c>
      <c r="AR65" s="45" t="e">
        <f>AR64+(ATM_Conf!$C$5/ATM_Conf!$C$8)*(Links!BG64*EXP((-(Links!AC64/Links!BV64)^Links!CK64)/Links!CK64)-Links!AR64)+(ATM_Conf!$C$5/Links!AC$191)*Links!AR64*(Nodes!BL64-Links!AR64)-(ATM_Conf!$C$9*ATM_Conf!$C$5/(ATM_Conf!$C$8*Links!AC$191))*(Nodes!BZ64-Links!AC64)/(Links!AC64/ATM_Conf!$C$10)</f>
        <v>#DIV/0!</v>
      </c>
      <c r="AS65" s="45" t="e">
        <f>AS64+(ATM_Conf!$C$5/ATM_Conf!$C$8)*(Links!BH64*EXP((-(Links!AD64/Links!BW64)^Links!CL64)/Links!CL64)-Links!AS64)+(ATM_Conf!$C$5/Links!AD$191)*Links!AS64*(Nodes!BM64-Links!AS64)-(ATM_Conf!$C$9*ATM_Conf!$C$5/(ATM_Conf!$C$8*Links!AD$191))*(Nodes!CA64-Links!AD64)/(Links!AD64/ATM_Conf!$C$10)</f>
        <v>#DIV/0!</v>
      </c>
      <c r="AT65" s="45" t="e">
        <f>AT64+(ATM_Conf!$C$5/ATM_Conf!$C$8)*(Links!BI64*EXP((-(Links!AE64/Links!BX64)^Links!CM64)/Links!CM64)-Links!AT64)+(ATM_Conf!$C$5/Links!AE$191)*Links!AT64*(Nodes!BN64-Links!AT64)</f>
        <v>#DIV/0!</v>
      </c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45"/>
      <c r="BK65" s="45"/>
      <c r="BL65" s="45"/>
      <c r="BM65" s="45"/>
      <c r="BN65" s="45"/>
      <c r="BO65" s="45"/>
      <c r="BP65" s="45"/>
      <c r="BQ65" s="45"/>
      <c r="BR65" s="45"/>
      <c r="BS65" s="45"/>
      <c r="BT65" s="45"/>
      <c r="BU65" s="45"/>
      <c r="BV65" s="45"/>
      <c r="BW65" s="45"/>
      <c r="BX65" s="4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45">
        <f t="shared" ref="CN65:DB74" si="33">CN$63</f>
        <v>0</v>
      </c>
      <c r="CO65" s="45">
        <f t="shared" si="33"/>
        <v>0</v>
      </c>
      <c r="CP65" s="45">
        <f t="shared" si="33"/>
        <v>0</v>
      </c>
      <c r="CQ65" s="45">
        <f t="shared" si="33"/>
        <v>0</v>
      </c>
      <c r="CR65" s="45">
        <f t="shared" si="33"/>
        <v>0</v>
      </c>
      <c r="CS65" s="45">
        <f t="shared" si="33"/>
        <v>0</v>
      </c>
      <c r="CT65" s="45">
        <f t="shared" si="33"/>
        <v>0</v>
      </c>
      <c r="CU65" s="45">
        <f t="shared" si="33"/>
        <v>0</v>
      </c>
      <c r="CV65" s="45">
        <f t="shared" si="33"/>
        <v>0</v>
      </c>
      <c r="CW65" s="45">
        <f t="shared" si="33"/>
        <v>0</v>
      </c>
      <c r="CX65" s="45">
        <f t="shared" si="33"/>
        <v>0</v>
      </c>
      <c r="CY65" s="45">
        <f t="shared" si="33"/>
        <v>0</v>
      </c>
      <c r="CZ65" s="45">
        <f t="shared" si="33"/>
        <v>0</v>
      </c>
      <c r="DA65" s="45">
        <f t="shared" si="33"/>
        <v>0</v>
      </c>
      <c r="DB65" s="45">
        <f t="shared" si="33"/>
        <v>0</v>
      </c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</row>
    <row r="66" spans="1:121" ht="14.25" x14ac:dyDescent="0.15">
      <c r="A66" s="48">
        <v>64</v>
      </c>
      <c r="B66" s="45" t="e">
        <f t="shared" si="2"/>
        <v>#DIV/0!</v>
      </c>
      <c r="C66" s="45" t="e">
        <f t="shared" si="3"/>
        <v>#DIV/0!</v>
      </c>
      <c r="D66" s="45" t="e">
        <f t="shared" si="4"/>
        <v>#DIV/0!</v>
      </c>
      <c r="E66" s="45" t="e">
        <f t="shared" si="5"/>
        <v>#DIV/0!</v>
      </c>
      <c r="F66" s="45" t="e">
        <f t="shared" si="6"/>
        <v>#DIV/0!</v>
      </c>
      <c r="G66" s="45" t="e">
        <f t="shared" si="7"/>
        <v>#DIV/0!</v>
      </c>
      <c r="H66" s="45" t="e">
        <f t="shared" si="8"/>
        <v>#DIV/0!</v>
      </c>
      <c r="I66" s="45" t="e">
        <f t="shared" si="9"/>
        <v>#DIV/0!</v>
      </c>
      <c r="J66" s="45" t="e">
        <f t="shared" si="10"/>
        <v>#DIV/0!</v>
      </c>
      <c r="K66" s="45" t="e">
        <f t="shared" si="11"/>
        <v>#DIV/0!</v>
      </c>
      <c r="L66" s="45" t="e">
        <f t="shared" si="12"/>
        <v>#DIV/0!</v>
      </c>
      <c r="M66" s="45" t="e">
        <f t="shared" si="13"/>
        <v>#DIV/0!</v>
      </c>
      <c r="N66" s="45" t="e">
        <f t="shared" si="14"/>
        <v>#DIV/0!</v>
      </c>
      <c r="O66" s="45" t="e">
        <f t="shared" si="15"/>
        <v>#DIV/0!</v>
      </c>
      <c r="P66" s="45" t="e">
        <f t="shared" si="16"/>
        <v>#DIV/0!</v>
      </c>
      <c r="Q66" s="55" t="e">
        <f>Q65+ATM_Conf!$C$5*(B65)/(Links!B$191*Links!Q$191)</f>
        <v>#DIV/0!</v>
      </c>
      <c r="R66" s="55" t="e">
        <f>R65+ATM_Conf!$C$5*(C65-B65)/(Links!C$191*Links!R$191)</f>
        <v>#DIV/0!</v>
      </c>
      <c r="S66" s="55" t="e">
        <f>S65+ATM_Conf!$C$5*(D65-C65)/(Links!D$191*Links!S$191)</f>
        <v>#DIV/0!</v>
      </c>
      <c r="T66" s="55" t="e">
        <f>T65+ATM_Conf!$C$5*(E65-D65)/(Links!E$191*Links!T$191)</f>
        <v>#DIV/0!</v>
      </c>
      <c r="U66" s="55" t="e">
        <f>U65+ATM_Conf!$C$5*(F65-E65)/(Links!F$191*Links!U$191)</f>
        <v>#DIV/0!</v>
      </c>
      <c r="V66" s="55" t="e">
        <f>V65+ATM_Conf!$C$5*(G65-F65)/(Links!G$191*Links!V$191)</f>
        <v>#DIV/0!</v>
      </c>
      <c r="W66" s="55" t="e">
        <f>W65+ATM_Conf!$C$5*(H65-G65)/(Links!H$191*Links!W$191)</f>
        <v>#DIV/0!</v>
      </c>
      <c r="X66" s="55" t="e">
        <f>X65+ATM_Conf!$C$5*(I65-H65)/(Links!I$191*Links!X$191)</f>
        <v>#DIV/0!</v>
      </c>
      <c r="Y66" s="55" t="e">
        <f>Y65+ATM_Conf!$C$5*(J65)/(Links!J$191*Links!Y$191)</f>
        <v>#DIV/0!</v>
      </c>
      <c r="Z66" s="55" t="e">
        <f>Z65+ATM_Conf!$C$5*(K65-J65)/(Links!K$191*Links!Z$191)</f>
        <v>#DIV/0!</v>
      </c>
      <c r="AA66" s="55" t="e">
        <f>AA65+ATM_Conf!$C$5*(L65-K65)/(Links!L$191*Links!AA$191)</f>
        <v>#DIV/0!</v>
      </c>
      <c r="AB66" s="55" t="e">
        <f>AB65+ATM_Conf!$C$5*(M65-L65)/(Links!M$191*Links!AB$191)</f>
        <v>#DIV/0!</v>
      </c>
      <c r="AC66" s="55" t="e">
        <f>AC65+ATM_Conf!$C$5*(N65-M65)/(Links!N$191*Links!AC$191)</f>
        <v>#DIV/0!</v>
      </c>
      <c r="AD66" s="55" t="e">
        <f>AD65+ATM_Conf!$C$5*(O65-N65)/(Links!O$191*Links!AD$191)</f>
        <v>#DIV/0!</v>
      </c>
      <c r="AE66" s="55" t="e">
        <f>AE65+ATM_Conf!$C$5*(P65-O65)/(Links!P$191*Links!AE$191)</f>
        <v>#DIV/0!</v>
      </c>
      <c r="AF66" s="45" t="e">
        <f>AF65+(ATM_Conf!$C$5/ATM_Conf!$C$8)*(Links!AU65*EXP((-(Links!Q65/Links!BJ65)^Links!BY65)/Links!BY65)-Links!AF65)-(ATM_Conf!$C$9*ATM_Conf!$C$5/(ATM_Conf!$C$8*Links!Q$191))*(Nodes!BO65-Links!Q65)/(Links!Q65/ATM_Conf!$C$10)</f>
        <v>#DIV/0!</v>
      </c>
      <c r="AG66" s="45" t="e">
        <f>AG65+(ATM_Conf!$C$5/ATM_Conf!$C$8)*(Links!AV65*EXP((-(Links!R65/Links!BK65)^Links!BZ65)/Links!BZ65)-Links!AG65)+(ATM_Conf!$C$5/Links!R$191)*Links!AG65*(Nodes!BB65-Links!AG65)-(ATM_Conf!$C$9*ATM_Conf!$C$5/(ATM_Conf!$C$8*Links!R$191))*(Nodes!BP65-Links!R65)/(Links!R65/ATM_Conf!$C$10)</f>
        <v>#DIV/0!</v>
      </c>
      <c r="AH66" s="45" t="e">
        <f>AH65+(ATM_Conf!$C$5/ATM_Conf!$C$8)*(Links!AW65*EXP((-(Links!S65/Links!BL65)^Links!CA65)/Links!CA65)-Links!AH65)+(ATM_Conf!$C$5/Links!S$191)*Links!AH65*(Nodes!BC65-Links!AH65)-(ATM_Conf!$C$9*ATM_Conf!$C$5/(ATM_Conf!$C$8*Links!S$191))*(Nodes!BQ65-Links!S65)/(Links!S65/ATM_Conf!$C$10)</f>
        <v>#DIV/0!</v>
      </c>
      <c r="AI66" s="45" t="e">
        <f>AI65+(ATM_Conf!$C$5/ATM_Conf!$C$8)*(Links!AX65*EXP((-(Links!T65/Links!BM65)^Links!CB65)/Links!CB65)-Links!AI65)+(ATM_Conf!$C$5/Links!T$191)*Links!AI65*(Nodes!BD65-Links!AI65)-(ATM_Conf!$C$9*ATM_Conf!$C$5/(ATM_Conf!$C$8*Links!T$191))*(Nodes!BR65-Links!T65)/(Links!T65/ATM_Conf!$C$10)</f>
        <v>#DIV/0!</v>
      </c>
      <c r="AJ66" s="45" t="e">
        <f>AJ65+(ATM_Conf!$C$5/ATM_Conf!$C$8)*(Links!AY65*EXP((-(Links!U65/Links!BN65)^Links!CC65)/Links!CC65)-Links!AJ65)+(ATM_Conf!$C$5/Links!U$191)*Links!AJ65*(Nodes!BE65-Links!AJ65)-(ATM_Conf!$C$9*ATM_Conf!$C$5/(ATM_Conf!$C$8*Links!U$191))*(Nodes!BS65-Links!U65)/(Links!U65/ATM_Conf!$C$10)</f>
        <v>#DIV/0!</v>
      </c>
      <c r="AK66" s="45" t="e">
        <f>AK65+(ATM_Conf!$C$5/ATM_Conf!$C$8)*(Links!AZ65*EXP((-(Links!V65/Links!BO65)^Links!CD65)/Links!CD65)-Links!AK65)+(ATM_Conf!$C$5/Links!V$191)*Links!AK65*(Nodes!BF65-Links!AK65)-(ATM_Conf!$C$9*ATM_Conf!$C$5/(ATM_Conf!$C$8*Links!V$191))*(Nodes!BT65-Links!V65)/(Links!V65/ATM_Conf!$C$10)</f>
        <v>#DIV/0!</v>
      </c>
      <c r="AL66" s="45" t="e">
        <f>AL65+(ATM_Conf!$C$5/ATM_Conf!$C$8)*(Links!BA65*EXP((-(Links!W65/Links!BP65)^Links!CE65)/Links!CE65)-Links!AL65)+(ATM_Conf!$C$5/Links!W$191)*Links!AL65*(Nodes!BG65-Links!AL65)-(ATM_Conf!$C$9*ATM_Conf!$C$5/(ATM_Conf!$C$8*Links!W$191))*(Nodes!BU65-Links!W65)/(Links!W65/ATM_Conf!$C$10)</f>
        <v>#DIV/0!</v>
      </c>
      <c r="AM66" s="45" t="e">
        <f>AM65+(ATM_Conf!$C$5/ATM_Conf!$C$8)*(Links!BB65*EXP((-(Links!X65/Links!BQ65)^Links!CF65)/Links!CF65)-Links!AM65)+(ATM_Conf!$C$5/Links!X$191)*Links!AM65*(Nodes!BH65-Links!AM65)</f>
        <v>#DIV/0!</v>
      </c>
      <c r="AN66" s="45" t="e">
        <f>AN65+(ATM_Conf!$C$5/ATM_Conf!$C$8)*(Links!BC65*EXP((-(Links!Y65/Links!BR65)^Links!CG65)/Links!CG65)-Links!AN65)-(ATM_Conf!$C$9*ATM_Conf!$C$5/(ATM_Conf!$C$8*Links!Y$191))*(Nodes!BV65-Links!Y65)/(Links!Y65/ATM_Conf!$C$10)</f>
        <v>#DIV/0!</v>
      </c>
      <c r="AO66" s="45" t="e">
        <f>AO65+(ATM_Conf!$C$5/ATM_Conf!$C$8)*(Links!BD65*EXP((-(Links!Z65/Links!BS65)^Links!CH65)/Links!CH65)-Links!AO65)+(ATM_Conf!$C$5/Links!Z$191)*Links!AO65*(Nodes!BI65-Links!AO65)-(ATM_Conf!$C$9*ATM_Conf!$C$5/(ATM_Conf!$C$8*Links!Z$191))*(Nodes!BW65-Links!Z65)/(Links!Z65/ATM_Conf!$C$10)</f>
        <v>#DIV/0!</v>
      </c>
      <c r="AP66" s="45" t="e">
        <f>AP65+(ATM_Conf!$C$5/ATM_Conf!$C$8)*(Links!BE65*EXP((-(Links!AA65/Links!BT65)^Links!CI65)/Links!CI65)-Links!AP65)+(ATM_Conf!$C$5/Links!AA$191)*Links!AP65*(Nodes!BJ65-Links!AP65)-(ATM_Conf!$C$9*ATM_Conf!$C$5/(ATM_Conf!$C$8*Links!AA$191))*(Nodes!BX65-Links!AA65)/(Links!AA65/ATM_Conf!$C$10)</f>
        <v>#DIV/0!</v>
      </c>
      <c r="AQ66" s="45" t="e">
        <f>AQ65+(ATM_Conf!$C$5/ATM_Conf!$C$8)*(Links!BF65*EXP((-(Links!AB65/Links!BU65)^Links!CJ65)/Links!CJ65)-Links!AQ65)+(ATM_Conf!$C$5/Links!AB$191)*Links!AQ65*(Nodes!BK65-Links!AQ65)-(ATM_Conf!$C$9*ATM_Conf!$C$5/(ATM_Conf!$C$8*Links!AB$191))*(Nodes!BY65-Links!AB65)/(Links!AB65/ATM_Conf!$C$10)</f>
        <v>#DIV/0!</v>
      </c>
      <c r="AR66" s="45" t="e">
        <f>AR65+(ATM_Conf!$C$5/ATM_Conf!$C$8)*(Links!BG65*EXP((-(Links!AC65/Links!BV65)^Links!CK65)/Links!CK65)-Links!AR65)+(ATM_Conf!$C$5/Links!AC$191)*Links!AR65*(Nodes!BL65-Links!AR65)-(ATM_Conf!$C$9*ATM_Conf!$C$5/(ATM_Conf!$C$8*Links!AC$191))*(Nodes!BZ65-Links!AC65)/(Links!AC65/ATM_Conf!$C$10)</f>
        <v>#DIV/0!</v>
      </c>
      <c r="AS66" s="45" t="e">
        <f>AS65+(ATM_Conf!$C$5/ATM_Conf!$C$8)*(Links!BH65*EXP((-(Links!AD65/Links!BW65)^Links!CL65)/Links!CL65)-Links!AS65)+(ATM_Conf!$C$5/Links!AD$191)*Links!AS65*(Nodes!BM65-Links!AS65)-(ATM_Conf!$C$9*ATM_Conf!$C$5/(ATM_Conf!$C$8*Links!AD$191))*(Nodes!CA65-Links!AD65)/(Links!AD65/ATM_Conf!$C$10)</f>
        <v>#DIV/0!</v>
      </c>
      <c r="AT66" s="45" t="e">
        <f>AT65+(ATM_Conf!$C$5/ATM_Conf!$C$8)*(Links!BI65*EXP((-(Links!AE65/Links!BX65)^Links!CM65)/Links!CM65)-Links!AT65)+(ATM_Conf!$C$5/Links!AE$191)*Links!AT65*(Nodes!BN65-Links!AT65)</f>
        <v>#DIV/0!</v>
      </c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45"/>
      <c r="BK66" s="45"/>
      <c r="BL66" s="45"/>
      <c r="BM66" s="45"/>
      <c r="BN66" s="45"/>
      <c r="BO66" s="45"/>
      <c r="BP66" s="45"/>
      <c r="BQ66" s="45"/>
      <c r="BR66" s="45"/>
      <c r="BS66" s="45"/>
      <c r="BT66" s="45"/>
      <c r="BU66" s="45"/>
      <c r="BV66" s="45"/>
      <c r="BW66" s="45"/>
      <c r="BX66" s="4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45">
        <f t="shared" si="33"/>
        <v>0</v>
      </c>
      <c r="CO66" s="45">
        <f t="shared" si="33"/>
        <v>0</v>
      </c>
      <c r="CP66" s="45">
        <f t="shared" si="33"/>
        <v>0</v>
      </c>
      <c r="CQ66" s="45">
        <f t="shared" si="33"/>
        <v>0</v>
      </c>
      <c r="CR66" s="45">
        <f t="shared" si="33"/>
        <v>0</v>
      </c>
      <c r="CS66" s="45">
        <f t="shared" si="33"/>
        <v>0</v>
      </c>
      <c r="CT66" s="45">
        <f t="shared" si="33"/>
        <v>0</v>
      </c>
      <c r="CU66" s="45">
        <f t="shared" si="33"/>
        <v>0</v>
      </c>
      <c r="CV66" s="45">
        <f t="shared" si="33"/>
        <v>0</v>
      </c>
      <c r="CW66" s="45">
        <f t="shared" si="33"/>
        <v>0</v>
      </c>
      <c r="CX66" s="45">
        <f t="shared" si="33"/>
        <v>0</v>
      </c>
      <c r="CY66" s="45">
        <f t="shared" si="33"/>
        <v>0</v>
      </c>
      <c r="CZ66" s="45">
        <f t="shared" si="33"/>
        <v>0</v>
      </c>
      <c r="DA66" s="45">
        <f t="shared" si="33"/>
        <v>0</v>
      </c>
      <c r="DB66" s="45">
        <f t="shared" si="33"/>
        <v>0</v>
      </c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</row>
    <row r="67" spans="1:121" ht="14.25" x14ac:dyDescent="0.15">
      <c r="A67" s="48">
        <v>65</v>
      </c>
      <c r="B67" s="45" t="e">
        <f t="shared" si="2"/>
        <v>#DIV/0!</v>
      </c>
      <c r="C67" s="45" t="e">
        <f t="shared" si="3"/>
        <v>#DIV/0!</v>
      </c>
      <c r="D67" s="45" t="e">
        <f t="shared" si="4"/>
        <v>#DIV/0!</v>
      </c>
      <c r="E67" s="45" t="e">
        <f t="shared" si="5"/>
        <v>#DIV/0!</v>
      </c>
      <c r="F67" s="45" t="e">
        <f t="shared" si="6"/>
        <v>#DIV/0!</v>
      </c>
      <c r="G67" s="45" t="e">
        <f t="shared" si="7"/>
        <v>#DIV/0!</v>
      </c>
      <c r="H67" s="45" t="e">
        <f t="shared" si="8"/>
        <v>#DIV/0!</v>
      </c>
      <c r="I67" s="45" t="e">
        <f t="shared" si="9"/>
        <v>#DIV/0!</v>
      </c>
      <c r="J67" s="45" t="e">
        <f t="shared" si="10"/>
        <v>#DIV/0!</v>
      </c>
      <c r="K67" s="45" t="e">
        <f t="shared" si="11"/>
        <v>#DIV/0!</v>
      </c>
      <c r="L67" s="45" t="e">
        <f t="shared" si="12"/>
        <v>#DIV/0!</v>
      </c>
      <c r="M67" s="45" t="e">
        <f t="shared" si="13"/>
        <v>#DIV/0!</v>
      </c>
      <c r="N67" s="45" t="e">
        <f t="shared" si="14"/>
        <v>#DIV/0!</v>
      </c>
      <c r="O67" s="45" t="e">
        <f t="shared" si="15"/>
        <v>#DIV/0!</v>
      </c>
      <c r="P67" s="45" t="e">
        <f t="shared" si="16"/>
        <v>#DIV/0!</v>
      </c>
      <c r="Q67" s="55" t="e">
        <f>Q66+ATM_Conf!$C$5*(B66)/(Links!B$191*Links!Q$191)</f>
        <v>#DIV/0!</v>
      </c>
      <c r="R67" s="55" t="e">
        <f>R66+ATM_Conf!$C$5*(C66-B66)/(Links!C$191*Links!R$191)</f>
        <v>#DIV/0!</v>
      </c>
      <c r="S67" s="55" t="e">
        <f>S66+ATM_Conf!$C$5*(D66-C66)/(Links!D$191*Links!S$191)</f>
        <v>#DIV/0!</v>
      </c>
      <c r="T67" s="55" t="e">
        <f>T66+ATM_Conf!$C$5*(E66-D66)/(Links!E$191*Links!T$191)</f>
        <v>#DIV/0!</v>
      </c>
      <c r="U67" s="55" t="e">
        <f>U66+ATM_Conf!$C$5*(F66-E66)/(Links!F$191*Links!U$191)</f>
        <v>#DIV/0!</v>
      </c>
      <c r="V67" s="55" t="e">
        <f>V66+ATM_Conf!$C$5*(G66-F66)/(Links!G$191*Links!V$191)</f>
        <v>#DIV/0!</v>
      </c>
      <c r="W67" s="55" t="e">
        <f>W66+ATM_Conf!$C$5*(H66-G66)/(Links!H$191*Links!W$191)</f>
        <v>#DIV/0!</v>
      </c>
      <c r="X67" s="55" t="e">
        <f>X66+ATM_Conf!$C$5*(I66-H66)/(Links!I$191*Links!X$191)</f>
        <v>#DIV/0!</v>
      </c>
      <c r="Y67" s="55" t="e">
        <f>Y66+ATM_Conf!$C$5*(J66)/(Links!J$191*Links!Y$191)</f>
        <v>#DIV/0!</v>
      </c>
      <c r="Z67" s="55" t="e">
        <f>Z66+ATM_Conf!$C$5*(K66-J66)/(Links!K$191*Links!Z$191)</f>
        <v>#DIV/0!</v>
      </c>
      <c r="AA67" s="55" t="e">
        <f>AA66+ATM_Conf!$C$5*(L66-K66)/(Links!L$191*Links!AA$191)</f>
        <v>#DIV/0!</v>
      </c>
      <c r="AB67" s="55" t="e">
        <f>AB66+ATM_Conf!$C$5*(M66-L66)/(Links!M$191*Links!AB$191)</f>
        <v>#DIV/0!</v>
      </c>
      <c r="AC67" s="55" t="e">
        <f>AC66+ATM_Conf!$C$5*(N66-M66)/(Links!N$191*Links!AC$191)</f>
        <v>#DIV/0!</v>
      </c>
      <c r="AD67" s="55" t="e">
        <f>AD66+ATM_Conf!$C$5*(O66-N66)/(Links!O$191*Links!AD$191)</f>
        <v>#DIV/0!</v>
      </c>
      <c r="AE67" s="55" t="e">
        <f>AE66+ATM_Conf!$C$5*(P66-O66)/(Links!P$191*Links!AE$191)</f>
        <v>#DIV/0!</v>
      </c>
      <c r="AF67" s="45" t="e">
        <f>AF66+(ATM_Conf!$C$5/ATM_Conf!$C$8)*(Links!AU66*EXP((-(Links!Q66/Links!BJ66)^Links!BY66)/Links!BY66)-Links!AF66)-(ATM_Conf!$C$9*ATM_Conf!$C$5/(ATM_Conf!$C$8*Links!Q$191))*(Nodes!BO66-Links!Q66)/(Links!Q66/ATM_Conf!$C$10)</f>
        <v>#DIV/0!</v>
      </c>
      <c r="AG67" s="45" t="e">
        <f>AG66+(ATM_Conf!$C$5/ATM_Conf!$C$8)*(Links!AV66*EXP((-(Links!R66/Links!BK66)^Links!BZ66)/Links!BZ66)-Links!AG66)+(ATM_Conf!$C$5/Links!R$191)*Links!AG66*(Nodes!BB66-Links!AG66)-(ATM_Conf!$C$9*ATM_Conf!$C$5/(ATM_Conf!$C$8*Links!R$191))*(Nodes!BP66-Links!R66)/(Links!R66/ATM_Conf!$C$10)</f>
        <v>#DIV/0!</v>
      </c>
      <c r="AH67" s="45" t="e">
        <f>AH66+(ATM_Conf!$C$5/ATM_Conf!$C$8)*(Links!AW66*EXP((-(Links!S66/Links!BL66)^Links!CA66)/Links!CA66)-Links!AH66)+(ATM_Conf!$C$5/Links!S$191)*Links!AH66*(Nodes!BC66-Links!AH66)-(ATM_Conf!$C$9*ATM_Conf!$C$5/(ATM_Conf!$C$8*Links!S$191))*(Nodes!BQ66-Links!S66)/(Links!S66/ATM_Conf!$C$10)</f>
        <v>#DIV/0!</v>
      </c>
      <c r="AI67" s="45" t="e">
        <f>AI66+(ATM_Conf!$C$5/ATM_Conf!$C$8)*(Links!AX66*EXP((-(Links!T66/Links!BM66)^Links!CB66)/Links!CB66)-Links!AI66)+(ATM_Conf!$C$5/Links!T$191)*Links!AI66*(Nodes!BD66-Links!AI66)-(ATM_Conf!$C$9*ATM_Conf!$C$5/(ATM_Conf!$C$8*Links!T$191))*(Nodes!BR66-Links!T66)/(Links!T66/ATM_Conf!$C$10)</f>
        <v>#DIV/0!</v>
      </c>
      <c r="AJ67" s="45" t="e">
        <f>AJ66+(ATM_Conf!$C$5/ATM_Conf!$C$8)*(Links!AY66*EXP((-(Links!U66/Links!BN66)^Links!CC66)/Links!CC66)-Links!AJ66)+(ATM_Conf!$C$5/Links!U$191)*Links!AJ66*(Nodes!BE66-Links!AJ66)-(ATM_Conf!$C$9*ATM_Conf!$C$5/(ATM_Conf!$C$8*Links!U$191))*(Nodes!BS66-Links!U66)/(Links!U66/ATM_Conf!$C$10)</f>
        <v>#DIV/0!</v>
      </c>
      <c r="AK67" s="45" t="e">
        <f>AK66+(ATM_Conf!$C$5/ATM_Conf!$C$8)*(Links!AZ66*EXP((-(Links!V66/Links!BO66)^Links!CD66)/Links!CD66)-Links!AK66)+(ATM_Conf!$C$5/Links!V$191)*Links!AK66*(Nodes!BF66-Links!AK66)-(ATM_Conf!$C$9*ATM_Conf!$C$5/(ATM_Conf!$C$8*Links!V$191))*(Nodes!BT66-Links!V66)/(Links!V66/ATM_Conf!$C$10)</f>
        <v>#DIV/0!</v>
      </c>
      <c r="AL67" s="45" t="e">
        <f>AL66+(ATM_Conf!$C$5/ATM_Conf!$C$8)*(Links!BA66*EXP((-(Links!W66/Links!BP66)^Links!CE66)/Links!CE66)-Links!AL66)+(ATM_Conf!$C$5/Links!W$191)*Links!AL66*(Nodes!BG66-Links!AL66)-(ATM_Conf!$C$9*ATM_Conf!$C$5/(ATM_Conf!$C$8*Links!W$191))*(Nodes!BU66-Links!W66)/(Links!W66/ATM_Conf!$C$10)</f>
        <v>#DIV/0!</v>
      </c>
      <c r="AM67" s="45" t="e">
        <f>AM66+(ATM_Conf!$C$5/ATM_Conf!$C$8)*(Links!BB66*EXP((-(Links!X66/Links!BQ66)^Links!CF66)/Links!CF66)-Links!AM66)+(ATM_Conf!$C$5/Links!X$191)*Links!AM66*(Nodes!BH66-Links!AM66)</f>
        <v>#DIV/0!</v>
      </c>
      <c r="AN67" s="45" t="e">
        <f>AN66+(ATM_Conf!$C$5/ATM_Conf!$C$8)*(Links!BC66*EXP((-(Links!Y66/Links!BR66)^Links!CG66)/Links!CG66)-Links!AN66)-(ATM_Conf!$C$9*ATM_Conf!$C$5/(ATM_Conf!$C$8*Links!Y$191))*(Nodes!BV66-Links!Y66)/(Links!Y66/ATM_Conf!$C$10)</f>
        <v>#DIV/0!</v>
      </c>
      <c r="AO67" s="45" t="e">
        <f>AO66+(ATM_Conf!$C$5/ATM_Conf!$C$8)*(Links!BD66*EXP((-(Links!Z66/Links!BS66)^Links!CH66)/Links!CH66)-Links!AO66)+(ATM_Conf!$C$5/Links!Z$191)*Links!AO66*(Nodes!BI66-Links!AO66)-(ATM_Conf!$C$9*ATM_Conf!$C$5/(ATM_Conf!$C$8*Links!Z$191))*(Nodes!BW66-Links!Z66)/(Links!Z66/ATM_Conf!$C$10)</f>
        <v>#DIV/0!</v>
      </c>
      <c r="AP67" s="45" t="e">
        <f>AP66+(ATM_Conf!$C$5/ATM_Conf!$C$8)*(Links!BE66*EXP((-(Links!AA66/Links!BT66)^Links!CI66)/Links!CI66)-Links!AP66)+(ATM_Conf!$C$5/Links!AA$191)*Links!AP66*(Nodes!BJ66-Links!AP66)-(ATM_Conf!$C$9*ATM_Conf!$C$5/(ATM_Conf!$C$8*Links!AA$191))*(Nodes!BX66-Links!AA66)/(Links!AA66/ATM_Conf!$C$10)</f>
        <v>#DIV/0!</v>
      </c>
      <c r="AQ67" s="45" t="e">
        <f>AQ66+(ATM_Conf!$C$5/ATM_Conf!$C$8)*(Links!BF66*EXP((-(Links!AB66/Links!BU66)^Links!CJ66)/Links!CJ66)-Links!AQ66)+(ATM_Conf!$C$5/Links!AB$191)*Links!AQ66*(Nodes!BK66-Links!AQ66)-(ATM_Conf!$C$9*ATM_Conf!$C$5/(ATM_Conf!$C$8*Links!AB$191))*(Nodes!BY66-Links!AB66)/(Links!AB66/ATM_Conf!$C$10)</f>
        <v>#DIV/0!</v>
      </c>
      <c r="AR67" s="45" t="e">
        <f>AR66+(ATM_Conf!$C$5/ATM_Conf!$C$8)*(Links!BG66*EXP((-(Links!AC66/Links!BV66)^Links!CK66)/Links!CK66)-Links!AR66)+(ATM_Conf!$C$5/Links!AC$191)*Links!AR66*(Nodes!BL66-Links!AR66)-(ATM_Conf!$C$9*ATM_Conf!$C$5/(ATM_Conf!$C$8*Links!AC$191))*(Nodes!BZ66-Links!AC66)/(Links!AC66/ATM_Conf!$C$10)</f>
        <v>#DIV/0!</v>
      </c>
      <c r="AS67" s="45" t="e">
        <f>AS66+(ATM_Conf!$C$5/ATM_Conf!$C$8)*(Links!BH66*EXP((-(Links!AD66/Links!BW66)^Links!CL66)/Links!CL66)-Links!AS66)+(ATM_Conf!$C$5/Links!AD$191)*Links!AS66*(Nodes!BM66-Links!AS66)-(ATM_Conf!$C$9*ATM_Conf!$C$5/(ATM_Conf!$C$8*Links!AD$191))*(Nodes!CA66-Links!AD66)/(Links!AD66/ATM_Conf!$C$10)</f>
        <v>#DIV/0!</v>
      </c>
      <c r="AT67" s="45" t="e">
        <f>AT66+(ATM_Conf!$C$5/ATM_Conf!$C$8)*(Links!BI66*EXP((-(Links!AE66/Links!BX66)^Links!CM66)/Links!CM66)-Links!AT66)+(ATM_Conf!$C$5/Links!AE$191)*Links!AT66*(Nodes!BN66-Links!AT66)</f>
        <v>#DIV/0!</v>
      </c>
      <c r="AU67" s="55"/>
      <c r="AV67" s="55"/>
      <c r="AW67" s="55"/>
      <c r="AX67" s="55"/>
      <c r="AY67" s="55"/>
      <c r="AZ67" s="55"/>
      <c r="BA67" s="55"/>
      <c r="BB67" s="55"/>
      <c r="BC67" s="55"/>
      <c r="BD67" s="55"/>
      <c r="BE67" s="55"/>
      <c r="BF67" s="55"/>
      <c r="BG67" s="55"/>
      <c r="BH67" s="55"/>
      <c r="BI67" s="55"/>
      <c r="BJ67" s="45"/>
      <c r="BK67" s="45"/>
      <c r="BL67" s="45"/>
      <c r="BM67" s="45"/>
      <c r="BN67" s="45"/>
      <c r="BO67" s="45"/>
      <c r="BP67" s="45"/>
      <c r="BQ67" s="45"/>
      <c r="BR67" s="45"/>
      <c r="BS67" s="45"/>
      <c r="BT67" s="45"/>
      <c r="BU67" s="45"/>
      <c r="BV67" s="45"/>
      <c r="BW67" s="45"/>
      <c r="BX67" s="45"/>
      <c r="BY67" s="55"/>
      <c r="BZ67" s="55"/>
      <c r="CA67" s="55"/>
      <c r="CB67" s="55"/>
      <c r="CC67" s="55"/>
      <c r="CD67" s="55"/>
      <c r="CE67" s="55"/>
      <c r="CF67" s="55"/>
      <c r="CG67" s="55"/>
      <c r="CH67" s="55"/>
      <c r="CI67" s="55"/>
      <c r="CJ67" s="55"/>
      <c r="CK67" s="55"/>
      <c r="CL67" s="55"/>
      <c r="CM67" s="55"/>
      <c r="CN67" s="45">
        <f t="shared" si="33"/>
        <v>0</v>
      </c>
      <c r="CO67" s="45">
        <f t="shared" si="33"/>
        <v>0</v>
      </c>
      <c r="CP67" s="45">
        <f t="shared" si="33"/>
        <v>0</v>
      </c>
      <c r="CQ67" s="45">
        <f t="shared" si="33"/>
        <v>0</v>
      </c>
      <c r="CR67" s="45">
        <f t="shared" si="33"/>
        <v>0</v>
      </c>
      <c r="CS67" s="45">
        <f t="shared" si="33"/>
        <v>0</v>
      </c>
      <c r="CT67" s="45">
        <f t="shared" si="33"/>
        <v>0</v>
      </c>
      <c r="CU67" s="45">
        <f t="shared" si="33"/>
        <v>0</v>
      </c>
      <c r="CV67" s="45">
        <f t="shared" si="33"/>
        <v>0</v>
      </c>
      <c r="CW67" s="45">
        <f t="shared" si="33"/>
        <v>0</v>
      </c>
      <c r="CX67" s="45">
        <f t="shared" si="33"/>
        <v>0</v>
      </c>
      <c r="CY67" s="45">
        <f t="shared" si="33"/>
        <v>0</v>
      </c>
      <c r="CZ67" s="45">
        <f t="shared" si="33"/>
        <v>0</v>
      </c>
      <c r="DA67" s="45">
        <f t="shared" si="33"/>
        <v>0</v>
      </c>
      <c r="DB67" s="45">
        <f t="shared" si="33"/>
        <v>0</v>
      </c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</row>
    <row r="68" spans="1:121" ht="14.25" x14ac:dyDescent="0.15">
      <c r="A68" s="48">
        <v>66</v>
      </c>
      <c r="B68" s="45" t="e">
        <f t="shared" ref="B68:B131" si="34">Q68*AF68*B$191</f>
        <v>#DIV/0!</v>
      </c>
      <c r="C68" s="45" t="e">
        <f t="shared" ref="C68:C131" si="35">R68*AG68*C$191</f>
        <v>#DIV/0!</v>
      </c>
      <c r="D68" s="45" t="e">
        <f t="shared" ref="D68:D131" si="36">S68*AH68*D$191</f>
        <v>#DIV/0!</v>
      </c>
      <c r="E68" s="45" t="e">
        <f t="shared" ref="E68:E131" si="37">T68*AI68*E$191</f>
        <v>#DIV/0!</v>
      </c>
      <c r="F68" s="45" t="e">
        <f t="shared" ref="F68:F131" si="38">U68*AJ68*F$191</f>
        <v>#DIV/0!</v>
      </c>
      <c r="G68" s="45" t="e">
        <f t="shared" ref="G68:G131" si="39">V68*AK68*G$191</f>
        <v>#DIV/0!</v>
      </c>
      <c r="H68" s="45" t="e">
        <f t="shared" ref="H68:H131" si="40">W68*AL68*H$191</f>
        <v>#DIV/0!</v>
      </c>
      <c r="I68" s="45" t="e">
        <f t="shared" ref="I68:I131" si="41">X68*AM68*I$191</f>
        <v>#DIV/0!</v>
      </c>
      <c r="J68" s="45" t="e">
        <f t="shared" ref="J68:J131" si="42">Y68*AN68*J$191</f>
        <v>#DIV/0!</v>
      </c>
      <c r="K68" s="45" t="e">
        <f t="shared" ref="K68:K131" si="43">Z68*AO68*K$191</f>
        <v>#DIV/0!</v>
      </c>
      <c r="L68" s="45" t="e">
        <f t="shared" ref="L68:L131" si="44">AA68*AP68*L$191</f>
        <v>#DIV/0!</v>
      </c>
      <c r="M68" s="45" t="e">
        <f t="shared" ref="M68:M131" si="45">AB68*AQ68*M$191</f>
        <v>#DIV/0!</v>
      </c>
      <c r="N68" s="45" t="e">
        <f t="shared" ref="N68:N131" si="46">AC68*AR68*N$191</f>
        <v>#DIV/0!</v>
      </c>
      <c r="O68" s="45" t="e">
        <f t="shared" ref="O68:O131" si="47">AD68*AS68*O$191</f>
        <v>#DIV/0!</v>
      </c>
      <c r="P68" s="45" t="e">
        <f t="shared" ref="P68:P131" si="48">AE68*AT68*P$191</f>
        <v>#DIV/0!</v>
      </c>
      <c r="Q68" s="55" t="e">
        <f>Q67+ATM_Conf!$C$5*(B67)/(Links!B$191*Links!Q$191)</f>
        <v>#DIV/0!</v>
      </c>
      <c r="R68" s="55" t="e">
        <f>R67+ATM_Conf!$C$5*(C67-B67)/(Links!C$191*Links!R$191)</f>
        <v>#DIV/0!</v>
      </c>
      <c r="S68" s="55" t="e">
        <f>S67+ATM_Conf!$C$5*(D67-C67)/(Links!D$191*Links!S$191)</f>
        <v>#DIV/0!</v>
      </c>
      <c r="T68" s="55" t="e">
        <f>T67+ATM_Conf!$C$5*(E67-D67)/(Links!E$191*Links!T$191)</f>
        <v>#DIV/0!</v>
      </c>
      <c r="U68" s="55" t="e">
        <f>U67+ATM_Conf!$C$5*(F67-E67)/(Links!F$191*Links!U$191)</f>
        <v>#DIV/0!</v>
      </c>
      <c r="V68" s="55" t="e">
        <f>V67+ATM_Conf!$C$5*(G67-F67)/(Links!G$191*Links!V$191)</f>
        <v>#DIV/0!</v>
      </c>
      <c r="W68" s="55" t="e">
        <f>W67+ATM_Conf!$C$5*(H67-G67)/(Links!H$191*Links!W$191)</f>
        <v>#DIV/0!</v>
      </c>
      <c r="X68" s="55" t="e">
        <f>X67+ATM_Conf!$C$5*(I67-H67)/(Links!I$191*Links!X$191)</f>
        <v>#DIV/0!</v>
      </c>
      <c r="Y68" s="55" t="e">
        <f>Y67+ATM_Conf!$C$5*(J67)/(Links!J$191*Links!Y$191)</f>
        <v>#DIV/0!</v>
      </c>
      <c r="Z68" s="55" t="e">
        <f>Z67+ATM_Conf!$C$5*(K67-J67)/(Links!K$191*Links!Z$191)</f>
        <v>#DIV/0!</v>
      </c>
      <c r="AA68" s="55" t="e">
        <f>AA67+ATM_Conf!$C$5*(L67-K67)/(Links!L$191*Links!AA$191)</f>
        <v>#DIV/0!</v>
      </c>
      <c r="AB68" s="55" t="e">
        <f>AB67+ATM_Conf!$C$5*(M67-L67)/(Links!M$191*Links!AB$191)</f>
        <v>#DIV/0!</v>
      </c>
      <c r="AC68" s="55" t="e">
        <f>AC67+ATM_Conf!$C$5*(N67-M67)/(Links!N$191*Links!AC$191)</f>
        <v>#DIV/0!</v>
      </c>
      <c r="AD68" s="55" t="e">
        <f>AD67+ATM_Conf!$C$5*(O67-N67)/(Links!O$191*Links!AD$191)</f>
        <v>#DIV/0!</v>
      </c>
      <c r="AE68" s="55" t="e">
        <f>AE67+ATM_Conf!$C$5*(P67-O67)/(Links!P$191*Links!AE$191)</f>
        <v>#DIV/0!</v>
      </c>
      <c r="AF68" s="45" t="e">
        <f>AF67+(ATM_Conf!$C$5/ATM_Conf!$C$8)*(Links!AU67*EXP((-(Links!Q67/Links!BJ67)^Links!BY67)/Links!BY67)-Links!AF67)-(ATM_Conf!$C$9*ATM_Conf!$C$5/(ATM_Conf!$C$8*Links!Q$191))*(Nodes!BO67-Links!Q67)/(Links!Q67/ATM_Conf!$C$10)</f>
        <v>#DIV/0!</v>
      </c>
      <c r="AG68" s="45" t="e">
        <f>AG67+(ATM_Conf!$C$5/ATM_Conf!$C$8)*(Links!AV67*EXP((-(Links!R67/Links!BK67)^Links!BZ67)/Links!BZ67)-Links!AG67)+(ATM_Conf!$C$5/Links!R$191)*Links!AG67*(Nodes!BB67-Links!AG67)-(ATM_Conf!$C$9*ATM_Conf!$C$5/(ATM_Conf!$C$8*Links!R$191))*(Nodes!BP67-Links!R67)/(Links!R67/ATM_Conf!$C$10)</f>
        <v>#DIV/0!</v>
      </c>
      <c r="AH68" s="45" t="e">
        <f>AH67+(ATM_Conf!$C$5/ATM_Conf!$C$8)*(Links!AW67*EXP((-(Links!S67/Links!BL67)^Links!CA67)/Links!CA67)-Links!AH67)+(ATM_Conf!$C$5/Links!S$191)*Links!AH67*(Nodes!BC67-Links!AH67)-(ATM_Conf!$C$9*ATM_Conf!$C$5/(ATM_Conf!$C$8*Links!S$191))*(Nodes!BQ67-Links!S67)/(Links!S67/ATM_Conf!$C$10)</f>
        <v>#DIV/0!</v>
      </c>
      <c r="AI68" s="45" t="e">
        <f>AI67+(ATM_Conf!$C$5/ATM_Conf!$C$8)*(Links!AX67*EXP((-(Links!T67/Links!BM67)^Links!CB67)/Links!CB67)-Links!AI67)+(ATM_Conf!$C$5/Links!T$191)*Links!AI67*(Nodes!BD67-Links!AI67)-(ATM_Conf!$C$9*ATM_Conf!$C$5/(ATM_Conf!$C$8*Links!T$191))*(Nodes!BR67-Links!T67)/(Links!T67/ATM_Conf!$C$10)</f>
        <v>#DIV/0!</v>
      </c>
      <c r="AJ68" s="45" t="e">
        <f>AJ67+(ATM_Conf!$C$5/ATM_Conf!$C$8)*(Links!AY67*EXP((-(Links!U67/Links!BN67)^Links!CC67)/Links!CC67)-Links!AJ67)+(ATM_Conf!$C$5/Links!U$191)*Links!AJ67*(Nodes!BE67-Links!AJ67)-(ATM_Conf!$C$9*ATM_Conf!$C$5/(ATM_Conf!$C$8*Links!U$191))*(Nodes!BS67-Links!U67)/(Links!U67/ATM_Conf!$C$10)</f>
        <v>#DIV/0!</v>
      </c>
      <c r="AK68" s="45" t="e">
        <f>AK67+(ATM_Conf!$C$5/ATM_Conf!$C$8)*(Links!AZ67*EXP((-(Links!V67/Links!BO67)^Links!CD67)/Links!CD67)-Links!AK67)+(ATM_Conf!$C$5/Links!V$191)*Links!AK67*(Nodes!BF67-Links!AK67)-(ATM_Conf!$C$9*ATM_Conf!$C$5/(ATM_Conf!$C$8*Links!V$191))*(Nodes!BT67-Links!V67)/(Links!V67/ATM_Conf!$C$10)</f>
        <v>#DIV/0!</v>
      </c>
      <c r="AL68" s="45" t="e">
        <f>AL67+(ATM_Conf!$C$5/ATM_Conf!$C$8)*(Links!BA67*EXP((-(Links!W67/Links!BP67)^Links!CE67)/Links!CE67)-Links!AL67)+(ATM_Conf!$C$5/Links!W$191)*Links!AL67*(Nodes!BG67-Links!AL67)-(ATM_Conf!$C$9*ATM_Conf!$C$5/(ATM_Conf!$C$8*Links!W$191))*(Nodes!BU67-Links!W67)/(Links!W67/ATM_Conf!$C$10)</f>
        <v>#DIV/0!</v>
      </c>
      <c r="AM68" s="45" t="e">
        <f>AM67+(ATM_Conf!$C$5/ATM_Conf!$C$8)*(Links!BB67*EXP((-(Links!X67/Links!BQ67)^Links!CF67)/Links!CF67)-Links!AM67)+(ATM_Conf!$C$5/Links!X$191)*Links!AM67*(Nodes!BH67-Links!AM67)</f>
        <v>#DIV/0!</v>
      </c>
      <c r="AN68" s="45" t="e">
        <f>AN67+(ATM_Conf!$C$5/ATM_Conf!$C$8)*(Links!BC67*EXP((-(Links!Y67/Links!BR67)^Links!CG67)/Links!CG67)-Links!AN67)-(ATM_Conf!$C$9*ATM_Conf!$C$5/(ATM_Conf!$C$8*Links!Y$191))*(Nodes!BV67-Links!Y67)/(Links!Y67/ATM_Conf!$C$10)</f>
        <v>#DIV/0!</v>
      </c>
      <c r="AO68" s="45" t="e">
        <f>AO67+(ATM_Conf!$C$5/ATM_Conf!$C$8)*(Links!BD67*EXP((-(Links!Z67/Links!BS67)^Links!CH67)/Links!CH67)-Links!AO67)+(ATM_Conf!$C$5/Links!Z$191)*Links!AO67*(Nodes!BI67-Links!AO67)-(ATM_Conf!$C$9*ATM_Conf!$C$5/(ATM_Conf!$C$8*Links!Z$191))*(Nodes!BW67-Links!Z67)/(Links!Z67/ATM_Conf!$C$10)</f>
        <v>#DIV/0!</v>
      </c>
      <c r="AP68" s="45" t="e">
        <f>AP67+(ATM_Conf!$C$5/ATM_Conf!$C$8)*(Links!BE67*EXP((-(Links!AA67/Links!BT67)^Links!CI67)/Links!CI67)-Links!AP67)+(ATM_Conf!$C$5/Links!AA$191)*Links!AP67*(Nodes!BJ67-Links!AP67)-(ATM_Conf!$C$9*ATM_Conf!$C$5/(ATM_Conf!$C$8*Links!AA$191))*(Nodes!BX67-Links!AA67)/(Links!AA67/ATM_Conf!$C$10)</f>
        <v>#DIV/0!</v>
      </c>
      <c r="AQ68" s="45" t="e">
        <f>AQ67+(ATM_Conf!$C$5/ATM_Conf!$C$8)*(Links!BF67*EXP((-(Links!AB67/Links!BU67)^Links!CJ67)/Links!CJ67)-Links!AQ67)+(ATM_Conf!$C$5/Links!AB$191)*Links!AQ67*(Nodes!BK67-Links!AQ67)-(ATM_Conf!$C$9*ATM_Conf!$C$5/(ATM_Conf!$C$8*Links!AB$191))*(Nodes!BY67-Links!AB67)/(Links!AB67/ATM_Conf!$C$10)</f>
        <v>#DIV/0!</v>
      </c>
      <c r="AR68" s="45" t="e">
        <f>AR67+(ATM_Conf!$C$5/ATM_Conf!$C$8)*(Links!BG67*EXP((-(Links!AC67/Links!BV67)^Links!CK67)/Links!CK67)-Links!AR67)+(ATM_Conf!$C$5/Links!AC$191)*Links!AR67*(Nodes!BL67-Links!AR67)-(ATM_Conf!$C$9*ATM_Conf!$C$5/(ATM_Conf!$C$8*Links!AC$191))*(Nodes!BZ67-Links!AC67)/(Links!AC67/ATM_Conf!$C$10)</f>
        <v>#DIV/0!</v>
      </c>
      <c r="AS68" s="45" t="e">
        <f>AS67+(ATM_Conf!$C$5/ATM_Conf!$C$8)*(Links!BH67*EXP((-(Links!AD67/Links!BW67)^Links!CL67)/Links!CL67)-Links!AS67)+(ATM_Conf!$C$5/Links!AD$191)*Links!AS67*(Nodes!BM67-Links!AS67)-(ATM_Conf!$C$9*ATM_Conf!$C$5/(ATM_Conf!$C$8*Links!AD$191))*(Nodes!CA67-Links!AD67)/(Links!AD67/ATM_Conf!$C$10)</f>
        <v>#DIV/0!</v>
      </c>
      <c r="AT68" s="45" t="e">
        <f>AT67+(ATM_Conf!$C$5/ATM_Conf!$C$8)*(Links!BI67*EXP((-(Links!AE67/Links!BX67)^Links!CM67)/Links!CM67)-Links!AT67)+(ATM_Conf!$C$5/Links!AE$191)*Links!AT67*(Nodes!BN67-Links!AT67)</f>
        <v>#DIV/0!</v>
      </c>
      <c r="AU68" s="55"/>
      <c r="AV68" s="55"/>
      <c r="AW68" s="55"/>
      <c r="AX68" s="55"/>
      <c r="AY68" s="55"/>
      <c r="AZ68" s="55"/>
      <c r="BA68" s="55"/>
      <c r="BB68" s="55"/>
      <c r="BC68" s="55"/>
      <c r="BD68" s="55"/>
      <c r="BE68" s="55"/>
      <c r="BF68" s="55"/>
      <c r="BG68" s="55"/>
      <c r="BH68" s="55"/>
      <c r="BI68" s="55"/>
      <c r="BJ68" s="45"/>
      <c r="BK68" s="45"/>
      <c r="BL68" s="45"/>
      <c r="BM68" s="45"/>
      <c r="BN68" s="45"/>
      <c r="BO68" s="45"/>
      <c r="BP68" s="45"/>
      <c r="BQ68" s="45"/>
      <c r="BR68" s="45"/>
      <c r="BS68" s="45"/>
      <c r="BT68" s="45"/>
      <c r="BU68" s="45"/>
      <c r="BV68" s="45"/>
      <c r="BW68" s="45"/>
      <c r="BX68" s="45"/>
      <c r="BY68" s="55"/>
      <c r="BZ68" s="55"/>
      <c r="CA68" s="55"/>
      <c r="CB68" s="55"/>
      <c r="CC68" s="55"/>
      <c r="CD68" s="55"/>
      <c r="CE68" s="55"/>
      <c r="CF68" s="55"/>
      <c r="CG68" s="55"/>
      <c r="CH68" s="55"/>
      <c r="CI68" s="55"/>
      <c r="CJ68" s="55"/>
      <c r="CK68" s="55"/>
      <c r="CL68" s="55"/>
      <c r="CM68" s="55"/>
      <c r="CN68" s="45">
        <f t="shared" si="33"/>
        <v>0</v>
      </c>
      <c r="CO68" s="45">
        <f t="shared" si="33"/>
        <v>0</v>
      </c>
      <c r="CP68" s="45">
        <f t="shared" si="33"/>
        <v>0</v>
      </c>
      <c r="CQ68" s="45">
        <f t="shared" si="33"/>
        <v>0</v>
      </c>
      <c r="CR68" s="45">
        <f t="shared" si="33"/>
        <v>0</v>
      </c>
      <c r="CS68" s="45">
        <f t="shared" si="33"/>
        <v>0</v>
      </c>
      <c r="CT68" s="45">
        <f t="shared" si="33"/>
        <v>0</v>
      </c>
      <c r="CU68" s="45">
        <f t="shared" si="33"/>
        <v>0</v>
      </c>
      <c r="CV68" s="45">
        <f t="shared" si="33"/>
        <v>0</v>
      </c>
      <c r="CW68" s="45">
        <f t="shared" si="33"/>
        <v>0</v>
      </c>
      <c r="CX68" s="45">
        <f t="shared" si="33"/>
        <v>0</v>
      </c>
      <c r="CY68" s="45">
        <f t="shared" si="33"/>
        <v>0</v>
      </c>
      <c r="CZ68" s="45">
        <f t="shared" si="33"/>
        <v>0</v>
      </c>
      <c r="DA68" s="45">
        <f t="shared" si="33"/>
        <v>0</v>
      </c>
      <c r="DB68" s="45">
        <f t="shared" si="33"/>
        <v>0</v>
      </c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</row>
    <row r="69" spans="1:121" ht="14.25" x14ac:dyDescent="0.15">
      <c r="A69" s="48">
        <v>67</v>
      </c>
      <c r="B69" s="45" t="e">
        <f t="shared" si="34"/>
        <v>#DIV/0!</v>
      </c>
      <c r="C69" s="45" t="e">
        <f t="shared" si="35"/>
        <v>#DIV/0!</v>
      </c>
      <c r="D69" s="45" t="e">
        <f t="shared" si="36"/>
        <v>#DIV/0!</v>
      </c>
      <c r="E69" s="45" t="e">
        <f t="shared" si="37"/>
        <v>#DIV/0!</v>
      </c>
      <c r="F69" s="45" t="e">
        <f t="shared" si="38"/>
        <v>#DIV/0!</v>
      </c>
      <c r="G69" s="45" t="e">
        <f t="shared" si="39"/>
        <v>#DIV/0!</v>
      </c>
      <c r="H69" s="45" t="e">
        <f t="shared" si="40"/>
        <v>#DIV/0!</v>
      </c>
      <c r="I69" s="45" t="e">
        <f t="shared" si="41"/>
        <v>#DIV/0!</v>
      </c>
      <c r="J69" s="45" t="e">
        <f t="shared" si="42"/>
        <v>#DIV/0!</v>
      </c>
      <c r="K69" s="45" t="e">
        <f t="shared" si="43"/>
        <v>#DIV/0!</v>
      </c>
      <c r="L69" s="45" t="e">
        <f t="shared" si="44"/>
        <v>#DIV/0!</v>
      </c>
      <c r="M69" s="45" t="e">
        <f t="shared" si="45"/>
        <v>#DIV/0!</v>
      </c>
      <c r="N69" s="45" t="e">
        <f t="shared" si="46"/>
        <v>#DIV/0!</v>
      </c>
      <c r="O69" s="45" t="e">
        <f t="shared" si="47"/>
        <v>#DIV/0!</v>
      </c>
      <c r="P69" s="45" t="e">
        <f t="shared" si="48"/>
        <v>#DIV/0!</v>
      </c>
      <c r="Q69" s="55" t="e">
        <f>Q68+ATM_Conf!$C$5*(B68)/(Links!B$191*Links!Q$191)</f>
        <v>#DIV/0!</v>
      </c>
      <c r="R69" s="55" t="e">
        <f>R68+ATM_Conf!$C$5*(C68-B68)/(Links!C$191*Links!R$191)</f>
        <v>#DIV/0!</v>
      </c>
      <c r="S69" s="55" t="e">
        <f>S68+ATM_Conf!$C$5*(D68-C68)/(Links!D$191*Links!S$191)</f>
        <v>#DIV/0!</v>
      </c>
      <c r="T69" s="55" t="e">
        <f>T68+ATM_Conf!$C$5*(E68-D68)/(Links!E$191*Links!T$191)</f>
        <v>#DIV/0!</v>
      </c>
      <c r="U69" s="55" t="e">
        <f>U68+ATM_Conf!$C$5*(F68-E68)/(Links!F$191*Links!U$191)</f>
        <v>#DIV/0!</v>
      </c>
      <c r="V69" s="55" t="e">
        <f>V68+ATM_Conf!$C$5*(G68-F68)/(Links!G$191*Links!V$191)</f>
        <v>#DIV/0!</v>
      </c>
      <c r="W69" s="55" t="e">
        <f>W68+ATM_Conf!$C$5*(H68-G68)/(Links!H$191*Links!W$191)</f>
        <v>#DIV/0!</v>
      </c>
      <c r="X69" s="55" t="e">
        <f>X68+ATM_Conf!$C$5*(I68-H68)/(Links!I$191*Links!X$191)</f>
        <v>#DIV/0!</v>
      </c>
      <c r="Y69" s="55" t="e">
        <f>Y68+ATM_Conf!$C$5*(J68)/(Links!J$191*Links!Y$191)</f>
        <v>#DIV/0!</v>
      </c>
      <c r="Z69" s="55" t="e">
        <f>Z68+ATM_Conf!$C$5*(K68-J68)/(Links!K$191*Links!Z$191)</f>
        <v>#DIV/0!</v>
      </c>
      <c r="AA69" s="55" t="e">
        <f>AA68+ATM_Conf!$C$5*(L68-K68)/(Links!L$191*Links!AA$191)</f>
        <v>#DIV/0!</v>
      </c>
      <c r="AB69" s="55" t="e">
        <f>AB68+ATM_Conf!$C$5*(M68-L68)/(Links!M$191*Links!AB$191)</f>
        <v>#DIV/0!</v>
      </c>
      <c r="AC69" s="55" t="e">
        <f>AC68+ATM_Conf!$C$5*(N68-M68)/(Links!N$191*Links!AC$191)</f>
        <v>#DIV/0!</v>
      </c>
      <c r="AD69" s="55" t="e">
        <f>AD68+ATM_Conf!$C$5*(O68-N68)/(Links!O$191*Links!AD$191)</f>
        <v>#DIV/0!</v>
      </c>
      <c r="AE69" s="55" t="e">
        <f>AE68+ATM_Conf!$C$5*(P68-O68)/(Links!P$191*Links!AE$191)</f>
        <v>#DIV/0!</v>
      </c>
      <c r="AF69" s="45" t="e">
        <f>AF68+(ATM_Conf!$C$5/ATM_Conf!$C$8)*(Links!AU68*EXP((-(Links!Q68/Links!BJ68)^Links!BY68)/Links!BY68)-Links!AF68)-(ATM_Conf!$C$9*ATM_Conf!$C$5/(ATM_Conf!$C$8*Links!Q$191))*(Nodes!BO68-Links!Q68)/(Links!Q68/ATM_Conf!$C$10)</f>
        <v>#DIV/0!</v>
      </c>
      <c r="AG69" s="45" t="e">
        <f>AG68+(ATM_Conf!$C$5/ATM_Conf!$C$8)*(Links!AV68*EXP((-(Links!R68/Links!BK68)^Links!BZ68)/Links!BZ68)-Links!AG68)+(ATM_Conf!$C$5/Links!R$191)*Links!AG68*(Nodes!BB68-Links!AG68)-(ATM_Conf!$C$9*ATM_Conf!$C$5/(ATM_Conf!$C$8*Links!R$191))*(Nodes!BP68-Links!R68)/(Links!R68/ATM_Conf!$C$10)</f>
        <v>#DIV/0!</v>
      </c>
      <c r="AH69" s="45" t="e">
        <f>AH68+(ATM_Conf!$C$5/ATM_Conf!$C$8)*(Links!AW68*EXP((-(Links!S68/Links!BL68)^Links!CA68)/Links!CA68)-Links!AH68)+(ATM_Conf!$C$5/Links!S$191)*Links!AH68*(Nodes!BC68-Links!AH68)-(ATM_Conf!$C$9*ATM_Conf!$C$5/(ATM_Conf!$C$8*Links!S$191))*(Nodes!BQ68-Links!S68)/(Links!S68/ATM_Conf!$C$10)</f>
        <v>#DIV/0!</v>
      </c>
      <c r="AI69" s="45" t="e">
        <f>AI68+(ATM_Conf!$C$5/ATM_Conf!$C$8)*(Links!AX68*EXP((-(Links!T68/Links!BM68)^Links!CB68)/Links!CB68)-Links!AI68)+(ATM_Conf!$C$5/Links!T$191)*Links!AI68*(Nodes!BD68-Links!AI68)-(ATM_Conf!$C$9*ATM_Conf!$C$5/(ATM_Conf!$C$8*Links!T$191))*(Nodes!BR68-Links!T68)/(Links!T68/ATM_Conf!$C$10)</f>
        <v>#DIV/0!</v>
      </c>
      <c r="AJ69" s="45" t="e">
        <f>AJ68+(ATM_Conf!$C$5/ATM_Conf!$C$8)*(Links!AY68*EXP((-(Links!U68/Links!BN68)^Links!CC68)/Links!CC68)-Links!AJ68)+(ATM_Conf!$C$5/Links!U$191)*Links!AJ68*(Nodes!BE68-Links!AJ68)-(ATM_Conf!$C$9*ATM_Conf!$C$5/(ATM_Conf!$C$8*Links!U$191))*(Nodes!BS68-Links!U68)/(Links!U68/ATM_Conf!$C$10)</f>
        <v>#DIV/0!</v>
      </c>
      <c r="AK69" s="45" t="e">
        <f>AK68+(ATM_Conf!$C$5/ATM_Conf!$C$8)*(Links!AZ68*EXP((-(Links!V68/Links!BO68)^Links!CD68)/Links!CD68)-Links!AK68)+(ATM_Conf!$C$5/Links!V$191)*Links!AK68*(Nodes!BF68-Links!AK68)-(ATM_Conf!$C$9*ATM_Conf!$C$5/(ATM_Conf!$C$8*Links!V$191))*(Nodes!BT68-Links!V68)/(Links!V68/ATM_Conf!$C$10)</f>
        <v>#DIV/0!</v>
      </c>
      <c r="AL69" s="45" t="e">
        <f>AL68+(ATM_Conf!$C$5/ATM_Conf!$C$8)*(Links!BA68*EXP((-(Links!W68/Links!BP68)^Links!CE68)/Links!CE68)-Links!AL68)+(ATM_Conf!$C$5/Links!W$191)*Links!AL68*(Nodes!BG68-Links!AL68)-(ATM_Conf!$C$9*ATM_Conf!$C$5/(ATM_Conf!$C$8*Links!W$191))*(Nodes!BU68-Links!W68)/(Links!W68/ATM_Conf!$C$10)</f>
        <v>#DIV/0!</v>
      </c>
      <c r="AM69" s="45" t="e">
        <f>AM68+(ATM_Conf!$C$5/ATM_Conf!$C$8)*(Links!BB68*EXP((-(Links!X68/Links!BQ68)^Links!CF68)/Links!CF68)-Links!AM68)+(ATM_Conf!$C$5/Links!X$191)*Links!AM68*(Nodes!BH68-Links!AM68)</f>
        <v>#DIV/0!</v>
      </c>
      <c r="AN69" s="45" t="e">
        <f>AN68+(ATM_Conf!$C$5/ATM_Conf!$C$8)*(Links!BC68*EXP((-(Links!Y68/Links!BR68)^Links!CG68)/Links!CG68)-Links!AN68)-(ATM_Conf!$C$9*ATM_Conf!$C$5/(ATM_Conf!$C$8*Links!Y$191))*(Nodes!BV68-Links!Y68)/(Links!Y68/ATM_Conf!$C$10)</f>
        <v>#DIV/0!</v>
      </c>
      <c r="AO69" s="45" t="e">
        <f>AO68+(ATM_Conf!$C$5/ATM_Conf!$C$8)*(Links!BD68*EXP((-(Links!Z68/Links!BS68)^Links!CH68)/Links!CH68)-Links!AO68)+(ATM_Conf!$C$5/Links!Z$191)*Links!AO68*(Nodes!BI68-Links!AO68)-(ATM_Conf!$C$9*ATM_Conf!$C$5/(ATM_Conf!$C$8*Links!Z$191))*(Nodes!BW68-Links!Z68)/(Links!Z68/ATM_Conf!$C$10)</f>
        <v>#DIV/0!</v>
      </c>
      <c r="AP69" s="45" t="e">
        <f>AP68+(ATM_Conf!$C$5/ATM_Conf!$C$8)*(Links!BE68*EXP((-(Links!AA68/Links!BT68)^Links!CI68)/Links!CI68)-Links!AP68)+(ATM_Conf!$C$5/Links!AA$191)*Links!AP68*(Nodes!BJ68-Links!AP68)-(ATM_Conf!$C$9*ATM_Conf!$C$5/(ATM_Conf!$C$8*Links!AA$191))*(Nodes!BX68-Links!AA68)/(Links!AA68/ATM_Conf!$C$10)</f>
        <v>#DIV/0!</v>
      </c>
      <c r="AQ69" s="45" t="e">
        <f>AQ68+(ATM_Conf!$C$5/ATM_Conf!$C$8)*(Links!BF68*EXP((-(Links!AB68/Links!BU68)^Links!CJ68)/Links!CJ68)-Links!AQ68)+(ATM_Conf!$C$5/Links!AB$191)*Links!AQ68*(Nodes!BK68-Links!AQ68)-(ATM_Conf!$C$9*ATM_Conf!$C$5/(ATM_Conf!$C$8*Links!AB$191))*(Nodes!BY68-Links!AB68)/(Links!AB68/ATM_Conf!$C$10)</f>
        <v>#DIV/0!</v>
      </c>
      <c r="AR69" s="45" t="e">
        <f>AR68+(ATM_Conf!$C$5/ATM_Conf!$C$8)*(Links!BG68*EXP((-(Links!AC68/Links!BV68)^Links!CK68)/Links!CK68)-Links!AR68)+(ATM_Conf!$C$5/Links!AC$191)*Links!AR68*(Nodes!BL68-Links!AR68)-(ATM_Conf!$C$9*ATM_Conf!$C$5/(ATM_Conf!$C$8*Links!AC$191))*(Nodes!BZ68-Links!AC68)/(Links!AC68/ATM_Conf!$C$10)</f>
        <v>#DIV/0!</v>
      </c>
      <c r="AS69" s="45" t="e">
        <f>AS68+(ATM_Conf!$C$5/ATM_Conf!$C$8)*(Links!BH68*EXP((-(Links!AD68/Links!BW68)^Links!CL68)/Links!CL68)-Links!AS68)+(ATM_Conf!$C$5/Links!AD$191)*Links!AS68*(Nodes!BM68-Links!AS68)-(ATM_Conf!$C$9*ATM_Conf!$C$5/(ATM_Conf!$C$8*Links!AD$191))*(Nodes!CA68-Links!AD68)/(Links!AD68/ATM_Conf!$C$10)</f>
        <v>#DIV/0!</v>
      </c>
      <c r="AT69" s="45" t="e">
        <f>AT68+(ATM_Conf!$C$5/ATM_Conf!$C$8)*(Links!BI68*EXP((-(Links!AE68/Links!BX68)^Links!CM68)/Links!CM68)-Links!AT68)+(ATM_Conf!$C$5/Links!AE$191)*Links!AT68*(Nodes!BN68-Links!AT68)</f>
        <v>#DIV/0!</v>
      </c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45"/>
      <c r="BK69" s="45"/>
      <c r="BL69" s="45"/>
      <c r="BM69" s="45"/>
      <c r="BN69" s="45"/>
      <c r="BO69" s="45"/>
      <c r="BP69" s="45"/>
      <c r="BQ69" s="45"/>
      <c r="BR69" s="45"/>
      <c r="BS69" s="45"/>
      <c r="BT69" s="45"/>
      <c r="BU69" s="45"/>
      <c r="BV69" s="45"/>
      <c r="BW69" s="45"/>
      <c r="BX69" s="45"/>
      <c r="BY69" s="55"/>
      <c r="BZ69" s="55"/>
      <c r="CA69" s="55"/>
      <c r="CB69" s="55"/>
      <c r="CC69" s="55"/>
      <c r="CD69" s="55"/>
      <c r="CE69" s="55"/>
      <c r="CF69" s="55"/>
      <c r="CG69" s="55"/>
      <c r="CH69" s="55"/>
      <c r="CI69" s="55"/>
      <c r="CJ69" s="55"/>
      <c r="CK69" s="55"/>
      <c r="CL69" s="55"/>
      <c r="CM69" s="55"/>
      <c r="CN69" s="45">
        <f t="shared" si="33"/>
        <v>0</v>
      </c>
      <c r="CO69" s="45">
        <f t="shared" si="33"/>
        <v>0</v>
      </c>
      <c r="CP69" s="45">
        <f t="shared" si="33"/>
        <v>0</v>
      </c>
      <c r="CQ69" s="45">
        <f t="shared" si="33"/>
        <v>0</v>
      </c>
      <c r="CR69" s="45">
        <f t="shared" si="33"/>
        <v>0</v>
      </c>
      <c r="CS69" s="45">
        <f t="shared" si="33"/>
        <v>0</v>
      </c>
      <c r="CT69" s="45">
        <f t="shared" si="33"/>
        <v>0</v>
      </c>
      <c r="CU69" s="45">
        <f t="shared" si="33"/>
        <v>0</v>
      </c>
      <c r="CV69" s="45">
        <f t="shared" si="33"/>
        <v>0</v>
      </c>
      <c r="CW69" s="45">
        <f t="shared" si="33"/>
        <v>0</v>
      </c>
      <c r="CX69" s="45">
        <f t="shared" si="33"/>
        <v>0</v>
      </c>
      <c r="CY69" s="45">
        <f t="shared" si="33"/>
        <v>0</v>
      </c>
      <c r="CZ69" s="45">
        <f t="shared" si="33"/>
        <v>0</v>
      </c>
      <c r="DA69" s="45">
        <f t="shared" si="33"/>
        <v>0</v>
      </c>
      <c r="DB69" s="45">
        <f t="shared" si="33"/>
        <v>0</v>
      </c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</row>
    <row r="70" spans="1:121" ht="14.25" x14ac:dyDescent="0.15">
      <c r="A70" s="48">
        <v>68</v>
      </c>
      <c r="B70" s="45" t="e">
        <f t="shared" si="34"/>
        <v>#DIV/0!</v>
      </c>
      <c r="C70" s="45" t="e">
        <f t="shared" si="35"/>
        <v>#DIV/0!</v>
      </c>
      <c r="D70" s="45" t="e">
        <f t="shared" si="36"/>
        <v>#DIV/0!</v>
      </c>
      <c r="E70" s="45" t="e">
        <f t="shared" si="37"/>
        <v>#DIV/0!</v>
      </c>
      <c r="F70" s="45" t="e">
        <f t="shared" si="38"/>
        <v>#DIV/0!</v>
      </c>
      <c r="G70" s="45" t="e">
        <f t="shared" si="39"/>
        <v>#DIV/0!</v>
      </c>
      <c r="H70" s="45" t="e">
        <f t="shared" si="40"/>
        <v>#DIV/0!</v>
      </c>
      <c r="I70" s="45" t="e">
        <f t="shared" si="41"/>
        <v>#DIV/0!</v>
      </c>
      <c r="J70" s="45" t="e">
        <f t="shared" si="42"/>
        <v>#DIV/0!</v>
      </c>
      <c r="K70" s="45" t="e">
        <f t="shared" si="43"/>
        <v>#DIV/0!</v>
      </c>
      <c r="L70" s="45" t="e">
        <f t="shared" si="44"/>
        <v>#DIV/0!</v>
      </c>
      <c r="M70" s="45" t="e">
        <f t="shared" si="45"/>
        <v>#DIV/0!</v>
      </c>
      <c r="N70" s="45" t="e">
        <f t="shared" si="46"/>
        <v>#DIV/0!</v>
      </c>
      <c r="O70" s="45" t="e">
        <f t="shared" si="47"/>
        <v>#DIV/0!</v>
      </c>
      <c r="P70" s="45" t="e">
        <f t="shared" si="48"/>
        <v>#DIV/0!</v>
      </c>
      <c r="Q70" s="55" t="e">
        <f>Q69+ATM_Conf!$C$5*(B69)/(Links!B$191*Links!Q$191)</f>
        <v>#DIV/0!</v>
      </c>
      <c r="R70" s="55" t="e">
        <f>R69+ATM_Conf!$C$5*(C69-B69)/(Links!C$191*Links!R$191)</f>
        <v>#DIV/0!</v>
      </c>
      <c r="S70" s="55" t="e">
        <f>S69+ATM_Conf!$C$5*(D69-C69)/(Links!D$191*Links!S$191)</f>
        <v>#DIV/0!</v>
      </c>
      <c r="T70" s="55" t="e">
        <f>T69+ATM_Conf!$C$5*(E69-D69)/(Links!E$191*Links!T$191)</f>
        <v>#DIV/0!</v>
      </c>
      <c r="U70" s="55" t="e">
        <f>U69+ATM_Conf!$C$5*(F69-E69)/(Links!F$191*Links!U$191)</f>
        <v>#DIV/0!</v>
      </c>
      <c r="V70" s="55" t="e">
        <f>V69+ATM_Conf!$C$5*(G69-F69)/(Links!G$191*Links!V$191)</f>
        <v>#DIV/0!</v>
      </c>
      <c r="W70" s="55" t="e">
        <f>W69+ATM_Conf!$C$5*(H69-G69)/(Links!H$191*Links!W$191)</f>
        <v>#DIV/0!</v>
      </c>
      <c r="X70" s="55" t="e">
        <f>X69+ATM_Conf!$C$5*(I69-H69)/(Links!I$191*Links!X$191)</f>
        <v>#DIV/0!</v>
      </c>
      <c r="Y70" s="55" t="e">
        <f>Y69+ATM_Conf!$C$5*(J69)/(Links!J$191*Links!Y$191)</f>
        <v>#DIV/0!</v>
      </c>
      <c r="Z70" s="55" t="e">
        <f>Z69+ATM_Conf!$C$5*(K69-J69)/(Links!K$191*Links!Z$191)</f>
        <v>#DIV/0!</v>
      </c>
      <c r="AA70" s="55" t="e">
        <f>AA69+ATM_Conf!$C$5*(L69-K69)/(Links!L$191*Links!AA$191)</f>
        <v>#DIV/0!</v>
      </c>
      <c r="AB70" s="55" t="e">
        <f>AB69+ATM_Conf!$C$5*(M69-L69)/(Links!M$191*Links!AB$191)</f>
        <v>#DIV/0!</v>
      </c>
      <c r="AC70" s="55" t="e">
        <f>AC69+ATM_Conf!$C$5*(N69-M69)/(Links!N$191*Links!AC$191)</f>
        <v>#DIV/0!</v>
      </c>
      <c r="AD70" s="55" t="e">
        <f>AD69+ATM_Conf!$C$5*(O69-N69)/(Links!O$191*Links!AD$191)</f>
        <v>#DIV/0!</v>
      </c>
      <c r="AE70" s="55" t="e">
        <f>AE69+ATM_Conf!$C$5*(P69-O69)/(Links!P$191*Links!AE$191)</f>
        <v>#DIV/0!</v>
      </c>
      <c r="AF70" s="45" t="e">
        <f>AF69+(ATM_Conf!$C$5/ATM_Conf!$C$8)*(Links!AU69*EXP((-(Links!Q69/Links!BJ69)^Links!BY69)/Links!BY69)-Links!AF69)-(ATM_Conf!$C$9*ATM_Conf!$C$5/(ATM_Conf!$C$8*Links!Q$191))*(Nodes!BO69-Links!Q69)/(Links!Q69/ATM_Conf!$C$10)</f>
        <v>#DIV/0!</v>
      </c>
      <c r="AG70" s="45" t="e">
        <f>AG69+(ATM_Conf!$C$5/ATM_Conf!$C$8)*(Links!AV69*EXP((-(Links!R69/Links!BK69)^Links!BZ69)/Links!BZ69)-Links!AG69)+(ATM_Conf!$C$5/Links!R$191)*Links!AG69*(Nodes!BB69-Links!AG69)-(ATM_Conf!$C$9*ATM_Conf!$C$5/(ATM_Conf!$C$8*Links!R$191))*(Nodes!BP69-Links!R69)/(Links!R69/ATM_Conf!$C$10)</f>
        <v>#DIV/0!</v>
      </c>
      <c r="AH70" s="45" t="e">
        <f>AH69+(ATM_Conf!$C$5/ATM_Conf!$C$8)*(Links!AW69*EXP((-(Links!S69/Links!BL69)^Links!CA69)/Links!CA69)-Links!AH69)+(ATM_Conf!$C$5/Links!S$191)*Links!AH69*(Nodes!BC69-Links!AH69)-(ATM_Conf!$C$9*ATM_Conf!$C$5/(ATM_Conf!$C$8*Links!S$191))*(Nodes!BQ69-Links!S69)/(Links!S69/ATM_Conf!$C$10)</f>
        <v>#DIV/0!</v>
      </c>
      <c r="AI70" s="45" t="e">
        <f>AI69+(ATM_Conf!$C$5/ATM_Conf!$C$8)*(Links!AX69*EXP((-(Links!T69/Links!BM69)^Links!CB69)/Links!CB69)-Links!AI69)+(ATM_Conf!$C$5/Links!T$191)*Links!AI69*(Nodes!BD69-Links!AI69)-(ATM_Conf!$C$9*ATM_Conf!$C$5/(ATM_Conf!$C$8*Links!T$191))*(Nodes!BR69-Links!T69)/(Links!T69/ATM_Conf!$C$10)</f>
        <v>#DIV/0!</v>
      </c>
      <c r="AJ70" s="45" t="e">
        <f>AJ69+(ATM_Conf!$C$5/ATM_Conf!$C$8)*(Links!AY69*EXP((-(Links!U69/Links!BN69)^Links!CC69)/Links!CC69)-Links!AJ69)+(ATM_Conf!$C$5/Links!U$191)*Links!AJ69*(Nodes!BE69-Links!AJ69)-(ATM_Conf!$C$9*ATM_Conf!$C$5/(ATM_Conf!$C$8*Links!U$191))*(Nodes!BS69-Links!U69)/(Links!U69/ATM_Conf!$C$10)</f>
        <v>#DIV/0!</v>
      </c>
      <c r="AK70" s="45" t="e">
        <f>AK69+(ATM_Conf!$C$5/ATM_Conf!$C$8)*(Links!AZ69*EXP((-(Links!V69/Links!BO69)^Links!CD69)/Links!CD69)-Links!AK69)+(ATM_Conf!$C$5/Links!V$191)*Links!AK69*(Nodes!BF69-Links!AK69)-(ATM_Conf!$C$9*ATM_Conf!$C$5/(ATM_Conf!$C$8*Links!V$191))*(Nodes!BT69-Links!V69)/(Links!V69/ATM_Conf!$C$10)</f>
        <v>#DIV/0!</v>
      </c>
      <c r="AL70" s="45" t="e">
        <f>AL69+(ATM_Conf!$C$5/ATM_Conf!$C$8)*(Links!BA69*EXP((-(Links!W69/Links!BP69)^Links!CE69)/Links!CE69)-Links!AL69)+(ATM_Conf!$C$5/Links!W$191)*Links!AL69*(Nodes!BG69-Links!AL69)-(ATM_Conf!$C$9*ATM_Conf!$C$5/(ATM_Conf!$C$8*Links!W$191))*(Nodes!BU69-Links!W69)/(Links!W69/ATM_Conf!$C$10)</f>
        <v>#DIV/0!</v>
      </c>
      <c r="AM70" s="45" t="e">
        <f>AM69+(ATM_Conf!$C$5/ATM_Conf!$C$8)*(Links!BB69*EXP((-(Links!X69/Links!BQ69)^Links!CF69)/Links!CF69)-Links!AM69)+(ATM_Conf!$C$5/Links!X$191)*Links!AM69*(Nodes!BH69-Links!AM69)</f>
        <v>#DIV/0!</v>
      </c>
      <c r="AN70" s="45" t="e">
        <f>AN69+(ATM_Conf!$C$5/ATM_Conf!$C$8)*(Links!BC69*EXP((-(Links!Y69/Links!BR69)^Links!CG69)/Links!CG69)-Links!AN69)-(ATM_Conf!$C$9*ATM_Conf!$C$5/(ATM_Conf!$C$8*Links!Y$191))*(Nodes!BV69-Links!Y69)/(Links!Y69/ATM_Conf!$C$10)</f>
        <v>#DIV/0!</v>
      </c>
      <c r="AO70" s="45" t="e">
        <f>AO69+(ATM_Conf!$C$5/ATM_Conf!$C$8)*(Links!BD69*EXP((-(Links!Z69/Links!BS69)^Links!CH69)/Links!CH69)-Links!AO69)+(ATM_Conf!$C$5/Links!Z$191)*Links!AO69*(Nodes!BI69-Links!AO69)-(ATM_Conf!$C$9*ATM_Conf!$C$5/(ATM_Conf!$C$8*Links!Z$191))*(Nodes!BW69-Links!Z69)/(Links!Z69/ATM_Conf!$C$10)</f>
        <v>#DIV/0!</v>
      </c>
      <c r="AP70" s="45" t="e">
        <f>AP69+(ATM_Conf!$C$5/ATM_Conf!$C$8)*(Links!BE69*EXP((-(Links!AA69/Links!BT69)^Links!CI69)/Links!CI69)-Links!AP69)+(ATM_Conf!$C$5/Links!AA$191)*Links!AP69*(Nodes!BJ69-Links!AP69)-(ATM_Conf!$C$9*ATM_Conf!$C$5/(ATM_Conf!$C$8*Links!AA$191))*(Nodes!BX69-Links!AA69)/(Links!AA69/ATM_Conf!$C$10)</f>
        <v>#DIV/0!</v>
      </c>
      <c r="AQ70" s="45" t="e">
        <f>AQ69+(ATM_Conf!$C$5/ATM_Conf!$C$8)*(Links!BF69*EXP((-(Links!AB69/Links!BU69)^Links!CJ69)/Links!CJ69)-Links!AQ69)+(ATM_Conf!$C$5/Links!AB$191)*Links!AQ69*(Nodes!BK69-Links!AQ69)-(ATM_Conf!$C$9*ATM_Conf!$C$5/(ATM_Conf!$C$8*Links!AB$191))*(Nodes!BY69-Links!AB69)/(Links!AB69/ATM_Conf!$C$10)</f>
        <v>#DIV/0!</v>
      </c>
      <c r="AR70" s="45" t="e">
        <f>AR69+(ATM_Conf!$C$5/ATM_Conf!$C$8)*(Links!BG69*EXP((-(Links!AC69/Links!BV69)^Links!CK69)/Links!CK69)-Links!AR69)+(ATM_Conf!$C$5/Links!AC$191)*Links!AR69*(Nodes!BL69-Links!AR69)-(ATM_Conf!$C$9*ATM_Conf!$C$5/(ATM_Conf!$C$8*Links!AC$191))*(Nodes!BZ69-Links!AC69)/(Links!AC69/ATM_Conf!$C$10)</f>
        <v>#DIV/0!</v>
      </c>
      <c r="AS70" s="45" t="e">
        <f>AS69+(ATM_Conf!$C$5/ATM_Conf!$C$8)*(Links!BH69*EXP((-(Links!AD69/Links!BW69)^Links!CL69)/Links!CL69)-Links!AS69)+(ATM_Conf!$C$5/Links!AD$191)*Links!AS69*(Nodes!BM69-Links!AS69)-(ATM_Conf!$C$9*ATM_Conf!$C$5/(ATM_Conf!$C$8*Links!AD$191))*(Nodes!CA69-Links!AD69)/(Links!AD69/ATM_Conf!$C$10)</f>
        <v>#DIV/0!</v>
      </c>
      <c r="AT70" s="45" t="e">
        <f>AT69+(ATM_Conf!$C$5/ATM_Conf!$C$8)*(Links!BI69*EXP((-(Links!AE69/Links!BX69)^Links!CM69)/Links!CM69)-Links!AT69)+(ATM_Conf!$C$5/Links!AE$191)*Links!AT69*(Nodes!BN69-Links!AT69)</f>
        <v>#DIV/0!</v>
      </c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45"/>
      <c r="BK70" s="45"/>
      <c r="BL70" s="45"/>
      <c r="BM70" s="45"/>
      <c r="BN70" s="45"/>
      <c r="BO70" s="45"/>
      <c r="BP70" s="45"/>
      <c r="BQ70" s="45"/>
      <c r="BR70" s="45"/>
      <c r="BS70" s="45"/>
      <c r="BT70" s="45"/>
      <c r="BU70" s="45"/>
      <c r="BV70" s="45"/>
      <c r="BW70" s="45"/>
      <c r="BX70" s="45"/>
      <c r="BY70" s="55"/>
      <c r="BZ70" s="55"/>
      <c r="CA70" s="55"/>
      <c r="CB70" s="55"/>
      <c r="CC70" s="55"/>
      <c r="CD70" s="55"/>
      <c r="CE70" s="55"/>
      <c r="CF70" s="55"/>
      <c r="CG70" s="55"/>
      <c r="CH70" s="55"/>
      <c r="CI70" s="55"/>
      <c r="CJ70" s="55"/>
      <c r="CK70" s="55"/>
      <c r="CL70" s="55"/>
      <c r="CM70" s="55"/>
      <c r="CN70" s="45">
        <f t="shared" si="33"/>
        <v>0</v>
      </c>
      <c r="CO70" s="45">
        <f t="shared" si="33"/>
        <v>0</v>
      </c>
      <c r="CP70" s="45">
        <f t="shared" si="33"/>
        <v>0</v>
      </c>
      <c r="CQ70" s="45">
        <f t="shared" si="33"/>
        <v>0</v>
      </c>
      <c r="CR70" s="45">
        <f t="shared" si="33"/>
        <v>0</v>
      </c>
      <c r="CS70" s="45">
        <f t="shared" si="33"/>
        <v>0</v>
      </c>
      <c r="CT70" s="45">
        <f t="shared" si="33"/>
        <v>0</v>
      </c>
      <c r="CU70" s="45">
        <f t="shared" si="33"/>
        <v>0</v>
      </c>
      <c r="CV70" s="45">
        <f t="shared" si="33"/>
        <v>0</v>
      </c>
      <c r="CW70" s="45">
        <f t="shared" si="33"/>
        <v>0</v>
      </c>
      <c r="CX70" s="45">
        <f t="shared" si="33"/>
        <v>0</v>
      </c>
      <c r="CY70" s="45">
        <f t="shared" si="33"/>
        <v>0</v>
      </c>
      <c r="CZ70" s="45">
        <f t="shared" si="33"/>
        <v>0</v>
      </c>
      <c r="DA70" s="45">
        <f t="shared" si="33"/>
        <v>0</v>
      </c>
      <c r="DB70" s="45">
        <f t="shared" si="33"/>
        <v>0</v>
      </c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</row>
    <row r="71" spans="1:121" ht="14.25" x14ac:dyDescent="0.15">
      <c r="A71" s="48">
        <v>69</v>
      </c>
      <c r="B71" s="45" t="e">
        <f t="shared" si="34"/>
        <v>#DIV/0!</v>
      </c>
      <c r="C71" s="45" t="e">
        <f t="shared" si="35"/>
        <v>#DIV/0!</v>
      </c>
      <c r="D71" s="45" t="e">
        <f t="shared" si="36"/>
        <v>#DIV/0!</v>
      </c>
      <c r="E71" s="45" t="e">
        <f t="shared" si="37"/>
        <v>#DIV/0!</v>
      </c>
      <c r="F71" s="45" t="e">
        <f t="shared" si="38"/>
        <v>#DIV/0!</v>
      </c>
      <c r="G71" s="45" t="e">
        <f t="shared" si="39"/>
        <v>#DIV/0!</v>
      </c>
      <c r="H71" s="45" t="e">
        <f t="shared" si="40"/>
        <v>#DIV/0!</v>
      </c>
      <c r="I71" s="45" t="e">
        <f t="shared" si="41"/>
        <v>#DIV/0!</v>
      </c>
      <c r="J71" s="45" t="e">
        <f t="shared" si="42"/>
        <v>#DIV/0!</v>
      </c>
      <c r="K71" s="45" t="e">
        <f t="shared" si="43"/>
        <v>#DIV/0!</v>
      </c>
      <c r="L71" s="45" t="e">
        <f t="shared" si="44"/>
        <v>#DIV/0!</v>
      </c>
      <c r="M71" s="45" t="e">
        <f t="shared" si="45"/>
        <v>#DIV/0!</v>
      </c>
      <c r="N71" s="45" t="e">
        <f t="shared" si="46"/>
        <v>#DIV/0!</v>
      </c>
      <c r="O71" s="45" t="e">
        <f t="shared" si="47"/>
        <v>#DIV/0!</v>
      </c>
      <c r="P71" s="45" t="e">
        <f t="shared" si="48"/>
        <v>#DIV/0!</v>
      </c>
      <c r="Q71" s="55" t="e">
        <f>Q70+ATM_Conf!$C$5*(B70)/(Links!B$191*Links!Q$191)</f>
        <v>#DIV/0!</v>
      </c>
      <c r="R71" s="55" t="e">
        <f>R70+ATM_Conf!$C$5*(C70-B70)/(Links!C$191*Links!R$191)</f>
        <v>#DIV/0!</v>
      </c>
      <c r="S71" s="55" t="e">
        <f>S70+ATM_Conf!$C$5*(D70-C70)/(Links!D$191*Links!S$191)</f>
        <v>#DIV/0!</v>
      </c>
      <c r="T71" s="55" t="e">
        <f>T70+ATM_Conf!$C$5*(E70-D70)/(Links!E$191*Links!T$191)</f>
        <v>#DIV/0!</v>
      </c>
      <c r="U71" s="55" t="e">
        <f>U70+ATM_Conf!$C$5*(F70-E70)/(Links!F$191*Links!U$191)</f>
        <v>#DIV/0!</v>
      </c>
      <c r="V71" s="55" t="e">
        <f>V70+ATM_Conf!$C$5*(G70-F70)/(Links!G$191*Links!V$191)</f>
        <v>#DIV/0!</v>
      </c>
      <c r="W71" s="55" t="e">
        <f>W70+ATM_Conf!$C$5*(H70-G70)/(Links!H$191*Links!W$191)</f>
        <v>#DIV/0!</v>
      </c>
      <c r="X71" s="55" t="e">
        <f>X70+ATM_Conf!$C$5*(I70-H70)/(Links!I$191*Links!X$191)</f>
        <v>#DIV/0!</v>
      </c>
      <c r="Y71" s="55" t="e">
        <f>Y70+ATM_Conf!$C$5*(J70)/(Links!J$191*Links!Y$191)</f>
        <v>#DIV/0!</v>
      </c>
      <c r="Z71" s="55" t="e">
        <f>Z70+ATM_Conf!$C$5*(K70-J70)/(Links!K$191*Links!Z$191)</f>
        <v>#DIV/0!</v>
      </c>
      <c r="AA71" s="55" t="e">
        <f>AA70+ATM_Conf!$C$5*(L70-K70)/(Links!L$191*Links!AA$191)</f>
        <v>#DIV/0!</v>
      </c>
      <c r="AB71" s="55" t="e">
        <f>AB70+ATM_Conf!$C$5*(M70-L70)/(Links!M$191*Links!AB$191)</f>
        <v>#DIV/0!</v>
      </c>
      <c r="AC71" s="55" t="e">
        <f>AC70+ATM_Conf!$C$5*(N70-M70)/(Links!N$191*Links!AC$191)</f>
        <v>#DIV/0!</v>
      </c>
      <c r="AD71" s="55" t="e">
        <f>AD70+ATM_Conf!$C$5*(O70-N70)/(Links!O$191*Links!AD$191)</f>
        <v>#DIV/0!</v>
      </c>
      <c r="AE71" s="55" t="e">
        <f>AE70+ATM_Conf!$C$5*(P70-O70)/(Links!P$191*Links!AE$191)</f>
        <v>#DIV/0!</v>
      </c>
      <c r="AF71" s="45" t="e">
        <f>AF70+(ATM_Conf!$C$5/ATM_Conf!$C$8)*(Links!AU70*EXP((-(Links!Q70/Links!BJ70)^Links!BY70)/Links!BY70)-Links!AF70)-(ATM_Conf!$C$9*ATM_Conf!$C$5/(ATM_Conf!$C$8*Links!Q$191))*(Nodes!BO70-Links!Q70)/(Links!Q70/ATM_Conf!$C$10)</f>
        <v>#DIV/0!</v>
      </c>
      <c r="AG71" s="45" t="e">
        <f>AG70+(ATM_Conf!$C$5/ATM_Conf!$C$8)*(Links!AV70*EXP((-(Links!R70/Links!BK70)^Links!BZ70)/Links!BZ70)-Links!AG70)+(ATM_Conf!$C$5/Links!R$191)*Links!AG70*(Nodes!BB70-Links!AG70)-(ATM_Conf!$C$9*ATM_Conf!$C$5/(ATM_Conf!$C$8*Links!R$191))*(Nodes!BP70-Links!R70)/(Links!R70/ATM_Conf!$C$10)</f>
        <v>#DIV/0!</v>
      </c>
      <c r="AH71" s="45" t="e">
        <f>AH70+(ATM_Conf!$C$5/ATM_Conf!$C$8)*(Links!AW70*EXP((-(Links!S70/Links!BL70)^Links!CA70)/Links!CA70)-Links!AH70)+(ATM_Conf!$C$5/Links!S$191)*Links!AH70*(Nodes!BC70-Links!AH70)-(ATM_Conf!$C$9*ATM_Conf!$C$5/(ATM_Conf!$C$8*Links!S$191))*(Nodes!BQ70-Links!S70)/(Links!S70/ATM_Conf!$C$10)</f>
        <v>#DIV/0!</v>
      </c>
      <c r="AI71" s="45" t="e">
        <f>AI70+(ATM_Conf!$C$5/ATM_Conf!$C$8)*(Links!AX70*EXP((-(Links!T70/Links!BM70)^Links!CB70)/Links!CB70)-Links!AI70)+(ATM_Conf!$C$5/Links!T$191)*Links!AI70*(Nodes!BD70-Links!AI70)-(ATM_Conf!$C$9*ATM_Conf!$C$5/(ATM_Conf!$C$8*Links!T$191))*(Nodes!BR70-Links!T70)/(Links!T70/ATM_Conf!$C$10)</f>
        <v>#DIV/0!</v>
      </c>
      <c r="AJ71" s="45" t="e">
        <f>AJ70+(ATM_Conf!$C$5/ATM_Conf!$C$8)*(Links!AY70*EXP((-(Links!U70/Links!BN70)^Links!CC70)/Links!CC70)-Links!AJ70)+(ATM_Conf!$C$5/Links!U$191)*Links!AJ70*(Nodes!BE70-Links!AJ70)-(ATM_Conf!$C$9*ATM_Conf!$C$5/(ATM_Conf!$C$8*Links!U$191))*(Nodes!BS70-Links!U70)/(Links!U70/ATM_Conf!$C$10)</f>
        <v>#DIV/0!</v>
      </c>
      <c r="AK71" s="45" t="e">
        <f>AK70+(ATM_Conf!$C$5/ATM_Conf!$C$8)*(Links!AZ70*EXP((-(Links!V70/Links!BO70)^Links!CD70)/Links!CD70)-Links!AK70)+(ATM_Conf!$C$5/Links!V$191)*Links!AK70*(Nodes!BF70-Links!AK70)-(ATM_Conf!$C$9*ATM_Conf!$C$5/(ATM_Conf!$C$8*Links!V$191))*(Nodes!BT70-Links!V70)/(Links!V70/ATM_Conf!$C$10)</f>
        <v>#DIV/0!</v>
      </c>
      <c r="AL71" s="45" t="e">
        <f>AL70+(ATM_Conf!$C$5/ATM_Conf!$C$8)*(Links!BA70*EXP((-(Links!W70/Links!BP70)^Links!CE70)/Links!CE70)-Links!AL70)+(ATM_Conf!$C$5/Links!W$191)*Links!AL70*(Nodes!BG70-Links!AL70)-(ATM_Conf!$C$9*ATM_Conf!$C$5/(ATM_Conf!$C$8*Links!W$191))*(Nodes!BU70-Links!W70)/(Links!W70/ATM_Conf!$C$10)</f>
        <v>#DIV/0!</v>
      </c>
      <c r="AM71" s="45" t="e">
        <f>AM70+(ATM_Conf!$C$5/ATM_Conf!$C$8)*(Links!BB70*EXP((-(Links!X70/Links!BQ70)^Links!CF70)/Links!CF70)-Links!AM70)+(ATM_Conf!$C$5/Links!X$191)*Links!AM70*(Nodes!BH70-Links!AM70)</f>
        <v>#DIV/0!</v>
      </c>
      <c r="AN71" s="45" t="e">
        <f>AN70+(ATM_Conf!$C$5/ATM_Conf!$C$8)*(Links!BC70*EXP((-(Links!Y70/Links!BR70)^Links!CG70)/Links!CG70)-Links!AN70)-(ATM_Conf!$C$9*ATM_Conf!$C$5/(ATM_Conf!$C$8*Links!Y$191))*(Nodes!BV70-Links!Y70)/(Links!Y70/ATM_Conf!$C$10)</f>
        <v>#DIV/0!</v>
      </c>
      <c r="AO71" s="45" t="e">
        <f>AO70+(ATM_Conf!$C$5/ATM_Conf!$C$8)*(Links!BD70*EXP((-(Links!Z70/Links!BS70)^Links!CH70)/Links!CH70)-Links!AO70)+(ATM_Conf!$C$5/Links!Z$191)*Links!AO70*(Nodes!BI70-Links!AO70)-(ATM_Conf!$C$9*ATM_Conf!$C$5/(ATM_Conf!$C$8*Links!Z$191))*(Nodes!BW70-Links!Z70)/(Links!Z70/ATM_Conf!$C$10)</f>
        <v>#DIV/0!</v>
      </c>
      <c r="AP71" s="45" t="e">
        <f>AP70+(ATM_Conf!$C$5/ATM_Conf!$C$8)*(Links!BE70*EXP((-(Links!AA70/Links!BT70)^Links!CI70)/Links!CI70)-Links!AP70)+(ATM_Conf!$C$5/Links!AA$191)*Links!AP70*(Nodes!BJ70-Links!AP70)-(ATM_Conf!$C$9*ATM_Conf!$C$5/(ATM_Conf!$C$8*Links!AA$191))*(Nodes!BX70-Links!AA70)/(Links!AA70/ATM_Conf!$C$10)</f>
        <v>#DIV/0!</v>
      </c>
      <c r="AQ71" s="45" t="e">
        <f>AQ70+(ATM_Conf!$C$5/ATM_Conf!$C$8)*(Links!BF70*EXP((-(Links!AB70/Links!BU70)^Links!CJ70)/Links!CJ70)-Links!AQ70)+(ATM_Conf!$C$5/Links!AB$191)*Links!AQ70*(Nodes!BK70-Links!AQ70)-(ATM_Conf!$C$9*ATM_Conf!$C$5/(ATM_Conf!$C$8*Links!AB$191))*(Nodes!BY70-Links!AB70)/(Links!AB70/ATM_Conf!$C$10)</f>
        <v>#DIV/0!</v>
      </c>
      <c r="AR71" s="45" t="e">
        <f>AR70+(ATM_Conf!$C$5/ATM_Conf!$C$8)*(Links!BG70*EXP((-(Links!AC70/Links!BV70)^Links!CK70)/Links!CK70)-Links!AR70)+(ATM_Conf!$C$5/Links!AC$191)*Links!AR70*(Nodes!BL70-Links!AR70)-(ATM_Conf!$C$9*ATM_Conf!$C$5/(ATM_Conf!$C$8*Links!AC$191))*(Nodes!BZ70-Links!AC70)/(Links!AC70/ATM_Conf!$C$10)</f>
        <v>#DIV/0!</v>
      </c>
      <c r="AS71" s="45" t="e">
        <f>AS70+(ATM_Conf!$C$5/ATM_Conf!$C$8)*(Links!BH70*EXP((-(Links!AD70/Links!BW70)^Links!CL70)/Links!CL70)-Links!AS70)+(ATM_Conf!$C$5/Links!AD$191)*Links!AS70*(Nodes!BM70-Links!AS70)-(ATM_Conf!$C$9*ATM_Conf!$C$5/(ATM_Conf!$C$8*Links!AD$191))*(Nodes!CA70-Links!AD70)/(Links!AD70/ATM_Conf!$C$10)</f>
        <v>#DIV/0!</v>
      </c>
      <c r="AT71" s="45" t="e">
        <f>AT70+(ATM_Conf!$C$5/ATM_Conf!$C$8)*(Links!BI70*EXP((-(Links!AE70/Links!BX70)^Links!CM70)/Links!CM70)-Links!AT70)+(ATM_Conf!$C$5/Links!AE$191)*Links!AT70*(Nodes!BN70-Links!AT70)</f>
        <v>#DIV/0!</v>
      </c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45"/>
      <c r="BK71" s="45"/>
      <c r="BL71" s="45"/>
      <c r="BM71" s="45"/>
      <c r="BN71" s="45"/>
      <c r="BO71" s="45"/>
      <c r="BP71" s="45"/>
      <c r="BQ71" s="45"/>
      <c r="BR71" s="45"/>
      <c r="BS71" s="45"/>
      <c r="BT71" s="45"/>
      <c r="BU71" s="45"/>
      <c r="BV71" s="45"/>
      <c r="BW71" s="45"/>
      <c r="BX71" s="4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45">
        <f t="shared" si="33"/>
        <v>0</v>
      </c>
      <c r="CO71" s="45">
        <f t="shared" si="33"/>
        <v>0</v>
      </c>
      <c r="CP71" s="45">
        <f t="shared" si="33"/>
        <v>0</v>
      </c>
      <c r="CQ71" s="45">
        <f t="shared" si="33"/>
        <v>0</v>
      </c>
      <c r="CR71" s="45">
        <f t="shared" si="33"/>
        <v>0</v>
      </c>
      <c r="CS71" s="45">
        <f t="shared" si="33"/>
        <v>0</v>
      </c>
      <c r="CT71" s="45">
        <f t="shared" si="33"/>
        <v>0</v>
      </c>
      <c r="CU71" s="45">
        <f t="shared" si="33"/>
        <v>0</v>
      </c>
      <c r="CV71" s="45">
        <f t="shared" si="33"/>
        <v>0</v>
      </c>
      <c r="CW71" s="45">
        <f t="shared" si="33"/>
        <v>0</v>
      </c>
      <c r="CX71" s="45">
        <f t="shared" si="33"/>
        <v>0</v>
      </c>
      <c r="CY71" s="45">
        <f t="shared" si="33"/>
        <v>0</v>
      </c>
      <c r="CZ71" s="45">
        <f t="shared" si="33"/>
        <v>0</v>
      </c>
      <c r="DA71" s="45">
        <f t="shared" si="33"/>
        <v>0</v>
      </c>
      <c r="DB71" s="45">
        <f t="shared" si="33"/>
        <v>0</v>
      </c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</row>
    <row r="72" spans="1:121" ht="14.25" x14ac:dyDescent="0.15">
      <c r="A72" s="48">
        <v>70</v>
      </c>
      <c r="B72" s="45" t="e">
        <f t="shared" si="34"/>
        <v>#DIV/0!</v>
      </c>
      <c r="C72" s="45" t="e">
        <f t="shared" si="35"/>
        <v>#DIV/0!</v>
      </c>
      <c r="D72" s="45" t="e">
        <f t="shared" si="36"/>
        <v>#DIV/0!</v>
      </c>
      <c r="E72" s="45" t="e">
        <f t="shared" si="37"/>
        <v>#DIV/0!</v>
      </c>
      <c r="F72" s="45" t="e">
        <f t="shared" si="38"/>
        <v>#DIV/0!</v>
      </c>
      <c r="G72" s="45" t="e">
        <f t="shared" si="39"/>
        <v>#DIV/0!</v>
      </c>
      <c r="H72" s="45" t="e">
        <f t="shared" si="40"/>
        <v>#DIV/0!</v>
      </c>
      <c r="I72" s="45" t="e">
        <f t="shared" si="41"/>
        <v>#DIV/0!</v>
      </c>
      <c r="J72" s="45" t="e">
        <f t="shared" si="42"/>
        <v>#DIV/0!</v>
      </c>
      <c r="K72" s="45" t="e">
        <f t="shared" si="43"/>
        <v>#DIV/0!</v>
      </c>
      <c r="L72" s="45" t="e">
        <f t="shared" si="44"/>
        <v>#DIV/0!</v>
      </c>
      <c r="M72" s="45" t="e">
        <f t="shared" si="45"/>
        <v>#DIV/0!</v>
      </c>
      <c r="N72" s="45" t="e">
        <f t="shared" si="46"/>
        <v>#DIV/0!</v>
      </c>
      <c r="O72" s="45" t="e">
        <f t="shared" si="47"/>
        <v>#DIV/0!</v>
      </c>
      <c r="P72" s="45" t="e">
        <f t="shared" si="48"/>
        <v>#DIV/0!</v>
      </c>
      <c r="Q72" s="55" t="e">
        <f>Q71+ATM_Conf!$C$5*(B71)/(Links!B$191*Links!Q$191)</f>
        <v>#DIV/0!</v>
      </c>
      <c r="R72" s="55" t="e">
        <f>R71+ATM_Conf!$C$5*(C71-B71)/(Links!C$191*Links!R$191)</f>
        <v>#DIV/0!</v>
      </c>
      <c r="S72" s="55" t="e">
        <f>S71+ATM_Conf!$C$5*(D71-C71)/(Links!D$191*Links!S$191)</f>
        <v>#DIV/0!</v>
      </c>
      <c r="T72" s="55" t="e">
        <f>T71+ATM_Conf!$C$5*(E71-D71)/(Links!E$191*Links!T$191)</f>
        <v>#DIV/0!</v>
      </c>
      <c r="U72" s="55" t="e">
        <f>U71+ATM_Conf!$C$5*(F71-E71)/(Links!F$191*Links!U$191)</f>
        <v>#DIV/0!</v>
      </c>
      <c r="V72" s="55" t="e">
        <f>V71+ATM_Conf!$C$5*(G71-F71)/(Links!G$191*Links!V$191)</f>
        <v>#DIV/0!</v>
      </c>
      <c r="W72" s="55" t="e">
        <f>W71+ATM_Conf!$C$5*(H71-G71)/(Links!H$191*Links!W$191)</f>
        <v>#DIV/0!</v>
      </c>
      <c r="X72" s="55" t="e">
        <f>X71+ATM_Conf!$C$5*(I71-H71)/(Links!I$191*Links!X$191)</f>
        <v>#DIV/0!</v>
      </c>
      <c r="Y72" s="55" t="e">
        <f>Y71+ATM_Conf!$C$5*(J71)/(Links!J$191*Links!Y$191)</f>
        <v>#DIV/0!</v>
      </c>
      <c r="Z72" s="55" t="e">
        <f>Z71+ATM_Conf!$C$5*(K71-J71)/(Links!K$191*Links!Z$191)</f>
        <v>#DIV/0!</v>
      </c>
      <c r="AA72" s="55" t="e">
        <f>AA71+ATM_Conf!$C$5*(L71-K71)/(Links!L$191*Links!AA$191)</f>
        <v>#DIV/0!</v>
      </c>
      <c r="AB72" s="55" t="e">
        <f>AB71+ATM_Conf!$C$5*(M71-L71)/(Links!M$191*Links!AB$191)</f>
        <v>#DIV/0!</v>
      </c>
      <c r="AC72" s="55" t="e">
        <f>AC71+ATM_Conf!$C$5*(N71-M71)/(Links!N$191*Links!AC$191)</f>
        <v>#DIV/0!</v>
      </c>
      <c r="AD72" s="55" t="e">
        <f>AD71+ATM_Conf!$C$5*(O71-N71)/(Links!O$191*Links!AD$191)</f>
        <v>#DIV/0!</v>
      </c>
      <c r="AE72" s="55" t="e">
        <f>AE71+ATM_Conf!$C$5*(P71-O71)/(Links!P$191*Links!AE$191)</f>
        <v>#DIV/0!</v>
      </c>
      <c r="AF72" s="45" t="e">
        <f>AF71+(ATM_Conf!$C$5/ATM_Conf!$C$8)*(Links!AU71*EXP((-(Links!Q71/Links!BJ71)^Links!BY71)/Links!BY71)-Links!AF71)-(ATM_Conf!$C$9*ATM_Conf!$C$5/(ATM_Conf!$C$8*Links!Q$191))*(Nodes!BO71-Links!Q71)/(Links!Q71/ATM_Conf!$C$10)</f>
        <v>#DIV/0!</v>
      </c>
      <c r="AG72" s="45" t="e">
        <f>AG71+(ATM_Conf!$C$5/ATM_Conf!$C$8)*(Links!AV71*EXP((-(Links!R71/Links!BK71)^Links!BZ71)/Links!BZ71)-Links!AG71)+(ATM_Conf!$C$5/Links!R$191)*Links!AG71*(Nodes!BB71-Links!AG71)-(ATM_Conf!$C$9*ATM_Conf!$C$5/(ATM_Conf!$C$8*Links!R$191))*(Nodes!BP71-Links!R71)/(Links!R71/ATM_Conf!$C$10)</f>
        <v>#DIV/0!</v>
      </c>
      <c r="AH72" s="45" t="e">
        <f>AH71+(ATM_Conf!$C$5/ATM_Conf!$C$8)*(Links!AW71*EXP((-(Links!S71/Links!BL71)^Links!CA71)/Links!CA71)-Links!AH71)+(ATM_Conf!$C$5/Links!S$191)*Links!AH71*(Nodes!BC71-Links!AH71)-(ATM_Conf!$C$9*ATM_Conf!$C$5/(ATM_Conf!$C$8*Links!S$191))*(Nodes!BQ71-Links!S71)/(Links!S71/ATM_Conf!$C$10)</f>
        <v>#DIV/0!</v>
      </c>
      <c r="AI72" s="45" t="e">
        <f>AI71+(ATM_Conf!$C$5/ATM_Conf!$C$8)*(Links!AX71*EXP((-(Links!T71/Links!BM71)^Links!CB71)/Links!CB71)-Links!AI71)+(ATM_Conf!$C$5/Links!T$191)*Links!AI71*(Nodes!BD71-Links!AI71)-(ATM_Conf!$C$9*ATM_Conf!$C$5/(ATM_Conf!$C$8*Links!T$191))*(Nodes!BR71-Links!T71)/(Links!T71/ATM_Conf!$C$10)</f>
        <v>#DIV/0!</v>
      </c>
      <c r="AJ72" s="45" t="e">
        <f>AJ71+(ATM_Conf!$C$5/ATM_Conf!$C$8)*(Links!AY71*EXP((-(Links!U71/Links!BN71)^Links!CC71)/Links!CC71)-Links!AJ71)+(ATM_Conf!$C$5/Links!U$191)*Links!AJ71*(Nodes!BE71-Links!AJ71)-(ATM_Conf!$C$9*ATM_Conf!$C$5/(ATM_Conf!$C$8*Links!U$191))*(Nodes!BS71-Links!U71)/(Links!U71/ATM_Conf!$C$10)</f>
        <v>#DIV/0!</v>
      </c>
      <c r="AK72" s="45" t="e">
        <f>AK71+(ATM_Conf!$C$5/ATM_Conf!$C$8)*(Links!AZ71*EXP((-(Links!V71/Links!BO71)^Links!CD71)/Links!CD71)-Links!AK71)+(ATM_Conf!$C$5/Links!V$191)*Links!AK71*(Nodes!BF71-Links!AK71)-(ATM_Conf!$C$9*ATM_Conf!$C$5/(ATM_Conf!$C$8*Links!V$191))*(Nodes!BT71-Links!V71)/(Links!V71/ATM_Conf!$C$10)</f>
        <v>#DIV/0!</v>
      </c>
      <c r="AL72" s="45" t="e">
        <f>AL71+(ATM_Conf!$C$5/ATM_Conf!$C$8)*(Links!BA71*EXP((-(Links!W71/Links!BP71)^Links!CE71)/Links!CE71)-Links!AL71)+(ATM_Conf!$C$5/Links!W$191)*Links!AL71*(Nodes!BG71-Links!AL71)-(ATM_Conf!$C$9*ATM_Conf!$C$5/(ATM_Conf!$C$8*Links!W$191))*(Nodes!BU71-Links!W71)/(Links!W71/ATM_Conf!$C$10)</f>
        <v>#DIV/0!</v>
      </c>
      <c r="AM72" s="45" t="e">
        <f>AM71+(ATM_Conf!$C$5/ATM_Conf!$C$8)*(Links!BB71*EXP((-(Links!X71/Links!BQ71)^Links!CF71)/Links!CF71)-Links!AM71)+(ATM_Conf!$C$5/Links!X$191)*Links!AM71*(Nodes!BH71-Links!AM71)</f>
        <v>#DIV/0!</v>
      </c>
      <c r="AN72" s="45" t="e">
        <f>AN71+(ATM_Conf!$C$5/ATM_Conf!$C$8)*(Links!BC71*EXP((-(Links!Y71/Links!BR71)^Links!CG71)/Links!CG71)-Links!AN71)-(ATM_Conf!$C$9*ATM_Conf!$C$5/(ATM_Conf!$C$8*Links!Y$191))*(Nodes!BV71-Links!Y71)/(Links!Y71/ATM_Conf!$C$10)</f>
        <v>#DIV/0!</v>
      </c>
      <c r="AO72" s="45" t="e">
        <f>AO71+(ATM_Conf!$C$5/ATM_Conf!$C$8)*(Links!BD71*EXP((-(Links!Z71/Links!BS71)^Links!CH71)/Links!CH71)-Links!AO71)+(ATM_Conf!$C$5/Links!Z$191)*Links!AO71*(Nodes!BI71-Links!AO71)-(ATM_Conf!$C$9*ATM_Conf!$C$5/(ATM_Conf!$C$8*Links!Z$191))*(Nodes!BW71-Links!Z71)/(Links!Z71/ATM_Conf!$C$10)</f>
        <v>#DIV/0!</v>
      </c>
      <c r="AP72" s="45" t="e">
        <f>AP71+(ATM_Conf!$C$5/ATM_Conf!$C$8)*(Links!BE71*EXP((-(Links!AA71/Links!BT71)^Links!CI71)/Links!CI71)-Links!AP71)+(ATM_Conf!$C$5/Links!AA$191)*Links!AP71*(Nodes!BJ71-Links!AP71)-(ATM_Conf!$C$9*ATM_Conf!$C$5/(ATM_Conf!$C$8*Links!AA$191))*(Nodes!BX71-Links!AA71)/(Links!AA71/ATM_Conf!$C$10)</f>
        <v>#DIV/0!</v>
      </c>
      <c r="AQ72" s="45" t="e">
        <f>AQ71+(ATM_Conf!$C$5/ATM_Conf!$C$8)*(Links!BF71*EXP((-(Links!AB71/Links!BU71)^Links!CJ71)/Links!CJ71)-Links!AQ71)+(ATM_Conf!$C$5/Links!AB$191)*Links!AQ71*(Nodes!BK71-Links!AQ71)-(ATM_Conf!$C$9*ATM_Conf!$C$5/(ATM_Conf!$C$8*Links!AB$191))*(Nodes!BY71-Links!AB71)/(Links!AB71/ATM_Conf!$C$10)</f>
        <v>#DIV/0!</v>
      </c>
      <c r="AR72" s="45" t="e">
        <f>AR71+(ATM_Conf!$C$5/ATM_Conf!$C$8)*(Links!BG71*EXP((-(Links!AC71/Links!BV71)^Links!CK71)/Links!CK71)-Links!AR71)+(ATM_Conf!$C$5/Links!AC$191)*Links!AR71*(Nodes!BL71-Links!AR71)-(ATM_Conf!$C$9*ATM_Conf!$C$5/(ATM_Conf!$C$8*Links!AC$191))*(Nodes!BZ71-Links!AC71)/(Links!AC71/ATM_Conf!$C$10)</f>
        <v>#DIV/0!</v>
      </c>
      <c r="AS72" s="45" t="e">
        <f>AS71+(ATM_Conf!$C$5/ATM_Conf!$C$8)*(Links!BH71*EXP((-(Links!AD71/Links!BW71)^Links!CL71)/Links!CL71)-Links!AS71)+(ATM_Conf!$C$5/Links!AD$191)*Links!AS71*(Nodes!BM71-Links!AS71)-(ATM_Conf!$C$9*ATM_Conf!$C$5/(ATM_Conf!$C$8*Links!AD$191))*(Nodes!CA71-Links!AD71)/(Links!AD71/ATM_Conf!$C$10)</f>
        <v>#DIV/0!</v>
      </c>
      <c r="AT72" s="45" t="e">
        <f>AT71+(ATM_Conf!$C$5/ATM_Conf!$C$8)*(Links!BI71*EXP((-(Links!AE71/Links!BX71)^Links!CM71)/Links!CM71)-Links!AT71)+(ATM_Conf!$C$5/Links!AE$191)*Links!AT71*(Nodes!BN71-Links!AT71)</f>
        <v>#DIV/0!</v>
      </c>
      <c r="AU72" s="55"/>
      <c r="AV72" s="55"/>
      <c r="AW72" s="55"/>
      <c r="AX72" s="55"/>
      <c r="AY72" s="55"/>
      <c r="AZ72" s="55"/>
      <c r="BA72" s="55"/>
      <c r="BB72" s="55"/>
      <c r="BC72" s="55"/>
      <c r="BD72" s="55"/>
      <c r="BE72" s="55"/>
      <c r="BF72" s="55"/>
      <c r="BG72" s="55"/>
      <c r="BH72" s="55"/>
      <c r="BI72" s="55"/>
      <c r="BJ72" s="45"/>
      <c r="BK72" s="45"/>
      <c r="BL72" s="45"/>
      <c r="BM72" s="45"/>
      <c r="BN72" s="45"/>
      <c r="BO72" s="45"/>
      <c r="BP72" s="45"/>
      <c r="BQ72" s="45"/>
      <c r="BR72" s="45"/>
      <c r="BS72" s="45"/>
      <c r="BT72" s="45"/>
      <c r="BU72" s="45"/>
      <c r="BV72" s="45"/>
      <c r="BW72" s="45"/>
      <c r="BX72" s="45"/>
      <c r="BY72" s="55"/>
      <c r="BZ72" s="55"/>
      <c r="CA72" s="55"/>
      <c r="CB72" s="55"/>
      <c r="CC72" s="55"/>
      <c r="CD72" s="55"/>
      <c r="CE72" s="55"/>
      <c r="CF72" s="55"/>
      <c r="CG72" s="55"/>
      <c r="CH72" s="55"/>
      <c r="CI72" s="55"/>
      <c r="CJ72" s="55"/>
      <c r="CK72" s="55"/>
      <c r="CL72" s="55"/>
      <c r="CM72" s="55"/>
      <c r="CN72" s="45">
        <f t="shared" si="33"/>
        <v>0</v>
      </c>
      <c r="CO72" s="45">
        <f t="shared" si="33"/>
        <v>0</v>
      </c>
      <c r="CP72" s="45">
        <f t="shared" si="33"/>
        <v>0</v>
      </c>
      <c r="CQ72" s="45">
        <f t="shared" si="33"/>
        <v>0</v>
      </c>
      <c r="CR72" s="45">
        <f t="shared" si="33"/>
        <v>0</v>
      </c>
      <c r="CS72" s="45">
        <f t="shared" si="33"/>
        <v>0</v>
      </c>
      <c r="CT72" s="45">
        <f t="shared" si="33"/>
        <v>0</v>
      </c>
      <c r="CU72" s="45">
        <f t="shared" si="33"/>
        <v>0</v>
      </c>
      <c r="CV72" s="45">
        <f t="shared" si="33"/>
        <v>0</v>
      </c>
      <c r="CW72" s="45">
        <f t="shared" si="33"/>
        <v>0</v>
      </c>
      <c r="CX72" s="45">
        <f t="shared" si="33"/>
        <v>0</v>
      </c>
      <c r="CY72" s="45">
        <f t="shared" si="33"/>
        <v>0</v>
      </c>
      <c r="CZ72" s="45">
        <f t="shared" si="33"/>
        <v>0</v>
      </c>
      <c r="DA72" s="45">
        <f t="shared" si="33"/>
        <v>0</v>
      </c>
      <c r="DB72" s="45">
        <f t="shared" si="33"/>
        <v>0</v>
      </c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</row>
    <row r="73" spans="1:121" ht="14.25" x14ac:dyDescent="0.15">
      <c r="A73" s="48">
        <v>71</v>
      </c>
      <c r="B73" s="45" t="e">
        <f t="shared" si="34"/>
        <v>#DIV/0!</v>
      </c>
      <c r="C73" s="45" t="e">
        <f t="shared" si="35"/>
        <v>#DIV/0!</v>
      </c>
      <c r="D73" s="45" t="e">
        <f t="shared" si="36"/>
        <v>#DIV/0!</v>
      </c>
      <c r="E73" s="45" t="e">
        <f t="shared" si="37"/>
        <v>#DIV/0!</v>
      </c>
      <c r="F73" s="45" t="e">
        <f t="shared" si="38"/>
        <v>#DIV/0!</v>
      </c>
      <c r="G73" s="45" t="e">
        <f t="shared" si="39"/>
        <v>#DIV/0!</v>
      </c>
      <c r="H73" s="45" t="e">
        <f t="shared" si="40"/>
        <v>#DIV/0!</v>
      </c>
      <c r="I73" s="45" t="e">
        <f t="shared" si="41"/>
        <v>#DIV/0!</v>
      </c>
      <c r="J73" s="45" t="e">
        <f t="shared" si="42"/>
        <v>#DIV/0!</v>
      </c>
      <c r="K73" s="45" t="e">
        <f t="shared" si="43"/>
        <v>#DIV/0!</v>
      </c>
      <c r="L73" s="45" t="e">
        <f t="shared" si="44"/>
        <v>#DIV/0!</v>
      </c>
      <c r="M73" s="45" t="e">
        <f t="shared" si="45"/>
        <v>#DIV/0!</v>
      </c>
      <c r="N73" s="45" t="e">
        <f t="shared" si="46"/>
        <v>#DIV/0!</v>
      </c>
      <c r="O73" s="45" t="e">
        <f t="shared" si="47"/>
        <v>#DIV/0!</v>
      </c>
      <c r="P73" s="45" t="e">
        <f t="shared" si="48"/>
        <v>#DIV/0!</v>
      </c>
      <c r="Q73" s="55" t="e">
        <f>Q72+ATM_Conf!$C$5*(B72)/(Links!B$191*Links!Q$191)</f>
        <v>#DIV/0!</v>
      </c>
      <c r="R73" s="55" t="e">
        <f>R72+ATM_Conf!$C$5*(C72-B72)/(Links!C$191*Links!R$191)</f>
        <v>#DIV/0!</v>
      </c>
      <c r="S73" s="55" t="e">
        <f>S72+ATM_Conf!$C$5*(D72-C72)/(Links!D$191*Links!S$191)</f>
        <v>#DIV/0!</v>
      </c>
      <c r="T73" s="55" t="e">
        <f>T72+ATM_Conf!$C$5*(E72-D72)/(Links!E$191*Links!T$191)</f>
        <v>#DIV/0!</v>
      </c>
      <c r="U73" s="55" t="e">
        <f>U72+ATM_Conf!$C$5*(F72-E72)/(Links!F$191*Links!U$191)</f>
        <v>#DIV/0!</v>
      </c>
      <c r="V73" s="55" t="e">
        <f>V72+ATM_Conf!$C$5*(G72-F72)/(Links!G$191*Links!V$191)</f>
        <v>#DIV/0!</v>
      </c>
      <c r="W73" s="55" t="e">
        <f>W72+ATM_Conf!$C$5*(H72-G72)/(Links!H$191*Links!W$191)</f>
        <v>#DIV/0!</v>
      </c>
      <c r="X73" s="55" t="e">
        <f>X72+ATM_Conf!$C$5*(I72-H72)/(Links!I$191*Links!X$191)</f>
        <v>#DIV/0!</v>
      </c>
      <c r="Y73" s="55" t="e">
        <f>Y72+ATM_Conf!$C$5*(J72)/(Links!J$191*Links!Y$191)</f>
        <v>#DIV/0!</v>
      </c>
      <c r="Z73" s="55" t="e">
        <f>Z72+ATM_Conf!$C$5*(K72-J72)/(Links!K$191*Links!Z$191)</f>
        <v>#DIV/0!</v>
      </c>
      <c r="AA73" s="55" t="e">
        <f>AA72+ATM_Conf!$C$5*(L72-K72)/(Links!L$191*Links!AA$191)</f>
        <v>#DIV/0!</v>
      </c>
      <c r="AB73" s="55" t="e">
        <f>AB72+ATM_Conf!$C$5*(M72-L72)/(Links!M$191*Links!AB$191)</f>
        <v>#DIV/0!</v>
      </c>
      <c r="AC73" s="55" t="e">
        <f>AC72+ATM_Conf!$C$5*(N72-M72)/(Links!N$191*Links!AC$191)</f>
        <v>#DIV/0!</v>
      </c>
      <c r="AD73" s="55" t="e">
        <f>AD72+ATM_Conf!$C$5*(O72-N72)/(Links!O$191*Links!AD$191)</f>
        <v>#DIV/0!</v>
      </c>
      <c r="AE73" s="55" t="e">
        <f>AE72+ATM_Conf!$C$5*(P72-O72)/(Links!P$191*Links!AE$191)</f>
        <v>#DIV/0!</v>
      </c>
      <c r="AF73" s="45" t="e">
        <f>AF72+(ATM_Conf!$C$5/ATM_Conf!$C$8)*(Links!AU72*EXP((-(Links!Q72/Links!BJ72)^Links!BY72)/Links!BY72)-Links!AF72)-(ATM_Conf!$C$9*ATM_Conf!$C$5/(ATM_Conf!$C$8*Links!Q$191))*(Nodes!BO72-Links!Q72)/(Links!Q72/ATM_Conf!$C$10)</f>
        <v>#DIV/0!</v>
      </c>
      <c r="AG73" s="45" t="e">
        <f>AG72+(ATM_Conf!$C$5/ATM_Conf!$C$8)*(Links!AV72*EXP((-(Links!R72/Links!BK72)^Links!BZ72)/Links!BZ72)-Links!AG72)+(ATM_Conf!$C$5/Links!R$191)*Links!AG72*(Nodes!BB72-Links!AG72)-(ATM_Conf!$C$9*ATM_Conf!$C$5/(ATM_Conf!$C$8*Links!R$191))*(Nodes!BP72-Links!R72)/(Links!R72/ATM_Conf!$C$10)</f>
        <v>#DIV/0!</v>
      </c>
      <c r="AH73" s="45" t="e">
        <f>AH72+(ATM_Conf!$C$5/ATM_Conf!$C$8)*(Links!AW72*EXP((-(Links!S72/Links!BL72)^Links!CA72)/Links!CA72)-Links!AH72)+(ATM_Conf!$C$5/Links!S$191)*Links!AH72*(Nodes!BC72-Links!AH72)-(ATM_Conf!$C$9*ATM_Conf!$C$5/(ATM_Conf!$C$8*Links!S$191))*(Nodes!BQ72-Links!S72)/(Links!S72/ATM_Conf!$C$10)</f>
        <v>#DIV/0!</v>
      </c>
      <c r="AI73" s="45" t="e">
        <f>AI72+(ATM_Conf!$C$5/ATM_Conf!$C$8)*(Links!AX72*EXP((-(Links!T72/Links!BM72)^Links!CB72)/Links!CB72)-Links!AI72)+(ATM_Conf!$C$5/Links!T$191)*Links!AI72*(Nodes!BD72-Links!AI72)-(ATM_Conf!$C$9*ATM_Conf!$C$5/(ATM_Conf!$C$8*Links!T$191))*(Nodes!BR72-Links!T72)/(Links!T72/ATM_Conf!$C$10)</f>
        <v>#DIV/0!</v>
      </c>
      <c r="AJ73" s="45" t="e">
        <f>AJ72+(ATM_Conf!$C$5/ATM_Conf!$C$8)*(Links!AY72*EXP((-(Links!U72/Links!BN72)^Links!CC72)/Links!CC72)-Links!AJ72)+(ATM_Conf!$C$5/Links!U$191)*Links!AJ72*(Nodes!BE72-Links!AJ72)-(ATM_Conf!$C$9*ATM_Conf!$C$5/(ATM_Conf!$C$8*Links!U$191))*(Nodes!BS72-Links!U72)/(Links!U72/ATM_Conf!$C$10)</f>
        <v>#DIV/0!</v>
      </c>
      <c r="AK73" s="45" t="e">
        <f>AK72+(ATM_Conf!$C$5/ATM_Conf!$C$8)*(Links!AZ72*EXP((-(Links!V72/Links!BO72)^Links!CD72)/Links!CD72)-Links!AK72)+(ATM_Conf!$C$5/Links!V$191)*Links!AK72*(Nodes!BF72-Links!AK72)-(ATM_Conf!$C$9*ATM_Conf!$C$5/(ATM_Conf!$C$8*Links!V$191))*(Nodes!BT72-Links!V72)/(Links!V72/ATM_Conf!$C$10)</f>
        <v>#DIV/0!</v>
      </c>
      <c r="AL73" s="45" t="e">
        <f>AL72+(ATM_Conf!$C$5/ATM_Conf!$C$8)*(Links!BA72*EXP((-(Links!W72/Links!BP72)^Links!CE72)/Links!CE72)-Links!AL72)+(ATM_Conf!$C$5/Links!W$191)*Links!AL72*(Nodes!BG72-Links!AL72)-(ATM_Conf!$C$9*ATM_Conf!$C$5/(ATM_Conf!$C$8*Links!W$191))*(Nodes!BU72-Links!W72)/(Links!W72/ATM_Conf!$C$10)</f>
        <v>#DIV/0!</v>
      </c>
      <c r="AM73" s="45" t="e">
        <f>AM72+(ATM_Conf!$C$5/ATM_Conf!$C$8)*(Links!BB72*EXP((-(Links!X72/Links!BQ72)^Links!CF72)/Links!CF72)-Links!AM72)+(ATM_Conf!$C$5/Links!X$191)*Links!AM72*(Nodes!BH72-Links!AM72)</f>
        <v>#DIV/0!</v>
      </c>
      <c r="AN73" s="45" t="e">
        <f>AN72+(ATM_Conf!$C$5/ATM_Conf!$C$8)*(Links!BC72*EXP((-(Links!Y72/Links!BR72)^Links!CG72)/Links!CG72)-Links!AN72)-(ATM_Conf!$C$9*ATM_Conf!$C$5/(ATM_Conf!$C$8*Links!Y$191))*(Nodes!BV72-Links!Y72)/(Links!Y72/ATM_Conf!$C$10)</f>
        <v>#DIV/0!</v>
      </c>
      <c r="AO73" s="45" t="e">
        <f>AO72+(ATM_Conf!$C$5/ATM_Conf!$C$8)*(Links!BD72*EXP((-(Links!Z72/Links!BS72)^Links!CH72)/Links!CH72)-Links!AO72)+(ATM_Conf!$C$5/Links!Z$191)*Links!AO72*(Nodes!BI72-Links!AO72)-(ATM_Conf!$C$9*ATM_Conf!$C$5/(ATM_Conf!$C$8*Links!Z$191))*(Nodes!BW72-Links!Z72)/(Links!Z72/ATM_Conf!$C$10)</f>
        <v>#DIV/0!</v>
      </c>
      <c r="AP73" s="45" t="e">
        <f>AP72+(ATM_Conf!$C$5/ATM_Conf!$C$8)*(Links!BE72*EXP((-(Links!AA72/Links!BT72)^Links!CI72)/Links!CI72)-Links!AP72)+(ATM_Conf!$C$5/Links!AA$191)*Links!AP72*(Nodes!BJ72-Links!AP72)-(ATM_Conf!$C$9*ATM_Conf!$C$5/(ATM_Conf!$C$8*Links!AA$191))*(Nodes!BX72-Links!AA72)/(Links!AA72/ATM_Conf!$C$10)</f>
        <v>#DIV/0!</v>
      </c>
      <c r="AQ73" s="45" t="e">
        <f>AQ72+(ATM_Conf!$C$5/ATM_Conf!$C$8)*(Links!BF72*EXP((-(Links!AB72/Links!BU72)^Links!CJ72)/Links!CJ72)-Links!AQ72)+(ATM_Conf!$C$5/Links!AB$191)*Links!AQ72*(Nodes!BK72-Links!AQ72)-(ATM_Conf!$C$9*ATM_Conf!$C$5/(ATM_Conf!$C$8*Links!AB$191))*(Nodes!BY72-Links!AB72)/(Links!AB72/ATM_Conf!$C$10)</f>
        <v>#DIV/0!</v>
      </c>
      <c r="AR73" s="45" t="e">
        <f>AR72+(ATM_Conf!$C$5/ATM_Conf!$C$8)*(Links!BG72*EXP((-(Links!AC72/Links!BV72)^Links!CK72)/Links!CK72)-Links!AR72)+(ATM_Conf!$C$5/Links!AC$191)*Links!AR72*(Nodes!BL72-Links!AR72)-(ATM_Conf!$C$9*ATM_Conf!$C$5/(ATM_Conf!$C$8*Links!AC$191))*(Nodes!BZ72-Links!AC72)/(Links!AC72/ATM_Conf!$C$10)</f>
        <v>#DIV/0!</v>
      </c>
      <c r="AS73" s="45" t="e">
        <f>AS72+(ATM_Conf!$C$5/ATM_Conf!$C$8)*(Links!BH72*EXP((-(Links!AD72/Links!BW72)^Links!CL72)/Links!CL72)-Links!AS72)+(ATM_Conf!$C$5/Links!AD$191)*Links!AS72*(Nodes!BM72-Links!AS72)-(ATM_Conf!$C$9*ATM_Conf!$C$5/(ATM_Conf!$C$8*Links!AD$191))*(Nodes!CA72-Links!AD72)/(Links!AD72/ATM_Conf!$C$10)</f>
        <v>#DIV/0!</v>
      </c>
      <c r="AT73" s="45" t="e">
        <f>AT72+(ATM_Conf!$C$5/ATM_Conf!$C$8)*(Links!BI72*EXP((-(Links!AE72/Links!BX72)^Links!CM72)/Links!CM72)-Links!AT72)+(ATM_Conf!$C$5/Links!AE$191)*Links!AT72*(Nodes!BN72-Links!AT72)</f>
        <v>#DIV/0!</v>
      </c>
      <c r="AU73" s="55"/>
      <c r="AV73" s="55"/>
      <c r="AW73" s="55"/>
      <c r="AX73" s="55"/>
      <c r="AY73" s="55"/>
      <c r="AZ73" s="55"/>
      <c r="BA73" s="55"/>
      <c r="BB73" s="55"/>
      <c r="BC73" s="55"/>
      <c r="BD73" s="55"/>
      <c r="BE73" s="55"/>
      <c r="BF73" s="55"/>
      <c r="BG73" s="55"/>
      <c r="BH73" s="55"/>
      <c r="BI73" s="55"/>
      <c r="BJ73" s="45"/>
      <c r="BK73" s="45"/>
      <c r="BL73" s="45"/>
      <c r="BM73" s="45"/>
      <c r="BN73" s="45"/>
      <c r="BO73" s="45"/>
      <c r="BP73" s="45"/>
      <c r="BQ73" s="45"/>
      <c r="BR73" s="45"/>
      <c r="BS73" s="45"/>
      <c r="BT73" s="45"/>
      <c r="BU73" s="45"/>
      <c r="BV73" s="45"/>
      <c r="BW73" s="45"/>
      <c r="BX73" s="45"/>
      <c r="BY73" s="55"/>
      <c r="BZ73" s="55"/>
      <c r="CA73" s="55"/>
      <c r="CB73" s="55"/>
      <c r="CC73" s="55"/>
      <c r="CD73" s="55"/>
      <c r="CE73" s="55"/>
      <c r="CF73" s="55"/>
      <c r="CG73" s="55"/>
      <c r="CH73" s="55"/>
      <c r="CI73" s="55"/>
      <c r="CJ73" s="55"/>
      <c r="CK73" s="55"/>
      <c r="CL73" s="55"/>
      <c r="CM73" s="55"/>
      <c r="CN73" s="45">
        <f t="shared" si="33"/>
        <v>0</v>
      </c>
      <c r="CO73" s="45">
        <f t="shared" si="33"/>
        <v>0</v>
      </c>
      <c r="CP73" s="45">
        <f t="shared" si="33"/>
        <v>0</v>
      </c>
      <c r="CQ73" s="45">
        <f t="shared" si="33"/>
        <v>0</v>
      </c>
      <c r="CR73" s="45">
        <f t="shared" si="33"/>
        <v>0</v>
      </c>
      <c r="CS73" s="45">
        <f t="shared" si="33"/>
        <v>0</v>
      </c>
      <c r="CT73" s="45">
        <f t="shared" si="33"/>
        <v>0</v>
      </c>
      <c r="CU73" s="45">
        <f t="shared" si="33"/>
        <v>0</v>
      </c>
      <c r="CV73" s="45">
        <f t="shared" si="33"/>
        <v>0</v>
      </c>
      <c r="CW73" s="45">
        <f t="shared" si="33"/>
        <v>0</v>
      </c>
      <c r="CX73" s="45">
        <f t="shared" si="33"/>
        <v>0</v>
      </c>
      <c r="CY73" s="45">
        <f t="shared" si="33"/>
        <v>0</v>
      </c>
      <c r="CZ73" s="45">
        <f t="shared" si="33"/>
        <v>0</v>
      </c>
      <c r="DA73" s="45">
        <f t="shared" si="33"/>
        <v>0</v>
      </c>
      <c r="DB73" s="45">
        <f t="shared" si="33"/>
        <v>0</v>
      </c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</row>
    <row r="74" spans="1:121" ht="14.25" x14ac:dyDescent="0.15">
      <c r="A74" s="48">
        <v>72</v>
      </c>
      <c r="B74" s="45" t="e">
        <f t="shared" si="34"/>
        <v>#DIV/0!</v>
      </c>
      <c r="C74" s="45" t="e">
        <f t="shared" si="35"/>
        <v>#DIV/0!</v>
      </c>
      <c r="D74" s="45" t="e">
        <f t="shared" si="36"/>
        <v>#DIV/0!</v>
      </c>
      <c r="E74" s="45" t="e">
        <f t="shared" si="37"/>
        <v>#DIV/0!</v>
      </c>
      <c r="F74" s="45" t="e">
        <f t="shared" si="38"/>
        <v>#DIV/0!</v>
      </c>
      <c r="G74" s="45" t="e">
        <f t="shared" si="39"/>
        <v>#DIV/0!</v>
      </c>
      <c r="H74" s="45" t="e">
        <f t="shared" si="40"/>
        <v>#DIV/0!</v>
      </c>
      <c r="I74" s="45" t="e">
        <f t="shared" si="41"/>
        <v>#DIV/0!</v>
      </c>
      <c r="J74" s="45" t="e">
        <f t="shared" si="42"/>
        <v>#DIV/0!</v>
      </c>
      <c r="K74" s="45" t="e">
        <f t="shared" si="43"/>
        <v>#DIV/0!</v>
      </c>
      <c r="L74" s="45" t="e">
        <f t="shared" si="44"/>
        <v>#DIV/0!</v>
      </c>
      <c r="M74" s="45" t="e">
        <f t="shared" si="45"/>
        <v>#DIV/0!</v>
      </c>
      <c r="N74" s="45" t="e">
        <f t="shared" si="46"/>
        <v>#DIV/0!</v>
      </c>
      <c r="O74" s="45" t="e">
        <f t="shared" si="47"/>
        <v>#DIV/0!</v>
      </c>
      <c r="P74" s="45" t="e">
        <f t="shared" si="48"/>
        <v>#DIV/0!</v>
      </c>
      <c r="Q74" s="55" t="e">
        <f>Q73+ATM_Conf!$C$5*(B73)/(Links!B$191*Links!Q$191)</f>
        <v>#DIV/0!</v>
      </c>
      <c r="R74" s="55" t="e">
        <f>R73+ATM_Conf!$C$5*(C73-B73)/(Links!C$191*Links!R$191)</f>
        <v>#DIV/0!</v>
      </c>
      <c r="S74" s="55" t="e">
        <f>S73+ATM_Conf!$C$5*(D73-C73)/(Links!D$191*Links!S$191)</f>
        <v>#DIV/0!</v>
      </c>
      <c r="T74" s="55" t="e">
        <f>T73+ATM_Conf!$C$5*(E73-D73)/(Links!E$191*Links!T$191)</f>
        <v>#DIV/0!</v>
      </c>
      <c r="U74" s="55" t="e">
        <f>U73+ATM_Conf!$C$5*(F73-E73)/(Links!F$191*Links!U$191)</f>
        <v>#DIV/0!</v>
      </c>
      <c r="V74" s="55" t="e">
        <f>V73+ATM_Conf!$C$5*(G73-F73)/(Links!G$191*Links!V$191)</f>
        <v>#DIV/0!</v>
      </c>
      <c r="W74" s="55" t="e">
        <f>W73+ATM_Conf!$C$5*(H73-G73)/(Links!H$191*Links!W$191)</f>
        <v>#DIV/0!</v>
      </c>
      <c r="X74" s="55" t="e">
        <f>X73+ATM_Conf!$C$5*(I73-H73)/(Links!I$191*Links!X$191)</f>
        <v>#DIV/0!</v>
      </c>
      <c r="Y74" s="55" t="e">
        <f>Y73+ATM_Conf!$C$5*(J73)/(Links!J$191*Links!Y$191)</f>
        <v>#DIV/0!</v>
      </c>
      <c r="Z74" s="55" t="e">
        <f>Z73+ATM_Conf!$C$5*(K73-J73)/(Links!K$191*Links!Z$191)</f>
        <v>#DIV/0!</v>
      </c>
      <c r="AA74" s="55" t="e">
        <f>AA73+ATM_Conf!$C$5*(L73-K73)/(Links!L$191*Links!AA$191)</f>
        <v>#DIV/0!</v>
      </c>
      <c r="AB74" s="55" t="e">
        <f>AB73+ATM_Conf!$C$5*(M73-L73)/(Links!M$191*Links!AB$191)</f>
        <v>#DIV/0!</v>
      </c>
      <c r="AC74" s="55" t="e">
        <f>AC73+ATM_Conf!$C$5*(N73-M73)/(Links!N$191*Links!AC$191)</f>
        <v>#DIV/0!</v>
      </c>
      <c r="AD74" s="55" t="e">
        <f>AD73+ATM_Conf!$C$5*(O73-N73)/(Links!O$191*Links!AD$191)</f>
        <v>#DIV/0!</v>
      </c>
      <c r="AE74" s="55" t="e">
        <f>AE73+ATM_Conf!$C$5*(P73-O73)/(Links!P$191*Links!AE$191)</f>
        <v>#DIV/0!</v>
      </c>
      <c r="AF74" s="45" t="e">
        <f>AF73+(ATM_Conf!$C$5/ATM_Conf!$C$8)*(Links!AU73*EXP((-(Links!Q73/Links!BJ73)^Links!BY73)/Links!BY73)-Links!AF73)-(ATM_Conf!$C$9*ATM_Conf!$C$5/(ATM_Conf!$C$8*Links!Q$191))*(Nodes!BO73-Links!Q73)/(Links!Q73/ATM_Conf!$C$10)</f>
        <v>#DIV/0!</v>
      </c>
      <c r="AG74" s="45" t="e">
        <f>AG73+(ATM_Conf!$C$5/ATM_Conf!$C$8)*(Links!AV73*EXP((-(Links!R73/Links!BK73)^Links!BZ73)/Links!BZ73)-Links!AG73)+(ATM_Conf!$C$5/Links!R$191)*Links!AG73*(Nodes!BB73-Links!AG73)-(ATM_Conf!$C$9*ATM_Conf!$C$5/(ATM_Conf!$C$8*Links!R$191))*(Nodes!BP73-Links!R73)/(Links!R73/ATM_Conf!$C$10)</f>
        <v>#DIV/0!</v>
      </c>
      <c r="AH74" s="45" t="e">
        <f>AH73+(ATM_Conf!$C$5/ATM_Conf!$C$8)*(Links!AW73*EXP((-(Links!S73/Links!BL73)^Links!CA73)/Links!CA73)-Links!AH73)+(ATM_Conf!$C$5/Links!S$191)*Links!AH73*(Nodes!BC73-Links!AH73)-(ATM_Conf!$C$9*ATM_Conf!$C$5/(ATM_Conf!$C$8*Links!S$191))*(Nodes!BQ73-Links!S73)/(Links!S73/ATM_Conf!$C$10)</f>
        <v>#DIV/0!</v>
      </c>
      <c r="AI74" s="45" t="e">
        <f>AI73+(ATM_Conf!$C$5/ATM_Conf!$C$8)*(Links!AX73*EXP((-(Links!T73/Links!BM73)^Links!CB73)/Links!CB73)-Links!AI73)+(ATM_Conf!$C$5/Links!T$191)*Links!AI73*(Nodes!BD73-Links!AI73)-(ATM_Conf!$C$9*ATM_Conf!$C$5/(ATM_Conf!$C$8*Links!T$191))*(Nodes!BR73-Links!T73)/(Links!T73/ATM_Conf!$C$10)</f>
        <v>#DIV/0!</v>
      </c>
      <c r="AJ74" s="45" t="e">
        <f>AJ73+(ATM_Conf!$C$5/ATM_Conf!$C$8)*(Links!AY73*EXP((-(Links!U73/Links!BN73)^Links!CC73)/Links!CC73)-Links!AJ73)+(ATM_Conf!$C$5/Links!U$191)*Links!AJ73*(Nodes!BE73-Links!AJ73)-(ATM_Conf!$C$9*ATM_Conf!$C$5/(ATM_Conf!$C$8*Links!U$191))*(Nodes!BS73-Links!U73)/(Links!U73/ATM_Conf!$C$10)</f>
        <v>#DIV/0!</v>
      </c>
      <c r="AK74" s="45" t="e">
        <f>AK73+(ATM_Conf!$C$5/ATM_Conf!$C$8)*(Links!AZ73*EXP((-(Links!V73/Links!BO73)^Links!CD73)/Links!CD73)-Links!AK73)+(ATM_Conf!$C$5/Links!V$191)*Links!AK73*(Nodes!BF73-Links!AK73)-(ATM_Conf!$C$9*ATM_Conf!$C$5/(ATM_Conf!$C$8*Links!V$191))*(Nodes!BT73-Links!V73)/(Links!V73/ATM_Conf!$C$10)</f>
        <v>#DIV/0!</v>
      </c>
      <c r="AL74" s="45" t="e">
        <f>AL73+(ATM_Conf!$C$5/ATM_Conf!$C$8)*(Links!BA73*EXP((-(Links!W73/Links!BP73)^Links!CE73)/Links!CE73)-Links!AL73)+(ATM_Conf!$C$5/Links!W$191)*Links!AL73*(Nodes!BG73-Links!AL73)-(ATM_Conf!$C$9*ATM_Conf!$C$5/(ATM_Conf!$C$8*Links!W$191))*(Nodes!BU73-Links!W73)/(Links!W73/ATM_Conf!$C$10)</f>
        <v>#DIV/0!</v>
      </c>
      <c r="AM74" s="45" t="e">
        <f>AM73+(ATM_Conf!$C$5/ATM_Conf!$C$8)*(Links!BB73*EXP((-(Links!X73/Links!BQ73)^Links!CF73)/Links!CF73)-Links!AM73)+(ATM_Conf!$C$5/Links!X$191)*Links!AM73*(Nodes!BH73-Links!AM73)</f>
        <v>#DIV/0!</v>
      </c>
      <c r="AN74" s="45" t="e">
        <f>AN73+(ATM_Conf!$C$5/ATM_Conf!$C$8)*(Links!BC73*EXP((-(Links!Y73/Links!BR73)^Links!CG73)/Links!CG73)-Links!AN73)-(ATM_Conf!$C$9*ATM_Conf!$C$5/(ATM_Conf!$C$8*Links!Y$191))*(Nodes!BV73-Links!Y73)/(Links!Y73/ATM_Conf!$C$10)</f>
        <v>#DIV/0!</v>
      </c>
      <c r="AO74" s="45" t="e">
        <f>AO73+(ATM_Conf!$C$5/ATM_Conf!$C$8)*(Links!BD73*EXP((-(Links!Z73/Links!BS73)^Links!CH73)/Links!CH73)-Links!AO73)+(ATM_Conf!$C$5/Links!Z$191)*Links!AO73*(Nodes!BI73-Links!AO73)-(ATM_Conf!$C$9*ATM_Conf!$C$5/(ATM_Conf!$C$8*Links!Z$191))*(Nodes!BW73-Links!Z73)/(Links!Z73/ATM_Conf!$C$10)</f>
        <v>#DIV/0!</v>
      </c>
      <c r="AP74" s="45" t="e">
        <f>AP73+(ATM_Conf!$C$5/ATM_Conf!$C$8)*(Links!BE73*EXP((-(Links!AA73/Links!BT73)^Links!CI73)/Links!CI73)-Links!AP73)+(ATM_Conf!$C$5/Links!AA$191)*Links!AP73*(Nodes!BJ73-Links!AP73)-(ATM_Conf!$C$9*ATM_Conf!$C$5/(ATM_Conf!$C$8*Links!AA$191))*(Nodes!BX73-Links!AA73)/(Links!AA73/ATM_Conf!$C$10)</f>
        <v>#DIV/0!</v>
      </c>
      <c r="AQ74" s="45" t="e">
        <f>AQ73+(ATM_Conf!$C$5/ATM_Conf!$C$8)*(Links!BF73*EXP((-(Links!AB73/Links!BU73)^Links!CJ73)/Links!CJ73)-Links!AQ73)+(ATM_Conf!$C$5/Links!AB$191)*Links!AQ73*(Nodes!BK73-Links!AQ73)-(ATM_Conf!$C$9*ATM_Conf!$C$5/(ATM_Conf!$C$8*Links!AB$191))*(Nodes!BY73-Links!AB73)/(Links!AB73/ATM_Conf!$C$10)</f>
        <v>#DIV/0!</v>
      </c>
      <c r="AR74" s="45" t="e">
        <f>AR73+(ATM_Conf!$C$5/ATM_Conf!$C$8)*(Links!BG73*EXP((-(Links!AC73/Links!BV73)^Links!CK73)/Links!CK73)-Links!AR73)+(ATM_Conf!$C$5/Links!AC$191)*Links!AR73*(Nodes!BL73-Links!AR73)-(ATM_Conf!$C$9*ATM_Conf!$C$5/(ATM_Conf!$C$8*Links!AC$191))*(Nodes!BZ73-Links!AC73)/(Links!AC73/ATM_Conf!$C$10)</f>
        <v>#DIV/0!</v>
      </c>
      <c r="AS74" s="45" t="e">
        <f>AS73+(ATM_Conf!$C$5/ATM_Conf!$C$8)*(Links!BH73*EXP((-(Links!AD73/Links!BW73)^Links!CL73)/Links!CL73)-Links!AS73)+(ATM_Conf!$C$5/Links!AD$191)*Links!AS73*(Nodes!BM73-Links!AS73)-(ATM_Conf!$C$9*ATM_Conf!$C$5/(ATM_Conf!$C$8*Links!AD$191))*(Nodes!CA73-Links!AD73)/(Links!AD73/ATM_Conf!$C$10)</f>
        <v>#DIV/0!</v>
      </c>
      <c r="AT74" s="45" t="e">
        <f>AT73+(ATM_Conf!$C$5/ATM_Conf!$C$8)*(Links!BI73*EXP((-(Links!AE73/Links!BX73)^Links!CM73)/Links!CM73)-Links!AT73)+(ATM_Conf!$C$5/Links!AE$191)*Links!AT73*(Nodes!BN73-Links!AT73)</f>
        <v>#DIV/0!</v>
      </c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45"/>
      <c r="BK74" s="45"/>
      <c r="BL74" s="45"/>
      <c r="BM74" s="45"/>
      <c r="BN74" s="45"/>
      <c r="BO74" s="45"/>
      <c r="BP74" s="45"/>
      <c r="BQ74" s="45"/>
      <c r="BR74" s="45"/>
      <c r="BS74" s="45"/>
      <c r="BT74" s="45"/>
      <c r="BU74" s="45"/>
      <c r="BV74" s="45"/>
      <c r="BW74" s="45"/>
      <c r="BX74" s="4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45">
        <f t="shared" si="33"/>
        <v>0</v>
      </c>
      <c r="CO74" s="45">
        <f t="shared" si="33"/>
        <v>0</v>
      </c>
      <c r="CP74" s="45">
        <f t="shared" si="33"/>
        <v>0</v>
      </c>
      <c r="CQ74" s="45">
        <f t="shared" si="33"/>
        <v>0</v>
      </c>
      <c r="CR74" s="45">
        <f t="shared" si="33"/>
        <v>0</v>
      </c>
      <c r="CS74" s="45">
        <f t="shared" si="33"/>
        <v>0</v>
      </c>
      <c r="CT74" s="45">
        <f t="shared" si="33"/>
        <v>0</v>
      </c>
      <c r="CU74" s="45">
        <f t="shared" si="33"/>
        <v>0</v>
      </c>
      <c r="CV74" s="45">
        <f t="shared" si="33"/>
        <v>0</v>
      </c>
      <c r="CW74" s="45">
        <f t="shared" si="33"/>
        <v>0</v>
      </c>
      <c r="CX74" s="45">
        <f t="shared" si="33"/>
        <v>0</v>
      </c>
      <c r="CY74" s="45">
        <f t="shared" si="33"/>
        <v>0</v>
      </c>
      <c r="CZ74" s="45">
        <f t="shared" si="33"/>
        <v>0</v>
      </c>
      <c r="DA74" s="45">
        <f t="shared" si="33"/>
        <v>0</v>
      </c>
      <c r="DB74" s="45">
        <f t="shared" si="33"/>
        <v>0</v>
      </c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</row>
    <row r="75" spans="1:121" ht="14.25" x14ac:dyDescent="0.15">
      <c r="A75" s="48">
        <v>73</v>
      </c>
      <c r="B75" s="45" t="e">
        <f t="shared" si="34"/>
        <v>#DIV/0!</v>
      </c>
      <c r="C75" s="45" t="e">
        <f t="shared" si="35"/>
        <v>#DIV/0!</v>
      </c>
      <c r="D75" s="45" t="e">
        <f t="shared" si="36"/>
        <v>#DIV/0!</v>
      </c>
      <c r="E75" s="45" t="e">
        <f t="shared" si="37"/>
        <v>#DIV/0!</v>
      </c>
      <c r="F75" s="45" t="e">
        <f t="shared" si="38"/>
        <v>#DIV/0!</v>
      </c>
      <c r="G75" s="45" t="e">
        <f t="shared" si="39"/>
        <v>#DIV/0!</v>
      </c>
      <c r="H75" s="45" t="e">
        <f t="shared" si="40"/>
        <v>#DIV/0!</v>
      </c>
      <c r="I75" s="45" t="e">
        <f t="shared" si="41"/>
        <v>#DIV/0!</v>
      </c>
      <c r="J75" s="45" t="e">
        <f t="shared" si="42"/>
        <v>#DIV/0!</v>
      </c>
      <c r="K75" s="45" t="e">
        <f t="shared" si="43"/>
        <v>#DIV/0!</v>
      </c>
      <c r="L75" s="45" t="e">
        <f t="shared" si="44"/>
        <v>#DIV/0!</v>
      </c>
      <c r="M75" s="45" t="e">
        <f t="shared" si="45"/>
        <v>#DIV/0!</v>
      </c>
      <c r="N75" s="45" t="e">
        <f t="shared" si="46"/>
        <v>#DIV/0!</v>
      </c>
      <c r="O75" s="45" t="e">
        <f t="shared" si="47"/>
        <v>#DIV/0!</v>
      </c>
      <c r="P75" s="45" t="e">
        <f t="shared" si="48"/>
        <v>#DIV/0!</v>
      </c>
      <c r="Q75" s="55" t="e">
        <f>Q74+ATM_Conf!$C$5*(B74)/(Links!B$191*Links!Q$191)</f>
        <v>#DIV/0!</v>
      </c>
      <c r="R75" s="55" t="e">
        <f>R74+ATM_Conf!$C$5*(C74-B74)/(Links!C$191*Links!R$191)</f>
        <v>#DIV/0!</v>
      </c>
      <c r="S75" s="55" t="e">
        <f>S74+ATM_Conf!$C$5*(D74-C74)/(Links!D$191*Links!S$191)</f>
        <v>#DIV/0!</v>
      </c>
      <c r="T75" s="55" t="e">
        <f>T74+ATM_Conf!$C$5*(E74-D74)/(Links!E$191*Links!T$191)</f>
        <v>#DIV/0!</v>
      </c>
      <c r="U75" s="55" t="e">
        <f>U74+ATM_Conf!$C$5*(F74-E74)/(Links!F$191*Links!U$191)</f>
        <v>#DIV/0!</v>
      </c>
      <c r="V75" s="55" t="e">
        <f>V74+ATM_Conf!$C$5*(G74-F74)/(Links!G$191*Links!V$191)</f>
        <v>#DIV/0!</v>
      </c>
      <c r="W75" s="55" t="e">
        <f>W74+ATM_Conf!$C$5*(H74-G74)/(Links!H$191*Links!W$191)</f>
        <v>#DIV/0!</v>
      </c>
      <c r="X75" s="55" t="e">
        <f>X74+ATM_Conf!$C$5*(I74-H74)/(Links!I$191*Links!X$191)</f>
        <v>#DIV/0!</v>
      </c>
      <c r="Y75" s="55" t="e">
        <f>Y74+ATM_Conf!$C$5*(J74)/(Links!J$191*Links!Y$191)</f>
        <v>#DIV/0!</v>
      </c>
      <c r="Z75" s="55" t="e">
        <f>Z74+ATM_Conf!$C$5*(K74-J74)/(Links!K$191*Links!Z$191)</f>
        <v>#DIV/0!</v>
      </c>
      <c r="AA75" s="55" t="e">
        <f>AA74+ATM_Conf!$C$5*(L74-K74)/(Links!L$191*Links!AA$191)</f>
        <v>#DIV/0!</v>
      </c>
      <c r="AB75" s="55" t="e">
        <f>AB74+ATM_Conf!$C$5*(M74-L74)/(Links!M$191*Links!AB$191)</f>
        <v>#DIV/0!</v>
      </c>
      <c r="AC75" s="55" t="e">
        <f>AC74+ATM_Conf!$C$5*(N74-M74)/(Links!N$191*Links!AC$191)</f>
        <v>#DIV/0!</v>
      </c>
      <c r="AD75" s="55" t="e">
        <f>AD74+ATM_Conf!$C$5*(O74-N74)/(Links!O$191*Links!AD$191)</f>
        <v>#DIV/0!</v>
      </c>
      <c r="AE75" s="55" t="e">
        <f>AE74+ATM_Conf!$C$5*(P74-O74)/(Links!P$191*Links!AE$191)</f>
        <v>#DIV/0!</v>
      </c>
      <c r="AF75" s="45" t="e">
        <f>AF74+(ATM_Conf!$C$5/ATM_Conf!$C$8)*(Links!AU74*EXP((-(Links!Q74/Links!BJ74)^Links!BY74)/Links!BY74)-Links!AF74)-(ATM_Conf!$C$9*ATM_Conf!$C$5/(ATM_Conf!$C$8*Links!Q$191))*(Nodes!BO74-Links!Q74)/(Links!Q74/ATM_Conf!$C$10)</f>
        <v>#DIV/0!</v>
      </c>
      <c r="AG75" s="45" t="e">
        <f>AG74+(ATM_Conf!$C$5/ATM_Conf!$C$8)*(Links!AV74*EXP((-(Links!R74/Links!BK74)^Links!BZ74)/Links!BZ74)-Links!AG74)+(ATM_Conf!$C$5/Links!R$191)*Links!AG74*(Nodes!BB74-Links!AG74)-(ATM_Conf!$C$9*ATM_Conf!$C$5/(ATM_Conf!$C$8*Links!R$191))*(Nodes!BP74-Links!R74)/(Links!R74/ATM_Conf!$C$10)</f>
        <v>#DIV/0!</v>
      </c>
      <c r="AH75" s="45" t="e">
        <f>AH74+(ATM_Conf!$C$5/ATM_Conf!$C$8)*(Links!AW74*EXP((-(Links!S74/Links!BL74)^Links!CA74)/Links!CA74)-Links!AH74)+(ATM_Conf!$C$5/Links!S$191)*Links!AH74*(Nodes!BC74-Links!AH74)-(ATM_Conf!$C$9*ATM_Conf!$C$5/(ATM_Conf!$C$8*Links!S$191))*(Nodes!BQ74-Links!S74)/(Links!S74/ATM_Conf!$C$10)</f>
        <v>#DIV/0!</v>
      </c>
      <c r="AI75" s="45" t="e">
        <f>AI74+(ATM_Conf!$C$5/ATM_Conf!$C$8)*(Links!AX74*EXP((-(Links!T74/Links!BM74)^Links!CB74)/Links!CB74)-Links!AI74)+(ATM_Conf!$C$5/Links!T$191)*Links!AI74*(Nodes!BD74-Links!AI74)-(ATM_Conf!$C$9*ATM_Conf!$C$5/(ATM_Conf!$C$8*Links!T$191))*(Nodes!BR74-Links!T74)/(Links!T74/ATM_Conf!$C$10)</f>
        <v>#DIV/0!</v>
      </c>
      <c r="AJ75" s="45" t="e">
        <f>AJ74+(ATM_Conf!$C$5/ATM_Conf!$C$8)*(Links!AY74*EXP((-(Links!U74/Links!BN74)^Links!CC74)/Links!CC74)-Links!AJ74)+(ATM_Conf!$C$5/Links!U$191)*Links!AJ74*(Nodes!BE74-Links!AJ74)-(ATM_Conf!$C$9*ATM_Conf!$C$5/(ATM_Conf!$C$8*Links!U$191))*(Nodes!BS74-Links!U74)/(Links!U74/ATM_Conf!$C$10)</f>
        <v>#DIV/0!</v>
      </c>
      <c r="AK75" s="45" t="e">
        <f>AK74+(ATM_Conf!$C$5/ATM_Conf!$C$8)*(Links!AZ74*EXP((-(Links!V74/Links!BO74)^Links!CD74)/Links!CD74)-Links!AK74)+(ATM_Conf!$C$5/Links!V$191)*Links!AK74*(Nodes!BF74-Links!AK74)-(ATM_Conf!$C$9*ATM_Conf!$C$5/(ATM_Conf!$C$8*Links!V$191))*(Nodes!BT74-Links!V74)/(Links!V74/ATM_Conf!$C$10)</f>
        <v>#DIV/0!</v>
      </c>
      <c r="AL75" s="45" t="e">
        <f>AL74+(ATM_Conf!$C$5/ATM_Conf!$C$8)*(Links!BA74*EXP((-(Links!W74/Links!BP74)^Links!CE74)/Links!CE74)-Links!AL74)+(ATM_Conf!$C$5/Links!W$191)*Links!AL74*(Nodes!BG74-Links!AL74)-(ATM_Conf!$C$9*ATM_Conf!$C$5/(ATM_Conf!$C$8*Links!W$191))*(Nodes!BU74-Links!W74)/(Links!W74/ATM_Conf!$C$10)</f>
        <v>#DIV/0!</v>
      </c>
      <c r="AM75" s="45" t="e">
        <f>AM74+(ATM_Conf!$C$5/ATM_Conf!$C$8)*(Links!BB74*EXP((-(Links!X74/Links!BQ74)^Links!CF74)/Links!CF74)-Links!AM74)+(ATM_Conf!$C$5/Links!X$191)*Links!AM74*(Nodes!BH74-Links!AM74)</f>
        <v>#DIV/0!</v>
      </c>
      <c r="AN75" s="45" t="e">
        <f>AN74+(ATM_Conf!$C$5/ATM_Conf!$C$8)*(Links!BC74*EXP((-(Links!Y74/Links!BR74)^Links!CG74)/Links!CG74)-Links!AN74)-(ATM_Conf!$C$9*ATM_Conf!$C$5/(ATM_Conf!$C$8*Links!Y$191))*(Nodes!BV74-Links!Y74)/(Links!Y74/ATM_Conf!$C$10)</f>
        <v>#DIV/0!</v>
      </c>
      <c r="AO75" s="45" t="e">
        <f>AO74+(ATM_Conf!$C$5/ATM_Conf!$C$8)*(Links!BD74*EXP((-(Links!Z74/Links!BS74)^Links!CH74)/Links!CH74)-Links!AO74)+(ATM_Conf!$C$5/Links!Z$191)*Links!AO74*(Nodes!BI74-Links!AO74)-(ATM_Conf!$C$9*ATM_Conf!$C$5/(ATM_Conf!$C$8*Links!Z$191))*(Nodes!BW74-Links!Z74)/(Links!Z74/ATM_Conf!$C$10)</f>
        <v>#DIV/0!</v>
      </c>
      <c r="AP75" s="45" t="e">
        <f>AP74+(ATM_Conf!$C$5/ATM_Conf!$C$8)*(Links!BE74*EXP((-(Links!AA74/Links!BT74)^Links!CI74)/Links!CI74)-Links!AP74)+(ATM_Conf!$C$5/Links!AA$191)*Links!AP74*(Nodes!BJ74-Links!AP74)-(ATM_Conf!$C$9*ATM_Conf!$C$5/(ATM_Conf!$C$8*Links!AA$191))*(Nodes!BX74-Links!AA74)/(Links!AA74/ATM_Conf!$C$10)</f>
        <v>#DIV/0!</v>
      </c>
      <c r="AQ75" s="45" t="e">
        <f>AQ74+(ATM_Conf!$C$5/ATM_Conf!$C$8)*(Links!BF74*EXP((-(Links!AB74/Links!BU74)^Links!CJ74)/Links!CJ74)-Links!AQ74)+(ATM_Conf!$C$5/Links!AB$191)*Links!AQ74*(Nodes!BK74-Links!AQ74)-(ATM_Conf!$C$9*ATM_Conf!$C$5/(ATM_Conf!$C$8*Links!AB$191))*(Nodes!BY74-Links!AB74)/(Links!AB74/ATM_Conf!$C$10)</f>
        <v>#DIV/0!</v>
      </c>
      <c r="AR75" s="45" t="e">
        <f>AR74+(ATM_Conf!$C$5/ATM_Conf!$C$8)*(Links!BG74*EXP((-(Links!AC74/Links!BV74)^Links!CK74)/Links!CK74)-Links!AR74)+(ATM_Conf!$C$5/Links!AC$191)*Links!AR74*(Nodes!BL74-Links!AR74)-(ATM_Conf!$C$9*ATM_Conf!$C$5/(ATM_Conf!$C$8*Links!AC$191))*(Nodes!BZ74-Links!AC74)/(Links!AC74/ATM_Conf!$C$10)</f>
        <v>#DIV/0!</v>
      </c>
      <c r="AS75" s="45" t="e">
        <f>AS74+(ATM_Conf!$C$5/ATM_Conf!$C$8)*(Links!BH74*EXP((-(Links!AD74/Links!BW74)^Links!CL74)/Links!CL74)-Links!AS74)+(ATM_Conf!$C$5/Links!AD$191)*Links!AS74*(Nodes!BM74-Links!AS74)-(ATM_Conf!$C$9*ATM_Conf!$C$5/(ATM_Conf!$C$8*Links!AD$191))*(Nodes!CA74-Links!AD74)/(Links!AD74/ATM_Conf!$C$10)</f>
        <v>#DIV/0!</v>
      </c>
      <c r="AT75" s="45" t="e">
        <f>AT74+(ATM_Conf!$C$5/ATM_Conf!$C$8)*(Links!BI74*EXP((-(Links!AE74/Links!BX74)^Links!CM74)/Links!CM74)-Links!AT74)+(ATM_Conf!$C$5/Links!AE$191)*Links!AT74*(Nodes!BN74-Links!AT74)</f>
        <v>#DIV/0!</v>
      </c>
      <c r="AU75" s="55"/>
      <c r="AV75" s="55"/>
      <c r="AW75" s="55"/>
      <c r="AX75" s="55"/>
      <c r="AY75" s="55"/>
      <c r="AZ75" s="55"/>
      <c r="BA75" s="55"/>
      <c r="BB75" s="55"/>
      <c r="BC75" s="55"/>
      <c r="BD75" s="55"/>
      <c r="BE75" s="55"/>
      <c r="BF75" s="55"/>
      <c r="BG75" s="55"/>
      <c r="BH75" s="55"/>
      <c r="BI75" s="55"/>
      <c r="BJ75" s="45"/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55"/>
      <c r="BZ75" s="55"/>
      <c r="CA75" s="55"/>
      <c r="CB75" s="55"/>
      <c r="CC75" s="55"/>
      <c r="CD75" s="55"/>
      <c r="CE75" s="55"/>
      <c r="CF75" s="55"/>
      <c r="CG75" s="55"/>
      <c r="CH75" s="55"/>
      <c r="CI75" s="55"/>
      <c r="CJ75" s="55"/>
      <c r="CK75" s="55"/>
      <c r="CL75" s="55"/>
      <c r="CM75" s="55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53">
        <f>(CN75-CN63)^2</f>
        <v>0</v>
      </c>
      <c r="DD75" s="53">
        <f t="shared" ref="DD75:DQ75" si="49">(CO75-CO63)^2</f>
        <v>0</v>
      </c>
      <c r="DE75" s="53">
        <f t="shared" si="49"/>
        <v>0</v>
      </c>
      <c r="DF75" s="53">
        <f t="shared" si="49"/>
        <v>0</v>
      </c>
      <c r="DG75" s="53">
        <f t="shared" si="49"/>
        <v>0</v>
      </c>
      <c r="DH75" s="53">
        <f t="shared" si="49"/>
        <v>0</v>
      </c>
      <c r="DI75" s="53">
        <f t="shared" si="49"/>
        <v>0</v>
      </c>
      <c r="DJ75" s="53">
        <f t="shared" si="49"/>
        <v>0</v>
      </c>
      <c r="DK75" s="53">
        <f t="shared" si="49"/>
        <v>0</v>
      </c>
      <c r="DL75" s="53">
        <f t="shared" si="49"/>
        <v>0</v>
      </c>
      <c r="DM75" s="53">
        <f t="shared" si="49"/>
        <v>0</v>
      </c>
      <c r="DN75" s="53">
        <f t="shared" si="49"/>
        <v>0</v>
      </c>
      <c r="DO75" s="53">
        <f t="shared" si="49"/>
        <v>0</v>
      </c>
      <c r="DP75" s="53">
        <f t="shared" si="49"/>
        <v>0</v>
      </c>
      <c r="DQ75" s="53">
        <f t="shared" si="49"/>
        <v>0</v>
      </c>
    </row>
    <row r="76" spans="1:121" ht="14.25" x14ac:dyDescent="0.15">
      <c r="A76" s="48">
        <v>74</v>
      </c>
      <c r="B76" s="45" t="e">
        <f t="shared" si="34"/>
        <v>#DIV/0!</v>
      </c>
      <c r="C76" s="45" t="e">
        <f t="shared" si="35"/>
        <v>#DIV/0!</v>
      </c>
      <c r="D76" s="45" t="e">
        <f t="shared" si="36"/>
        <v>#DIV/0!</v>
      </c>
      <c r="E76" s="45" t="e">
        <f t="shared" si="37"/>
        <v>#DIV/0!</v>
      </c>
      <c r="F76" s="45" t="e">
        <f t="shared" si="38"/>
        <v>#DIV/0!</v>
      </c>
      <c r="G76" s="45" t="e">
        <f t="shared" si="39"/>
        <v>#DIV/0!</v>
      </c>
      <c r="H76" s="45" t="e">
        <f t="shared" si="40"/>
        <v>#DIV/0!</v>
      </c>
      <c r="I76" s="45" t="e">
        <f t="shared" si="41"/>
        <v>#DIV/0!</v>
      </c>
      <c r="J76" s="45" t="e">
        <f t="shared" si="42"/>
        <v>#DIV/0!</v>
      </c>
      <c r="K76" s="45" t="e">
        <f t="shared" si="43"/>
        <v>#DIV/0!</v>
      </c>
      <c r="L76" s="45" t="e">
        <f t="shared" si="44"/>
        <v>#DIV/0!</v>
      </c>
      <c r="M76" s="45" t="e">
        <f t="shared" si="45"/>
        <v>#DIV/0!</v>
      </c>
      <c r="N76" s="45" t="e">
        <f t="shared" si="46"/>
        <v>#DIV/0!</v>
      </c>
      <c r="O76" s="45" t="e">
        <f t="shared" si="47"/>
        <v>#DIV/0!</v>
      </c>
      <c r="P76" s="45" t="e">
        <f t="shared" si="48"/>
        <v>#DIV/0!</v>
      </c>
      <c r="Q76" s="55" t="e">
        <f>Q75+ATM_Conf!$C$5*(B75)/(Links!B$191*Links!Q$191)</f>
        <v>#DIV/0!</v>
      </c>
      <c r="R76" s="55" t="e">
        <f>R75+ATM_Conf!$C$5*(C75-B75)/(Links!C$191*Links!R$191)</f>
        <v>#DIV/0!</v>
      </c>
      <c r="S76" s="55" t="e">
        <f>S75+ATM_Conf!$C$5*(D75-C75)/(Links!D$191*Links!S$191)</f>
        <v>#DIV/0!</v>
      </c>
      <c r="T76" s="55" t="e">
        <f>T75+ATM_Conf!$C$5*(E75-D75)/(Links!E$191*Links!T$191)</f>
        <v>#DIV/0!</v>
      </c>
      <c r="U76" s="55" t="e">
        <f>U75+ATM_Conf!$C$5*(F75-E75)/(Links!F$191*Links!U$191)</f>
        <v>#DIV/0!</v>
      </c>
      <c r="V76" s="55" t="e">
        <f>V75+ATM_Conf!$C$5*(G75-F75)/(Links!G$191*Links!V$191)</f>
        <v>#DIV/0!</v>
      </c>
      <c r="W76" s="55" t="e">
        <f>W75+ATM_Conf!$C$5*(H75-G75)/(Links!H$191*Links!W$191)</f>
        <v>#DIV/0!</v>
      </c>
      <c r="X76" s="55" t="e">
        <f>X75+ATM_Conf!$C$5*(I75-H75)/(Links!I$191*Links!X$191)</f>
        <v>#DIV/0!</v>
      </c>
      <c r="Y76" s="55" t="e">
        <f>Y75+ATM_Conf!$C$5*(J75)/(Links!J$191*Links!Y$191)</f>
        <v>#DIV/0!</v>
      </c>
      <c r="Z76" s="55" t="e">
        <f>Z75+ATM_Conf!$C$5*(K75-J75)/(Links!K$191*Links!Z$191)</f>
        <v>#DIV/0!</v>
      </c>
      <c r="AA76" s="55" t="e">
        <f>AA75+ATM_Conf!$C$5*(L75-K75)/(Links!L$191*Links!AA$191)</f>
        <v>#DIV/0!</v>
      </c>
      <c r="AB76" s="55" t="e">
        <f>AB75+ATM_Conf!$C$5*(M75-L75)/(Links!M$191*Links!AB$191)</f>
        <v>#DIV/0!</v>
      </c>
      <c r="AC76" s="55" t="e">
        <f>AC75+ATM_Conf!$C$5*(N75-M75)/(Links!N$191*Links!AC$191)</f>
        <v>#DIV/0!</v>
      </c>
      <c r="AD76" s="55" t="e">
        <f>AD75+ATM_Conf!$C$5*(O75-N75)/(Links!O$191*Links!AD$191)</f>
        <v>#DIV/0!</v>
      </c>
      <c r="AE76" s="55" t="e">
        <f>AE75+ATM_Conf!$C$5*(P75-O75)/(Links!P$191*Links!AE$191)</f>
        <v>#DIV/0!</v>
      </c>
      <c r="AF76" s="45" t="e">
        <f>AF75+(ATM_Conf!$C$5/ATM_Conf!$C$8)*(Links!AU75*EXP((-(Links!Q75/Links!BJ75)^Links!BY75)/Links!BY75)-Links!AF75)-(ATM_Conf!$C$9*ATM_Conf!$C$5/(ATM_Conf!$C$8*Links!Q$191))*(Nodes!BO75-Links!Q75)/(Links!Q75/ATM_Conf!$C$10)</f>
        <v>#DIV/0!</v>
      </c>
      <c r="AG76" s="45" t="e">
        <f>AG75+(ATM_Conf!$C$5/ATM_Conf!$C$8)*(Links!AV75*EXP((-(Links!R75/Links!BK75)^Links!BZ75)/Links!BZ75)-Links!AG75)+(ATM_Conf!$C$5/Links!R$191)*Links!AG75*(Nodes!BB75-Links!AG75)-(ATM_Conf!$C$9*ATM_Conf!$C$5/(ATM_Conf!$C$8*Links!R$191))*(Nodes!BP75-Links!R75)/(Links!R75/ATM_Conf!$C$10)</f>
        <v>#DIV/0!</v>
      </c>
      <c r="AH76" s="45" t="e">
        <f>AH75+(ATM_Conf!$C$5/ATM_Conf!$C$8)*(Links!AW75*EXP((-(Links!S75/Links!BL75)^Links!CA75)/Links!CA75)-Links!AH75)+(ATM_Conf!$C$5/Links!S$191)*Links!AH75*(Nodes!BC75-Links!AH75)-(ATM_Conf!$C$9*ATM_Conf!$C$5/(ATM_Conf!$C$8*Links!S$191))*(Nodes!BQ75-Links!S75)/(Links!S75/ATM_Conf!$C$10)</f>
        <v>#DIV/0!</v>
      </c>
      <c r="AI76" s="45" t="e">
        <f>AI75+(ATM_Conf!$C$5/ATM_Conf!$C$8)*(Links!AX75*EXP((-(Links!T75/Links!BM75)^Links!CB75)/Links!CB75)-Links!AI75)+(ATM_Conf!$C$5/Links!T$191)*Links!AI75*(Nodes!BD75-Links!AI75)-(ATM_Conf!$C$9*ATM_Conf!$C$5/(ATM_Conf!$C$8*Links!T$191))*(Nodes!BR75-Links!T75)/(Links!T75/ATM_Conf!$C$10)</f>
        <v>#DIV/0!</v>
      </c>
      <c r="AJ76" s="45" t="e">
        <f>AJ75+(ATM_Conf!$C$5/ATM_Conf!$C$8)*(Links!AY75*EXP((-(Links!U75/Links!BN75)^Links!CC75)/Links!CC75)-Links!AJ75)+(ATM_Conf!$C$5/Links!U$191)*Links!AJ75*(Nodes!BE75-Links!AJ75)-(ATM_Conf!$C$9*ATM_Conf!$C$5/(ATM_Conf!$C$8*Links!U$191))*(Nodes!BS75-Links!U75)/(Links!U75/ATM_Conf!$C$10)</f>
        <v>#DIV/0!</v>
      </c>
      <c r="AK76" s="45" t="e">
        <f>AK75+(ATM_Conf!$C$5/ATM_Conf!$C$8)*(Links!AZ75*EXP((-(Links!V75/Links!BO75)^Links!CD75)/Links!CD75)-Links!AK75)+(ATM_Conf!$C$5/Links!V$191)*Links!AK75*(Nodes!BF75-Links!AK75)-(ATM_Conf!$C$9*ATM_Conf!$C$5/(ATM_Conf!$C$8*Links!V$191))*(Nodes!BT75-Links!V75)/(Links!V75/ATM_Conf!$C$10)</f>
        <v>#DIV/0!</v>
      </c>
      <c r="AL76" s="45" t="e">
        <f>AL75+(ATM_Conf!$C$5/ATM_Conf!$C$8)*(Links!BA75*EXP((-(Links!W75/Links!BP75)^Links!CE75)/Links!CE75)-Links!AL75)+(ATM_Conf!$C$5/Links!W$191)*Links!AL75*(Nodes!BG75-Links!AL75)-(ATM_Conf!$C$9*ATM_Conf!$C$5/(ATM_Conf!$C$8*Links!W$191))*(Nodes!BU75-Links!W75)/(Links!W75/ATM_Conf!$C$10)</f>
        <v>#DIV/0!</v>
      </c>
      <c r="AM76" s="45" t="e">
        <f>AM75+(ATM_Conf!$C$5/ATM_Conf!$C$8)*(Links!BB75*EXP((-(Links!X75/Links!BQ75)^Links!CF75)/Links!CF75)-Links!AM75)+(ATM_Conf!$C$5/Links!X$191)*Links!AM75*(Nodes!BH75-Links!AM75)</f>
        <v>#DIV/0!</v>
      </c>
      <c r="AN76" s="45" t="e">
        <f>AN75+(ATM_Conf!$C$5/ATM_Conf!$C$8)*(Links!BC75*EXP((-(Links!Y75/Links!BR75)^Links!CG75)/Links!CG75)-Links!AN75)-(ATM_Conf!$C$9*ATM_Conf!$C$5/(ATM_Conf!$C$8*Links!Y$191))*(Nodes!BV75-Links!Y75)/(Links!Y75/ATM_Conf!$C$10)</f>
        <v>#DIV/0!</v>
      </c>
      <c r="AO76" s="45" t="e">
        <f>AO75+(ATM_Conf!$C$5/ATM_Conf!$C$8)*(Links!BD75*EXP((-(Links!Z75/Links!BS75)^Links!CH75)/Links!CH75)-Links!AO75)+(ATM_Conf!$C$5/Links!Z$191)*Links!AO75*(Nodes!BI75-Links!AO75)-(ATM_Conf!$C$9*ATM_Conf!$C$5/(ATM_Conf!$C$8*Links!Z$191))*(Nodes!BW75-Links!Z75)/(Links!Z75/ATM_Conf!$C$10)</f>
        <v>#DIV/0!</v>
      </c>
      <c r="AP76" s="45" t="e">
        <f>AP75+(ATM_Conf!$C$5/ATM_Conf!$C$8)*(Links!BE75*EXP((-(Links!AA75/Links!BT75)^Links!CI75)/Links!CI75)-Links!AP75)+(ATM_Conf!$C$5/Links!AA$191)*Links!AP75*(Nodes!BJ75-Links!AP75)-(ATM_Conf!$C$9*ATM_Conf!$C$5/(ATM_Conf!$C$8*Links!AA$191))*(Nodes!BX75-Links!AA75)/(Links!AA75/ATM_Conf!$C$10)</f>
        <v>#DIV/0!</v>
      </c>
      <c r="AQ76" s="45" t="e">
        <f>AQ75+(ATM_Conf!$C$5/ATM_Conf!$C$8)*(Links!BF75*EXP((-(Links!AB75/Links!BU75)^Links!CJ75)/Links!CJ75)-Links!AQ75)+(ATM_Conf!$C$5/Links!AB$191)*Links!AQ75*(Nodes!BK75-Links!AQ75)-(ATM_Conf!$C$9*ATM_Conf!$C$5/(ATM_Conf!$C$8*Links!AB$191))*(Nodes!BY75-Links!AB75)/(Links!AB75/ATM_Conf!$C$10)</f>
        <v>#DIV/0!</v>
      </c>
      <c r="AR76" s="45" t="e">
        <f>AR75+(ATM_Conf!$C$5/ATM_Conf!$C$8)*(Links!BG75*EXP((-(Links!AC75/Links!BV75)^Links!CK75)/Links!CK75)-Links!AR75)+(ATM_Conf!$C$5/Links!AC$191)*Links!AR75*(Nodes!BL75-Links!AR75)-(ATM_Conf!$C$9*ATM_Conf!$C$5/(ATM_Conf!$C$8*Links!AC$191))*(Nodes!BZ75-Links!AC75)/(Links!AC75/ATM_Conf!$C$10)</f>
        <v>#DIV/0!</v>
      </c>
      <c r="AS76" s="45" t="e">
        <f>AS75+(ATM_Conf!$C$5/ATM_Conf!$C$8)*(Links!BH75*EXP((-(Links!AD75/Links!BW75)^Links!CL75)/Links!CL75)-Links!AS75)+(ATM_Conf!$C$5/Links!AD$191)*Links!AS75*(Nodes!BM75-Links!AS75)-(ATM_Conf!$C$9*ATM_Conf!$C$5/(ATM_Conf!$C$8*Links!AD$191))*(Nodes!CA75-Links!AD75)/(Links!AD75/ATM_Conf!$C$10)</f>
        <v>#DIV/0!</v>
      </c>
      <c r="AT76" s="45" t="e">
        <f>AT75+(ATM_Conf!$C$5/ATM_Conf!$C$8)*(Links!BI75*EXP((-(Links!AE75/Links!BX75)^Links!CM75)/Links!CM75)-Links!AT75)+(ATM_Conf!$C$5/Links!AE$191)*Links!AT75*(Nodes!BN75-Links!AT75)</f>
        <v>#DIV/0!</v>
      </c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45"/>
      <c r="BK76" s="45"/>
      <c r="BL76" s="45"/>
      <c r="BM76" s="45"/>
      <c r="BN76" s="45"/>
      <c r="BO76" s="45"/>
      <c r="BP76" s="45"/>
      <c r="BQ76" s="45"/>
      <c r="BR76" s="45"/>
      <c r="BS76" s="45"/>
      <c r="BT76" s="45"/>
      <c r="BU76" s="45"/>
      <c r="BV76" s="45"/>
      <c r="BW76" s="45"/>
      <c r="BX76" s="4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45">
        <f>CN$75</f>
        <v>0</v>
      </c>
      <c r="CO76" s="45">
        <f t="shared" ref="CO76:DB76" si="50">CO$75</f>
        <v>0</v>
      </c>
      <c r="CP76" s="45">
        <f t="shared" si="50"/>
        <v>0</v>
      </c>
      <c r="CQ76" s="45">
        <f t="shared" si="50"/>
        <v>0</v>
      </c>
      <c r="CR76" s="45">
        <f t="shared" si="50"/>
        <v>0</v>
      </c>
      <c r="CS76" s="45">
        <f t="shared" si="50"/>
        <v>0</v>
      </c>
      <c r="CT76" s="45">
        <f t="shared" si="50"/>
        <v>0</v>
      </c>
      <c r="CU76" s="45">
        <f t="shared" si="50"/>
        <v>0</v>
      </c>
      <c r="CV76" s="45">
        <f t="shared" si="50"/>
        <v>0</v>
      </c>
      <c r="CW76" s="45">
        <f t="shared" si="50"/>
        <v>0</v>
      </c>
      <c r="CX76" s="45">
        <f t="shared" si="50"/>
        <v>0</v>
      </c>
      <c r="CY76" s="45">
        <f t="shared" si="50"/>
        <v>0</v>
      </c>
      <c r="CZ76" s="45">
        <f t="shared" si="50"/>
        <v>0</v>
      </c>
      <c r="DA76" s="45">
        <f t="shared" si="50"/>
        <v>0</v>
      </c>
      <c r="DB76" s="45">
        <f t="shared" si="50"/>
        <v>0</v>
      </c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</row>
    <row r="77" spans="1:121" ht="14.25" x14ac:dyDescent="0.15">
      <c r="A77" s="48">
        <v>75</v>
      </c>
      <c r="B77" s="45" t="e">
        <f t="shared" si="34"/>
        <v>#DIV/0!</v>
      </c>
      <c r="C77" s="45" t="e">
        <f t="shared" si="35"/>
        <v>#DIV/0!</v>
      </c>
      <c r="D77" s="45" t="e">
        <f t="shared" si="36"/>
        <v>#DIV/0!</v>
      </c>
      <c r="E77" s="45" t="e">
        <f t="shared" si="37"/>
        <v>#DIV/0!</v>
      </c>
      <c r="F77" s="45" t="e">
        <f t="shared" si="38"/>
        <v>#DIV/0!</v>
      </c>
      <c r="G77" s="45" t="e">
        <f t="shared" si="39"/>
        <v>#DIV/0!</v>
      </c>
      <c r="H77" s="45" t="e">
        <f t="shared" si="40"/>
        <v>#DIV/0!</v>
      </c>
      <c r="I77" s="45" t="e">
        <f t="shared" si="41"/>
        <v>#DIV/0!</v>
      </c>
      <c r="J77" s="45" t="e">
        <f t="shared" si="42"/>
        <v>#DIV/0!</v>
      </c>
      <c r="K77" s="45" t="e">
        <f t="shared" si="43"/>
        <v>#DIV/0!</v>
      </c>
      <c r="L77" s="45" t="e">
        <f t="shared" si="44"/>
        <v>#DIV/0!</v>
      </c>
      <c r="M77" s="45" t="e">
        <f t="shared" si="45"/>
        <v>#DIV/0!</v>
      </c>
      <c r="N77" s="45" t="e">
        <f t="shared" si="46"/>
        <v>#DIV/0!</v>
      </c>
      <c r="O77" s="45" t="e">
        <f t="shared" si="47"/>
        <v>#DIV/0!</v>
      </c>
      <c r="P77" s="45" t="e">
        <f t="shared" si="48"/>
        <v>#DIV/0!</v>
      </c>
      <c r="Q77" s="55" t="e">
        <f>Q76+ATM_Conf!$C$5*(B76)/(Links!B$191*Links!Q$191)</f>
        <v>#DIV/0!</v>
      </c>
      <c r="R77" s="55" t="e">
        <f>R76+ATM_Conf!$C$5*(C76-B76)/(Links!C$191*Links!R$191)</f>
        <v>#DIV/0!</v>
      </c>
      <c r="S77" s="55" t="e">
        <f>S76+ATM_Conf!$C$5*(D76-C76)/(Links!D$191*Links!S$191)</f>
        <v>#DIV/0!</v>
      </c>
      <c r="T77" s="55" t="e">
        <f>T76+ATM_Conf!$C$5*(E76-D76)/(Links!E$191*Links!T$191)</f>
        <v>#DIV/0!</v>
      </c>
      <c r="U77" s="55" t="e">
        <f>U76+ATM_Conf!$C$5*(F76-E76)/(Links!F$191*Links!U$191)</f>
        <v>#DIV/0!</v>
      </c>
      <c r="V77" s="55" t="e">
        <f>V76+ATM_Conf!$C$5*(G76-F76)/(Links!G$191*Links!V$191)</f>
        <v>#DIV/0!</v>
      </c>
      <c r="W77" s="55" t="e">
        <f>W76+ATM_Conf!$C$5*(H76-G76)/(Links!H$191*Links!W$191)</f>
        <v>#DIV/0!</v>
      </c>
      <c r="X77" s="55" t="e">
        <f>X76+ATM_Conf!$C$5*(I76-H76)/(Links!I$191*Links!X$191)</f>
        <v>#DIV/0!</v>
      </c>
      <c r="Y77" s="55" t="e">
        <f>Y76+ATM_Conf!$C$5*(J76)/(Links!J$191*Links!Y$191)</f>
        <v>#DIV/0!</v>
      </c>
      <c r="Z77" s="55" t="e">
        <f>Z76+ATM_Conf!$C$5*(K76-J76)/(Links!K$191*Links!Z$191)</f>
        <v>#DIV/0!</v>
      </c>
      <c r="AA77" s="55" t="e">
        <f>AA76+ATM_Conf!$C$5*(L76-K76)/(Links!L$191*Links!AA$191)</f>
        <v>#DIV/0!</v>
      </c>
      <c r="AB77" s="55" t="e">
        <f>AB76+ATM_Conf!$C$5*(M76-L76)/(Links!M$191*Links!AB$191)</f>
        <v>#DIV/0!</v>
      </c>
      <c r="AC77" s="55" t="e">
        <f>AC76+ATM_Conf!$C$5*(N76-M76)/(Links!N$191*Links!AC$191)</f>
        <v>#DIV/0!</v>
      </c>
      <c r="AD77" s="55" t="e">
        <f>AD76+ATM_Conf!$C$5*(O76-N76)/(Links!O$191*Links!AD$191)</f>
        <v>#DIV/0!</v>
      </c>
      <c r="AE77" s="55" t="e">
        <f>AE76+ATM_Conf!$C$5*(P76-O76)/(Links!P$191*Links!AE$191)</f>
        <v>#DIV/0!</v>
      </c>
      <c r="AF77" s="45" t="e">
        <f>AF76+(ATM_Conf!$C$5/ATM_Conf!$C$8)*(Links!AU76*EXP((-(Links!Q76/Links!BJ76)^Links!BY76)/Links!BY76)-Links!AF76)-(ATM_Conf!$C$9*ATM_Conf!$C$5/(ATM_Conf!$C$8*Links!Q$191))*(Nodes!BO76-Links!Q76)/(Links!Q76/ATM_Conf!$C$10)</f>
        <v>#DIV/0!</v>
      </c>
      <c r="AG77" s="45" t="e">
        <f>AG76+(ATM_Conf!$C$5/ATM_Conf!$C$8)*(Links!AV76*EXP((-(Links!R76/Links!BK76)^Links!BZ76)/Links!BZ76)-Links!AG76)+(ATM_Conf!$C$5/Links!R$191)*Links!AG76*(Nodes!BB76-Links!AG76)-(ATM_Conf!$C$9*ATM_Conf!$C$5/(ATM_Conf!$C$8*Links!R$191))*(Nodes!BP76-Links!R76)/(Links!R76/ATM_Conf!$C$10)</f>
        <v>#DIV/0!</v>
      </c>
      <c r="AH77" s="45" t="e">
        <f>AH76+(ATM_Conf!$C$5/ATM_Conf!$C$8)*(Links!AW76*EXP((-(Links!S76/Links!BL76)^Links!CA76)/Links!CA76)-Links!AH76)+(ATM_Conf!$C$5/Links!S$191)*Links!AH76*(Nodes!BC76-Links!AH76)-(ATM_Conf!$C$9*ATM_Conf!$C$5/(ATM_Conf!$C$8*Links!S$191))*(Nodes!BQ76-Links!S76)/(Links!S76/ATM_Conf!$C$10)</f>
        <v>#DIV/0!</v>
      </c>
      <c r="AI77" s="45" t="e">
        <f>AI76+(ATM_Conf!$C$5/ATM_Conf!$C$8)*(Links!AX76*EXP((-(Links!T76/Links!BM76)^Links!CB76)/Links!CB76)-Links!AI76)+(ATM_Conf!$C$5/Links!T$191)*Links!AI76*(Nodes!BD76-Links!AI76)-(ATM_Conf!$C$9*ATM_Conf!$C$5/(ATM_Conf!$C$8*Links!T$191))*(Nodes!BR76-Links!T76)/(Links!T76/ATM_Conf!$C$10)</f>
        <v>#DIV/0!</v>
      </c>
      <c r="AJ77" s="45" t="e">
        <f>AJ76+(ATM_Conf!$C$5/ATM_Conf!$C$8)*(Links!AY76*EXP((-(Links!U76/Links!BN76)^Links!CC76)/Links!CC76)-Links!AJ76)+(ATM_Conf!$C$5/Links!U$191)*Links!AJ76*(Nodes!BE76-Links!AJ76)-(ATM_Conf!$C$9*ATM_Conf!$C$5/(ATM_Conf!$C$8*Links!U$191))*(Nodes!BS76-Links!U76)/(Links!U76/ATM_Conf!$C$10)</f>
        <v>#DIV/0!</v>
      </c>
      <c r="AK77" s="45" t="e">
        <f>AK76+(ATM_Conf!$C$5/ATM_Conf!$C$8)*(Links!AZ76*EXP((-(Links!V76/Links!BO76)^Links!CD76)/Links!CD76)-Links!AK76)+(ATM_Conf!$C$5/Links!V$191)*Links!AK76*(Nodes!BF76-Links!AK76)-(ATM_Conf!$C$9*ATM_Conf!$C$5/(ATM_Conf!$C$8*Links!V$191))*(Nodes!BT76-Links!V76)/(Links!V76/ATM_Conf!$C$10)</f>
        <v>#DIV/0!</v>
      </c>
      <c r="AL77" s="45" t="e">
        <f>AL76+(ATM_Conf!$C$5/ATM_Conf!$C$8)*(Links!BA76*EXP((-(Links!W76/Links!BP76)^Links!CE76)/Links!CE76)-Links!AL76)+(ATM_Conf!$C$5/Links!W$191)*Links!AL76*(Nodes!BG76-Links!AL76)-(ATM_Conf!$C$9*ATM_Conf!$C$5/(ATM_Conf!$C$8*Links!W$191))*(Nodes!BU76-Links!W76)/(Links!W76/ATM_Conf!$C$10)</f>
        <v>#DIV/0!</v>
      </c>
      <c r="AM77" s="45" t="e">
        <f>AM76+(ATM_Conf!$C$5/ATM_Conf!$C$8)*(Links!BB76*EXP((-(Links!X76/Links!BQ76)^Links!CF76)/Links!CF76)-Links!AM76)+(ATM_Conf!$C$5/Links!X$191)*Links!AM76*(Nodes!BH76-Links!AM76)</f>
        <v>#DIV/0!</v>
      </c>
      <c r="AN77" s="45" t="e">
        <f>AN76+(ATM_Conf!$C$5/ATM_Conf!$C$8)*(Links!BC76*EXP((-(Links!Y76/Links!BR76)^Links!CG76)/Links!CG76)-Links!AN76)-(ATM_Conf!$C$9*ATM_Conf!$C$5/(ATM_Conf!$C$8*Links!Y$191))*(Nodes!BV76-Links!Y76)/(Links!Y76/ATM_Conf!$C$10)</f>
        <v>#DIV/0!</v>
      </c>
      <c r="AO77" s="45" t="e">
        <f>AO76+(ATM_Conf!$C$5/ATM_Conf!$C$8)*(Links!BD76*EXP((-(Links!Z76/Links!BS76)^Links!CH76)/Links!CH76)-Links!AO76)+(ATM_Conf!$C$5/Links!Z$191)*Links!AO76*(Nodes!BI76-Links!AO76)-(ATM_Conf!$C$9*ATM_Conf!$C$5/(ATM_Conf!$C$8*Links!Z$191))*(Nodes!BW76-Links!Z76)/(Links!Z76/ATM_Conf!$C$10)</f>
        <v>#DIV/0!</v>
      </c>
      <c r="AP77" s="45" t="e">
        <f>AP76+(ATM_Conf!$C$5/ATM_Conf!$C$8)*(Links!BE76*EXP((-(Links!AA76/Links!BT76)^Links!CI76)/Links!CI76)-Links!AP76)+(ATM_Conf!$C$5/Links!AA$191)*Links!AP76*(Nodes!BJ76-Links!AP76)-(ATM_Conf!$C$9*ATM_Conf!$C$5/(ATM_Conf!$C$8*Links!AA$191))*(Nodes!BX76-Links!AA76)/(Links!AA76/ATM_Conf!$C$10)</f>
        <v>#DIV/0!</v>
      </c>
      <c r="AQ77" s="45" t="e">
        <f>AQ76+(ATM_Conf!$C$5/ATM_Conf!$C$8)*(Links!BF76*EXP((-(Links!AB76/Links!BU76)^Links!CJ76)/Links!CJ76)-Links!AQ76)+(ATM_Conf!$C$5/Links!AB$191)*Links!AQ76*(Nodes!BK76-Links!AQ76)-(ATM_Conf!$C$9*ATM_Conf!$C$5/(ATM_Conf!$C$8*Links!AB$191))*(Nodes!BY76-Links!AB76)/(Links!AB76/ATM_Conf!$C$10)</f>
        <v>#DIV/0!</v>
      </c>
      <c r="AR77" s="45" t="e">
        <f>AR76+(ATM_Conf!$C$5/ATM_Conf!$C$8)*(Links!BG76*EXP((-(Links!AC76/Links!BV76)^Links!CK76)/Links!CK76)-Links!AR76)+(ATM_Conf!$C$5/Links!AC$191)*Links!AR76*(Nodes!BL76-Links!AR76)-(ATM_Conf!$C$9*ATM_Conf!$C$5/(ATM_Conf!$C$8*Links!AC$191))*(Nodes!BZ76-Links!AC76)/(Links!AC76/ATM_Conf!$C$10)</f>
        <v>#DIV/0!</v>
      </c>
      <c r="AS77" s="45" t="e">
        <f>AS76+(ATM_Conf!$C$5/ATM_Conf!$C$8)*(Links!BH76*EXP((-(Links!AD76/Links!BW76)^Links!CL76)/Links!CL76)-Links!AS76)+(ATM_Conf!$C$5/Links!AD$191)*Links!AS76*(Nodes!BM76-Links!AS76)-(ATM_Conf!$C$9*ATM_Conf!$C$5/(ATM_Conf!$C$8*Links!AD$191))*(Nodes!CA76-Links!AD76)/(Links!AD76/ATM_Conf!$C$10)</f>
        <v>#DIV/0!</v>
      </c>
      <c r="AT77" s="45" t="e">
        <f>AT76+(ATM_Conf!$C$5/ATM_Conf!$C$8)*(Links!BI76*EXP((-(Links!AE76/Links!BX76)^Links!CM76)/Links!CM76)-Links!AT76)+(ATM_Conf!$C$5/Links!AE$191)*Links!AT76*(Nodes!BN76-Links!AT76)</f>
        <v>#DIV/0!</v>
      </c>
      <c r="AU77" s="55"/>
      <c r="AV77" s="55"/>
      <c r="AW77" s="55"/>
      <c r="AX77" s="55"/>
      <c r="AY77" s="55"/>
      <c r="AZ77" s="55"/>
      <c r="BA77" s="55"/>
      <c r="BB77" s="55"/>
      <c r="BC77" s="55"/>
      <c r="BD77" s="55"/>
      <c r="BE77" s="55"/>
      <c r="BF77" s="55"/>
      <c r="BG77" s="55"/>
      <c r="BH77" s="55"/>
      <c r="BI77" s="55"/>
      <c r="BJ77" s="45"/>
      <c r="BK77" s="45"/>
      <c r="BL77" s="45"/>
      <c r="BM77" s="45"/>
      <c r="BN77" s="45"/>
      <c r="BO77" s="45"/>
      <c r="BP77" s="45"/>
      <c r="BQ77" s="45"/>
      <c r="BR77" s="45"/>
      <c r="BS77" s="45"/>
      <c r="BT77" s="45"/>
      <c r="BU77" s="45"/>
      <c r="BV77" s="45"/>
      <c r="BW77" s="45"/>
      <c r="BX77" s="45"/>
      <c r="BY77" s="55"/>
      <c r="BZ77" s="55"/>
      <c r="CA77" s="55"/>
      <c r="CB77" s="55"/>
      <c r="CC77" s="55"/>
      <c r="CD77" s="55"/>
      <c r="CE77" s="55"/>
      <c r="CF77" s="55"/>
      <c r="CG77" s="55"/>
      <c r="CH77" s="55"/>
      <c r="CI77" s="55"/>
      <c r="CJ77" s="55"/>
      <c r="CK77" s="55"/>
      <c r="CL77" s="55"/>
      <c r="CM77" s="55"/>
      <c r="CN77" s="45">
        <f t="shared" ref="CN77:DB86" si="51">CN$75</f>
        <v>0</v>
      </c>
      <c r="CO77" s="45">
        <f t="shared" si="51"/>
        <v>0</v>
      </c>
      <c r="CP77" s="45">
        <f t="shared" si="51"/>
        <v>0</v>
      </c>
      <c r="CQ77" s="45">
        <f t="shared" si="51"/>
        <v>0</v>
      </c>
      <c r="CR77" s="45">
        <f t="shared" si="51"/>
        <v>0</v>
      </c>
      <c r="CS77" s="45">
        <f t="shared" si="51"/>
        <v>0</v>
      </c>
      <c r="CT77" s="45">
        <f t="shared" si="51"/>
        <v>0</v>
      </c>
      <c r="CU77" s="45">
        <f t="shared" si="51"/>
        <v>0</v>
      </c>
      <c r="CV77" s="45">
        <f t="shared" si="51"/>
        <v>0</v>
      </c>
      <c r="CW77" s="45">
        <f t="shared" si="51"/>
        <v>0</v>
      </c>
      <c r="CX77" s="45">
        <f t="shared" si="51"/>
        <v>0</v>
      </c>
      <c r="CY77" s="45">
        <f t="shared" si="51"/>
        <v>0</v>
      </c>
      <c r="CZ77" s="45">
        <f t="shared" si="51"/>
        <v>0</v>
      </c>
      <c r="DA77" s="45">
        <f t="shared" si="51"/>
        <v>0</v>
      </c>
      <c r="DB77" s="45">
        <f t="shared" si="51"/>
        <v>0</v>
      </c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</row>
    <row r="78" spans="1:121" ht="14.25" x14ac:dyDescent="0.15">
      <c r="A78" s="48">
        <v>76</v>
      </c>
      <c r="B78" s="45" t="e">
        <f t="shared" si="34"/>
        <v>#DIV/0!</v>
      </c>
      <c r="C78" s="45" t="e">
        <f t="shared" si="35"/>
        <v>#DIV/0!</v>
      </c>
      <c r="D78" s="45" t="e">
        <f t="shared" si="36"/>
        <v>#DIV/0!</v>
      </c>
      <c r="E78" s="45" t="e">
        <f t="shared" si="37"/>
        <v>#DIV/0!</v>
      </c>
      <c r="F78" s="45" t="e">
        <f t="shared" si="38"/>
        <v>#DIV/0!</v>
      </c>
      <c r="G78" s="45" t="e">
        <f t="shared" si="39"/>
        <v>#DIV/0!</v>
      </c>
      <c r="H78" s="45" t="e">
        <f t="shared" si="40"/>
        <v>#DIV/0!</v>
      </c>
      <c r="I78" s="45" t="e">
        <f t="shared" si="41"/>
        <v>#DIV/0!</v>
      </c>
      <c r="J78" s="45" t="e">
        <f t="shared" si="42"/>
        <v>#DIV/0!</v>
      </c>
      <c r="K78" s="45" t="e">
        <f t="shared" si="43"/>
        <v>#DIV/0!</v>
      </c>
      <c r="L78" s="45" t="e">
        <f t="shared" si="44"/>
        <v>#DIV/0!</v>
      </c>
      <c r="M78" s="45" t="e">
        <f t="shared" si="45"/>
        <v>#DIV/0!</v>
      </c>
      <c r="N78" s="45" t="e">
        <f t="shared" si="46"/>
        <v>#DIV/0!</v>
      </c>
      <c r="O78" s="45" t="e">
        <f t="shared" si="47"/>
        <v>#DIV/0!</v>
      </c>
      <c r="P78" s="45" t="e">
        <f t="shared" si="48"/>
        <v>#DIV/0!</v>
      </c>
      <c r="Q78" s="55" t="e">
        <f>Q77+ATM_Conf!$C$5*(B77)/(Links!B$191*Links!Q$191)</f>
        <v>#DIV/0!</v>
      </c>
      <c r="R78" s="55" t="e">
        <f>R77+ATM_Conf!$C$5*(C77-B77)/(Links!C$191*Links!R$191)</f>
        <v>#DIV/0!</v>
      </c>
      <c r="S78" s="55" t="e">
        <f>S77+ATM_Conf!$C$5*(D77-C77)/(Links!D$191*Links!S$191)</f>
        <v>#DIV/0!</v>
      </c>
      <c r="T78" s="55" t="e">
        <f>T77+ATM_Conf!$C$5*(E77-D77)/(Links!E$191*Links!T$191)</f>
        <v>#DIV/0!</v>
      </c>
      <c r="U78" s="55" t="e">
        <f>U77+ATM_Conf!$C$5*(F77-E77)/(Links!F$191*Links!U$191)</f>
        <v>#DIV/0!</v>
      </c>
      <c r="V78" s="55" t="e">
        <f>V77+ATM_Conf!$C$5*(G77-F77)/(Links!G$191*Links!V$191)</f>
        <v>#DIV/0!</v>
      </c>
      <c r="W78" s="55" t="e">
        <f>W77+ATM_Conf!$C$5*(H77-G77)/(Links!H$191*Links!W$191)</f>
        <v>#DIV/0!</v>
      </c>
      <c r="X78" s="55" t="e">
        <f>X77+ATM_Conf!$C$5*(I77-H77)/(Links!I$191*Links!X$191)</f>
        <v>#DIV/0!</v>
      </c>
      <c r="Y78" s="55" t="e">
        <f>Y77+ATM_Conf!$C$5*(J77)/(Links!J$191*Links!Y$191)</f>
        <v>#DIV/0!</v>
      </c>
      <c r="Z78" s="55" t="e">
        <f>Z77+ATM_Conf!$C$5*(K77-J77)/(Links!K$191*Links!Z$191)</f>
        <v>#DIV/0!</v>
      </c>
      <c r="AA78" s="55" t="e">
        <f>AA77+ATM_Conf!$C$5*(L77-K77)/(Links!L$191*Links!AA$191)</f>
        <v>#DIV/0!</v>
      </c>
      <c r="AB78" s="55" t="e">
        <f>AB77+ATM_Conf!$C$5*(M77-L77)/(Links!M$191*Links!AB$191)</f>
        <v>#DIV/0!</v>
      </c>
      <c r="AC78" s="55" t="e">
        <f>AC77+ATM_Conf!$C$5*(N77-M77)/(Links!N$191*Links!AC$191)</f>
        <v>#DIV/0!</v>
      </c>
      <c r="AD78" s="55" t="e">
        <f>AD77+ATM_Conf!$C$5*(O77-N77)/(Links!O$191*Links!AD$191)</f>
        <v>#DIV/0!</v>
      </c>
      <c r="AE78" s="55" t="e">
        <f>AE77+ATM_Conf!$C$5*(P77-O77)/(Links!P$191*Links!AE$191)</f>
        <v>#DIV/0!</v>
      </c>
      <c r="AF78" s="45" t="e">
        <f>AF77+(ATM_Conf!$C$5/ATM_Conf!$C$8)*(Links!AU77*EXP((-(Links!Q77/Links!BJ77)^Links!BY77)/Links!BY77)-Links!AF77)-(ATM_Conf!$C$9*ATM_Conf!$C$5/(ATM_Conf!$C$8*Links!Q$191))*(Nodes!BO77-Links!Q77)/(Links!Q77/ATM_Conf!$C$10)</f>
        <v>#DIV/0!</v>
      </c>
      <c r="AG78" s="45" t="e">
        <f>AG77+(ATM_Conf!$C$5/ATM_Conf!$C$8)*(Links!AV77*EXP((-(Links!R77/Links!BK77)^Links!BZ77)/Links!BZ77)-Links!AG77)+(ATM_Conf!$C$5/Links!R$191)*Links!AG77*(Nodes!BB77-Links!AG77)-(ATM_Conf!$C$9*ATM_Conf!$C$5/(ATM_Conf!$C$8*Links!R$191))*(Nodes!BP77-Links!R77)/(Links!R77/ATM_Conf!$C$10)</f>
        <v>#DIV/0!</v>
      </c>
      <c r="AH78" s="45" t="e">
        <f>AH77+(ATM_Conf!$C$5/ATM_Conf!$C$8)*(Links!AW77*EXP((-(Links!S77/Links!BL77)^Links!CA77)/Links!CA77)-Links!AH77)+(ATM_Conf!$C$5/Links!S$191)*Links!AH77*(Nodes!BC77-Links!AH77)-(ATM_Conf!$C$9*ATM_Conf!$C$5/(ATM_Conf!$C$8*Links!S$191))*(Nodes!BQ77-Links!S77)/(Links!S77/ATM_Conf!$C$10)</f>
        <v>#DIV/0!</v>
      </c>
      <c r="AI78" s="45" t="e">
        <f>AI77+(ATM_Conf!$C$5/ATM_Conf!$C$8)*(Links!AX77*EXP((-(Links!T77/Links!BM77)^Links!CB77)/Links!CB77)-Links!AI77)+(ATM_Conf!$C$5/Links!T$191)*Links!AI77*(Nodes!BD77-Links!AI77)-(ATM_Conf!$C$9*ATM_Conf!$C$5/(ATM_Conf!$C$8*Links!T$191))*(Nodes!BR77-Links!T77)/(Links!T77/ATM_Conf!$C$10)</f>
        <v>#DIV/0!</v>
      </c>
      <c r="AJ78" s="45" t="e">
        <f>AJ77+(ATM_Conf!$C$5/ATM_Conf!$C$8)*(Links!AY77*EXP((-(Links!U77/Links!BN77)^Links!CC77)/Links!CC77)-Links!AJ77)+(ATM_Conf!$C$5/Links!U$191)*Links!AJ77*(Nodes!BE77-Links!AJ77)-(ATM_Conf!$C$9*ATM_Conf!$C$5/(ATM_Conf!$C$8*Links!U$191))*(Nodes!BS77-Links!U77)/(Links!U77/ATM_Conf!$C$10)</f>
        <v>#DIV/0!</v>
      </c>
      <c r="AK78" s="45" t="e">
        <f>AK77+(ATM_Conf!$C$5/ATM_Conf!$C$8)*(Links!AZ77*EXP((-(Links!V77/Links!BO77)^Links!CD77)/Links!CD77)-Links!AK77)+(ATM_Conf!$C$5/Links!V$191)*Links!AK77*(Nodes!BF77-Links!AK77)-(ATM_Conf!$C$9*ATM_Conf!$C$5/(ATM_Conf!$C$8*Links!V$191))*(Nodes!BT77-Links!V77)/(Links!V77/ATM_Conf!$C$10)</f>
        <v>#DIV/0!</v>
      </c>
      <c r="AL78" s="45" t="e">
        <f>AL77+(ATM_Conf!$C$5/ATM_Conf!$C$8)*(Links!BA77*EXP((-(Links!W77/Links!BP77)^Links!CE77)/Links!CE77)-Links!AL77)+(ATM_Conf!$C$5/Links!W$191)*Links!AL77*(Nodes!BG77-Links!AL77)-(ATM_Conf!$C$9*ATM_Conf!$C$5/(ATM_Conf!$C$8*Links!W$191))*(Nodes!BU77-Links!W77)/(Links!W77/ATM_Conf!$C$10)</f>
        <v>#DIV/0!</v>
      </c>
      <c r="AM78" s="45" t="e">
        <f>AM77+(ATM_Conf!$C$5/ATM_Conf!$C$8)*(Links!BB77*EXP((-(Links!X77/Links!BQ77)^Links!CF77)/Links!CF77)-Links!AM77)+(ATM_Conf!$C$5/Links!X$191)*Links!AM77*(Nodes!BH77-Links!AM77)</f>
        <v>#DIV/0!</v>
      </c>
      <c r="AN78" s="45" t="e">
        <f>AN77+(ATM_Conf!$C$5/ATM_Conf!$C$8)*(Links!BC77*EXP((-(Links!Y77/Links!BR77)^Links!CG77)/Links!CG77)-Links!AN77)-(ATM_Conf!$C$9*ATM_Conf!$C$5/(ATM_Conf!$C$8*Links!Y$191))*(Nodes!BV77-Links!Y77)/(Links!Y77/ATM_Conf!$C$10)</f>
        <v>#DIV/0!</v>
      </c>
      <c r="AO78" s="45" t="e">
        <f>AO77+(ATM_Conf!$C$5/ATM_Conf!$C$8)*(Links!BD77*EXP((-(Links!Z77/Links!BS77)^Links!CH77)/Links!CH77)-Links!AO77)+(ATM_Conf!$C$5/Links!Z$191)*Links!AO77*(Nodes!BI77-Links!AO77)-(ATM_Conf!$C$9*ATM_Conf!$C$5/(ATM_Conf!$C$8*Links!Z$191))*(Nodes!BW77-Links!Z77)/(Links!Z77/ATM_Conf!$C$10)</f>
        <v>#DIV/0!</v>
      </c>
      <c r="AP78" s="45" t="e">
        <f>AP77+(ATM_Conf!$C$5/ATM_Conf!$C$8)*(Links!BE77*EXP((-(Links!AA77/Links!BT77)^Links!CI77)/Links!CI77)-Links!AP77)+(ATM_Conf!$C$5/Links!AA$191)*Links!AP77*(Nodes!BJ77-Links!AP77)-(ATM_Conf!$C$9*ATM_Conf!$C$5/(ATM_Conf!$C$8*Links!AA$191))*(Nodes!BX77-Links!AA77)/(Links!AA77/ATM_Conf!$C$10)</f>
        <v>#DIV/0!</v>
      </c>
      <c r="AQ78" s="45" t="e">
        <f>AQ77+(ATM_Conf!$C$5/ATM_Conf!$C$8)*(Links!BF77*EXP((-(Links!AB77/Links!BU77)^Links!CJ77)/Links!CJ77)-Links!AQ77)+(ATM_Conf!$C$5/Links!AB$191)*Links!AQ77*(Nodes!BK77-Links!AQ77)-(ATM_Conf!$C$9*ATM_Conf!$C$5/(ATM_Conf!$C$8*Links!AB$191))*(Nodes!BY77-Links!AB77)/(Links!AB77/ATM_Conf!$C$10)</f>
        <v>#DIV/0!</v>
      </c>
      <c r="AR78" s="45" t="e">
        <f>AR77+(ATM_Conf!$C$5/ATM_Conf!$C$8)*(Links!BG77*EXP((-(Links!AC77/Links!BV77)^Links!CK77)/Links!CK77)-Links!AR77)+(ATM_Conf!$C$5/Links!AC$191)*Links!AR77*(Nodes!BL77-Links!AR77)-(ATM_Conf!$C$9*ATM_Conf!$C$5/(ATM_Conf!$C$8*Links!AC$191))*(Nodes!BZ77-Links!AC77)/(Links!AC77/ATM_Conf!$C$10)</f>
        <v>#DIV/0!</v>
      </c>
      <c r="AS78" s="45" t="e">
        <f>AS77+(ATM_Conf!$C$5/ATM_Conf!$C$8)*(Links!BH77*EXP((-(Links!AD77/Links!BW77)^Links!CL77)/Links!CL77)-Links!AS77)+(ATM_Conf!$C$5/Links!AD$191)*Links!AS77*(Nodes!BM77-Links!AS77)-(ATM_Conf!$C$9*ATM_Conf!$C$5/(ATM_Conf!$C$8*Links!AD$191))*(Nodes!CA77-Links!AD77)/(Links!AD77/ATM_Conf!$C$10)</f>
        <v>#DIV/0!</v>
      </c>
      <c r="AT78" s="45" t="e">
        <f>AT77+(ATM_Conf!$C$5/ATM_Conf!$C$8)*(Links!BI77*EXP((-(Links!AE77/Links!BX77)^Links!CM77)/Links!CM77)-Links!AT77)+(ATM_Conf!$C$5/Links!AE$191)*Links!AT77*(Nodes!BN77-Links!AT77)</f>
        <v>#DIV/0!</v>
      </c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  <c r="BJ78" s="45"/>
      <c r="BK78" s="45"/>
      <c r="BL78" s="45"/>
      <c r="BM78" s="45"/>
      <c r="BN78" s="45"/>
      <c r="BO78" s="45"/>
      <c r="BP78" s="45"/>
      <c r="BQ78" s="45"/>
      <c r="BR78" s="45"/>
      <c r="BS78" s="45"/>
      <c r="BT78" s="45"/>
      <c r="BU78" s="45"/>
      <c r="BV78" s="45"/>
      <c r="BW78" s="45"/>
      <c r="BX78" s="45"/>
      <c r="BY78" s="55"/>
      <c r="BZ78" s="55"/>
      <c r="CA78" s="55"/>
      <c r="CB78" s="55"/>
      <c r="CC78" s="55"/>
      <c r="CD78" s="55"/>
      <c r="CE78" s="55"/>
      <c r="CF78" s="55"/>
      <c r="CG78" s="55"/>
      <c r="CH78" s="55"/>
      <c r="CI78" s="55"/>
      <c r="CJ78" s="55"/>
      <c r="CK78" s="55"/>
      <c r="CL78" s="55"/>
      <c r="CM78" s="55"/>
      <c r="CN78" s="45">
        <f t="shared" si="51"/>
        <v>0</v>
      </c>
      <c r="CO78" s="45">
        <f t="shared" si="51"/>
        <v>0</v>
      </c>
      <c r="CP78" s="45">
        <f t="shared" si="51"/>
        <v>0</v>
      </c>
      <c r="CQ78" s="45">
        <f t="shared" si="51"/>
        <v>0</v>
      </c>
      <c r="CR78" s="45">
        <f t="shared" si="51"/>
        <v>0</v>
      </c>
      <c r="CS78" s="45">
        <f t="shared" si="51"/>
        <v>0</v>
      </c>
      <c r="CT78" s="45">
        <f t="shared" si="51"/>
        <v>0</v>
      </c>
      <c r="CU78" s="45">
        <f t="shared" si="51"/>
        <v>0</v>
      </c>
      <c r="CV78" s="45">
        <f t="shared" si="51"/>
        <v>0</v>
      </c>
      <c r="CW78" s="45">
        <f t="shared" si="51"/>
        <v>0</v>
      </c>
      <c r="CX78" s="45">
        <f t="shared" si="51"/>
        <v>0</v>
      </c>
      <c r="CY78" s="45">
        <f t="shared" si="51"/>
        <v>0</v>
      </c>
      <c r="CZ78" s="45">
        <f t="shared" si="51"/>
        <v>0</v>
      </c>
      <c r="DA78" s="45">
        <f t="shared" si="51"/>
        <v>0</v>
      </c>
      <c r="DB78" s="45">
        <f t="shared" si="51"/>
        <v>0</v>
      </c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</row>
    <row r="79" spans="1:121" ht="14.25" x14ac:dyDescent="0.15">
      <c r="A79" s="48">
        <v>77</v>
      </c>
      <c r="B79" s="45" t="e">
        <f t="shared" si="34"/>
        <v>#DIV/0!</v>
      </c>
      <c r="C79" s="45" t="e">
        <f t="shared" si="35"/>
        <v>#DIV/0!</v>
      </c>
      <c r="D79" s="45" t="e">
        <f t="shared" si="36"/>
        <v>#DIV/0!</v>
      </c>
      <c r="E79" s="45" t="e">
        <f t="shared" si="37"/>
        <v>#DIV/0!</v>
      </c>
      <c r="F79" s="45" t="e">
        <f t="shared" si="38"/>
        <v>#DIV/0!</v>
      </c>
      <c r="G79" s="45" t="e">
        <f t="shared" si="39"/>
        <v>#DIV/0!</v>
      </c>
      <c r="H79" s="45" t="e">
        <f t="shared" si="40"/>
        <v>#DIV/0!</v>
      </c>
      <c r="I79" s="45" t="e">
        <f t="shared" si="41"/>
        <v>#DIV/0!</v>
      </c>
      <c r="J79" s="45" t="e">
        <f t="shared" si="42"/>
        <v>#DIV/0!</v>
      </c>
      <c r="K79" s="45" t="e">
        <f t="shared" si="43"/>
        <v>#DIV/0!</v>
      </c>
      <c r="L79" s="45" t="e">
        <f t="shared" si="44"/>
        <v>#DIV/0!</v>
      </c>
      <c r="M79" s="45" t="e">
        <f t="shared" si="45"/>
        <v>#DIV/0!</v>
      </c>
      <c r="N79" s="45" t="e">
        <f t="shared" si="46"/>
        <v>#DIV/0!</v>
      </c>
      <c r="O79" s="45" t="e">
        <f t="shared" si="47"/>
        <v>#DIV/0!</v>
      </c>
      <c r="P79" s="45" t="e">
        <f t="shared" si="48"/>
        <v>#DIV/0!</v>
      </c>
      <c r="Q79" s="55" t="e">
        <f>Q78+ATM_Conf!$C$5*(B78)/(Links!B$191*Links!Q$191)</f>
        <v>#DIV/0!</v>
      </c>
      <c r="R79" s="55" t="e">
        <f>R78+ATM_Conf!$C$5*(C78-B78)/(Links!C$191*Links!R$191)</f>
        <v>#DIV/0!</v>
      </c>
      <c r="S79" s="55" t="e">
        <f>S78+ATM_Conf!$C$5*(D78-C78)/(Links!D$191*Links!S$191)</f>
        <v>#DIV/0!</v>
      </c>
      <c r="T79" s="55" t="e">
        <f>T78+ATM_Conf!$C$5*(E78-D78)/(Links!E$191*Links!T$191)</f>
        <v>#DIV/0!</v>
      </c>
      <c r="U79" s="55" t="e">
        <f>U78+ATM_Conf!$C$5*(F78-E78)/(Links!F$191*Links!U$191)</f>
        <v>#DIV/0!</v>
      </c>
      <c r="V79" s="55" t="e">
        <f>V78+ATM_Conf!$C$5*(G78-F78)/(Links!G$191*Links!V$191)</f>
        <v>#DIV/0!</v>
      </c>
      <c r="W79" s="55" t="e">
        <f>W78+ATM_Conf!$C$5*(H78-G78)/(Links!H$191*Links!W$191)</f>
        <v>#DIV/0!</v>
      </c>
      <c r="X79" s="55" t="e">
        <f>X78+ATM_Conf!$C$5*(I78-H78)/(Links!I$191*Links!X$191)</f>
        <v>#DIV/0!</v>
      </c>
      <c r="Y79" s="55" t="e">
        <f>Y78+ATM_Conf!$C$5*(J78)/(Links!J$191*Links!Y$191)</f>
        <v>#DIV/0!</v>
      </c>
      <c r="Z79" s="55" t="e">
        <f>Z78+ATM_Conf!$C$5*(K78-J78)/(Links!K$191*Links!Z$191)</f>
        <v>#DIV/0!</v>
      </c>
      <c r="AA79" s="55" t="e">
        <f>AA78+ATM_Conf!$C$5*(L78-K78)/(Links!L$191*Links!AA$191)</f>
        <v>#DIV/0!</v>
      </c>
      <c r="AB79" s="55" t="e">
        <f>AB78+ATM_Conf!$C$5*(M78-L78)/(Links!M$191*Links!AB$191)</f>
        <v>#DIV/0!</v>
      </c>
      <c r="AC79" s="55" t="e">
        <f>AC78+ATM_Conf!$C$5*(N78-M78)/(Links!N$191*Links!AC$191)</f>
        <v>#DIV/0!</v>
      </c>
      <c r="AD79" s="55" t="e">
        <f>AD78+ATM_Conf!$C$5*(O78-N78)/(Links!O$191*Links!AD$191)</f>
        <v>#DIV/0!</v>
      </c>
      <c r="AE79" s="55" t="e">
        <f>AE78+ATM_Conf!$C$5*(P78-O78)/(Links!P$191*Links!AE$191)</f>
        <v>#DIV/0!</v>
      </c>
      <c r="AF79" s="45" t="e">
        <f>AF78+(ATM_Conf!$C$5/ATM_Conf!$C$8)*(Links!AU78*EXP((-(Links!Q78/Links!BJ78)^Links!BY78)/Links!BY78)-Links!AF78)-(ATM_Conf!$C$9*ATM_Conf!$C$5/(ATM_Conf!$C$8*Links!Q$191))*(Nodes!BO78-Links!Q78)/(Links!Q78/ATM_Conf!$C$10)</f>
        <v>#DIV/0!</v>
      </c>
      <c r="AG79" s="45" t="e">
        <f>AG78+(ATM_Conf!$C$5/ATM_Conf!$C$8)*(Links!AV78*EXP((-(Links!R78/Links!BK78)^Links!BZ78)/Links!BZ78)-Links!AG78)+(ATM_Conf!$C$5/Links!R$191)*Links!AG78*(Nodes!BB78-Links!AG78)-(ATM_Conf!$C$9*ATM_Conf!$C$5/(ATM_Conf!$C$8*Links!R$191))*(Nodes!BP78-Links!R78)/(Links!R78/ATM_Conf!$C$10)</f>
        <v>#DIV/0!</v>
      </c>
      <c r="AH79" s="45" t="e">
        <f>AH78+(ATM_Conf!$C$5/ATM_Conf!$C$8)*(Links!AW78*EXP((-(Links!S78/Links!BL78)^Links!CA78)/Links!CA78)-Links!AH78)+(ATM_Conf!$C$5/Links!S$191)*Links!AH78*(Nodes!BC78-Links!AH78)-(ATM_Conf!$C$9*ATM_Conf!$C$5/(ATM_Conf!$C$8*Links!S$191))*(Nodes!BQ78-Links!S78)/(Links!S78/ATM_Conf!$C$10)</f>
        <v>#DIV/0!</v>
      </c>
      <c r="AI79" s="45" t="e">
        <f>AI78+(ATM_Conf!$C$5/ATM_Conf!$C$8)*(Links!AX78*EXP((-(Links!T78/Links!BM78)^Links!CB78)/Links!CB78)-Links!AI78)+(ATM_Conf!$C$5/Links!T$191)*Links!AI78*(Nodes!BD78-Links!AI78)-(ATM_Conf!$C$9*ATM_Conf!$C$5/(ATM_Conf!$C$8*Links!T$191))*(Nodes!BR78-Links!T78)/(Links!T78/ATM_Conf!$C$10)</f>
        <v>#DIV/0!</v>
      </c>
      <c r="AJ79" s="45" t="e">
        <f>AJ78+(ATM_Conf!$C$5/ATM_Conf!$C$8)*(Links!AY78*EXP((-(Links!U78/Links!BN78)^Links!CC78)/Links!CC78)-Links!AJ78)+(ATM_Conf!$C$5/Links!U$191)*Links!AJ78*(Nodes!BE78-Links!AJ78)-(ATM_Conf!$C$9*ATM_Conf!$C$5/(ATM_Conf!$C$8*Links!U$191))*(Nodes!BS78-Links!U78)/(Links!U78/ATM_Conf!$C$10)</f>
        <v>#DIV/0!</v>
      </c>
      <c r="AK79" s="45" t="e">
        <f>AK78+(ATM_Conf!$C$5/ATM_Conf!$C$8)*(Links!AZ78*EXP((-(Links!V78/Links!BO78)^Links!CD78)/Links!CD78)-Links!AK78)+(ATM_Conf!$C$5/Links!V$191)*Links!AK78*(Nodes!BF78-Links!AK78)-(ATM_Conf!$C$9*ATM_Conf!$C$5/(ATM_Conf!$C$8*Links!V$191))*(Nodes!BT78-Links!V78)/(Links!V78/ATM_Conf!$C$10)</f>
        <v>#DIV/0!</v>
      </c>
      <c r="AL79" s="45" t="e">
        <f>AL78+(ATM_Conf!$C$5/ATM_Conf!$C$8)*(Links!BA78*EXP((-(Links!W78/Links!BP78)^Links!CE78)/Links!CE78)-Links!AL78)+(ATM_Conf!$C$5/Links!W$191)*Links!AL78*(Nodes!BG78-Links!AL78)-(ATM_Conf!$C$9*ATM_Conf!$C$5/(ATM_Conf!$C$8*Links!W$191))*(Nodes!BU78-Links!W78)/(Links!W78/ATM_Conf!$C$10)</f>
        <v>#DIV/0!</v>
      </c>
      <c r="AM79" s="45" t="e">
        <f>AM78+(ATM_Conf!$C$5/ATM_Conf!$C$8)*(Links!BB78*EXP((-(Links!X78/Links!BQ78)^Links!CF78)/Links!CF78)-Links!AM78)+(ATM_Conf!$C$5/Links!X$191)*Links!AM78*(Nodes!BH78-Links!AM78)</f>
        <v>#DIV/0!</v>
      </c>
      <c r="AN79" s="45" t="e">
        <f>AN78+(ATM_Conf!$C$5/ATM_Conf!$C$8)*(Links!BC78*EXP((-(Links!Y78/Links!BR78)^Links!CG78)/Links!CG78)-Links!AN78)-(ATM_Conf!$C$9*ATM_Conf!$C$5/(ATM_Conf!$C$8*Links!Y$191))*(Nodes!BV78-Links!Y78)/(Links!Y78/ATM_Conf!$C$10)</f>
        <v>#DIV/0!</v>
      </c>
      <c r="AO79" s="45" t="e">
        <f>AO78+(ATM_Conf!$C$5/ATM_Conf!$C$8)*(Links!BD78*EXP((-(Links!Z78/Links!BS78)^Links!CH78)/Links!CH78)-Links!AO78)+(ATM_Conf!$C$5/Links!Z$191)*Links!AO78*(Nodes!BI78-Links!AO78)-(ATM_Conf!$C$9*ATM_Conf!$C$5/(ATM_Conf!$C$8*Links!Z$191))*(Nodes!BW78-Links!Z78)/(Links!Z78/ATM_Conf!$C$10)</f>
        <v>#DIV/0!</v>
      </c>
      <c r="AP79" s="45" t="e">
        <f>AP78+(ATM_Conf!$C$5/ATM_Conf!$C$8)*(Links!BE78*EXP((-(Links!AA78/Links!BT78)^Links!CI78)/Links!CI78)-Links!AP78)+(ATM_Conf!$C$5/Links!AA$191)*Links!AP78*(Nodes!BJ78-Links!AP78)-(ATM_Conf!$C$9*ATM_Conf!$C$5/(ATM_Conf!$C$8*Links!AA$191))*(Nodes!BX78-Links!AA78)/(Links!AA78/ATM_Conf!$C$10)</f>
        <v>#DIV/0!</v>
      </c>
      <c r="AQ79" s="45" t="e">
        <f>AQ78+(ATM_Conf!$C$5/ATM_Conf!$C$8)*(Links!BF78*EXP((-(Links!AB78/Links!BU78)^Links!CJ78)/Links!CJ78)-Links!AQ78)+(ATM_Conf!$C$5/Links!AB$191)*Links!AQ78*(Nodes!BK78-Links!AQ78)-(ATM_Conf!$C$9*ATM_Conf!$C$5/(ATM_Conf!$C$8*Links!AB$191))*(Nodes!BY78-Links!AB78)/(Links!AB78/ATM_Conf!$C$10)</f>
        <v>#DIV/0!</v>
      </c>
      <c r="AR79" s="45" t="e">
        <f>AR78+(ATM_Conf!$C$5/ATM_Conf!$C$8)*(Links!BG78*EXP((-(Links!AC78/Links!BV78)^Links!CK78)/Links!CK78)-Links!AR78)+(ATM_Conf!$C$5/Links!AC$191)*Links!AR78*(Nodes!BL78-Links!AR78)-(ATM_Conf!$C$9*ATM_Conf!$C$5/(ATM_Conf!$C$8*Links!AC$191))*(Nodes!BZ78-Links!AC78)/(Links!AC78/ATM_Conf!$C$10)</f>
        <v>#DIV/0!</v>
      </c>
      <c r="AS79" s="45" t="e">
        <f>AS78+(ATM_Conf!$C$5/ATM_Conf!$C$8)*(Links!BH78*EXP((-(Links!AD78/Links!BW78)^Links!CL78)/Links!CL78)-Links!AS78)+(ATM_Conf!$C$5/Links!AD$191)*Links!AS78*(Nodes!BM78-Links!AS78)-(ATM_Conf!$C$9*ATM_Conf!$C$5/(ATM_Conf!$C$8*Links!AD$191))*(Nodes!CA78-Links!AD78)/(Links!AD78/ATM_Conf!$C$10)</f>
        <v>#DIV/0!</v>
      </c>
      <c r="AT79" s="45" t="e">
        <f>AT78+(ATM_Conf!$C$5/ATM_Conf!$C$8)*(Links!BI78*EXP((-(Links!AE78/Links!BX78)^Links!CM78)/Links!CM78)-Links!AT78)+(ATM_Conf!$C$5/Links!AE$191)*Links!AT78*(Nodes!BN78-Links!AT78)</f>
        <v>#DIV/0!</v>
      </c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45">
        <f t="shared" si="51"/>
        <v>0</v>
      </c>
      <c r="CO79" s="45">
        <f t="shared" si="51"/>
        <v>0</v>
      </c>
      <c r="CP79" s="45">
        <f t="shared" si="51"/>
        <v>0</v>
      </c>
      <c r="CQ79" s="45">
        <f t="shared" si="51"/>
        <v>0</v>
      </c>
      <c r="CR79" s="45">
        <f t="shared" si="51"/>
        <v>0</v>
      </c>
      <c r="CS79" s="45">
        <f t="shared" si="51"/>
        <v>0</v>
      </c>
      <c r="CT79" s="45">
        <f t="shared" si="51"/>
        <v>0</v>
      </c>
      <c r="CU79" s="45">
        <f t="shared" si="51"/>
        <v>0</v>
      </c>
      <c r="CV79" s="45">
        <f t="shared" si="51"/>
        <v>0</v>
      </c>
      <c r="CW79" s="45">
        <f t="shared" si="51"/>
        <v>0</v>
      </c>
      <c r="CX79" s="45">
        <f t="shared" si="51"/>
        <v>0</v>
      </c>
      <c r="CY79" s="45">
        <f t="shared" si="51"/>
        <v>0</v>
      </c>
      <c r="CZ79" s="45">
        <f t="shared" si="51"/>
        <v>0</v>
      </c>
      <c r="DA79" s="45">
        <f t="shared" si="51"/>
        <v>0</v>
      </c>
      <c r="DB79" s="45">
        <f t="shared" si="51"/>
        <v>0</v>
      </c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</row>
    <row r="80" spans="1:121" ht="14.25" x14ac:dyDescent="0.15">
      <c r="A80" s="48">
        <v>78</v>
      </c>
      <c r="B80" s="45" t="e">
        <f t="shared" si="34"/>
        <v>#DIV/0!</v>
      </c>
      <c r="C80" s="45" t="e">
        <f t="shared" si="35"/>
        <v>#DIV/0!</v>
      </c>
      <c r="D80" s="45" t="e">
        <f t="shared" si="36"/>
        <v>#DIV/0!</v>
      </c>
      <c r="E80" s="45" t="e">
        <f t="shared" si="37"/>
        <v>#DIV/0!</v>
      </c>
      <c r="F80" s="45" t="e">
        <f t="shared" si="38"/>
        <v>#DIV/0!</v>
      </c>
      <c r="G80" s="45" t="e">
        <f t="shared" si="39"/>
        <v>#DIV/0!</v>
      </c>
      <c r="H80" s="45" t="e">
        <f t="shared" si="40"/>
        <v>#DIV/0!</v>
      </c>
      <c r="I80" s="45" t="e">
        <f t="shared" si="41"/>
        <v>#DIV/0!</v>
      </c>
      <c r="J80" s="45" t="e">
        <f t="shared" si="42"/>
        <v>#DIV/0!</v>
      </c>
      <c r="K80" s="45" t="e">
        <f t="shared" si="43"/>
        <v>#DIV/0!</v>
      </c>
      <c r="L80" s="45" t="e">
        <f t="shared" si="44"/>
        <v>#DIV/0!</v>
      </c>
      <c r="M80" s="45" t="e">
        <f t="shared" si="45"/>
        <v>#DIV/0!</v>
      </c>
      <c r="N80" s="45" t="e">
        <f t="shared" si="46"/>
        <v>#DIV/0!</v>
      </c>
      <c r="O80" s="45" t="e">
        <f t="shared" si="47"/>
        <v>#DIV/0!</v>
      </c>
      <c r="P80" s="45" t="e">
        <f t="shared" si="48"/>
        <v>#DIV/0!</v>
      </c>
      <c r="Q80" s="55" t="e">
        <f>Q79+ATM_Conf!$C$5*(B79)/(Links!B$191*Links!Q$191)</f>
        <v>#DIV/0!</v>
      </c>
      <c r="R80" s="55" t="e">
        <f>R79+ATM_Conf!$C$5*(C79-B79)/(Links!C$191*Links!R$191)</f>
        <v>#DIV/0!</v>
      </c>
      <c r="S80" s="55" t="e">
        <f>S79+ATM_Conf!$C$5*(D79-C79)/(Links!D$191*Links!S$191)</f>
        <v>#DIV/0!</v>
      </c>
      <c r="T80" s="55" t="e">
        <f>T79+ATM_Conf!$C$5*(E79-D79)/(Links!E$191*Links!T$191)</f>
        <v>#DIV/0!</v>
      </c>
      <c r="U80" s="55" t="e">
        <f>U79+ATM_Conf!$C$5*(F79-E79)/(Links!F$191*Links!U$191)</f>
        <v>#DIV/0!</v>
      </c>
      <c r="V80" s="55" t="e">
        <f>V79+ATM_Conf!$C$5*(G79-F79)/(Links!G$191*Links!V$191)</f>
        <v>#DIV/0!</v>
      </c>
      <c r="W80" s="55" t="e">
        <f>W79+ATM_Conf!$C$5*(H79-G79)/(Links!H$191*Links!W$191)</f>
        <v>#DIV/0!</v>
      </c>
      <c r="X80" s="55" t="e">
        <f>X79+ATM_Conf!$C$5*(I79-H79)/(Links!I$191*Links!X$191)</f>
        <v>#DIV/0!</v>
      </c>
      <c r="Y80" s="55" t="e">
        <f>Y79+ATM_Conf!$C$5*(J79)/(Links!J$191*Links!Y$191)</f>
        <v>#DIV/0!</v>
      </c>
      <c r="Z80" s="55" t="e">
        <f>Z79+ATM_Conf!$C$5*(K79-J79)/(Links!K$191*Links!Z$191)</f>
        <v>#DIV/0!</v>
      </c>
      <c r="AA80" s="55" t="e">
        <f>AA79+ATM_Conf!$C$5*(L79-K79)/(Links!L$191*Links!AA$191)</f>
        <v>#DIV/0!</v>
      </c>
      <c r="AB80" s="55" t="e">
        <f>AB79+ATM_Conf!$C$5*(M79-L79)/(Links!M$191*Links!AB$191)</f>
        <v>#DIV/0!</v>
      </c>
      <c r="AC80" s="55" t="e">
        <f>AC79+ATM_Conf!$C$5*(N79-M79)/(Links!N$191*Links!AC$191)</f>
        <v>#DIV/0!</v>
      </c>
      <c r="AD80" s="55" t="e">
        <f>AD79+ATM_Conf!$C$5*(O79-N79)/(Links!O$191*Links!AD$191)</f>
        <v>#DIV/0!</v>
      </c>
      <c r="AE80" s="55" t="e">
        <f>AE79+ATM_Conf!$C$5*(P79-O79)/(Links!P$191*Links!AE$191)</f>
        <v>#DIV/0!</v>
      </c>
      <c r="AF80" s="45" t="e">
        <f>AF79+(ATM_Conf!$C$5/ATM_Conf!$C$8)*(Links!AU79*EXP((-(Links!Q79/Links!BJ79)^Links!BY79)/Links!BY79)-Links!AF79)-(ATM_Conf!$C$9*ATM_Conf!$C$5/(ATM_Conf!$C$8*Links!Q$191))*(Nodes!BO79-Links!Q79)/(Links!Q79/ATM_Conf!$C$10)</f>
        <v>#DIV/0!</v>
      </c>
      <c r="AG80" s="45" t="e">
        <f>AG79+(ATM_Conf!$C$5/ATM_Conf!$C$8)*(Links!AV79*EXP((-(Links!R79/Links!BK79)^Links!BZ79)/Links!BZ79)-Links!AG79)+(ATM_Conf!$C$5/Links!R$191)*Links!AG79*(Nodes!BB79-Links!AG79)-(ATM_Conf!$C$9*ATM_Conf!$C$5/(ATM_Conf!$C$8*Links!R$191))*(Nodes!BP79-Links!R79)/(Links!R79/ATM_Conf!$C$10)</f>
        <v>#DIV/0!</v>
      </c>
      <c r="AH80" s="45" t="e">
        <f>AH79+(ATM_Conf!$C$5/ATM_Conf!$C$8)*(Links!AW79*EXP((-(Links!S79/Links!BL79)^Links!CA79)/Links!CA79)-Links!AH79)+(ATM_Conf!$C$5/Links!S$191)*Links!AH79*(Nodes!BC79-Links!AH79)-(ATM_Conf!$C$9*ATM_Conf!$C$5/(ATM_Conf!$C$8*Links!S$191))*(Nodes!BQ79-Links!S79)/(Links!S79/ATM_Conf!$C$10)</f>
        <v>#DIV/0!</v>
      </c>
      <c r="AI80" s="45" t="e">
        <f>AI79+(ATM_Conf!$C$5/ATM_Conf!$C$8)*(Links!AX79*EXP((-(Links!T79/Links!BM79)^Links!CB79)/Links!CB79)-Links!AI79)+(ATM_Conf!$C$5/Links!T$191)*Links!AI79*(Nodes!BD79-Links!AI79)-(ATM_Conf!$C$9*ATM_Conf!$C$5/(ATM_Conf!$C$8*Links!T$191))*(Nodes!BR79-Links!T79)/(Links!T79/ATM_Conf!$C$10)</f>
        <v>#DIV/0!</v>
      </c>
      <c r="AJ80" s="45" t="e">
        <f>AJ79+(ATM_Conf!$C$5/ATM_Conf!$C$8)*(Links!AY79*EXP((-(Links!U79/Links!BN79)^Links!CC79)/Links!CC79)-Links!AJ79)+(ATM_Conf!$C$5/Links!U$191)*Links!AJ79*(Nodes!BE79-Links!AJ79)-(ATM_Conf!$C$9*ATM_Conf!$C$5/(ATM_Conf!$C$8*Links!U$191))*(Nodes!BS79-Links!U79)/(Links!U79/ATM_Conf!$C$10)</f>
        <v>#DIV/0!</v>
      </c>
      <c r="AK80" s="45" t="e">
        <f>AK79+(ATM_Conf!$C$5/ATM_Conf!$C$8)*(Links!AZ79*EXP((-(Links!V79/Links!BO79)^Links!CD79)/Links!CD79)-Links!AK79)+(ATM_Conf!$C$5/Links!V$191)*Links!AK79*(Nodes!BF79-Links!AK79)-(ATM_Conf!$C$9*ATM_Conf!$C$5/(ATM_Conf!$C$8*Links!V$191))*(Nodes!BT79-Links!V79)/(Links!V79/ATM_Conf!$C$10)</f>
        <v>#DIV/0!</v>
      </c>
      <c r="AL80" s="45" t="e">
        <f>AL79+(ATM_Conf!$C$5/ATM_Conf!$C$8)*(Links!BA79*EXP((-(Links!W79/Links!BP79)^Links!CE79)/Links!CE79)-Links!AL79)+(ATM_Conf!$C$5/Links!W$191)*Links!AL79*(Nodes!BG79-Links!AL79)-(ATM_Conf!$C$9*ATM_Conf!$C$5/(ATM_Conf!$C$8*Links!W$191))*(Nodes!BU79-Links!W79)/(Links!W79/ATM_Conf!$C$10)</f>
        <v>#DIV/0!</v>
      </c>
      <c r="AM80" s="45" t="e">
        <f>AM79+(ATM_Conf!$C$5/ATM_Conf!$C$8)*(Links!BB79*EXP((-(Links!X79/Links!BQ79)^Links!CF79)/Links!CF79)-Links!AM79)+(ATM_Conf!$C$5/Links!X$191)*Links!AM79*(Nodes!BH79-Links!AM79)</f>
        <v>#DIV/0!</v>
      </c>
      <c r="AN80" s="45" t="e">
        <f>AN79+(ATM_Conf!$C$5/ATM_Conf!$C$8)*(Links!BC79*EXP((-(Links!Y79/Links!BR79)^Links!CG79)/Links!CG79)-Links!AN79)-(ATM_Conf!$C$9*ATM_Conf!$C$5/(ATM_Conf!$C$8*Links!Y$191))*(Nodes!BV79-Links!Y79)/(Links!Y79/ATM_Conf!$C$10)</f>
        <v>#DIV/0!</v>
      </c>
      <c r="AO80" s="45" t="e">
        <f>AO79+(ATM_Conf!$C$5/ATM_Conf!$C$8)*(Links!BD79*EXP((-(Links!Z79/Links!BS79)^Links!CH79)/Links!CH79)-Links!AO79)+(ATM_Conf!$C$5/Links!Z$191)*Links!AO79*(Nodes!BI79-Links!AO79)-(ATM_Conf!$C$9*ATM_Conf!$C$5/(ATM_Conf!$C$8*Links!Z$191))*(Nodes!BW79-Links!Z79)/(Links!Z79/ATM_Conf!$C$10)</f>
        <v>#DIV/0!</v>
      </c>
      <c r="AP80" s="45" t="e">
        <f>AP79+(ATM_Conf!$C$5/ATM_Conf!$C$8)*(Links!BE79*EXP((-(Links!AA79/Links!BT79)^Links!CI79)/Links!CI79)-Links!AP79)+(ATM_Conf!$C$5/Links!AA$191)*Links!AP79*(Nodes!BJ79-Links!AP79)-(ATM_Conf!$C$9*ATM_Conf!$C$5/(ATM_Conf!$C$8*Links!AA$191))*(Nodes!BX79-Links!AA79)/(Links!AA79/ATM_Conf!$C$10)</f>
        <v>#DIV/0!</v>
      </c>
      <c r="AQ80" s="45" t="e">
        <f>AQ79+(ATM_Conf!$C$5/ATM_Conf!$C$8)*(Links!BF79*EXP((-(Links!AB79/Links!BU79)^Links!CJ79)/Links!CJ79)-Links!AQ79)+(ATM_Conf!$C$5/Links!AB$191)*Links!AQ79*(Nodes!BK79-Links!AQ79)-(ATM_Conf!$C$9*ATM_Conf!$C$5/(ATM_Conf!$C$8*Links!AB$191))*(Nodes!BY79-Links!AB79)/(Links!AB79/ATM_Conf!$C$10)</f>
        <v>#DIV/0!</v>
      </c>
      <c r="AR80" s="45" t="e">
        <f>AR79+(ATM_Conf!$C$5/ATM_Conf!$C$8)*(Links!BG79*EXP((-(Links!AC79/Links!BV79)^Links!CK79)/Links!CK79)-Links!AR79)+(ATM_Conf!$C$5/Links!AC$191)*Links!AR79*(Nodes!BL79-Links!AR79)-(ATM_Conf!$C$9*ATM_Conf!$C$5/(ATM_Conf!$C$8*Links!AC$191))*(Nodes!BZ79-Links!AC79)/(Links!AC79/ATM_Conf!$C$10)</f>
        <v>#DIV/0!</v>
      </c>
      <c r="AS80" s="45" t="e">
        <f>AS79+(ATM_Conf!$C$5/ATM_Conf!$C$8)*(Links!BH79*EXP((-(Links!AD79/Links!BW79)^Links!CL79)/Links!CL79)-Links!AS79)+(ATM_Conf!$C$5/Links!AD$191)*Links!AS79*(Nodes!BM79-Links!AS79)-(ATM_Conf!$C$9*ATM_Conf!$C$5/(ATM_Conf!$C$8*Links!AD$191))*(Nodes!CA79-Links!AD79)/(Links!AD79/ATM_Conf!$C$10)</f>
        <v>#DIV/0!</v>
      </c>
      <c r="AT80" s="45" t="e">
        <f>AT79+(ATM_Conf!$C$5/ATM_Conf!$C$8)*(Links!BI79*EXP((-(Links!AE79/Links!BX79)^Links!CM79)/Links!CM79)-Links!AT79)+(ATM_Conf!$C$5/Links!AE$191)*Links!AT79*(Nodes!BN79-Links!AT79)</f>
        <v>#DIV/0!</v>
      </c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55"/>
      <c r="BZ80" s="55"/>
      <c r="CA80" s="55"/>
      <c r="CB80" s="55"/>
      <c r="CC80" s="55"/>
      <c r="CD80" s="55"/>
      <c r="CE80" s="55"/>
      <c r="CF80" s="55"/>
      <c r="CG80" s="55"/>
      <c r="CH80" s="55"/>
      <c r="CI80" s="55"/>
      <c r="CJ80" s="55"/>
      <c r="CK80" s="55"/>
      <c r="CL80" s="55"/>
      <c r="CM80" s="55"/>
      <c r="CN80" s="45">
        <f t="shared" si="51"/>
        <v>0</v>
      </c>
      <c r="CO80" s="45">
        <f t="shared" si="51"/>
        <v>0</v>
      </c>
      <c r="CP80" s="45">
        <f t="shared" si="51"/>
        <v>0</v>
      </c>
      <c r="CQ80" s="45">
        <f t="shared" si="51"/>
        <v>0</v>
      </c>
      <c r="CR80" s="45">
        <f t="shared" si="51"/>
        <v>0</v>
      </c>
      <c r="CS80" s="45">
        <f t="shared" si="51"/>
        <v>0</v>
      </c>
      <c r="CT80" s="45">
        <f t="shared" si="51"/>
        <v>0</v>
      </c>
      <c r="CU80" s="45">
        <f t="shared" si="51"/>
        <v>0</v>
      </c>
      <c r="CV80" s="45">
        <f t="shared" si="51"/>
        <v>0</v>
      </c>
      <c r="CW80" s="45">
        <f t="shared" si="51"/>
        <v>0</v>
      </c>
      <c r="CX80" s="45">
        <f t="shared" si="51"/>
        <v>0</v>
      </c>
      <c r="CY80" s="45">
        <f t="shared" si="51"/>
        <v>0</v>
      </c>
      <c r="CZ80" s="45">
        <f t="shared" si="51"/>
        <v>0</v>
      </c>
      <c r="DA80" s="45">
        <f t="shared" si="51"/>
        <v>0</v>
      </c>
      <c r="DB80" s="45">
        <f t="shared" si="51"/>
        <v>0</v>
      </c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</row>
    <row r="81" spans="1:121" ht="14.25" x14ac:dyDescent="0.15">
      <c r="A81" s="48">
        <v>79</v>
      </c>
      <c r="B81" s="45" t="e">
        <f t="shared" si="34"/>
        <v>#DIV/0!</v>
      </c>
      <c r="C81" s="45" t="e">
        <f t="shared" si="35"/>
        <v>#DIV/0!</v>
      </c>
      <c r="D81" s="45" t="e">
        <f t="shared" si="36"/>
        <v>#DIV/0!</v>
      </c>
      <c r="E81" s="45" t="e">
        <f t="shared" si="37"/>
        <v>#DIV/0!</v>
      </c>
      <c r="F81" s="45" t="e">
        <f t="shared" si="38"/>
        <v>#DIV/0!</v>
      </c>
      <c r="G81" s="45" t="e">
        <f t="shared" si="39"/>
        <v>#DIV/0!</v>
      </c>
      <c r="H81" s="45" t="e">
        <f t="shared" si="40"/>
        <v>#DIV/0!</v>
      </c>
      <c r="I81" s="45" t="e">
        <f t="shared" si="41"/>
        <v>#DIV/0!</v>
      </c>
      <c r="J81" s="45" t="e">
        <f t="shared" si="42"/>
        <v>#DIV/0!</v>
      </c>
      <c r="K81" s="45" t="e">
        <f t="shared" si="43"/>
        <v>#DIV/0!</v>
      </c>
      <c r="L81" s="45" t="e">
        <f t="shared" si="44"/>
        <v>#DIV/0!</v>
      </c>
      <c r="M81" s="45" t="e">
        <f t="shared" si="45"/>
        <v>#DIV/0!</v>
      </c>
      <c r="N81" s="45" t="e">
        <f t="shared" si="46"/>
        <v>#DIV/0!</v>
      </c>
      <c r="O81" s="45" t="e">
        <f t="shared" si="47"/>
        <v>#DIV/0!</v>
      </c>
      <c r="P81" s="45" t="e">
        <f t="shared" si="48"/>
        <v>#DIV/0!</v>
      </c>
      <c r="Q81" s="55" t="e">
        <f>Q80+ATM_Conf!$C$5*(B80)/(Links!B$191*Links!Q$191)</f>
        <v>#DIV/0!</v>
      </c>
      <c r="R81" s="55" t="e">
        <f>R80+ATM_Conf!$C$5*(C80-B80)/(Links!C$191*Links!R$191)</f>
        <v>#DIV/0!</v>
      </c>
      <c r="S81" s="55" t="e">
        <f>S80+ATM_Conf!$C$5*(D80-C80)/(Links!D$191*Links!S$191)</f>
        <v>#DIV/0!</v>
      </c>
      <c r="T81" s="55" t="e">
        <f>T80+ATM_Conf!$C$5*(E80-D80)/(Links!E$191*Links!T$191)</f>
        <v>#DIV/0!</v>
      </c>
      <c r="U81" s="55" t="e">
        <f>U80+ATM_Conf!$C$5*(F80-E80)/(Links!F$191*Links!U$191)</f>
        <v>#DIV/0!</v>
      </c>
      <c r="V81" s="55" t="e">
        <f>V80+ATM_Conf!$C$5*(G80-F80)/(Links!G$191*Links!V$191)</f>
        <v>#DIV/0!</v>
      </c>
      <c r="W81" s="55" t="e">
        <f>W80+ATM_Conf!$C$5*(H80-G80)/(Links!H$191*Links!W$191)</f>
        <v>#DIV/0!</v>
      </c>
      <c r="X81" s="55" t="e">
        <f>X80+ATM_Conf!$C$5*(I80-H80)/(Links!I$191*Links!X$191)</f>
        <v>#DIV/0!</v>
      </c>
      <c r="Y81" s="55" t="e">
        <f>Y80+ATM_Conf!$C$5*(J80)/(Links!J$191*Links!Y$191)</f>
        <v>#DIV/0!</v>
      </c>
      <c r="Z81" s="55" t="e">
        <f>Z80+ATM_Conf!$C$5*(K80-J80)/(Links!K$191*Links!Z$191)</f>
        <v>#DIV/0!</v>
      </c>
      <c r="AA81" s="55" t="e">
        <f>AA80+ATM_Conf!$C$5*(L80-K80)/(Links!L$191*Links!AA$191)</f>
        <v>#DIV/0!</v>
      </c>
      <c r="AB81" s="55" t="e">
        <f>AB80+ATM_Conf!$C$5*(M80-L80)/(Links!M$191*Links!AB$191)</f>
        <v>#DIV/0!</v>
      </c>
      <c r="AC81" s="55" t="e">
        <f>AC80+ATM_Conf!$C$5*(N80-M80)/(Links!N$191*Links!AC$191)</f>
        <v>#DIV/0!</v>
      </c>
      <c r="AD81" s="55" t="e">
        <f>AD80+ATM_Conf!$C$5*(O80-N80)/(Links!O$191*Links!AD$191)</f>
        <v>#DIV/0!</v>
      </c>
      <c r="AE81" s="55" t="e">
        <f>AE80+ATM_Conf!$C$5*(P80-O80)/(Links!P$191*Links!AE$191)</f>
        <v>#DIV/0!</v>
      </c>
      <c r="AF81" s="45" t="e">
        <f>AF80+(ATM_Conf!$C$5/ATM_Conf!$C$8)*(Links!AU80*EXP((-(Links!Q80/Links!BJ80)^Links!BY80)/Links!BY80)-Links!AF80)-(ATM_Conf!$C$9*ATM_Conf!$C$5/(ATM_Conf!$C$8*Links!Q$191))*(Nodes!BO80-Links!Q80)/(Links!Q80/ATM_Conf!$C$10)</f>
        <v>#DIV/0!</v>
      </c>
      <c r="AG81" s="45" t="e">
        <f>AG80+(ATM_Conf!$C$5/ATM_Conf!$C$8)*(Links!AV80*EXP((-(Links!R80/Links!BK80)^Links!BZ80)/Links!BZ80)-Links!AG80)+(ATM_Conf!$C$5/Links!R$191)*Links!AG80*(Nodes!BB80-Links!AG80)-(ATM_Conf!$C$9*ATM_Conf!$C$5/(ATM_Conf!$C$8*Links!R$191))*(Nodes!BP80-Links!R80)/(Links!R80/ATM_Conf!$C$10)</f>
        <v>#DIV/0!</v>
      </c>
      <c r="AH81" s="45" t="e">
        <f>AH80+(ATM_Conf!$C$5/ATM_Conf!$C$8)*(Links!AW80*EXP((-(Links!S80/Links!BL80)^Links!CA80)/Links!CA80)-Links!AH80)+(ATM_Conf!$C$5/Links!S$191)*Links!AH80*(Nodes!BC80-Links!AH80)-(ATM_Conf!$C$9*ATM_Conf!$C$5/(ATM_Conf!$C$8*Links!S$191))*(Nodes!BQ80-Links!S80)/(Links!S80/ATM_Conf!$C$10)</f>
        <v>#DIV/0!</v>
      </c>
      <c r="AI81" s="45" t="e">
        <f>AI80+(ATM_Conf!$C$5/ATM_Conf!$C$8)*(Links!AX80*EXP((-(Links!T80/Links!BM80)^Links!CB80)/Links!CB80)-Links!AI80)+(ATM_Conf!$C$5/Links!T$191)*Links!AI80*(Nodes!BD80-Links!AI80)-(ATM_Conf!$C$9*ATM_Conf!$C$5/(ATM_Conf!$C$8*Links!T$191))*(Nodes!BR80-Links!T80)/(Links!T80/ATM_Conf!$C$10)</f>
        <v>#DIV/0!</v>
      </c>
      <c r="AJ81" s="45" t="e">
        <f>AJ80+(ATM_Conf!$C$5/ATM_Conf!$C$8)*(Links!AY80*EXP((-(Links!U80/Links!BN80)^Links!CC80)/Links!CC80)-Links!AJ80)+(ATM_Conf!$C$5/Links!U$191)*Links!AJ80*(Nodes!BE80-Links!AJ80)-(ATM_Conf!$C$9*ATM_Conf!$C$5/(ATM_Conf!$C$8*Links!U$191))*(Nodes!BS80-Links!U80)/(Links!U80/ATM_Conf!$C$10)</f>
        <v>#DIV/0!</v>
      </c>
      <c r="AK81" s="45" t="e">
        <f>AK80+(ATM_Conf!$C$5/ATM_Conf!$C$8)*(Links!AZ80*EXP((-(Links!V80/Links!BO80)^Links!CD80)/Links!CD80)-Links!AK80)+(ATM_Conf!$C$5/Links!V$191)*Links!AK80*(Nodes!BF80-Links!AK80)-(ATM_Conf!$C$9*ATM_Conf!$C$5/(ATM_Conf!$C$8*Links!V$191))*(Nodes!BT80-Links!V80)/(Links!V80/ATM_Conf!$C$10)</f>
        <v>#DIV/0!</v>
      </c>
      <c r="AL81" s="45" t="e">
        <f>AL80+(ATM_Conf!$C$5/ATM_Conf!$C$8)*(Links!BA80*EXP((-(Links!W80/Links!BP80)^Links!CE80)/Links!CE80)-Links!AL80)+(ATM_Conf!$C$5/Links!W$191)*Links!AL80*(Nodes!BG80-Links!AL80)-(ATM_Conf!$C$9*ATM_Conf!$C$5/(ATM_Conf!$C$8*Links!W$191))*(Nodes!BU80-Links!W80)/(Links!W80/ATM_Conf!$C$10)</f>
        <v>#DIV/0!</v>
      </c>
      <c r="AM81" s="45" t="e">
        <f>AM80+(ATM_Conf!$C$5/ATM_Conf!$C$8)*(Links!BB80*EXP((-(Links!X80/Links!BQ80)^Links!CF80)/Links!CF80)-Links!AM80)+(ATM_Conf!$C$5/Links!X$191)*Links!AM80*(Nodes!BH80-Links!AM80)</f>
        <v>#DIV/0!</v>
      </c>
      <c r="AN81" s="45" t="e">
        <f>AN80+(ATM_Conf!$C$5/ATM_Conf!$C$8)*(Links!BC80*EXP((-(Links!Y80/Links!BR80)^Links!CG80)/Links!CG80)-Links!AN80)-(ATM_Conf!$C$9*ATM_Conf!$C$5/(ATM_Conf!$C$8*Links!Y$191))*(Nodes!BV80-Links!Y80)/(Links!Y80/ATM_Conf!$C$10)</f>
        <v>#DIV/0!</v>
      </c>
      <c r="AO81" s="45" t="e">
        <f>AO80+(ATM_Conf!$C$5/ATM_Conf!$C$8)*(Links!BD80*EXP((-(Links!Z80/Links!BS80)^Links!CH80)/Links!CH80)-Links!AO80)+(ATM_Conf!$C$5/Links!Z$191)*Links!AO80*(Nodes!BI80-Links!AO80)-(ATM_Conf!$C$9*ATM_Conf!$C$5/(ATM_Conf!$C$8*Links!Z$191))*(Nodes!BW80-Links!Z80)/(Links!Z80/ATM_Conf!$C$10)</f>
        <v>#DIV/0!</v>
      </c>
      <c r="AP81" s="45" t="e">
        <f>AP80+(ATM_Conf!$C$5/ATM_Conf!$C$8)*(Links!BE80*EXP((-(Links!AA80/Links!BT80)^Links!CI80)/Links!CI80)-Links!AP80)+(ATM_Conf!$C$5/Links!AA$191)*Links!AP80*(Nodes!BJ80-Links!AP80)-(ATM_Conf!$C$9*ATM_Conf!$C$5/(ATM_Conf!$C$8*Links!AA$191))*(Nodes!BX80-Links!AA80)/(Links!AA80/ATM_Conf!$C$10)</f>
        <v>#DIV/0!</v>
      </c>
      <c r="AQ81" s="45" t="e">
        <f>AQ80+(ATM_Conf!$C$5/ATM_Conf!$C$8)*(Links!BF80*EXP((-(Links!AB80/Links!BU80)^Links!CJ80)/Links!CJ80)-Links!AQ80)+(ATM_Conf!$C$5/Links!AB$191)*Links!AQ80*(Nodes!BK80-Links!AQ80)-(ATM_Conf!$C$9*ATM_Conf!$C$5/(ATM_Conf!$C$8*Links!AB$191))*(Nodes!BY80-Links!AB80)/(Links!AB80/ATM_Conf!$C$10)</f>
        <v>#DIV/0!</v>
      </c>
      <c r="AR81" s="45" t="e">
        <f>AR80+(ATM_Conf!$C$5/ATM_Conf!$C$8)*(Links!BG80*EXP((-(Links!AC80/Links!BV80)^Links!CK80)/Links!CK80)-Links!AR80)+(ATM_Conf!$C$5/Links!AC$191)*Links!AR80*(Nodes!BL80-Links!AR80)-(ATM_Conf!$C$9*ATM_Conf!$C$5/(ATM_Conf!$C$8*Links!AC$191))*(Nodes!BZ80-Links!AC80)/(Links!AC80/ATM_Conf!$C$10)</f>
        <v>#DIV/0!</v>
      </c>
      <c r="AS81" s="45" t="e">
        <f>AS80+(ATM_Conf!$C$5/ATM_Conf!$C$8)*(Links!BH80*EXP((-(Links!AD80/Links!BW80)^Links!CL80)/Links!CL80)-Links!AS80)+(ATM_Conf!$C$5/Links!AD$191)*Links!AS80*(Nodes!BM80-Links!AS80)-(ATM_Conf!$C$9*ATM_Conf!$C$5/(ATM_Conf!$C$8*Links!AD$191))*(Nodes!CA80-Links!AD80)/(Links!AD80/ATM_Conf!$C$10)</f>
        <v>#DIV/0!</v>
      </c>
      <c r="AT81" s="45" t="e">
        <f>AT80+(ATM_Conf!$C$5/ATM_Conf!$C$8)*(Links!BI80*EXP((-(Links!AE80/Links!BX80)^Links!CM80)/Links!CM80)-Links!AT80)+(ATM_Conf!$C$5/Links!AE$191)*Links!AT80*(Nodes!BN80-Links!AT80)</f>
        <v>#DIV/0!</v>
      </c>
      <c r="AU81" s="55"/>
      <c r="AV81" s="55"/>
      <c r="AW81" s="55"/>
      <c r="AX81" s="55"/>
      <c r="AY81" s="55"/>
      <c r="AZ81" s="55"/>
      <c r="BA81" s="55"/>
      <c r="BB81" s="55"/>
      <c r="BC81" s="55"/>
      <c r="BD81" s="55"/>
      <c r="BE81" s="55"/>
      <c r="BF81" s="55"/>
      <c r="BG81" s="55"/>
      <c r="BH81" s="55"/>
      <c r="BI81" s="55"/>
      <c r="BJ81" s="45"/>
      <c r="BK81" s="45"/>
      <c r="BL81" s="45"/>
      <c r="BM81" s="45"/>
      <c r="BN81" s="45"/>
      <c r="BO81" s="45"/>
      <c r="BP81" s="45"/>
      <c r="BQ81" s="45"/>
      <c r="BR81" s="45"/>
      <c r="BS81" s="45"/>
      <c r="BT81" s="45"/>
      <c r="BU81" s="45"/>
      <c r="BV81" s="45"/>
      <c r="BW81" s="45"/>
      <c r="BX81" s="45"/>
      <c r="BY81" s="55"/>
      <c r="BZ81" s="55"/>
      <c r="CA81" s="55"/>
      <c r="CB81" s="55"/>
      <c r="CC81" s="55"/>
      <c r="CD81" s="55"/>
      <c r="CE81" s="55"/>
      <c r="CF81" s="55"/>
      <c r="CG81" s="55"/>
      <c r="CH81" s="55"/>
      <c r="CI81" s="55"/>
      <c r="CJ81" s="55"/>
      <c r="CK81" s="55"/>
      <c r="CL81" s="55"/>
      <c r="CM81" s="55"/>
      <c r="CN81" s="45">
        <f t="shared" si="51"/>
        <v>0</v>
      </c>
      <c r="CO81" s="45">
        <f t="shared" si="51"/>
        <v>0</v>
      </c>
      <c r="CP81" s="45">
        <f t="shared" si="51"/>
        <v>0</v>
      </c>
      <c r="CQ81" s="45">
        <f t="shared" si="51"/>
        <v>0</v>
      </c>
      <c r="CR81" s="45">
        <f t="shared" si="51"/>
        <v>0</v>
      </c>
      <c r="CS81" s="45">
        <f t="shared" si="51"/>
        <v>0</v>
      </c>
      <c r="CT81" s="45">
        <f t="shared" si="51"/>
        <v>0</v>
      </c>
      <c r="CU81" s="45">
        <f t="shared" si="51"/>
        <v>0</v>
      </c>
      <c r="CV81" s="45">
        <f t="shared" si="51"/>
        <v>0</v>
      </c>
      <c r="CW81" s="45">
        <f t="shared" si="51"/>
        <v>0</v>
      </c>
      <c r="CX81" s="45">
        <f t="shared" si="51"/>
        <v>0</v>
      </c>
      <c r="CY81" s="45">
        <f t="shared" si="51"/>
        <v>0</v>
      </c>
      <c r="CZ81" s="45">
        <f t="shared" si="51"/>
        <v>0</v>
      </c>
      <c r="DA81" s="45">
        <f t="shared" si="51"/>
        <v>0</v>
      </c>
      <c r="DB81" s="45">
        <f t="shared" si="51"/>
        <v>0</v>
      </c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</row>
    <row r="82" spans="1:121" ht="14.25" x14ac:dyDescent="0.15">
      <c r="A82" s="48">
        <v>80</v>
      </c>
      <c r="B82" s="45" t="e">
        <f t="shared" si="34"/>
        <v>#DIV/0!</v>
      </c>
      <c r="C82" s="45" t="e">
        <f t="shared" si="35"/>
        <v>#DIV/0!</v>
      </c>
      <c r="D82" s="45" t="e">
        <f t="shared" si="36"/>
        <v>#DIV/0!</v>
      </c>
      <c r="E82" s="45" t="e">
        <f t="shared" si="37"/>
        <v>#DIV/0!</v>
      </c>
      <c r="F82" s="45" t="e">
        <f t="shared" si="38"/>
        <v>#DIV/0!</v>
      </c>
      <c r="G82" s="45" t="e">
        <f t="shared" si="39"/>
        <v>#DIV/0!</v>
      </c>
      <c r="H82" s="45" t="e">
        <f t="shared" si="40"/>
        <v>#DIV/0!</v>
      </c>
      <c r="I82" s="45" t="e">
        <f t="shared" si="41"/>
        <v>#DIV/0!</v>
      </c>
      <c r="J82" s="45" t="e">
        <f t="shared" si="42"/>
        <v>#DIV/0!</v>
      </c>
      <c r="K82" s="45" t="e">
        <f t="shared" si="43"/>
        <v>#DIV/0!</v>
      </c>
      <c r="L82" s="45" t="e">
        <f t="shared" si="44"/>
        <v>#DIV/0!</v>
      </c>
      <c r="M82" s="45" t="e">
        <f t="shared" si="45"/>
        <v>#DIV/0!</v>
      </c>
      <c r="N82" s="45" t="e">
        <f t="shared" si="46"/>
        <v>#DIV/0!</v>
      </c>
      <c r="O82" s="45" t="e">
        <f t="shared" si="47"/>
        <v>#DIV/0!</v>
      </c>
      <c r="P82" s="45" t="e">
        <f t="shared" si="48"/>
        <v>#DIV/0!</v>
      </c>
      <c r="Q82" s="55" t="e">
        <f>Q81+ATM_Conf!$C$5*(B81)/(Links!B$191*Links!Q$191)</f>
        <v>#DIV/0!</v>
      </c>
      <c r="R82" s="55" t="e">
        <f>R81+ATM_Conf!$C$5*(C81-B81)/(Links!C$191*Links!R$191)</f>
        <v>#DIV/0!</v>
      </c>
      <c r="S82" s="55" t="e">
        <f>S81+ATM_Conf!$C$5*(D81-C81)/(Links!D$191*Links!S$191)</f>
        <v>#DIV/0!</v>
      </c>
      <c r="T82" s="55" t="e">
        <f>T81+ATM_Conf!$C$5*(E81-D81)/(Links!E$191*Links!T$191)</f>
        <v>#DIV/0!</v>
      </c>
      <c r="U82" s="55" t="e">
        <f>U81+ATM_Conf!$C$5*(F81-E81)/(Links!F$191*Links!U$191)</f>
        <v>#DIV/0!</v>
      </c>
      <c r="V82" s="55" t="e">
        <f>V81+ATM_Conf!$C$5*(G81-F81)/(Links!G$191*Links!V$191)</f>
        <v>#DIV/0!</v>
      </c>
      <c r="W82" s="55" t="e">
        <f>W81+ATM_Conf!$C$5*(H81-G81)/(Links!H$191*Links!W$191)</f>
        <v>#DIV/0!</v>
      </c>
      <c r="X82" s="55" t="e">
        <f>X81+ATM_Conf!$C$5*(I81-H81)/(Links!I$191*Links!X$191)</f>
        <v>#DIV/0!</v>
      </c>
      <c r="Y82" s="55" t="e">
        <f>Y81+ATM_Conf!$C$5*(J81)/(Links!J$191*Links!Y$191)</f>
        <v>#DIV/0!</v>
      </c>
      <c r="Z82" s="55" t="e">
        <f>Z81+ATM_Conf!$C$5*(K81-J81)/(Links!K$191*Links!Z$191)</f>
        <v>#DIV/0!</v>
      </c>
      <c r="AA82" s="55" t="e">
        <f>AA81+ATM_Conf!$C$5*(L81-K81)/(Links!L$191*Links!AA$191)</f>
        <v>#DIV/0!</v>
      </c>
      <c r="AB82" s="55" t="e">
        <f>AB81+ATM_Conf!$C$5*(M81-L81)/(Links!M$191*Links!AB$191)</f>
        <v>#DIV/0!</v>
      </c>
      <c r="AC82" s="55" t="e">
        <f>AC81+ATM_Conf!$C$5*(N81-M81)/(Links!N$191*Links!AC$191)</f>
        <v>#DIV/0!</v>
      </c>
      <c r="AD82" s="55" t="e">
        <f>AD81+ATM_Conf!$C$5*(O81-N81)/(Links!O$191*Links!AD$191)</f>
        <v>#DIV/0!</v>
      </c>
      <c r="AE82" s="55" t="e">
        <f>AE81+ATM_Conf!$C$5*(P81-O81)/(Links!P$191*Links!AE$191)</f>
        <v>#DIV/0!</v>
      </c>
      <c r="AF82" s="45" t="e">
        <f>AF81+(ATM_Conf!$C$5/ATM_Conf!$C$8)*(Links!AU81*EXP((-(Links!Q81/Links!BJ81)^Links!BY81)/Links!BY81)-Links!AF81)-(ATM_Conf!$C$9*ATM_Conf!$C$5/(ATM_Conf!$C$8*Links!Q$191))*(Nodes!BO81-Links!Q81)/(Links!Q81/ATM_Conf!$C$10)</f>
        <v>#DIV/0!</v>
      </c>
      <c r="AG82" s="45" t="e">
        <f>AG81+(ATM_Conf!$C$5/ATM_Conf!$C$8)*(Links!AV81*EXP((-(Links!R81/Links!BK81)^Links!BZ81)/Links!BZ81)-Links!AG81)+(ATM_Conf!$C$5/Links!R$191)*Links!AG81*(Nodes!BB81-Links!AG81)-(ATM_Conf!$C$9*ATM_Conf!$C$5/(ATM_Conf!$C$8*Links!R$191))*(Nodes!BP81-Links!R81)/(Links!R81/ATM_Conf!$C$10)</f>
        <v>#DIV/0!</v>
      </c>
      <c r="AH82" s="45" t="e">
        <f>AH81+(ATM_Conf!$C$5/ATM_Conf!$C$8)*(Links!AW81*EXP((-(Links!S81/Links!BL81)^Links!CA81)/Links!CA81)-Links!AH81)+(ATM_Conf!$C$5/Links!S$191)*Links!AH81*(Nodes!BC81-Links!AH81)-(ATM_Conf!$C$9*ATM_Conf!$C$5/(ATM_Conf!$C$8*Links!S$191))*(Nodes!BQ81-Links!S81)/(Links!S81/ATM_Conf!$C$10)</f>
        <v>#DIV/0!</v>
      </c>
      <c r="AI82" s="45" t="e">
        <f>AI81+(ATM_Conf!$C$5/ATM_Conf!$C$8)*(Links!AX81*EXP((-(Links!T81/Links!BM81)^Links!CB81)/Links!CB81)-Links!AI81)+(ATM_Conf!$C$5/Links!T$191)*Links!AI81*(Nodes!BD81-Links!AI81)-(ATM_Conf!$C$9*ATM_Conf!$C$5/(ATM_Conf!$C$8*Links!T$191))*(Nodes!BR81-Links!T81)/(Links!T81/ATM_Conf!$C$10)</f>
        <v>#DIV/0!</v>
      </c>
      <c r="AJ82" s="45" t="e">
        <f>AJ81+(ATM_Conf!$C$5/ATM_Conf!$C$8)*(Links!AY81*EXP((-(Links!U81/Links!BN81)^Links!CC81)/Links!CC81)-Links!AJ81)+(ATM_Conf!$C$5/Links!U$191)*Links!AJ81*(Nodes!BE81-Links!AJ81)-(ATM_Conf!$C$9*ATM_Conf!$C$5/(ATM_Conf!$C$8*Links!U$191))*(Nodes!BS81-Links!U81)/(Links!U81/ATM_Conf!$C$10)</f>
        <v>#DIV/0!</v>
      </c>
      <c r="AK82" s="45" t="e">
        <f>AK81+(ATM_Conf!$C$5/ATM_Conf!$C$8)*(Links!AZ81*EXP((-(Links!V81/Links!BO81)^Links!CD81)/Links!CD81)-Links!AK81)+(ATM_Conf!$C$5/Links!V$191)*Links!AK81*(Nodes!BF81-Links!AK81)-(ATM_Conf!$C$9*ATM_Conf!$C$5/(ATM_Conf!$C$8*Links!V$191))*(Nodes!BT81-Links!V81)/(Links!V81/ATM_Conf!$C$10)</f>
        <v>#DIV/0!</v>
      </c>
      <c r="AL82" s="45" t="e">
        <f>AL81+(ATM_Conf!$C$5/ATM_Conf!$C$8)*(Links!BA81*EXP((-(Links!W81/Links!BP81)^Links!CE81)/Links!CE81)-Links!AL81)+(ATM_Conf!$C$5/Links!W$191)*Links!AL81*(Nodes!BG81-Links!AL81)-(ATM_Conf!$C$9*ATM_Conf!$C$5/(ATM_Conf!$C$8*Links!W$191))*(Nodes!BU81-Links!W81)/(Links!W81/ATM_Conf!$C$10)</f>
        <v>#DIV/0!</v>
      </c>
      <c r="AM82" s="45" t="e">
        <f>AM81+(ATM_Conf!$C$5/ATM_Conf!$C$8)*(Links!BB81*EXP((-(Links!X81/Links!BQ81)^Links!CF81)/Links!CF81)-Links!AM81)+(ATM_Conf!$C$5/Links!X$191)*Links!AM81*(Nodes!BH81-Links!AM81)</f>
        <v>#DIV/0!</v>
      </c>
      <c r="AN82" s="45" t="e">
        <f>AN81+(ATM_Conf!$C$5/ATM_Conf!$C$8)*(Links!BC81*EXP((-(Links!Y81/Links!BR81)^Links!CG81)/Links!CG81)-Links!AN81)-(ATM_Conf!$C$9*ATM_Conf!$C$5/(ATM_Conf!$C$8*Links!Y$191))*(Nodes!BV81-Links!Y81)/(Links!Y81/ATM_Conf!$C$10)</f>
        <v>#DIV/0!</v>
      </c>
      <c r="AO82" s="45" t="e">
        <f>AO81+(ATM_Conf!$C$5/ATM_Conf!$C$8)*(Links!BD81*EXP((-(Links!Z81/Links!BS81)^Links!CH81)/Links!CH81)-Links!AO81)+(ATM_Conf!$C$5/Links!Z$191)*Links!AO81*(Nodes!BI81-Links!AO81)-(ATM_Conf!$C$9*ATM_Conf!$C$5/(ATM_Conf!$C$8*Links!Z$191))*(Nodes!BW81-Links!Z81)/(Links!Z81/ATM_Conf!$C$10)</f>
        <v>#DIV/0!</v>
      </c>
      <c r="AP82" s="45" t="e">
        <f>AP81+(ATM_Conf!$C$5/ATM_Conf!$C$8)*(Links!BE81*EXP((-(Links!AA81/Links!BT81)^Links!CI81)/Links!CI81)-Links!AP81)+(ATM_Conf!$C$5/Links!AA$191)*Links!AP81*(Nodes!BJ81-Links!AP81)-(ATM_Conf!$C$9*ATM_Conf!$C$5/(ATM_Conf!$C$8*Links!AA$191))*(Nodes!BX81-Links!AA81)/(Links!AA81/ATM_Conf!$C$10)</f>
        <v>#DIV/0!</v>
      </c>
      <c r="AQ82" s="45" t="e">
        <f>AQ81+(ATM_Conf!$C$5/ATM_Conf!$C$8)*(Links!BF81*EXP((-(Links!AB81/Links!BU81)^Links!CJ81)/Links!CJ81)-Links!AQ81)+(ATM_Conf!$C$5/Links!AB$191)*Links!AQ81*(Nodes!BK81-Links!AQ81)-(ATM_Conf!$C$9*ATM_Conf!$C$5/(ATM_Conf!$C$8*Links!AB$191))*(Nodes!BY81-Links!AB81)/(Links!AB81/ATM_Conf!$C$10)</f>
        <v>#DIV/0!</v>
      </c>
      <c r="AR82" s="45" t="e">
        <f>AR81+(ATM_Conf!$C$5/ATM_Conf!$C$8)*(Links!BG81*EXP((-(Links!AC81/Links!BV81)^Links!CK81)/Links!CK81)-Links!AR81)+(ATM_Conf!$C$5/Links!AC$191)*Links!AR81*(Nodes!BL81-Links!AR81)-(ATM_Conf!$C$9*ATM_Conf!$C$5/(ATM_Conf!$C$8*Links!AC$191))*(Nodes!BZ81-Links!AC81)/(Links!AC81/ATM_Conf!$C$10)</f>
        <v>#DIV/0!</v>
      </c>
      <c r="AS82" s="45" t="e">
        <f>AS81+(ATM_Conf!$C$5/ATM_Conf!$C$8)*(Links!BH81*EXP((-(Links!AD81/Links!BW81)^Links!CL81)/Links!CL81)-Links!AS81)+(ATM_Conf!$C$5/Links!AD$191)*Links!AS81*(Nodes!BM81-Links!AS81)-(ATM_Conf!$C$9*ATM_Conf!$C$5/(ATM_Conf!$C$8*Links!AD$191))*(Nodes!CA81-Links!AD81)/(Links!AD81/ATM_Conf!$C$10)</f>
        <v>#DIV/0!</v>
      </c>
      <c r="AT82" s="45" t="e">
        <f>AT81+(ATM_Conf!$C$5/ATM_Conf!$C$8)*(Links!BI81*EXP((-(Links!AE81/Links!BX81)^Links!CM81)/Links!CM81)-Links!AT81)+(ATM_Conf!$C$5/Links!AE$191)*Links!AT81*(Nodes!BN81-Links!AT81)</f>
        <v>#DIV/0!</v>
      </c>
      <c r="AU82" s="55"/>
      <c r="AV82" s="55"/>
      <c r="AW82" s="55"/>
      <c r="AX82" s="55"/>
      <c r="AY82" s="55"/>
      <c r="AZ82" s="55"/>
      <c r="BA82" s="55"/>
      <c r="BB82" s="55"/>
      <c r="BC82" s="55"/>
      <c r="BD82" s="55"/>
      <c r="BE82" s="55"/>
      <c r="BF82" s="55"/>
      <c r="BG82" s="55"/>
      <c r="BH82" s="55"/>
      <c r="BI82" s="55"/>
      <c r="BJ82" s="45"/>
      <c r="BK82" s="45"/>
      <c r="BL82" s="45"/>
      <c r="BM82" s="45"/>
      <c r="BN82" s="45"/>
      <c r="BO82" s="45"/>
      <c r="BP82" s="45"/>
      <c r="BQ82" s="45"/>
      <c r="BR82" s="45"/>
      <c r="BS82" s="45"/>
      <c r="BT82" s="45"/>
      <c r="BU82" s="45"/>
      <c r="BV82" s="45"/>
      <c r="BW82" s="45"/>
      <c r="BX82" s="45"/>
      <c r="BY82" s="55"/>
      <c r="BZ82" s="55"/>
      <c r="CA82" s="55"/>
      <c r="CB82" s="55"/>
      <c r="CC82" s="55"/>
      <c r="CD82" s="55"/>
      <c r="CE82" s="55"/>
      <c r="CF82" s="55"/>
      <c r="CG82" s="55"/>
      <c r="CH82" s="55"/>
      <c r="CI82" s="55"/>
      <c r="CJ82" s="55"/>
      <c r="CK82" s="55"/>
      <c r="CL82" s="55"/>
      <c r="CM82" s="55"/>
      <c r="CN82" s="45">
        <f t="shared" si="51"/>
        <v>0</v>
      </c>
      <c r="CO82" s="45">
        <f t="shared" si="51"/>
        <v>0</v>
      </c>
      <c r="CP82" s="45">
        <f t="shared" si="51"/>
        <v>0</v>
      </c>
      <c r="CQ82" s="45">
        <f t="shared" si="51"/>
        <v>0</v>
      </c>
      <c r="CR82" s="45">
        <f t="shared" si="51"/>
        <v>0</v>
      </c>
      <c r="CS82" s="45">
        <f t="shared" si="51"/>
        <v>0</v>
      </c>
      <c r="CT82" s="45">
        <f t="shared" si="51"/>
        <v>0</v>
      </c>
      <c r="CU82" s="45">
        <f t="shared" si="51"/>
        <v>0</v>
      </c>
      <c r="CV82" s="45">
        <f t="shared" si="51"/>
        <v>0</v>
      </c>
      <c r="CW82" s="45">
        <f t="shared" si="51"/>
        <v>0</v>
      </c>
      <c r="CX82" s="45">
        <f t="shared" si="51"/>
        <v>0</v>
      </c>
      <c r="CY82" s="45">
        <f t="shared" si="51"/>
        <v>0</v>
      </c>
      <c r="CZ82" s="45">
        <f t="shared" si="51"/>
        <v>0</v>
      </c>
      <c r="DA82" s="45">
        <f t="shared" si="51"/>
        <v>0</v>
      </c>
      <c r="DB82" s="45">
        <f t="shared" si="51"/>
        <v>0</v>
      </c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</row>
    <row r="83" spans="1:121" ht="14.25" x14ac:dyDescent="0.15">
      <c r="A83" s="48">
        <v>81</v>
      </c>
      <c r="B83" s="45" t="e">
        <f t="shared" si="34"/>
        <v>#DIV/0!</v>
      </c>
      <c r="C83" s="45" t="e">
        <f t="shared" si="35"/>
        <v>#DIV/0!</v>
      </c>
      <c r="D83" s="45" t="e">
        <f t="shared" si="36"/>
        <v>#DIV/0!</v>
      </c>
      <c r="E83" s="45" t="e">
        <f t="shared" si="37"/>
        <v>#DIV/0!</v>
      </c>
      <c r="F83" s="45" t="e">
        <f t="shared" si="38"/>
        <v>#DIV/0!</v>
      </c>
      <c r="G83" s="45" t="e">
        <f t="shared" si="39"/>
        <v>#DIV/0!</v>
      </c>
      <c r="H83" s="45" t="e">
        <f t="shared" si="40"/>
        <v>#DIV/0!</v>
      </c>
      <c r="I83" s="45" t="e">
        <f t="shared" si="41"/>
        <v>#DIV/0!</v>
      </c>
      <c r="J83" s="45" t="e">
        <f t="shared" si="42"/>
        <v>#DIV/0!</v>
      </c>
      <c r="K83" s="45" t="e">
        <f t="shared" si="43"/>
        <v>#DIV/0!</v>
      </c>
      <c r="L83" s="45" t="e">
        <f t="shared" si="44"/>
        <v>#DIV/0!</v>
      </c>
      <c r="M83" s="45" t="e">
        <f t="shared" si="45"/>
        <v>#DIV/0!</v>
      </c>
      <c r="N83" s="45" t="e">
        <f t="shared" si="46"/>
        <v>#DIV/0!</v>
      </c>
      <c r="O83" s="45" t="e">
        <f t="shared" si="47"/>
        <v>#DIV/0!</v>
      </c>
      <c r="P83" s="45" t="e">
        <f t="shared" si="48"/>
        <v>#DIV/0!</v>
      </c>
      <c r="Q83" s="55" t="e">
        <f>Q82+ATM_Conf!$C$5*(B82)/(Links!B$191*Links!Q$191)</f>
        <v>#DIV/0!</v>
      </c>
      <c r="R83" s="55" t="e">
        <f>R82+ATM_Conf!$C$5*(C82-B82)/(Links!C$191*Links!R$191)</f>
        <v>#DIV/0!</v>
      </c>
      <c r="S83" s="55" t="e">
        <f>S82+ATM_Conf!$C$5*(D82-C82)/(Links!D$191*Links!S$191)</f>
        <v>#DIV/0!</v>
      </c>
      <c r="T83" s="55" t="e">
        <f>T82+ATM_Conf!$C$5*(E82-D82)/(Links!E$191*Links!T$191)</f>
        <v>#DIV/0!</v>
      </c>
      <c r="U83" s="55" t="e">
        <f>U82+ATM_Conf!$C$5*(F82-E82)/(Links!F$191*Links!U$191)</f>
        <v>#DIV/0!</v>
      </c>
      <c r="V83" s="55" t="e">
        <f>V82+ATM_Conf!$C$5*(G82-F82)/(Links!G$191*Links!V$191)</f>
        <v>#DIV/0!</v>
      </c>
      <c r="W83" s="55" t="e">
        <f>W82+ATM_Conf!$C$5*(H82-G82)/(Links!H$191*Links!W$191)</f>
        <v>#DIV/0!</v>
      </c>
      <c r="X83" s="55" t="e">
        <f>X82+ATM_Conf!$C$5*(I82-H82)/(Links!I$191*Links!X$191)</f>
        <v>#DIV/0!</v>
      </c>
      <c r="Y83" s="55" t="e">
        <f>Y82+ATM_Conf!$C$5*(J82)/(Links!J$191*Links!Y$191)</f>
        <v>#DIV/0!</v>
      </c>
      <c r="Z83" s="55" t="e">
        <f>Z82+ATM_Conf!$C$5*(K82-J82)/(Links!K$191*Links!Z$191)</f>
        <v>#DIV/0!</v>
      </c>
      <c r="AA83" s="55" t="e">
        <f>AA82+ATM_Conf!$C$5*(L82-K82)/(Links!L$191*Links!AA$191)</f>
        <v>#DIV/0!</v>
      </c>
      <c r="AB83" s="55" t="e">
        <f>AB82+ATM_Conf!$C$5*(M82-L82)/(Links!M$191*Links!AB$191)</f>
        <v>#DIV/0!</v>
      </c>
      <c r="AC83" s="55" t="e">
        <f>AC82+ATM_Conf!$C$5*(N82-M82)/(Links!N$191*Links!AC$191)</f>
        <v>#DIV/0!</v>
      </c>
      <c r="AD83" s="55" t="e">
        <f>AD82+ATM_Conf!$C$5*(O82-N82)/(Links!O$191*Links!AD$191)</f>
        <v>#DIV/0!</v>
      </c>
      <c r="AE83" s="55" t="e">
        <f>AE82+ATM_Conf!$C$5*(P82-O82)/(Links!P$191*Links!AE$191)</f>
        <v>#DIV/0!</v>
      </c>
      <c r="AF83" s="45" t="e">
        <f>AF82+(ATM_Conf!$C$5/ATM_Conf!$C$8)*(Links!AU82*EXP((-(Links!Q82/Links!BJ82)^Links!BY82)/Links!BY82)-Links!AF82)-(ATM_Conf!$C$9*ATM_Conf!$C$5/(ATM_Conf!$C$8*Links!Q$191))*(Nodes!BO82-Links!Q82)/(Links!Q82/ATM_Conf!$C$10)</f>
        <v>#DIV/0!</v>
      </c>
      <c r="AG83" s="45" t="e">
        <f>AG82+(ATM_Conf!$C$5/ATM_Conf!$C$8)*(Links!AV82*EXP((-(Links!R82/Links!BK82)^Links!BZ82)/Links!BZ82)-Links!AG82)+(ATM_Conf!$C$5/Links!R$191)*Links!AG82*(Nodes!BB82-Links!AG82)-(ATM_Conf!$C$9*ATM_Conf!$C$5/(ATM_Conf!$C$8*Links!R$191))*(Nodes!BP82-Links!R82)/(Links!R82/ATM_Conf!$C$10)</f>
        <v>#DIV/0!</v>
      </c>
      <c r="AH83" s="45" t="e">
        <f>AH82+(ATM_Conf!$C$5/ATM_Conf!$C$8)*(Links!AW82*EXP((-(Links!S82/Links!BL82)^Links!CA82)/Links!CA82)-Links!AH82)+(ATM_Conf!$C$5/Links!S$191)*Links!AH82*(Nodes!BC82-Links!AH82)-(ATM_Conf!$C$9*ATM_Conf!$C$5/(ATM_Conf!$C$8*Links!S$191))*(Nodes!BQ82-Links!S82)/(Links!S82/ATM_Conf!$C$10)</f>
        <v>#DIV/0!</v>
      </c>
      <c r="AI83" s="45" t="e">
        <f>AI82+(ATM_Conf!$C$5/ATM_Conf!$C$8)*(Links!AX82*EXP((-(Links!T82/Links!BM82)^Links!CB82)/Links!CB82)-Links!AI82)+(ATM_Conf!$C$5/Links!T$191)*Links!AI82*(Nodes!BD82-Links!AI82)-(ATM_Conf!$C$9*ATM_Conf!$C$5/(ATM_Conf!$C$8*Links!T$191))*(Nodes!BR82-Links!T82)/(Links!T82/ATM_Conf!$C$10)</f>
        <v>#DIV/0!</v>
      </c>
      <c r="AJ83" s="45" t="e">
        <f>AJ82+(ATM_Conf!$C$5/ATM_Conf!$C$8)*(Links!AY82*EXP((-(Links!U82/Links!BN82)^Links!CC82)/Links!CC82)-Links!AJ82)+(ATM_Conf!$C$5/Links!U$191)*Links!AJ82*(Nodes!BE82-Links!AJ82)-(ATM_Conf!$C$9*ATM_Conf!$C$5/(ATM_Conf!$C$8*Links!U$191))*(Nodes!BS82-Links!U82)/(Links!U82/ATM_Conf!$C$10)</f>
        <v>#DIV/0!</v>
      </c>
      <c r="AK83" s="45" t="e">
        <f>AK82+(ATM_Conf!$C$5/ATM_Conf!$C$8)*(Links!AZ82*EXP((-(Links!V82/Links!BO82)^Links!CD82)/Links!CD82)-Links!AK82)+(ATM_Conf!$C$5/Links!V$191)*Links!AK82*(Nodes!BF82-Links!AK82)-(ATM_Conf!$C$9*ATM_Conf!$C$5/(ATM_Conf!$C$8*Links!V$191))*(Nodes!BT82-Links!V82)/(Links!V82/ATM_Conf!$C$10)</f>
        <v>#DIV/0!</v>
      </c>
      <c r="AL83" s="45" t="e">
        <f>AL82+(ATM_Conf!$C$5/ATM_Conf!$C$8)*(Links!BA82*EXP((-(Links!W82/Links!BP82)^Links!CE82)/Links!CE82)-Links!AL82)+(ATM_Conf!$C$5/Links!W$191)*Links!AL82*(Nodes!BG82-Links!AL82)-(ATM_Conf!$C$9*ATM_Conf!$C$5/(ATM_Conf!$C$8*Links!W$191))*(Nodes!BU82-Links!W82)/(Links!W82/ATM_Conf!$C$10)</f>
        <v>#DIV/0!</v>
      </c>
      <c r="AM83" s="45" t="e">
        <f>AM82+(ATM_Conf!$C$5/ATM_Conf!$C$8)*(Links!BB82*EXP((-(Links!X82/Links!BQ82)^Links!CF82)/Links!CF82)-Links!AM82)+(ATM_Conf!$C$5/Links!X$191)*Links!AM82*(Nodes!BH82-Links!AM82)</f>
        <v>#DIV/0!</v>
      </c>
      <c r="AN83" s="45" t="e">
        <f>AN82+(ATM_Conf!$C$5/ATM_Conf!$C$8)*(Links!BC82*EXP((-(Links!Y82/Links!BR82)^Links!CG82)/Links!CG82)-Links!AN82)-(ATM_Conf!$C$9*ATM_Conf!$C$5/(ATM_Conf!$C$8*Links!Y$191))*(Nodes!BV82-Links!Y82)/(Links!Y82/ATM_Conf!$C$10)</f>
        <v>#DIV/0!</v>
      </c>
      <c r="AO83" s="45" t="e">
        <f>AO82+(ATM_Conf!$C$5/ATM_Conf!$C$8)*(Links!BD82*EXP((-(Links!Z82/Links!BS82)^Links!CH82)/Links!CH82)-Links!AO82)+(ATM_Conf!$C$5/Links!Z$191)*Links!AO82*(Nodes!BI82-Links!AO82)-(ATM_Conf!$C$9*ATM_Conf!$C$5/(ATM_Conf!$C$8*Links!Z$191))*(Nodes!BW82-Links!Z82)/(Links!Z82/ATM_Conf!$C$10)</f>
        <v>#DIV/0!</v>
      </c>
      <c r="AP83" s="45" t="e">
        <f>AP82+(ATM_Conf!$C$5/ATM_Conf!$C$8)*(Links!BE82*EXP((-(Links!AA82/Links!BT82)^Links!CI82)/Links!CI82)-Links!AP82)+(ATM_Conf!$C$5/Links!AA$191)*Links!AP82*(Nodes!BJ82-Links!AP82)-(ATM_Conf!$C$9*ATM_Conf!$C$5/(ATM_Conf!$C$8*Links!AA$191))*(Nodes!BX82-Links!AA82)/(Links!AA82/ATM_Conf!$C$10)</f>
        <v>#DIV/0!</v>
      </c>
      <c r="AQ83" s="45" t="e">
        <f>AQ82+(ATM_Conf!$C$5/ATM_Conf!$C$8)*(Links!BF82*EXP((-(Links!AB82/Links!BU82)^Links!CJ82)/Links!CJ82)-Links!AQ82)+(ATM_Conf!$C$5/Links!AB$191)*Links!AQ82*(Nodes!BK82-Links!AQ82)-(ATM_Conf!$C$9*ATM_Conf!$C$5/(ATM_Conf!$C$8*Links!AB$191))*(Nodes!BY82-Links!AB82)/(Links!AB82/ATM_Conf!$C$10)</f>
        <v>#DIV/0!</v>
      </c>
      <c r="AR83" s="45" t="e">
        <f>AR82+(ATM_Conf!$C$5/ATM_Conf!$C$8)*(Links!BG82*EXP((-(Links!AC82/Links!BV82)^Links!CK82)/Links!CK82)-Links!AR82)+(ATM_Conf!$C$5/Links!AC$191)*Links!AR82*(Nodes!BL82-Links!AR82)-(ATM_Conf!$C$9*ATM_Conf!$C$5/(ATM_Conf!$C$8*Links!AC$191))*(Nodes!BZ82-Links!AC82)/(Links!AC82/ATM_Conf!$C$10)</f>
        <v>#DIV/0!</v>
      </c>
      <c r="AS83" s="45" t="e">
        <f>AS82+(ATM_Conf!$C$5/ATM_Conf!$C$8)*(Links!BH82*EXP((-(Links!AD82/Links!BW82)^Links!CL82)/Links!CL82)-Links!AS82)+(ATM_Conf!$C$5/Links!AD$191)*Links!AS82*(Nodes!BM82-Links!AS82)-(ATM_Conf!$C$9*ATM_Conf!$C$5/(ATM_Conf!$C$8*Links!AD$191))*(Nodes!CA82-Links!AD82)/(Links!AD82/ATM_Conf!$C$10)</f>
        <v>#DIV/0!</v>
      </c>
      <c r="AT83" s="45" t="e">
        <f>AT82+(ATM_Conf!$C$5/ATM_Conf!$C$8)*(Links!BI82*EXP((-(Links!AE82/Links!BX82)^Links!CM82)/Links!CM82)-Links!AT82)+(ATM_Conf!$C$5/Links!AE$191)*Links!AT82*(Nodes!BN82-Links!AT82)</f>
        <v>#DIV/0!</v>
      </c>
      <c r="AU83" s="55"/>
      <c r="AV83" s="55"/>
      <c r="AW83" s="55"/>
      <c r="AX83" s="55"/>
      <c r="AY83" s="55"/>
      <c r="AZ83" s="55"/>
      <c r="BA83" s="55"/>
      <c r="BB83" s="55"/>
      <c r="BC83" s="55"/>
      <c r="BD83" s="55"/>
      <c r="BE83" s="55"/>
      <c r="BF83" s="55"/>
      <c r="BG83" s="55"/>
      <c r="BH83" s="55"/>
      <c r="BI83" s="55"/>
      <c r="BJ83" s="45"/>
      <c r="BK83" s="45"/>
      <c r="BL83" s="45"/>
      <c r="BM83" s="45"/>
      <c r="BN83" s="45"/>
      <c r="BO83" s="45"/>
      <c r="BP83" s="45"/>
      <c r="BQ83" s="45"/>
      <c r="BR83" s="45"/>
      <c r="BS83" s="45"/>
      <c r="BT83" s="45"/>
      <c r="BU83" s="45"/>
      <c r="BV83" s="45"/>
      <c r="BW83" s="45"/>
      <c r="BX83" s="45"/>
      <c r="BY83" s="55"/>
      <c r="BZ83" s="55"/>
      <c r="CA83" s="55"/>
      <c r="CB83" s="55"/>
      <c r="CC83" s="55"/>
      <c r="CD83" s="55"/>
      <c r="CE83" s="55"/>
      <c r="CF83" s="55"/>
      <c r="CG83" s="55"/>
      <c r="CH83" s="55"/>
      <c r="CI83" s="55"/>
      <c r="CJ83" s="55"/>
      <c r="CK83" s="55"/>
      <c r="CL83" s="55"/>
      <c r="CM83" s="55"/>
      <c r="CN83" s="45">
        <f t="shared" si="51"/>
        <v>0</v>
      </c>
      <c r="CO83" s="45">
        <f t="shared" si="51"/>
        <v>0</v>
      </c>
      <c r="CP83" s="45">
        <f t="shared" si="51"/>
        <v>0</v>
      </c>
      <c r="CQ83" s="45">
        <f t="shared" si="51"/>
        <v>0</v>
      </c>
      <c r="CR83" s="45">
        <f t="shared" si="51"/>
        <v>0</v>
      </c>
      <c r="CS83" s="45">
        <f t="shared" si="51"/>
        <v>0</v>
      </c>
      <c r="CT83" s="45">
        <f t="shared" si="51"/>
        <v>0</v>
      </c>
      <c r="CU83" s="45">
        <f t="shared" si="51"/>
        <v>0</v>
      </c>
      <c r="CV83" s="45">
        <f t="shared" si="51"/>
        <v>0</v>
      </c>
      <c r="CW83" s="45">
        <f t="shared" si="51"/>
        <v>0</v>
      </c>
      <c r="CX83" s="45">
        <f t="shared" si="51"/>
        <v>0</v>
      </c>
      <c r="CY83" s="45">
        <f t="shared" si="51"/>
        <v>0</v>
      </c>
      <c r="CZ83" s="45">
        <f t="shared" si="51"/>
        <v>0</v>
      </c>
      <c r="DA83" s="45">
        <f t="shared" si="51"/>
        <v>0</v>
      </c>
      <c r="DB83" s="45">
        <f t="shared" si="51"/>
        <v>0</v>
      </c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</row>
    <row r="84" spans="1:121" ht="14.25" x14ac:dyDescent="0.15">
      <c r="A84" s="48">
        <v>82</v>
      </c>
      <c r="B84" s="45" t="e">
        <f t="shared" si="34"/>
        <v>#DIV/0!</v>
      </c>
      <c r="C84" s="45" t="e">
        <f t="shared" si="35"/>
        <v>#DIV/0!</v>
      </c>
      <c r="D84" s="45" t="e">
        <f t="shared" si="36"/>
        <v>#DIV/0!</v>
      </c>
      <c r="E84" s="45" t="e">
        <f t="shared" si="37"/>
        <v>#DIV/0!</v>
      </c>
      <c r="F84" s="45" t="e">
        <f t="shared" si="38"/>
        <v>#DIV/0!</v>
      </c>
      <c r="G84" s="45" t="e">
        <f t="shared" si="39"/>
        <v>#DIV/0!</v>
      </c>
      <c r="H84" s="45" t="e">
        <f t="shared" si="40"/>
        <v>#DIV/0!</v>
      </c>
      <c r="I84" s="45" t="e">
        <f t="shared" si="41"/>
        <v>#DIV/0!</v>
      </c>
      <c r="J84" s="45" t="e">
        <f t="shared" si="42"/>
        <v>#DIV/0!</v>
      </c>
      <c r="K84" s="45" t="e">
        <f t="shared" si="43"/>
        <v>#DIV/0!</v>
      </c>
      <c r="L84" s="45" t="e">
        <f t="shared" si="44"/>
        <v>#DIV/0!</v>
      </c>
      <c r="M84" s="45" t="e">
        <f t="shared" si="45"/>
        <v>#DIV/0!</v>
      </c>
      <c r="N84" s="45" t="e">
        <f t="shared" si="46"/>
        <v>#DIV/0!</v>
      </c>
      <c r="O84" s="45" t="e">
        <f t="shared" si="47"/>
        <v>#DIV/0!</v>
      </c>
      <c r="P84" s="45" t="e">
        <f t="shared" si="48"/>
        <v>#DIV/0!</v>
      </c>
      <c r="Q84" s="55" t="e">
        <f>Q83+ATM_Conf!$C$5*(B83)/(Links!B$191*Links!Q$191)</f>
        <v>#DIV/0!</v>
      </c>
      <c r="R84" s="55" t="e">
        <f>R83+ATM_Conf!$C$5*(C83-B83)/(Links!C$191*Links!R$191)</f>
        <v>#DIV/0!</v>
      </c>
      <c r="S84" s="55" t="e">
        <f>S83+ATM_Conf!$C$5*(D83-C83)/(Links!D$191*Links!S$191)</f>
        <v>#DIV/0!</v>
      </c>
      <c r="T84" s="55" t="e">
        <f>T83+ATM_Conf!$C$5*(E83-D83)/(Links!E$191*Links!T$191)</f>
        <v>#DIV/0!</v>
      </c>
      <c r="U84" s="55" t="e">
        <f>U83+ATM_Conf!$C$5*(F83-E83)/(Links!F$191*Links!U$191)</f>
        <v>#DIV/0!</v>
      </c>
      <c r="V84" s="55" t="e">
        <f>V83+ATM_Conf!$C$5*(G83-F83)/(Links!G$191*Links!V$191)</f>
        <v>#DIV/0!</v>
      </c>
      <c r="W84" s="55" t="e">
        <f>W83+ATM_Conf!$C$5*(H83-G83)/(Links!H$191*Links!W$191)</f>
        <v>#DIV/0!</v>
      </c>
      <c r="X84" s="55" t="e">
        <f>X83+ATM_Conf!$C$5*(I83-H83)/(Links!I$191*Links!X$191)</f>
        <v>#DIV/0!</v>
      </c>
      <c r="Y84" s="55" t="e">
        <f>Y83+ATM_Conf!$C$5*(J83)/(Links!J$191*Links!Y$191)</f>
        <v>#DIV/0!</v>
      </c>
      <c r="Z84" s="55" t="e">
        <f>Z83+ATM_Conf!$C$5*(K83-J83)/(Links!K$191*Links!Z$191)</f>
        <v>#DIV/0!</v>
      </c>
      <c r="AA84" s="55" t="e">
        <f>AA83+ATM_Conf!$C$5*(L83-K83)/(Links!L$191*Links!AA$191)</f>
        <v>#DIV/0!</v>
      </c>
      <c r="AB84" s="55" t="e">
        <f>AB83+ATM_Conf!$C$5*(M83-L83)/(Links!M$191*Links!AB$191)</f>
        <v>#DIV/0!</v>
      </c>
      <c r="AC84" s="55" t="e">
        <f>AC83+ATM_Conf!$C$5*(N83-M83)/(Links!N$191*Links!AC$191)</f>
        <v>#DIV/0!</v>
      </c>
      <c r="AD84" s="55" t="e">
        <f>AD83+ATM_Conf!$C$5*(O83-N83)/(Links!O$191*Links!AD$191)</f>
        <v>#DIV/0!</v>
      </c>
      <c r="AE84" s="55" t="e">
        <f>AE83+ATM_Conf!$C$5*(P83-O83)/(Links!P$191*Links!AE$191)</f>
        <v>#DIV/0!</v>
      </c>
      <c r="AF84" s="45" t="e">
        <f>AF83+(ATM_Conf!$C$5/ATM_Conf!$C$8)*(Links!AU83*EXP((-(Links!Q83/Links!BJ83)^Links!BY83)/Links!BY83)-Links!AF83)-(ATM_Conf!$C$9*ATM_Conf!$C$5/(ATM_Conf!$C$8*Links!Q$191))*(Nodes!BO83-Links!Q83)/(Links!Q83/ATM_Conf!$C$10)</f>
        <v>#DIV/0!</v>
      </c>
      <c r="AG84" s="45" t="e">
        <f>AG83+(ATM_Conf!$C$5/ATM_Conf!$C$8)*(Links!AV83*EXP((-(Links!R83/Links!BK83)^Links!BZ83)/Links!BZ83)-Links!AG83)+(ATM_Conf!$C$5/Links!R$191)*Links!AG83*(Nodes!BB83-Links!AG83)-(ATM_Conf!$C$9*ATM_Conf!$C$5/(ATM_Conf!$C$8*Links!R$191))*(Nodes!BP83-Links!R83)/(Links!R83/ATM_Conf!$C$10)</f>
        <v>#DIV/0!</v>
      </c>
      <c r="AH84" s="45" t="e">
        <f>AH83+(ATM_Conf!$C$5/ATM_Conf!$C$8)*(Links!AW83*EXP((-(Links!S83/Links!BL83)^Links!CA83)/Links!CA83)-Links!AH83)+(ATM_Conf!$C$5/Links!S$191)*Links!AH83*(Nodes!BC83-Links!AH83)-(ATM_Conf!$C$9*ATM_Conf!$C$5/(ATM_Conf!$C$8*Links!S$191))*(Nodes!BQ83-Links!S83)/(Links!S83/ATM_Conf!$C$10)</f>
        <v>#DIV/0!</v>
      </c>
      <c r="AI84" s="45" t="e">
        <f>AI83+(ATM_Conf!$C$5/ATM_Conf!$C$8)*(Links!AX83*EXP((-(Links!T83/Links!BM83)^Links!CB83)/Links!CB83)-Links!AI83)+(ATM_Conf!$C$5/Links!T$191)*Links!AI83*(Nodes!BD83-Links!AI83)-(ATM_Conf!$C$9*ATM_Conf!$C$5/(ATM_Conf!$C$8*Links!T$191))*(Nodes!BR83-Links!T83)/(Links!T83/ATM_Conf!$C$10)</f>
        <v>#DIV/0!</v>
      </c>
      <c r="AJ84" s="45" t="e">
        <f>AJ83+(ATM_Conf!$C$5/ATM_Conf!$C$8)*(Links!AY83*EXP((-(Links!U83/Links!BN83)^Links!CC83)/Links!CC83)-Links!AJ83)+(ATM_Conf!$C$5/Links!U$191)*Links!AJ83*(Nodes!BE83-Links!AJ83)-(ATM_Conf!$C$9*ATM_Conf!$C$5/(ATM_Conf!$C$8*Links!U$191))*(Nodes!BS83-Links!U83)/(Links!U83/ATM_Conf!$C$10)</f>
        <v>#DIV/0!</v>
      </c>
      <c r="AK84" s="45" t="e">
        <f>AK83+(ATM_Conf!$C$5/ATM_Conf!$C$8)*(Links!AZ83*EXP((-(Links!V83/Links!BO83)^Links!CD83)/Links!CD83)-Links!AK83)+(ATM_Conf!$C$5/Links!V$191)*Links!AK83*(Nodes!BF83-Links!AK83)-(ATM_Conf!$C$9*ATM_Conf!$C$5/(ATM_Conf!$C$8*Links!V$191))*(Nodes!BT83-Links!V83)/(Links!V83/ATM_Conf!$C$10)</f>
        <v>#DIV/0!</v>
      </c>
      <c r="AL84" s="45" t="e">
        <f>AL83+(ATM_Conf!$C$5/ATM_Conf!$C$8)*(Links!BA83*EXP((-(Links!W83/Links!BP83)^Links!CE83)/Links!CE83)-Links!AL83)+(ATM_Conf!$C$5/Links!W$191)*Links!AL83*(Nodes!BG83-Links!AL83)-(ATM_Conf!$C$9*ATM_Conf!$C$5/(ATM_Conf!$C$8*Links!W$191))*(Nodes!BU83-Links!W83)/(Links!W83/ATM_Conf!$C$10)</f>
        <v>#DIV/0!</v>
      </c>
      <c r="AM84" s="45" t="e">
        <f>AM83+(ATM_Conf!$C$5/ATM_Conf!$C$8)*(Links!BB83*EXP((-(Links!X83/Links!BQ83)^Links!CF83)/Links!CF83)-Links!AM83)+(ATM_Conf!$C$5/Links!X$191)*Links!AM83*(Nodes!BH83-Links!AM83)</f>
        <v>#DIV/0!</v>
      </c>
      <c r="AN84" s="45" t="e">
        <f>AN83+(ATM_Conf!$C$5/ATM_Conf!$C$8)*(Links!BC83*EXP((-(Links!Y83/Links!BR83)^Links!CG83)/Links!CG83)-Links!AN83)-(ATM_Conf!$C$9*ATM_Conf!$C$5/(ATM_Conf!$C$8*Links!Y$191))*(Nodes!BV83-Links!Y83)/(Links!Y83/ATM_Conf!$C$10)</f>
        <v>#DIV/0!</v>
      </c>
      <c r="AO84" s="45" t="e">
        <f>AO83+(ATM_Conf!$C$5/ATM_Conf!$C$8)*(Links!BD83*EXP((-(Links!Z83/Links!BS83)^Links!CH83)/Links!CH83)-Links!AO83)+(ATM_Conf!$C$5/Links!Z$191)*Links!AO83*(Nodes!BI83-Links!AO83)-(ATM_Conf!$C$9*ATM_Conf!$C$5/(ATM_Conf!$C$8*Links!Z$191))*(Nodes!BW83-Links!Z83)/(Links!Z83/ATM_Conf!$C$10)</f>
        <v>#DIV/0!</v>
      </c>
      <c r="AP84" s="45" t="e">
        <f>AP83+(ATM_Conf!$C$5/ATM_Conf!$C$8)*(Links!BE83*EXP((-(Links!AA83/Links!BT83)^Links!CI83)/Links!CI83)-Links!AP83)+(ATM_Conf!$C$5/Links!AA$191)*Links!AP83*(Nodes!BJ83-Links!AP83)-(ATM_Conf!$C$9*ATM_Conf!$C$5/(ATM_Conf!$C$8*Links!AA$191))*(Nodes!BX83-Links!AA83)/(Links!AA83/ATM_Conf!$C$10)</f>
        <v>#DIV/0!</v>
      </c>
      <c r="AQ84" s="45" t="e">
        <f>AQ83+(ATM_Conf!$C$5/ATM_Conf!$C$8)*(Links!BF83*EXP((-(Links!AB83/Links!BU83)^Links!CJ83)/Links!CJ83)-Links!AQ83)+(ATM_Conf!$C$5/Links!AB$191)*Links!AQ83*(Nodes!BK83-Links!AQ83)-(ATM_Conf!$C$9*ATM_Conf!$C$5/(ATM_Conf!$C$8*Links!AB$191))*(Nodes!BY83-Links!AB83)/(Links!AB83/ATM_Conf!$C$10)</f>
        <v>#DIV/0!</v>
      </c>
      <c r="AR84" s="45" t="e">
        <f>AR83+(ATM_Conf!$C$5/ATM_Conf!$C$8)*(Links!BG83*EXP((-(Links!AC83/Links!BV83)^Links!CK83)/Links!CK83)-Links!AR83)+(ATM_Conf!$C$5/Links!AC$191)*Links!AR83*(Nodes!BL83-Links!AR83)-(ATM_Conf!$C$9*ATM_Conf!$C$5/(ATM_Conf!$C$8*Links!AC$191))*(Nodes!BZ83-Links!AC83)/(Links!AC83/ATM_Conf!$C$10)</f>
        <v>#DIV/0!</v>
      </c>
      <c r="AS84" s="45" t="e">
        <f>AS83+(ATM_Conf!$C$5/ATM_Conf!$C$8)*(Links!BH83*EXP((-(Links!AD83/Links!BW83)^Links!CL83)/Links!CL83)-Links!AS83)+(ATM_Conf!$C$5/Links!AD$191)*Links!AS83*(Nodes!BM83-Links!AS83)-(ATM_Conf!$C$9*ATM_Conf!$C$5/(ATM_Conf!$C$8*Links!AD$191))*(Nodes!CA83-Links!AD83)/(Links!AD83/ATM_Conf!$C$10)</f>
        <v>#DIV/0!</v>
      </c>
      <c r="AT84" s="45" t="e">
        <f>AT83+(ATM_Conf!$C$5/ATM_Conf!$C$8)*(Links!BI83*EXP((-(Links!AE83/Links!BX83)^Links!CM83)/Links!CM83)-Links!AT83)+(ATM_Conf!$C$5/Links!AE$191)*Links!AT83*(Nodes!BN83-Links!AT83)</f>
        <v>#DIV/0!</v>
      </c>
      <c r="AU84" s="55"/>
      <c r="AV84" s="55"/>
      <c r="AW84" s="55"/>
      <c r="AX84" s="55"/>
      <c r="AY84" s="55"/>
      <c r="AZ84" s="55"/>
      <c r="BA84" s="55"/>
      <c r="BB84" s="55"/>
      <c r="BC84" s="55"/>
      <c r="BD84" s="55"/>
      <c r="BE84" s="55"/>
      <c r="BF84" s="55"/>
      <c r="BG84" s="55"/>
      <c r="BH84" s="55"/>
      <c r="BI84" s="5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55"/>
      <c r="BZ84" s="55"/>
      <c r="CA84" s="55"/>
      <c r="CB84" s="55"/>
      <c r="CC84" s="55"/>
      <c r="CD84" s="55"/>
      <c r="CE84" s="55"/>
      <c r="CF84" s="55"/>
      <c r="CG84" s="55"/>
      <c r="CH84" s="55"/>
      <c r="CI84" s="55"/>
      <c r="CJ84" s="55"/>
      <c r="CK84" s="55"/>
      <c r="CL84" s="55"/>
      <c r="CM84" s="55"/>
      <c r="CN84" s="45">
        <f t="shared" si="51"/>
        <v>0</v>
      </c>
      <c r="CO84" s="45">
        <f t="shared" si="51"/>
        <v>0</v>
      </c>
      <c r="CP84" s="45">
        <f t="shared" si="51"/>
        <v>0</v>
      </c>
      <c r="CQ84" s="45">
        <f t="shared" si="51"/>
        <v>0</v>
      </c>
      <c r="CR84" s="45">
        <f t="shared" si="51"/>
        <v>0</v>
      </c>
      <c r="CS84" s="45">
        <f t="shared" si="51"/>
        <v>0</v>
      </c>
      <c r="CT84" s="45">
        <f t="shared" si="51"/>
        <v>0</v>
      </c>
      <c r="CU84" s="45">
        <f t="shared" si="51"/>
        <v>0</v>
      </c>
      <c r="CV84" s="45">
        <f t="shared" si="51"/>
        <v>0</v>
      </c>
      <c r="CW84" s="45">
        <f t="shared" si="51"/>
        <v>0</v>
      </c>
      <c r="CX84" s="45">
        <f t="shared" si="51"/>
        <v>0</v>
      </c>
      <c r="CY84" s="45">
        <f t="shared" si="51"/>
        <v>0</v>
      </c>
      <c r="CZ84" s="45">
        <f t="shared" si="51"/>
        <v>0</v>
      </c>
      <c r="DA84" s="45">
        <f t="shared" si="51"/>
        <v>0</v>
      </c>
      <c r="DB84" s="45">
        <f t="shared" si="51"/>
        <v>0</v>
      </c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</row>
    <row r="85" spans="1:121" ht="14.25" x14ac:dyDescent="0.15">
      <c r="A85" s="48">
        <v>83</v>
      </c>
      <c r="B85" s="45" t="e">
        <f t="shared" si="34"/>
        <v>#DIV/0!</v>
      </c>
      <c r="C85" s="45" t="e">
        <f t="shared" si="35"/>
        <v>#DIV/0!</v>
      </c>
      <c r="D85" s="45" t="e">
        <f t="shared" si="36"/>
        <v>#DIV/0!</v>
      </c>
      <c r="E85" s="45" t="e">
        <f t="shared" si="37"/>
        <v>#DIV/0!</v>
      </c>
      <c r="F85" s="45" t="e">
        <f t="shared" si="38"/>
        <v>#DIV/0!</v>
      </c>
      <c r="G85" s="45" t="e">
        <f t="shared" si="39"/>
        <v>#DIV/0!</v>
      </c>
      <c r="H85" s="45" t="e">
        <f t="shared" si="40"/>
        <v>#DIV/0!</v>
      </c>
      <c r="I85" s="45" t="e">
        <f t="shared" si="41"/>
        <v>#DIV/0!</v>
      </c>
      <c r="J85" s="45" t="e">
        <f t="shared" si="42"/>
        <v>#DIV/0!</v>
      </c>
      <c r="K85" s="45" t="e">
        <f t="shared" si="43"/>
        <v>#DIV/0!</v>
      </c>
      <c r="L85" s="45" t="e">
        <f t="shared" si="44"/>
        <v>#DIV/0!</v>
      </c>
      <c r="M85" s="45" t="e">
        <f t="shared" si="45"/>
        <v>#DIV/0!</v>
      </c>
      <c r="N85" s="45" t="e">
        <f t="shared" si="46"/>
        <v>#DIV/0!</v>
      </c>
      <c r="O85" s="45" t="e">
        <f t="shared" si="47"/>
        <v>#DIV/0!</v>
      </c>
      <c r="P85" s="45" t="e">
        <f t="shared" si="48"/>
        <v>#DIV/0!</v>
      </c>
      <c r="Q85" s="55" t="e">
        <f>Q84+ATM_Conf!$C$5*(B84)/(Links!B$191*Links!Q$191)</f>
        <v>#DIV/0!</v>
      </c>
      <c r="R85" s="55" t="e">
        <f>R84+ATM_Conf!$C$5*(C84-B84)/(Links!C$191*Links!R$191)</f>
        <v>#DIV/0!</v>
      </c>
      <c r="S85" s="55" t="e">
        <f>S84+ATM_Conf!$C$5*(D84-C84)/(Links!D$191*Links!S$191)</f>
        <v>#DIV/0!</v>
      </c>
      <c r="T85" s="55" t="e">
        <f>T84+ATM_Conf!$C$5*(E84-D84)/(Links!E$191*Links!T$191)</f>
        <v>#DIV/0!</v>
      </c>
      <c r="U85" s="55" t="e">
        <f>U84+ATM_Conf!$C$5*(F84-E84)/(Links!F$191*Links!U$191)</f>
        <v>#DIV/0!</v>
      </c>
      <c r="V85" s="55" t="e">
        <f>V84+ATM_Conf!$C$5*(G84-F84)/(Links!G$191*Links!V$191)</f>
        <v>#DIV/0!</v>
      </c>
      <c r="W85" s="55" t="e">
        <f>W84+ATM_Conf!$C$5*(H84-G84)/(Links!H$191*Links!W$191)</f>
        <v>#DIV/0!</v>
      </c>
      <c r="X85" s="55" t="e">
        <f>X84+ATM_Conf!$C$5*(I84-H84)/(Links!I$191*Links!X$191)</f>
        <v>#DIV/0!</v>
      </c>
      <c r="Y85" s="55" t="e">
        <f>Y84+ATM_Conf!$C$5*(J84)/(Links!J$191*Links!Y$191)</f>
        <v>#DIV/0!</v>
      </c>
      <c r="Z85" s="55" t="e">
        <f>Z84+ATM_Conf!$C$5*(K84-J84)/(Links!K$191*Links!Z$191)</f>
        <v>#DIV/0!</v>
      </c>
      <c r="AA85" s="55" t="e">
        <f>AA84+ATM_Conf!$C$5*(L84-K84)/(Links!L$191*Links!AA$191)</f>
        <v>#DIV/0!</v>
      </c>
      <c r="AB85" s="55" t="e">
        <f>AB84+ATM_Conf!$C$5*(M84-L84)/(Links!M$191*Links!AB$191)</f>
        <v>#DIV/0!</v>
      </c>
      <c r="AC85" s="55" t="e">
        <f>AC84+ATM_Conf!$C$5*(N84-M84)/(Links!N$191*Links!AC$191)</f>
        <v>#DIV/0!</v>
      </c>
      <c r="AD85" s="55" t="e">
        <f>AD84+ATM_Conf!$C$5*(O84-N84)/(Links!O$191*Links!AD$191)</f>
        <v>#DIV/0!</v>
      </c>
      <c r="AE85" s="55" t="e">
        <f>AE84+ATM_Conf!$C$5*(P84-O84)/(Links!P$191*Links!AE$191)</f>
        <v>#DIV/0!</v>
      </c>
      <c r="AF85" s="45" t="e">
        <f>AF84+(ATM_Conf!$C$5/ATM_Conf!$C$8)*(Links!AU84*EXP((-(Links!Q84/Links!BJ84)^Links!BY84)/Links!BY84)-Links!AF84)-(ATM_Conf!$C$9*ATM_Conf!$C$5/(ATM_Conf!$C$8*Links!Q$191))*(Nodes!BO84-Links!Q84)/(Links!Q84/ATM_Conf!$C$10)</f>
        <v>#DIV/0!</v>
      </c>
      <c r="AG85" s="45" t="e">
        <f>AG84+(ATM_Conf!$C$5/ATM_Conf!$C$8)*(Links!AV84*EXP((-(Links!R84/Links!BK84)^Links!BZ84)/Links!BZ84)-Links!AG84)+(ATM_Conf!$C$5/Links!R$191)*Links!AG84*(Nodes!BB84-Links!AG84)-(ATM_Conf!$C$9*ATM_Conf!$C$5/(ATM_Conf!$C$8*Links!R$191))*(Nodes!BP84-Links!R84)/(Links!R84/ATM_Conf!$C$10)</f>
        <v>#DIV/0!</v>
      </c>
      <c r="AH85" s="45" t="e">
        <f>AH84+(ATM_Conf!$C$5/ATM_Conf!$C$8)*(Links!AW84*EXP((-(Links!S84/Links!BL84)^Links!CA84)/Links!CA84)-Links!AH84)+(ATM_Conf!$C$5/Links!S$191)*Links!AH84*(Nodes!BC84-Links!AH84)-(ATM_Conf!$C$9*ATM_Conf!$C$5/(ATM_Conf!$C$8*Links!S$191))*(Nodes!BQ84-Links!S84)/(Links!S84/ATM_Conf!$C$10)</f>
        <v>#DIV/0!</v>
      </c>
      <c r="AI85" s="45" t="e">
        <f>AI84+(ATM_Conf!$C$5/ATM_Conf!$C$8)*(Links!AX84*EXP((-(Links!T84/Links!BM84)^Links!CB84)/Links!CB84)-Links!AI84)+(ATM_Conf!$C$5/Links!T$191)*Links!AI84*(Nodes!BD84-Links!AI84)-(ATM_Conf!$C$9*ATM_Conf!$C$5/(ATM_Conf!$C$8*Links!T$191))*(Nodes!BR84-Links!T84)/(Links!T84/ATM_Conf!$C$10)</f>
        <v>#DIV/0!</v>
      </c>
      <c r="AJ85" s="45" t="e">
        <f>AJ84+(ATM_Conf!$C$5/ATM_Conf!$C$8)*(Links!AY84*EXP((-(Links!U84/Links!BN84)^Links!CC84)/Links!CC84)-Links!AJ84)+(ATM_Conf!$C$5/Links!U$191)*Links!AJ84*(Nodes!BE84-Links!AJ84)-(ATM_Conf!$C$9*ATM_Conf!$C$5/(ATM_Conf!$C$8*Links!U$191))*(Nodes!BS84-Links!U84)/(Links!U84/ATM_Conf!$C$10)</f>
        <v>#DIV/0!</v>
      </c>
      <c r="AK85" s="45" t="e">
        <f>AK84+(ATM_Conf!$C$5/ATM_Conf!$C$8)*(Links!AZ84*EXP((-(Links!V84/Links!BO84)^Links!CD84)/Links!CD84)-Links!AK84)+(ATM_Conf!$C$5/Links!V$191)*Links!AK84*(Nodes!BF84-Links!AK84)-(ATM_Conf!$C$9*ATM_Conf!$C$5/(ATM_Conf!$C$8*Links!V$191))*(Nodes!BT84-Links!V84)/(Links!V84/ATM_Conf!$C$10)</f>
        <v>#DIV/0!</v>
      </c>
      <c r="AL85" s="45" t="e">
        <f>AL84+(ATM_Conf!$C$5/ATM_Conf!$C$8)*(Links!BA84*EXP((-(Links!W84/Links!BP84)^Links!CE84)/Links!CE84)-Links!AL84)+(ATM_Conf!$C$5/Links!W$191)*Links!AL84*(Nodes!BG84-Links!AL84)-(ATM_Conf!$C$9*ATM_Conf!$C$5/(ATM_Conf!$C$8*Links!W$191))*(Nodes!BU84-Links!W84)/(Links!W84/ATM_Conf!$C$10)</f>
        <v>#DIV/0!</v>
      </c>
      <c r="AM85" s="45" t="e">
        <f>AM84+(ATM_Conf!$C$5/ATM_Conf!$C$8)*(Links!BB84*EXP((-(Links!X84/Links!BQ84)^Links!CF84)/Links!CF84)-Links!AM84)+(ATM_Conf!$C$5/Links!X$191)*Links!AM84*(Nodes!BH84-Links!AM84)</f>
        <v>#DIV/0!</v>
      </c>
      <c r="AN85" s="45" t="e">
        <f>AN84+(ATM_Conf!$C$5/ATM_Conf!$C$8)*(Links!BC84*EXP((-(Links!Y84/Links!BR84)^Links!CG84)/Links!CG84)-Links!AN84)-(ATM_Conf!$C$9*ATM_Conf!$C$5/(ATM_Conf!$C$8*Links!Y$191))*(Nodes!BV84-Links!Y84)/(Links!Y84/ATM_Conf!$C$10)</f>
        <v>#DIV/0!</v>
      </c>
      <c r="AO85" s="45" t="e">
        <f>AO84+(ATM_Conf!$C$5/ATM_Conf!$C$8)*(Links!BD84*EXP((-(Links!Z84/Links!BS84)^Links!CH84)/Links!CH84)-Links!AO84)+(ATM_Conf!$C$5/Links!Z$191)*Links!AO84*(Nodes!BI84-Links!AO84)-(ATM_Conf!$C$9*ATM_Conf!$C$5/(ATM_Conf!$C$8*Links!Z$191))*(Nodes!BW84-Links!Z84)/(Links!Z84/ATM_Conf!$C$10)</f>
        <v>#DIV/0!</v>
      </c>
      <c r="AP85" s="45" t="e">
        <f>AP84+(ATM_Conf!$C$5/ATM_Conf!$C$8)*(Links!BE84*EXP((-(Links!AA84/Links!BT84)^Links!CI84)/Links!CI84)-Links!AP84)+(ATM_Conf!$C$5/Links!AA$191)*Links!AP84*(Nodes!BJ84-Links!AP84)-(ATM_Conf!$C$9*ATM_Conf!$C$5/(ATM_Conf!$C$8*Links!AA$191))*(Nodes!BX84-Links!AA84)/(Links!AA84/ATM_Conf!$C$10)</f>
        <v>#DIV/0!</v>
      </c>
      <c r="AQ85" s="45" t="e">
        <f>AQ84+(ATM_Conf!$C$5/ATM_Conf!$C$8)*(Links!BF84*EXP((-(Links!AB84/Links!BU84)^Links!CJ84)/Links!CJ84)-Links!AQ84)+(ATM_Conf!$C$5/Links!AB$191)*Links!AQ84*(Nodes!BK84-Links!AQ84)-(ATM_Conf!$C$9*ATM_Conf!$C$5/(ATM_Conf!$C$8*Links!AB$191))*(Nodes!BY84-Links!AB84)/(Links!AB84/ATM_Conf!$C$10)</f>
        <v>#DIV/0!</v>
      </c>
      <c r="AR85" s="45" t="e">
        <f>AR84+(ATM_Conf!$C$5/ATM_Conf!$C$8)*(Links!BG84*EXP((-(Links!AC84/Links!BV84)^Links!CK84)/Links!CK84)-Links!AR84)+(ATM_Conf!$C$5/Links!AC$191)*Links!AR84*(Nodes!BL84-Links!AR84)-(ATM_Conf!$C$9*ATM_Conf!$C$5/(ATM_Conf!$C$8*Links!AC$191))*(Nodes!BZ84-Links!AC84)/(Links!AC84/ATM_Conf!$C$10)</f>
        <v>#DIV/0!</v>
      </c>
      <c r="AS85" s="45" t="e">
        <f>AS84+(ATM_Conf!$C$5/ATM_Conf!$C$8)*(Links!BH84*EXP((-(Links!AD84/Links!BW84)^Links!CL84)/Links!CL84)-Links!AS84)+(ATM_Conf!$C$5/Links!AD$191)*Links!AS84*(Nodes!BM84-Links!AS84)-(ATM_Conf!$C$9*ATM_Conf!$C$5/(ATM_Conf!$C$8*Links!AD$191))*(Nodes!CA84-Links!AD84)/(Links!AD84/ATM_Conf!$C$10)</f>
        <v>#DIV/0!</v>
      </c>
      <c r="AT85" s="45" t="e">
        <f>AT84+(ATM_Conf!$C$5/ATM_Conf!$C$8)*(Links!BI84*EXP((-(Links!AE84/Links!BX84)^Links!CM84)/Links!CM84)-Links!AT84)+(ATM_Conf!$C$5/Links!AE$191)*Links!AT84*(Nodes!BN84-Links!AT84)</f>
        <v>#DIV/0!</v>
      </c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45"/>
      <c r="BK85" s="45"/>
      <c r="BL85" s="45"/>
      <c r="BM85" s="45"/>
      <c r="BN85" s="45"/>
      <c r="BO85" s="45"/>
      <c r="BP85" s="45"/>
      <c r="BQ85" s="45"/>
      <c r="BR85" s="45"/>
      <c r="BS85" s="45"/>
      <c r="BT85" s="45"/>
      <c r="BU85" s="45"/>
      <c r="BV85" s="45"/>
      <c r="BW85" s="45"/>
      <c r="BX85" s="45"/>
      <c r="BY85" s="55"/>
      <c r="BZ85" s="55"/>
      <c r="CA85" s="55"/>
      <c r="CB85" s="55"/>
      <c r="CC85" s="55"/>
      <c r="CD85" s="55"/>
      <c r="CE85" s="55"/>
      <c r="CF85" s="55"/>
      <c r="CG85" s="55"/>
      <c r="CH85" s="55"/>
      <c r="CI85" s="55"/>
      <c r="CJ85" s="55"/>
      <c r="CK85" s="55"/>
      <c r="CL85" s="55"/>
      <c r="CM85" s="55"/>
      <c r="CN85" s="45">
        <f t="shared" si="51"/>
        <v>0</v>
      </c>
      <c r="CO85" s="45">
        <f t="shared" si="51"/>
        <v>0</v>
      </c>
      <c r="CP85" s="45">
        <f t="shared" si="51"/>
        <v>0</v>
      </c>
      <c r="CQ85" s="45">
        <f t="shared" si="51"/>
        <v>0</v>
      </c>
      <c r="CR85" s="45">
        <f t="shared" si="51"/>
        <v>0</v>
      </c>
      <c r="CS85" s="45">
        <f t="shared" si="51"/>
        <v>0</v>
      </c>
      <c r="CT85" s="45">
        <f t="shared" si="51"/>
        <v>0</v>
      </c>
      <c r="CU85" s="45">
        <f t="shared" si="51"/>
        <v>0</v>
      </c>
      <c r="CV85" s="45">
        <f t="shared" si="51"/>
        <v>0</v>
      </c>
      <c r="CW85" s="45">
        <f t="shared" si="51"/>
        <v>0</v>
      </c>
      <c r="CX85" s="45">
        <f t="shared" si="51"/>
        <v>0</v>
      </c>
      <c r="CY85" s="45">
        <f t="shared" si="51"/>
        <v>0</v>
      </c>
      <c r="CZ85" s="45">
        <f t="shared" si="51"/>
        <v>0</v>
      </c>
      <c r="DA85" s="45">
        <f t="shared" si="51"/>
        <v>0</v>
      </c>
      <c r="DB85" s="45">
        <f t="shared" si="51"/>
        <v>0</v>
      </c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</row>
    <row r="86" spans="1:121" ht="14.25" x14ac:dyDescent="0.15">
      <c r="A86" s="48">
        <v>84</v>
      </c>
      <c r="B86" s="45" t="e">
        <f t="shared" si="34"/>
        <v>#DIV/0!</v>
      </c>
      <c r="C86" s="45" t="e">
        <f t="shared" si="35"/>
        <v>#DIV/0!</v>
      </c>
      <c r="D86" s="45" t="e">
        <f t="shared" si="36"/>
        <v>#DIV/0!</v>
      </c>
      <c r="E86" s="45" t="e">
        <f t="shared" si="37"/>
        <v>#DIV/0!</v>
      </c>
      <c r="F86" s="45" t="e">
        <f t="shared" si="38"/>
        <v>#DIV/0!</v>
      </c>
      <c r="G86" s="45" t="e">
        <f t="shared" si="39"/>
        <v>#DIV/0!</v>
      </c>
      <c r="H86" s="45" t="e">
        <f t="shared" si="40"/>
        <v>#DIV/0!</v>
      </c>
      <c r="I86" s="45" t="e">
        <f t="shared" si="41"/>
        <v>#DIV/0!</v>
      </c>
      <c r="J86" s="45" t="e">
        <f t="shared" si="42"/>
        <v>#DIV/0!</v>
      </c>
      <c r="K86" s="45" t="e">
        <f t="shared" si="43"/>
        <v>#DIV/0!</v>
      </c>
      <c r="L86" s="45" t="e">
        <f t="shared" si="44"/>
        <v>#DIV/0!</v>
      </c>
      <c r="M86" s="45" t="e">
        <f t="shared" si="45"/>
        <v>#DIV/0!</v>
      </c>
      <c r="N86" s="45" t="e">
        <f t="shared" si="46"/>
        <v>#DIV/0!</v>
      </c>
      <c r="O86" s="45" t="e">
        <f t="shared" si="47"/>
        <v>#DIV/0!</v>
      </c>
      <c r="P86" s="45" t="e">
        <f t="shared" si="48"/>
        <v>#DIV/0!</v>
      </c>
      <c r="Q86" s="55" t="e">
        <f>Q85+ATM_Conf!$C$5*(B85)/(Links!B$191*Links!Q$191)</f>
        <v>#DIV/0!</v>
      </c>
      <c r="R86" s="55" t="e">
        <f>R85+ATM_Conf!$C$5*(C85-B85)/(Links!C$191*Links!R$191)</f>
        <v>#DIV/0!</v>
      </c>
      <c r="S86" s="55" t="e">
        <f>S85+ATM_Conf!$C$5*(D85-C85)/(Links!D$191*Links!S$191)</f>
        <v>#DIV/0!</v>
      </c>
      <c r="T86" s="55" t="e">
        <f>T85+ATM_Conf!$C$5*(E85-D85)/(Links!E$191*Links!T$191)</f>
        <v>#DIV/0!</v>
      </c>
      <c r="U86" s="55" t="e">
        <f>U85+ATM_Conf!$C$5*(F85-E85)/(Links!F$191*Links!U$191)</f>
        <v>#DIV/0!</v>
      </c>
      <c r="V86" s="55" t="e">
        <f>V85+ATM_Conf!$C$5*(G85-F85)/(Links!G$191*Links!V$191)</f>
        <v>#DIV/0!</v>
      </c>
      <c r="W86" s="55" t="e">
        <f>W85+ATM_Conf!$C$5*(H85-G85)/(Links!H$191*Links!W$191)</f>
        <v>#DIV/0!</v>
      </c>
      <c r="X86" s="55" t="e">
        <f>X85+ATM_Conf!$C$5*(I85-H85)/(Links!I$191*Links!X$191)</f>
        <v>#DIV/0!</v>
      </c>
      <c r="Y86" s="55" t="e">
        <f>Y85+ATM_Conf!$C$5*(J85)/(Links!J$191*Links!Y$191)</f>
        <v>#DIV/0!</v>
      </c>
      <c r="Z86" s="55" t="e">
        <f>Z85+ATM_Conf!$C$5*(K85-J85)/(Links!K$191*Links!Z$191)</f>
        <v>#DIV/0!</v>
      </c>
      <c r="AA86" s="55" t="e">
        <f>AA85+ATM_Conf!$C$5*(L85-K85)/(Links!L$191*Links!AA$191)</f>
        <v>#DIV/0!</v>
      </c>
      <c r="AB86" s="55" t="e">
        <f>AB85+ATM_Conf!$C$5*(M85-L85)/(Links!M$191*Links!AB$191)</f>
        <v>#DIV/0!</v>
      </c>
      <c r="AC86" s="55" t="e">
        <f>AC85+ATM_Conf!$C$5*(N85-M85)/(Links!N$191*Links!AC$191)</f>
        <v>#DIV/0!</v>
      </c>
      <c r="AD86" s="55" t="e">
        <f>AD85+ATM_Conf!$C$5*(O85-N85)/(Links!O$191*Links!AD$191)</f>
        <v>#DIV/0!</v>
      </c>
      <c r="AE86" s="55" t="e">
        <f>AE85+ATM_Conf!$C$5*(P85-O85)/(Links!P$191*Links!AE$191)</f>
        <v>#DIV/0!</v>
      </c>
      <c r="AF86" s="45" t="e">
        <f>AF85+(ATM_Conf!$C$5/ATM_Conf!$C$8)*(Links!AU85*EXP((-(Links!Q85/Links!BJ85)^Links!BY85)/Links!BY85)-Links!AF85)-(ATM_Conf!$C$9*ATM_Conf!$C$5/(ATM_Conf!$C$8*Links!Q$191))*(Nodes!BO85-Links!Q85)/(Links!Q85/ATM_Conf!$C$10)</f>
        <v>#DIV/0!</v>
      </c>
      <c r="AG86" s="45" t="e">
        <f>AG85+(ATM_Conf!$C$5/ATM_Conf!$C$8)*(Links!AV85*EXP((-(Links!R85/Links!BK85)^Links!BZ85)/Links!BZ85)-Links!AG85)+(ATM_Conf!$C$5/Links!R$191)*Links!AG85*(Nodes!BB85-Links!AG85)-(ATM_Conf!$C$9*ATM_Conf!$C$5/(ATM_Conf!$C$8*Links!R$191))*(Nodes!BP85-Links!R85)/(Links!R85/ATM_Conf!$C$10)</f>
        <v>#DIV/0!</v>
      </c>
      <c r="AH86" s="45" t="e">
        <f>AH85+(ATM_Conf!$C$5/ATM_Conf!$C$8)*(Links!AW85*EXP((-(Links!S85/Links!BL85)^Links!CA85)/Links!CA85)-Links!AH85)+(ATM_Conf!$C$5/Links!S$191)*Links!AH85*(Nodes!BC85-Links!AH85)-(ATM_Conf!$C$9*ATM_Conf!$C$5/(ATM_Conf!$C$8*Links!S$191))*(Nodes!BQ85-Links!S85)/(Links!S85/ATM_Conf!$C$10)</f>
        <v>#DIV/0!</v>
      </c>
      <c r="AI86" s="45" t="e">
        <f>AI85+(ATM_Conf!$C$5/ATM_Conf!$C$8)*(Links!AX85*EXP((-(Links!T85/Links!BM85)^Links!CB85)/Links!CB85)-Links!AI85)+(ATM_Conf!$C$5/Links!T$191)*Links!AI85*(Nodes!BD85-Links!AI85)-(ATM_Conf!$C$9*ATM_Conf!$C$5/(ATM_Conf!$C$8*Links!T$191))*(Nodes!BR85-Links!T85)/(Links!T85/ATM_Conf!$C$10)</f>
        <v>#DIV/0!</v>
      </c>
      <c r="AJ86" s="45" t="e">
        <f>AJ85+(ATM_Conf!$C$5/ATM_Conf!$C$8)*(Links!AY85*EXP((-(Links!U85/Links!BN85)^Links!CC85)/Links!CC85)-Links!AJ85)+(ATM_Conf!$C$5/Links!U$191)*Links!AJ85*(Nodes!BE85-Links!AJ85)-(ATM_Conf!$C$9*ATM_Conf!$C$5/(ATM_Conf!$C$8*Links!U$191))*(Nodes!BS85-Links!U85)/(Links!U85/ATM_Conf!$C$10)</f>
        <v>#DIV/0!</v>
      </c>
      <c r="AK86" s="45" t="e">
        <f>AK85+(ATM_Conf!$C$5/ATM_Conf!$C$8)*(Links!AZ85*EXP((-(Links!V85/Links!BO85)^Links!CD85)/Links!CD85)-Links!AK85)+(ATM_Conf!$C$5/Links!V$191)*Links!AK85*(Nodes!BF85-Links!AK85)-(ATM_Conf!$C$9*ATM_Conf!$C$5/(ATM_Conf!$C$8*Links!V$191))*(Nodes!BT85-Links!V85)/(Links!V85/ATM_Conf!$C$10)</f>
        <v>#DIV/0!</v>
      </c>
      <c r="AL86" s="45" t="e">
        <f>AL85+(ATM_Conf!$C$5/ATM_Conf!$C$8)*(Links!BA85*EXP((-(Links!W85/Links!BP85)^Links!CE85)/Links!CE85)-Links!AL85)+(ATM_Conf!$C$5/Links!W$191)*Links!AL85*(Nodes!BG85-Links!AL85)-(ATM_Conf!$C$9*ATM_Conf!$C$5/(ATM_Conf!$C$8*Links!W$191))*(Nodes!BU85-Links!W85)/(Links!W85/ATM_Conf!$C$10)</f>
        <v>#DIV/0!</v>
      </c>
      <c r="AM86" s="45" t="e">
        <f>AM85+(ATM_Conf!$C$5/ATM_Conf!$C$8)*(Links!BB85*EXP((-(Links!X85/Links!BQ85)^Links!CF85)/Links!CF85)-Links!AM85)+(ATM_Conf!$C$5/Links!X$191)*Links!AM85*(Nodes!BH85-Links!AM85)</f>
        <v>#DIV/0!</v>
      </c>
      <c r="AN86" s="45" t="e">
        <f>AN85+(ATM_Conf!$C$5/ATM_Conf!$C$8)*(Links!BC85*EXP((-(Links!Y85/Links!BR85)^Links!CG85)/Links!CG85)-Links!AN85)-(ATM_Conf!$C$9*ATM_Conf!$C$5/(ATM_Conf!$C$8*Links!Y$191))*(Nodes!BV85-Links!Y85)/(Links!Y85/ATM_Conf!$C$10)</f>
        <v>#DIV/0!</v>
      </c>
      <c r="AO86" s="45" t="e">
        <f>AO85+(ATM_Conf!$C$5/ATM_Conf!$C$8)*(Links!BD85*EXP((-(Links!Z85/Links!BS85)^Links!CH85)/Links!CH85)-Links!AO85)+(ATM_Conf!$C$5/Links!Z$191)*Links!AO85*(Nodes!BI85-Links!AO85)-(ATM_Conf!$C$9*ATM_Conf!$C$5/(ATM_Conf!$C$8*Links!Z$191))*(Nodes!BW85-Links!Z85)/(Links!Z85/ATM_Conf!$C$10)</f>
        <v>#DIV/0!</v>
      </c>
      <c r="AP86" s="45" t="e">
        <f>AP85+(ATM_Conf!$C$5/ATM_Conf!$C$8)*(Links!BE85*EXP((-(Links!AA85/Links!BT85)^Links!CI85)/Links!CI85)-Links!AP85)+(ATM_Conf!$C$5/Links!AA$191)*Links!AP85*(Nodes!BJ85-Links!AP85)-(ATM_Conf!$C$9*ATM_Conf!$C$5/(ATM_Conf!$C$8*Links!AA$191))*(Nodes!BX85-Links!AA85)/(Links!AA85/ATM_Conf!$C$10)</f>
        <v>#DIV/0!</v>
      </c>
      <c r="AQ86" s="45" t="e">
        <f>AQ85+(ATM_Conf!$C$5/ATM_Conf!$C$8)*(Links!BF85*EXP((-(Links!AB85/Links!BU85)^Links!CJ85)/Links!CJ85)-Links!AQ85)+(ATM_Conf!$C$5/Links!AB$191)*Links!AQ85*(Nodes!BK85-Links!AQ85)-(ATM_Conf!$C$9*ATM_Conf!$C$5/(ATM_Conf!$C$8*Links!AB$191))*(Nodes!BY85-Links!AB85)/(Links!AB85/ATM_Conf!$C$10)</f>
        <v>#DIV/0!</v>
      </c>
      <c r="AR86" s="45" t="e">
        <f>AR85+(ATM_Conf!$C$5/ATM_Conf!$C$8)*(Links!BG85*EXP((-(Links!AC85/Links!BV85)^Links!CK85)/Links!CK85)-Links!AR85)+(ATM_Conf!$C$5/Links!AC$191)*Links!AR85*(Nodes!BL85-Links!AR85)-(ATM_Conf!$C$9*ATM_Conf!$C$5/(ATM_Conf!$C$8*Links!AC$191))*(Nodes!BZ85-Links!AC85)/(Links!AC85/ATM_Conf!$C$10)</f>
        <v>#DIV/0!</v>
      </c>
      <c r="AS86" s="45" t="e">
        <f>AS85+(ATM_Conf!$C$5/ATM_Conf!$C$8)*(Links!BH85*EXP((-(Links!AD85/Links!BW85)^Links!CL85)/Links!CL85)-Links!AS85)+(ATM_Conf!$C$5/Links!AD$191)*Links!AS85*(Nodes!BM85-Links!AS85)-(ATM_Conf!$C$9*ATM_Conf!$C$5/(ATM_Conf!$C$8*Links!AD$191))*(Nodes!CA85-Links!AD85)/(Links!AD85/ATM_Conf!$C$10)</f>
        <v>#DIV/0!</v>
      </c>
      <c r="AT86" s="45" t="e">
        <f>AT85+(ATM_Conf!$C$5/ATM_Conf!$C$8)*(Links!BI85*EXP((-(Links!AE85/Links!BX85)^Links!CM85)/Links!CM85)-Links!AT85)+(ATM_Conf!$C$5/Links!AE$191)*Links!AT85*(Nodes!BN85-Links!AT85)</f>
        <v>#DIV/0!</v>
      </c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45"/>
      <c r="BK86" s="45"/>
      <c r="BL86" s="45"/>
      <c r="BM86" s="45"/>
      <c r="BN86" s="45"/>
      <c r="BO86" s="45"/>
      <c r="BP86" s="45"/>
      <c r="BQ86" s="45"/>
      <c r="BR86" s="45"/>
      <c r="BS86" s="45"/>
      <c r="BT86" s="45"/>
      <c r="BU86" s="45"/>
      <c r="BV86" s="45"/>
      <c r="BW86" s="45"/>
      <c r="BX86" s="45"/>
      <c r="BY86" s="55"/>
      <c r="BZ86" s="55"/>
      <c r="CA86" s="55"/>
      <c r="CB86" s="55"/>
      <c r="CC86" s="55"/>
      <c r="CD86" s="55"/>
      <c r="CE86" s="55"/>
      <c r="CF86" s="55"/>
      <c r="CG86" s="55"/>
      <c r="CH86" s="55"/>
      <c r="CI86" s="55"/>
      <c r="CJ86" s="55"/>
      <c r="CK86" s="55"/>
      <c r="CL86" s="55"/>
      <c r="CM86" s="55"/>
      <c r="CN86" s="45">
        <f t="shared" si="51"/>
        <v>0</v>
      </c>
      <c r="CO86" s="45">
        <f t="shared" si="51"/>
        <v>0</v>
      </c>
      <c r="CP86" s="45">
        <f t="shared" si="51"/>
        <v>0</v>
      </c>
      <c r="CQ86" s="45">
        <f t="shared" si="51"/>
        <v>0</v>
      </c>
      <c r="CR86" s="45">
        <f t="shared" si="51"/>
        <v>0</v>
      </c>
      <c r="CS86" s="45">
        <f t="shared" si="51"/>
        <v>0</v>
      </c>
      <c r="CT86" s="45">
        <f t="shared" si="51"/>
        <v>0</v>
      </c>
      <c r="CU86" s="45">
        <f t="shared" si="51"/>
        <v>0</v>
      </c>
      <c r="CV86" s="45">
        <f t="shared" si="51"/>
        <v>0</v>
      </c>
      <c r="CW86" s="45">
        <f t="shared" si="51"/>
        <v>0</v>
      </c>
      <c r="CX86" s="45">
        <f t="shared" si="51"/>
        <v>0</v>
      </c>
      <c r="CY86" s="45">
        <f t="shared" si="51"/>
        <v>0</v>
      </c>
      <c r="CZ86" s="45">
        <f t="shared" si="51"/>
        <v>0</v>
      </c>
      <c r="DA86" s="45">
        <f t="shared" si="51"/>
        <v>0</v>
      </c>
      <c r="DB86" s="45">
        <f t="shared" si="51"/>
        <v>0</v>
      </c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</row>
    <row r="87" spans="1:121" ht="14.25" x14ac:dyDescent="0.15">
      <c r="A87" s="48">
        <v>85</v>
      </c>
      <c r="B87" s="45" t="e">
        <f t="shared" si="34"/>
        <v>#DIV/0!</v>
      </c>
      <c r="C87" s="45" t="e">
        <f t="shared" si="35"/>
        <v>#DIV/0!</v>
      </c>
      <c r="D87" s="45" t="e">
        <f t="shared" si="36"/>
        <v>#DIV/0!</v>
      </c>
      <c r="E87" s="45" t="e">
        <f t="shared" si="37"/>
        <v>#DIV/0!</v>
      </c>
      <c r="F87" s="45" t="e">
        <f t="shared" si="38"/>
        <v>#DIV/0!</v>
      </c>
      <c r="G87" s="45" t="e">
        <f t="shared" si="39"/>
        <v>#DIV/0!</v>
      </c>
      <c r="H87" s="45" t="e">
        <f t="shared" si="40"/>
        <v>#DIV/0!</v>
      </c>
      <c r="I87" s="45" t="e">
        <f t="shared" si="41"/>
        <v>#DIV/0!</v>
      </c>
      <c r="J87" s="45" t="e">
        <f t="shared" si="42"/>
        <v>#DIV/0!</v>
      </c>
      <c r="K87" s="45" t="e">
        <f t="shared" si="43"/>
        <v>#DIV/0!</v>
      </c>
      <c r="L87" s="45" t="e">
        <f t="shared" si="44"/>
        <v>#DIV/0!</v>
      </c>
      <c r="M87" s="45" t="e">
        <f t="shared" si="45"/>
        <v>#DIV/0!</v>
      </c>
      <c r="N87" s="45" t="e">
        <f t="shared" si="46"/>
        <v>#DIV/0!</v>
      </c>
      <c r="O87" s="45" t="e">
        <f t="shared" si="47"/>
        <v>#DIV/0!</v>
      </c>
      <c r="P87" s="45" t="e">
        <f t="shared" si="48"/>
        <v>#DIV/0!</v>
      </c>
      <c r="Q87" s="55" t="e">
        <f>Q86+ATM_Conf!$C$5*(B86)/(Links!B$191*Links!Q$191)</f>
        <v>#DIV/0!</v>
      </c>
      <c r="R87" s="55" t="e">
        <f>R86+ATM_Conf!$C$5*(C86-B86)/(Links!C$191*Links!R$191)</f>
        <v>#DIV/0!</v>
      </c>
      <c r="S87" s="55" t="e">
        <f>S86+ATM_Conf!$C$5*(D86-C86)/(Links!D$191*Links!S$191)</f>
        <v>#DIV/0!</v>
      </c>
      <c r="T87" s="55" t="e">
        <f>T86+ATM_Conf!$C$5*(E86-D86)/(Links!E$191*Links!T$191)</f>
        <v>#DIV/0!</v>
      </c>
      <c r="U87" s="55" t="e">
        <f>U86+ATM_Conf!$C$5*(F86-E86)/(Links!F$191*Links!U$191)</f>
        <v>#DIV/0!</v>
      </c>
      <c r="V87" s="55" t="e">
        <f>V86+ATM_Conf!$C$5*(G86-F86)/(Links!G$191*Links!V$191)</f>
        <v>#DIV/0!</v>
      </c>
      <c r="W87" s="55" t="e">
        <f>W86+ATM_Conf!$C$5*(H86-G86)/(Links!H$191*Links!W$191)</f>
        <v>#DIV/0!</v>
      </c>
      <c r="X87" s="55" t="e">
        <f>X86+ATM_Conf!$C$5*(I86-H86)/(Links!I$191*Links!X$191)</f>
        <v>#DIV/0!</v>
      </c>
      <c r="Y87" s="55" t="e">
        <f>Y86+ATM_Conf!$C$5*(J86)/(Links!J$191*Links!Y$191)</f>
        <v>#DIV/0!</v>
      </c>
      <c r="Z87" s="55" t="e">
        <f>Z86+ATM_Conf!$C$5*(K86-J86)/(Links!K$191*Links!Z$191)</f>
        <v>#DIV/0!</v>
      </c>
      <c r="AA87" s="55" t="e">
        <f>AA86+ATM_Conf!$C$5*(L86-K86)/(Links!L$191*Links!AA$191)</f>
        <v>#DIV/0!</v>
      </c>
      <c r="AB87" s="55" t="e">
        <f>AB86+ATM_Conf!$C$5*(M86-L86)/(Links!M$191*Links!AB$191)</f>
        <v>#DIV/0!</v>
      </c>
      <c r="AC87" s="55" t="e">
        <f>AC86+ATM_Conf!$C$5*(N86-M86)/(Links!N$191*Links!AC$191)</f>
        <v>#DIV/0!</v>
      </c>
      <c r="AD87" s="55" t="e">
        <f>AD86+ATM_Conf!$C$5*(O86-N86)/(Links!O$191*Links!AD$191)</f>
        <v>#DIV/0!</v>
      </c>
      <c r="AE87" s="55" t="e">
        <f>AE86+ATM_Conf!$C$5*(P86-O86)/(Links!P$191*Links!AE$191)</f>
        <v>#DIV/0!</v>
      </c>
      <c r="AF87" s="45" t="e">
        <f>AF86+(ATM_Conf!$C$5/ATM_Conf!$C$8)*(Links!AU86*EXP((-(Links!Q86/Links!BJ86)^Links!BY86)/Links!BY86)-Links!AF86)-(ATM_Conf!$C$9*ATM_Conf!$C$5/(ATM_Conf!$C$8*Links!Q$191))*(Nodes!BO86-Links!Q86)/(Links!Q86/ATM_Conf!$C$10)</f>
        <v>#DIV/0!</v>
      </c>
      <c r="AG87" s="45" t="e">
        <f>AG86+(ATM_Conf!$C$5/ATM_Conf!$C$8)*(Links!AV86*EXP((-(Links!R86/Links!BK86)^Links!BZ86)/Links!BZ86)-Links!AG86)+(ATM_Conf!$C$5/Links!R$191)*Links!AG86*(Nodes!BB86-Links!AG86)-(ATM_Conf!$C$9*ATM_Conf!$C$5/(ATM_Conf!$C$8*Links!R$191))*(Nodes!BP86-Links!R86)/(Links!R86/ATM_Conf!$C$10)</f>
        <v>#DIV/0!</v>
      </c>
      <c r="AH87" s="45" t="e">
        <f>AH86+(ATM_Conf!$C$5/ATM_Conf!$C$8)*(Links!AW86*EXP((-(Links!S86/Links!BL86)^Links!CA86)/Links!CA86)-Links!AH86)+(ATM_Conf!$C$5/Links!S$191)*Links!AH86*(Nodes!BC86-Links!AH86)-(ATM_Conf!$C$9*ATM_Conf!$C$5/(ATM_Conf!$C$8*Links!S$191))*(Nodes!BQ86-Links!S86)/(Links!S86/ATM_Conf!$C$10)</f>
        <v>#DIV/0!</v>
      </c>
      <c r="AI87" s="45" t="e">
        <f>AI86+(ATM_Conf!$C$5/ATM_Conf!$C$8)*(Links!AX86*EXP((-(Links!T86/Links!BM86)^Links!CB86)/Links!CB86)-Links!AI86)+(ATM_Conf!$C$5/Links!T$191)*Links!AI86*(Nodes!BD86-Links!AI86)-(ATM_Conf!$C$9*ATM_Conf!$C$5/(ATM_Conf!$C$8*Links!T$191))*(Nodes!BR86-Links!T86)/(Links!T86/ATM_Conf!$C$10)</f>
        <v>#DIV/0!</v>
      </c>
      <c r="AJ87" s="45" t="e">
        <f>AJ86+(ATM_Conf!$C$5/ATM_Conf!$C$8)*(Links!AY86*EXP((-(Links!U86/Links!BN86)^Links!CC86)/Links!CC86)-Links!AJ86)+(ATM_Conf!$C$5/Links!U$191)*Links!AJ86*(Nodes!BE86-Links!AJ86)-(ATM_Conf!$C$9*ATM_Conf!$C$5/(ATM_Conf!$C$8*Links!U$191))*(Nodes!BS86-Links!U86)/(Links!U86/ATM_Conf!$C$10)</f>
        <v>#DIV/0!</v>
      </c>
      <c r="AK87" s="45" t="e">
        <f>AK86+(ATM_Conf!$C$5/ATM_Conf!$C$8)*(Links!AZ86*EXP((-(Links!V86/Links!BO86)^Links!CD86)/Links!CD86)-Links!AK86)+(ATM_Conf!$C$5/Links!V$191)*Links!AK86*(Nodes!BF86-Links!AK86)-(ATM_Conf!$C$9*ATM_Conf!$C$5/(ATM_Conf!$C$8*Links!V$191))*(Nodes!BT86-Links!V86)/(Links!V86/ATM_Conf!$C$10)</f>
        <v>#DIV/0!</v>
      </c>
      <c r="AL87" s="45" t="e">
        <f>AL86+(ATM_Conf!$C$5/ATM_Conf!$C$8)*(Links!BA86*EXP((-(Links!W86/Links!BP86)^Links!CE86)/Links!CE86)-Links!AL86)+(ATM_Conf!$C$5/Links!W$191)*Links!AL86*(Nodes!BG86-Links!AL86)-(ATM_Conf!$C$9*ATM_Conf!$C$5/(ATM_Conf!$C$8*Links!W$191))*(Nodes!BU86-Links!W86)/(Links!W86/ATM_Conf!$C$10)</f>
        <v>#DIV/0!</v>
      </c>
      <c r="AM87" s="45" t="e">
        <f>AM86+(ATM_Conf!$C$5/ATM_Conf!$C$8)*(Links!BB86*EXP((-(Links!X86/Links!BQ86)^Links!CF86)/Links!CF86)-Links!AM86)+(ATM_Conf!$C$5/Links!X$191)*Links!AM86*(Nodes!BH86-Links!AM86)</f>
        <v>#DIV/0!</v>
      </c>
      <c r="AN87" s="45" t="e">
        <f>AN86+(ATM_Conf!$C$5/ATM_Conf!$C$8)*(Links!BC86*EXP((-(Links!Y86/Links!BR86)^Links!CG86)/Links!CG86)-Links!AN86)-(ATM_Conf!$C$9*ATM_Conf!$C$5/(ATM_Conf!$C$8*Links!Y$191))*(Nodes!BV86-Links!Y86)/(Links!Y86/ATM_Conf!$C$10)</f>
        <v>#DIV/0!</v>
      </c>
      <c r="AO87" s="45" t="e">
        <f>AO86+(ATM_Conf!$C$5/ATM_Conf!$C$8)*(Links!BD86*EXP((-(Links!Z86/Links!BS86)^Links!CH86)/Links!CH86)-Links!AO86)+(ATM_Conf!$C$5/Links!Z$191)*Links!AO86*(Nodes!BI86-Links!AO86)-(ATM_Conf!$C$9*ATM_Conf!$C$5/(ATM_Conf!$C$8*Links!Z$191))*(Nodes!BW86-Links!Z86)/(Links!Z86/ATM_Conf!$C$10)</f>
        <v>#DIV/0!</v>
      </c>
      <c r="AP87" s="45" t="e">
        <f>AP86+(ATM_Conf!$C$5/ATM_Conf!$C$8)*(Links!BE86*EXP((-(Links!AA86/Links!BT86)^Links!CI86)/Links!CI86)-Links!AP86)+(ATM_Conf!$C$5/Links!AA$191)*Links!AP86*(Nodes!BJ86-Links!AP86)-(ATM_Conf!$C$9*ATM_Conf!$C$5/(ATM_Conf!$C$8*Links!AA$191))*(Nodes!BX86-Links!AA86)/(Links!AA86/ATM_Conf!$C$10)</f>
        <v>#DIV/0!</v>
      </c>
      <c r="AQ87" s="45" t="e">
        <f>AQ86+(ATM_Conf!$C$5/ATM_Conf!$C$8)*(Links!BF86*EXP((-(Links!AB86/Links!BU86)^Links!CJ86)/Links!CJ86)-Links!AQ86)+(ATM_Conf!$C$5/Links!AB$191)*Links!AQ86*(Nodes!BK86-Links!AQ86)-(ATM_Conf!$C$9*ATM_Conf!$C$5/(ATM_Conf!$C$8*Links!AB$191))*(Nodes!BY86-Links!AB86)/(Links!AB86/ATM_Conf!$C$10)</f>
        <v>#DIV/0!</v>
      </c>
      <c r="AR87" s="45" t="e">
        <f>AR86+(ATM_Conf!$C$5/ATM_Conf!$C$8)*(Links!BG86*EXP((-(Links!AC86/Links!BV86)^Links!CK86)/Links!CK86)-Links!AR86)+(ATM_Conf!$C$5/Links!AC$191)*Links!AR86*(Nodes!BL86-Links!AR86)-(ATM_Conf!$C$9*ATM_Conf!$C$5/(ATM_Conf!$C$8*Links!AC$191))*(Nodes!BZ86-Links!AC86)/(Links!AC86/ATM_Conf!$C$10)</f>
        <v>#DIV/0!</v>
      </c>
      <c r="AS87" s="45" t="e">
        <f>AS86+(ATM_Conf!$C$5/ATM_Conf!$C$8)*(Links!BH86*EXP((-(Links!AD86/Links!BW86)^Links!CL86)/Links!CL86)-Links!AS86)+(ATM_Conf!$C$5/Links!AD$191)*Links!AS86*(Nodes!BM86-Links!AS86)-(ATM_Conf!$C$9*ATM_Conf!$C$5/(ATM_Conf!$C$8*Links!AD$191))*(Nodes!CA86-Links!AD86)/(Links!AD86/ATM_Conf!$C$10)</f>
        <v>#DIV/0!</v>
      </c>
      <c r="AT87" s="45" t="e">
        <f>AT86+(ATM_Conf!$C$5/ATM_Conf!$C$8)*(Links!BI86*EXP((-(Links!AE86/Links!BX86)^Links!CM86)/Links!CM86)-Links!AT86)+(ATM_Conf!$C$5/Links!AE$191)*Links!AT86*(Nodes!BN86-Links!AT86)</f>
        <v>#DIV/0!</v>
      </c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45"/>
      <c r="BK87" s="45"/>
      <c r="BL87" s="45"/>
      <c r="BM87" s="45"/>
      <c r="BN87" s="45"/>
      <c r="BO87" s="45"/>
      <c r="BP87" s="45"/>
      <c r="BQ87" s="45"/>
      <c r="BR87" s="45"/>
      <c r="BS87" s="45"/>
      <c r="BT87" s="45"/>
      <c r="BU87" s="45"/>
      <c r="BV87" s="45"/>
      <c r="BW87" s="45"/>
      <c r="BX87" s="45"/>
      <c r="BY87" s="55"/>
      <c r="BZ87" s="55"/>
      <c r="CA87" s="55"/>
      <c r="CB87" s="55"/>
      <c r="CC87" s="55"/>
      <c r="CD87" s="55"/>
      <c r="CE87" s="55"/>
      <c r="CF87" s="55"/>
      <c r="CG87" s="55"/>
      <c r="CH87" s="55"/>
      <c r="CI87" s="55"/>
      <c r="CJ87" s="55"/>
      <c r="CK87" s="55"/>
      <c r="CL87" s="55"/>
      <c r="CM87" s="55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53">
        <f>(CN87-CN75)^2</f>
        <v>0</v>
      </c>
      <c r="DD87" s="53">
        <f t="shared" ref="DD87:DQ87" si="52">(CO87-CO75)^2</f>
        <v>0</v>
      </c>
      <c r="DE87" s="53">
        <f t="shared" si="52"/>
        <v>0</v>
      </c>
      <c r="DF87" s="53">
        <f t="shared" si="52"/>
        <v>0</v>
      </c>
      <c r="DG87" s="53">
        <f t="shared" si="52"/>
        <v>0</v>
      </c>
      <c r="DH87" s="53">
        <f t="shared" si="52"/>
        <v>0</v>
      </c>
      <c r="DI87" s="53">
        <f t="shared" si="52"/>
        <v>0</v>
      </c>
      <c r="DJ87" s="53">
        <f t="shared" si="52"/>
        <v>0</v>
      </c>
      <c r="DK87" s="53">
        <f t="shared" si="52"/>
        <v>0</v>
      </c>
      <c r="DL87" s="53">
        <f t="shared" si="52"/>
        <v>0</v>
      </c>
      <c r="DM87" s="53">
        <f t="shared" si="52"/>
        <v>0</v>
      </c>
      <c r="DN87" s="53">
        <f t="shared" si="52"/>
        <v>0</v>
      </c>
      <c r="DO87" s="53">
        <f t="shared" si="52"/>
        <v>0</v>
      </c>
      <c r="DP87" s="53">
        <f t="shared" si="52"/>
        <v>0</v>
      </c>
      <c r="DQ87" s="53">
        <f t="shared" si="52"/>
        <v>0</v>
      </c>
    </row>
    <row r="88" spans="1:121" ht="14.25" x14ac:dyDescent="0.15">
      <c r="A88" s="48">
        <v>86</v>
      </c>
      <c r="B88" s="45" t="e">
        <f t="shared" si="34"/>
        <v>#DIV/0!</v>
      </c>
      <c r="C88" s="45" t="e">
        <f t="shared" si="35"/>
        <v>#DIV/0!</v>
      </c>
      <c r="D88" s="45" t="e">
        <f t="shared" si="36"/>
        <v>#DIV/0!</v>
      </c>
      <c r="E88" s="45" t="e">
        <f t="shared" si="37"/>
        <v>#DIV/0!</v>
      </c>
      <c r="F88" s="45" t="e">
        <f t="shared" si="38"/>
        <v>#DIV/0!</v>
      </c>
      <c r="G88" s="45" t="e">
        <f t="shared" si="39"/>
        <v>#DIV/0!</v>
      </c>
      <c r="H88" s="45" t="e">
        <f t="shared" si="40"/>
        <v>#DIV/0!</v>
      </c>
      <c r="I88" s="45" t="e">
        <f t="shared" si="41"/>
        <v>#DIV/0!</v>
      </c>
      <c r="J88" s="45" t="e">
        <f t="shared" si="42"/>
        <v>#DIV/0!</v>
      </c>
      <c r="K88" s="45" t="e">
        <f t="shared" si="43"/>
        <v>#DIV/0!</v>
      </c>
      <c r="L88" s="45" t="e">
        <f t="shared" si="44"/>
        <v>#DIV/0!</v>
      </c>
      <c r="M88" s="45" t="e">
        <f t="shared" si="45"/>
        <v>#DIV/0!</v>
      </c>
      <c r="N88" s="45" t="e">
        <f t="shared" si="46"/>
        <v>#DIV/0!</v>
      </c>
      <c r="O88" s="45" t="e">
        <f t="shared" si="47"/>
        <v>#DIV/0!</v>
      </c>
      <c r="P88" s="45" t="e">
        <f t="shared" si="48"/>
        <v>#DIV/0!</v>
      </c>
      <c r="Q88" s="55" t="e">
        <f>Q87+ATM_Conf!$C$5*(B87)/(Links!B$191*Links!Q$191)</f>
        <v>#DIV/0!</v>
      </c>
      <c r="R88" s="55" t="e">
        <f>R87+ATM_Conf!$C$5*(C87-B87)/(Links!C$191*Links!R$191)</f>
        <v>#DIV/0!</v>
      </c>
      <c r="S88" s="55" t="e">
        <f>S87+ATM_Conf!$C$5*(D87-C87)/(Links!D$191*Links!S$191)</f>
        <v>#DIV/0!</v>
      </c>
      <c r="T88" s="55" t="e">
        <f>T87+ATM_Conf!$C$5*(E87-D87)/(Links!E$191*Links!T$191)</f>
        <v>#DIV/0!</v>
      </c>
      <c r="U88" s="55" t="e">
        <f>U87+ATM_Conf!$C$5*(F87-E87)/(Links!F$191*Links!U$191)</f>
        <v>#DIV/0!</v>
      </c>
      <c r="V88" s="55" t="e">
        <f>V87+ATM_Conf!$C$5*(G87-F87)/(Links!G$191*Links!V$191)</f>
        <v>#DIV/0!</v>
      </c>
      <c r="W88" s="55" t="e">
        <f>W87+ATM_Conf!$C$5*(H87-G87)/(Links!H$191*Links!W$191)</f>
        <v>#DIV/0!</v>
      </c>
      <c r="X88" s="55" t="e">
        <f>X87+ATM_Conf!$C$5*(I87-H87)/(Links!I$191*Links!X$191)</f>
        <v>#DIV/0!</v>
      </c>
      <c r="Y88" s="55" t="e">
        <f>Y87+ATM_Conf!$C$5*(J87)/(Links!J$191*Links!Y$191)</f>
        <v>#DIV/0!</v>
      </c>
      <c r="Z88" s="55" t="e">
        <f>Z87+ATM_Conf!$C$5*(K87-J87)/(Links!K$191*Links!Z$191)</f>
        <v>#DIV/0!</v>
      </c>
      <c r="AA88" s="55" t="e">
        <f>AA87+ATM_Conf!$C$5*(L87-K87)/(Links!L$191*Links!AA$191)</f>
        <v>#DIV/0!</v>
      </c>
      <c r="AB88" s="55" t="e">
        <f>AB87+ATM_Conf!$C$5*(M87-L87)/(Links!M$191*Links!AB$191)</f>
        <v>#DIV/0!</v>
      </c>
      <c r="AC88" s="55" t="e">
        <f>AC87+ATM_Conf!$C$5*(N87-M87)/(Links!N$191*Links!AC$191)</f>
        <v>#DIV/0!</v>
      </c>
      <c r="AD88" s="55" t="e">
        <f>AD87+ATM_Conf!$C$5*(O87-N87)/(Links!O$191*Links!AD$191)</f>
        <v>#DIV/0!</v>
      </c>
      <c r="AE88" s="55" t="e">
        <f>AE87+ATM_Conf!$C$5*(P87-O87)/(Links!P$191*Links!AE$191)</f>
        <v>#DIV/0!</v>
      </c>
      <c r="AF88" s="45" t="e">
        <f>AF87+(ATM_Conf!$C$5/ATM_Conf!$C$8)*(Links!AU87*EXP((-(Links!Q87/Links!BJ87)^Links!BY87)/Links!BY87)-Links!AF87)-(ATM_Conf!$C$9*ATM_Conf!$C$5/(ATM_Conf!$C$8*Links!Q$191))*(Nodes!BO87-Links!Q87)/(Links!Q87/ATM_Conf!$C$10)</f>
        <v>#DIV/0!</v>
      </c>
      <c r="AG88" s="45" t="e">
        <f>AG87+(ATM_Conf!$C$5/ATM_Conf!$C$8)*(Links!AV87*EXP((-(Links!R87/Links!BK87)^Links!BZ87)/Links!BZ87)-Links!AG87)+(ATM_Conf!$C$5/Links!R$191)*Links!AG87*(Nodes!BB87-Links!AG87)-(ATM_Conf!$C$9*ATM_Conf!$C$5/(ATM_Conf!$C$8*Links!R$191))*(Nodes!BP87-Links!R87)/(Links!R87/ATM_Conf!$C$10)</f>
        <v>#DIV/0!</v>
      </c>
      <c r="AH88" s="45" t="e">
        <f>AH87+(ATM_Conf!$C$5/ATM_Conf!$C$8)*(Links!AW87*EXP((-(Links!S87/Links!BL87)^Links!CA87)/Links!CA87)-Links!AH87)+(ATM_Conf!$C$5/Links!S$191)*Links!AH87*(Nodes!BC87-Links!AH87)-(ATM_Conf!$C$9*ATM_Conf!$C$5/(ATM_Conf!$C$8*Links!S$191))*(Nodes!BQ87-Links!S87)/(Links!S87/ATM_Conf!$C$10)</f>
        <v>#DIV/0!</v>
      </c>
      <c r="AI88" s="45" t="e">
        <f>AI87+(ATM_Conf!$C$5/ATM_Conf!$C$8)*(Links!AX87*EXP((-(Links!T87/Links!BM87)^Links!CB87)/Links!CB87)-Links!AI87)+(ATM_Conf!$C$5/Links!T$191)*Links!AI87*(Nodes!BD87-Links!AI87)-(ATM_Conf!$C$9*ATM_Conf!$C$5/(ATM_Conf!$C$8*Links!T$191))*(Nodes!BR87-Links!T87)/(Links!T87/ATM_Conf!$C$10)</f>
        <v>#DIV/0!</v>
      </c>
      <c r="AJ88" s="45" t="e">
        <f>AJ87+(ATM_Conf!$C$5/ATM_Conf!$C$8)*(Links!AY87*EXP((-(Links!U87/Links!BN87)^Links!CC87)/Links!CC87)-Links!AJ87)+(ATM_Conf!$C$5/Links!U$191)*Links!AJ87*(Nodes!BE87-Links!AJ87)-(ATM_Conf!$C$9*ATM_Conf!$C$5/(ATM_Conf!$C$8*Links!U$191))*(Nodes!BS87-Links!U87)/(Links!U87/ATM_Conf!$C$10)</f>
        <v>#DIV/0!</v>
      </c>
      <c r="AK88" s="45" t="e">
        <f>AK87+(ATM_Conf!$C$5/ATM_Conf!$C$8)*(Links!AZ87*EXP((-(Links!V87/Links!BO87)^Links!CD87)/Links!CD87)-Links!AK87)+(ATM_Conf!$C$5/Links!V$191)*Links!AK87*(Nodes!BF87-Links!AK87)-(ATM_Conf!$C$9*ATM_Conf!$C$5/(ATM_Conf!$C$8*Links!V$191))*(Nodes!BT87-Links!V87)/(Links!V87/ATM_Conf!$C$10)</f>
        <v>#DIV/0!</v>
      </c>
      <c r="AL88" s="45" t="e">
        <f>AL87+(ATM_Conf!$C$5/ATM_Conf!$C$8)*(Links!BA87*EXP((-(Links!W87/Links!BP87)^Links!CE87)/Links!CE87)-Links!AL87)+(ATM_Conf!$C$5/Links!W$191)*Links!AL87*(Nodes!BG87-Links!AL87)-(ATM_Conf!$C$9*ATM_Conf!$C$5/(ATM_Conf!$C$8*Links!W$191))*(Nodes!BU87-Links!W87)/(Links!W87/ATM_Conf!$C$10)</f>
        <v>#DIV/0!</v>
      </c>
      <c r="AM88" s="45" t="e">
        <f>AM87+(ATM_Conf!$C$5/ATM_Conf!$C$8)*(Links!BB87*EXP((-(Links!X87/Links!BQ87)^Links!CF87)/Links!CF87)-Links!AM87)+(ATM_Conf!$C$5/Links!X$191)*Links!AM87*(Nodes!BH87-Links!AM87)</f>
        <v>#DIV/0!</v>
      </c>
      <c r="AN88" s="45" t="e">
        <f>AN87+(ATM_Conf!$C$5/ATM_Conf!$C$8)*(Links!BC87*EXP((-(Links!Y87/Links!BR87)^Links!CG87)/Links!CG87)-Links!AN87)-(ATM_Conf!$C$9*ATM_Conf!$C$5/(ATM_Conf!$C$8*Links!Y$191))*(Nodes!BV87-Links!Y87)/(Links!Y87/ATM_Conf!$C$10)</f>
        <v>#DIV/0!</v>
      </c>
      <c r="AO88" s="45" t="e">
        <f>AO87+(ATM_Conf!$C$5/ATM_Conf!$C$8)*(Links!BD87*EXP((-(Links!Z87/Links!BS87)^Links!CH87)/Links!CH87)-Links!AO87)+(ATM_Conf!$C$5/Links!Z$191)*Links!AO87*(Nodes!BI87-Links!AO87)-(ATM_Conf!$C$9*ATM_Conf!$C$5/(ATM_Conf!$C$8*Links!Z$191))*(Nodes!BW87-Links!Z87)/(Links!Z87/ATM_Conf!$C$10)</f>
        <v>#DIV/0!</v>
      </c>
      <c r="AP88" s="45" t="e">
        <f>AP87+(ATM_Conf!$C$5/ATM_Conf!$C$8)*(Links!BE87*EXP((-(Links!AA87/Links!BT87)^Links!CI87)/Links!CI87)-Links!AP87)+(ATM_Conf!$C$5/Links!AA$191)*Links!AP87*(Nodes!BJ87-Links!AP87)-(ATM_Conf!$C$9*ATM_Conf!$C$5/(ATM_Conf!$C$8*Links!AA$191))*(Nodes!BX87-Links!AA87)/(Links!AA87/ATM_Conf!$C$10)</f>
        <v>#DIV/0!</v>
      </c>
      <c r="AQ88" s="45" t="e">
        <f>AQ87+(ATM_Conf!$C$5/ATM_Conf!$C$8)*(Links!BF87*EXP((-(Links!AB87/Links!BU87)^Links!CJ87)/Links!CJ87)-Links!AQ87)+(ATM_Conf!$C$5/Links!AB$191)*Links!AQ87*(Nodes!BK87-Links!AQ87)-(ATM_Conf!$C$9*ATM_Conf!$C$5/(ATM_Conf!$C$8*Links!AB$191))*(Nodes!BY87-Links!AB87)/(Links!AB87/ATM_Conf!$C$10)</f>
        <v>#DIV/0!</v>
      </c>
      <c r="AR88" s="45" t="e">
        <f>AR87+(ATM_Conf!$C$5/ATM_Conf!$C$8)*(Links!BG87*EXP((-(Links!AC87/Links!BV87)^Links!CK87)/Links!CK87)-Links!AR87)+(ATM_Conf!$C$5/Links!AC$191)*Links!AR87*(Nodes!BL87-Links!AR87)-(ATM_Conf!$C$9*ATM_Conf!$C$5/(ATM_Conf!$C$8*Links!AC$191))*(Nodes!BZ87-Links!AC87)/(Links!AC87/ATM_Conf!$C$10)</f>
        <v>#DIV/0!</v>
      </c>
      <c r="AS88" s="45" t="e">
        <f>AS87+(ATM_Conf!$C$5/ATM_Conf!$C$8)*(Links!BH87*EXP((-(Links!AD87/Links!BW87)^Links!CL87)/Links!CL87)-Links!AS87)+(ATM_Conf!$C$5/Links!AD$191)*Links!AS87*(Nodes!BM87-Links!AS87)-(ATM_Conf!$C$9*ATM_Conf!$C$5/(ATM_Conf!$C$8*Links!AD$191))*(Nodes!CA87-Links!AD87)/(Links!AD87/ATM_Conf!$C$10)</f>
        <v>#DIV/0!</v>
      </c>
      <c r="AT88" s="45" t="e">
        <f>AT87+(ATM_Conf!$C$5/ATM_Conf!$C$8)*(Links!BI87*EXP((-(Links!AE87/Links!BX87)^Links!CM87)/Links!CM87)-Links!AT87)+(ATM_Conf!$C$5/Links!AE$191)*Links!AT87*(Nodes!BN87-Links!AT87)</f>
        <v>#DIV/0!</v>
      </c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45"/>
      <c r="BK88" s="45"/>
      <c r="BL88" s="45"/>
      <c r="BM88" s="45"/>
      <c r="BN88" s="45"/>
      <c r="BO88" s="45"/>
      <c r="BP88" s="45"/>
      <c r="BQ88" s="45"/>
      <c r="BR88" s="45"/>
      <c r="BS88" s="45"/>
      <c r="BT88" s="45"/>
      <c r="BU88" s="45"/>
      <c r="BV88" s="45"/>
      <c r="BW88" s="45"/>
      <c r="BX88" s="45"/>
      <c r="BY88" s="55"/>
      <c r="BZ88" s="55"/>
      <c r="CA88" s="55"/>
      <c r="CB88" s="55"/>
      <c r="CC88" s="55"/>
      <c r="CD88" s="55"/>
      <c r="CE88" s="55"/>
      <c r="CF88" s="55"/>
      <c r="CG88" s="55"/>
      <c r="CH88" s="55"/>
      <c r="CI88" s="55"/>
      <c r="CJ88" s="55"/>
      <c r="CK88" s="55"/>
      <c r="CL88" s="55"/>
      <c r="CM88" s="55"/>
      <c r="CN88" s="45">
        <f>CN$87</f>
        <v>0</v>
      </c>
      <c r="CO88" s="45">
        <f t="shared" ref="CO88:DB88" si="53">CO$87</f>
        <v>0</v>
      </c>
      <c r="CP88" s="45">
        <f t="shared" si="53"/>
        <v>0</v>
      </c>
      <c r="CQ88" s="45">
        <f t="shared" si="53"/>
        <v>0</v>
      </c>
      <c r="CR88" s="45">
        <f t="shared" si="53"/>
        <v>0</v>
      </c>
      <c r="CS88" s="45">
        <f t="shared" si="53"/>
        <v>0</v>
      </c>
      <c r="CT88" s="45">
        <f t="shared" si="53"/>
        <v>0</v>
      </c>
      <c r="CU88" s="45">
        <f t="shared" si="53"/>
        <v>0</v>
      </c>
      <c r="CV88" s="45">
        <f t="shared" si="53"/>
        <v>0</v>
      </c>
      <c r="CW88" s="45">
        <f t="shared" si="53"/>
        <v>0</v>
      </c>
      <c r="CX88" s="45">
        <f t="shared" si="53"/>
        <v>0</v>
      </c>
      <c r="CY88" s="45">
        <f t="shared" si="53"/>
        <v>0</v>
      </c>
      <c r="CZ88" s="45">
        <f t="shared" si="53"/>
        <v>0</v>
      </c>
      <c r="DA88" s="45">
        <f t="shared" si="53"/>
        <v>0</v>
      </c>
      <c r="DB88" s="45">
        <f t="shared" si="53"/>
        <v>0</v>
      </c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</row>
    <row r="89" spans="1:121" ht="14.25" x14ac:dyDescent="0.15">
      <c r="A89" s="48">
        <v>87</v>
      </c>
      <c r="B89" s="45" t="e">
        <f t="shared" si="34"/>
        <v>#DIV/0!</v>
      </c>
      <c r="C89" s="45" t="e">
        <f t="shared" si="35"/>
        <v>#DIV/0!</v>
      </c>
      <c r="D89" s="45" t="e">
        <f t="shared" si="36"/>
        <v>#DIV/0!</v>
      </c>
      <c r="E89" s="45" t="e">
        <f t="shared" si="37"/>
        <v>#DIV/0!</v>
      </c>
      <c r="F89" s="45" t="e">
        <f t="shared" si="38"/>
        <v>#DIV/0!</v>
      </c>
      <c r="G89" s="45" t="e">
        <f t="shared" si="39"/>
        <v>#DIV/0!</v>
      </c>
      <c r="H89" s="45" t="e">
        <f t="shared" si="40"/>
        <v>#DIV/0!</v>
      </c>
      <c r="I89" s="45" t="e">
        <f t="shared" si="41"/>
        <v>#DIV/0!</v>
      </c>
      <c r="J89" s="45" t="e">
        <f t="shared" si="42"/>
        <v>#DIV/0!</v>
      </c>
      <c r="K89" s="45" t="e">
        <f t="shared" si="43"/>
        <v>#DIV/0!</v>
      </c>
      <c r="L89" s="45" t="e">
        <f t="shared" si="44"/>
        <v>#DIV/0!</v>
      </c>
      <c r="M89" s="45" t="e">
        <f t="shared" si="45"/>
        <v>#DIV/0!</v>
      </c>
      <c r="N89" s="45" t="e">
        <f t="shared" si="46"/>
        <v>#DIV/0!</v>
      </c>
      <c r="O89" s="45" t="e">
        <f t="shared" si="47"/>
        <v>#DIV/0!</v>
      </c>
      <c r="P89" s="45" t="e">
        <f t="shared" si="48"/>
        <v>#DIV/0!</v>
      </c>
      <c r="Q89" s="55" t="e">
        <f>Q88+ATM_Conf!$C$5*(B88)/(Links!B$191*Links!Q$191)</f>
        <v>#DIV/0!</v>
      </c>
      <c r="R89" s="55" t="e">
        <f>R88+ATM_Conf!$C$5*(C88-B88)/(Links!C$191*Links!R$191)</f>
        <v>#DIV/0!</v>
      </c>
      <c r="S89" s="55" t="e">
        <f>S88+ATM_Conf!$C$5*(D88-C88)/(Links!D$191*Links!S$191)</f>
        <v>#DIV/0!</v>
      </c>
      <c r="T89" s="55" t="e">
        <f>T88+ATM_Conf!$C$5*(E88-D88)/(Links!E$191*Links!T$191)</f>
        <v>#DIV/0!</v>
      </c>
      <c r="U89" s="55" t="e">
        <f>U88+ATM_Conf!$C$5*(F88-E88)/(Links!F$191*Links!U$191)</f>
        <v>#DIV/0!</v>
      </c>
      <c r="V89" s="55" t="e">
        <f>V88+ATM_Conf!$C$5*(G88-F88)/(Links!G$191*Links!V$191)</f>
        <v>#DIV/0!</v>
      </c>
      <c r="W89" s="55" t="e">
        <f>W88+ATM_Conf!$C$5*(H88-G88)/(Links!H$191*Links!W$191)</f>
        <v>#DIV/0!</v>
      </c>
      <c r="X89" s="55" t="e">
        <f>X88+ATM_Conf!$C$5*(I88-H88)/(Links!I$191*Links!X$191)</f>
        <v>#DIV/0!</v>
      </c>
      <c r="Y89" s="55" t="e">
        <f>Y88+ATM_Conf!$C$5*(J88)/(Links!J$191*Links!Y$191)</f>
        <v>#DIV/0!</v>
      </c>
      <c r="Z89" s="55" t="e">
        <f>Z88+ATM_Conf!$C$5*(K88-J88)/(Links!K$191*Links!Z$191)</f>
        <v>#DIV/0!</v>
      </c>
      <c r="AA89" s="55" t="e">
        <f>AA88+ATM_Conf!$C$5*(L88-K88)/(Links!L$191*Links!AA$191)</f>
        <v>#DIV/0!</v>
      </c>
      <c r="AB89" s="55" t="e">
        <f>AB88+ATM_Conf!$C$5*(M88-L88)/(Links!M$191*Links!AB$191)</f>
        <v>#DIV/0!</v>
      </c>
      <c r="AC89" s="55" t="e">
        <f>AC88+ATM_Conf!$C$5*(N88-M88)/(Links!N$191*Links!AC$191)</f>
        <v>#DIV/0!</v>
      </c>
      <c r="AD89" s="55" t="e">
        <f>AD88+ATM_Conf!$C$5*(O88-N88)/(Links!O$191*Links!AD$191)</f>
        <v>#DIV/0!</v>
      </c>
      <c r="AE89" s="55" t="e">
        <f>AE88+ATM_Conf!$C$5*(P88-O88)/(Links!P$191*Links!AE$191)</f>
        <v>#DIV/0!</v>
      </c>
      <c r="AF89" s="45" t="e">
        <f>AF88+(ATM_Conf!$C$5/ATM_Conf!$C$8)*(Links!AU88*EXP((-(Links!Q88/Links!BJ88)^Links!BY88)/Links!BY88)-Links!AF88)-(ATM_Conf!$C$9*ATM_Conf!$C$5/(ATM_Conf!$C$8*Links!Q$191))*(Nodes!BO88-Links!Q88)/(Links!Q88/ATM_Conf!$C$10)</f>
        <v>#DIV/0!</v>
      </c>
      <c r="AG89" s="45" t="e">
        <f>AG88+(ATM_Conf!$C$5/ATM_Conf!$C$8)*(Links!AV88*EXP((-(Links!R88/Links!BK88)^Links!BZ88)/Links!BZ88)-Links!AG88)+(ATM_Conf!$C$5/Links!R$191)*Links!AG88*(Nodes!BB88-Links!AG88)-(ATM_Conf!$C$9*ATM_Conf!$C$5/(ATM_Conf!$C$8*Links!R$191))*(Nodes!BP88-Links!R88)/(Links!R88/ATM_Conf!$C$10)</f>
        <v>#DIV/0!</v>
      </c>
      <c r="AH89" s="45" t="e">
        <f>AH88+(ATM_Conf!$C$5/ATM_Conf!$C$8)*(Links!AW88*EXP((-(Links!S88/Links!BL88)^Links!CA88)/Links!CA88)-Links!AH88)+(ATM_Conf!$C$5/Links!S$191)*Links!AH88*(Nodes!BC88-Links!AH88)-(ATM_Conf!$C$9*ATM_Conf!$C$5/(ATM_Conf!$C$8*Links!S$191))*(Nodes!BQ88-Links!S88)/(Links!S88/ATM_Conf!$C$10)</f>
        <v>#DIV/0!</v>
      </c>
      <c r="AI89" s="45" t="e">
        <f>AI88+(ATM_Conf!$C$5/ATM_Conf!$C$8)*(Links!AX88*EXP((-(Links!T88/Links!BM88)^Links!CB88)/Links!CB88)-Links!AI88)+(ATM_Conf!$C$5/Links!T$191)*Links!AI88*(Nodes!BD88-Links!AI88)-(ATM_Conf!$C$9*ATM_Conf!$C$5/(ATM_Conf!$C$8*Links!T$191))*(Nodes!BR88-Links!T88)/(Links!T88/ATM_Conf!$C$10)</f>
        <v>#DIV/0!</v>
      </c>
      <c r="AJ89" s="45" t="e">
        <f>AJ88+(ATM_Conf!$C$5/ATM_Conf!$C$8)*(Links!AY88*EXP((-(Links!U88/Links!BN88)^Links!CC88)/Links!CC88)-Links!AJ88)+(ATM_Conf!$C$5/Links!U$191)*Links!AJ88*(Nodes!BE88-Links!AJ88)-(ATM_Conf!$C$9*ATM_Conf!$C$5/(ATM_Conf!$C$8*Links!U$191))*(Nodes!BS88-Links!U88)/(Links!U88/ATM_Conf!$C$10)</f>
        <v>#DIV/0!</v>
      </c>
      <c r="AK89" s="45" t="e">
        <f>AK88+(ATM_Conf!$C$5/ATM_Conf!$C$8)*(Links!AZ88*EXP((-(Links!V88/Links!BO88)^Links!CD88)/Links!CD88)-Links!AK88)+(ATM_Conf!$C$5/Links!V$191)*Links!AK88*(Nodes!BF88-Links!AK88)-(ATM_Conf!$C$9*ATM_Conf!$C$5/(ATM_Conf!$C$8*Links!V$191))*(Nodes!BT88-Links!V88)/(Links!V88/ATM_Conf!$C$10)</f>
        <v>#DIV/0!</v>
      </c>
      <c r="AL89" s="45" t="e">
        <f>AL88+(ATM_Conf!$C$5/ATM_Conf!$C$8)*(Links!BA88*EXP((-(Links!W88/Links!BP88)^Links!CE88)/Links!CE88)-Links!AL88)+(ATM_Conf!$C$5/Links!W$191)*Links!AL88*(Nodes!BG88-Links!AL88)-(ATM_Conf!$C$9*ATM_Conf!$C$5/(ATM_Conf!$C$8*Links!W$191))*(Nodes!BU88-Links!W88)/(Links!W88/ATM_Conf!$C$10)</f>
        <v>#DIV/0!</v>
      </c>
      <c r="AM89" s="45" t="e">
        <f>AM88+(ATM_Conf!$C$5/ATM_Conf!$C$8)*(Links!BB88*EXP((-(Links!X88/Links!BQ88)^Links!CF88)/Links!CF88)-Links!AM88)+(ATM_Conf!$C$5/Links!X$191)*Links!AM88*(Nodes!BH88-Links!AM88)</f>
        <v>#DIV/0!</v>
      </c>
      <c r="AN89" s="45" t="e">
        <f>AN88+(ATM_Conf!$C$5/ATM_Conf!$C$8)*(Links!BC88*EXP((-(Links!Y88/Links!BR88)^Links!CG88)/Links!CG88)-Links!AN88)-(ATM_Conf!$C$9*ATM_Conf!$C$5/(ATM_Conf!$C$8*Links!Y$191))*(Nodes!BV88-Links!Y88)/(Links!Y88/ATM_Conf!$C$10)</f>
        <v>#DIV/0!</v>
      </c>
      <c r="AO89" s="45" t="e">
        <f>AO88+(ATM_Conf!$C$5/ATM_Conf!$C$8)*(Links!BD88*EXP((-(Links!Z88/Links!BS88)^Links!CH88)/Links!CH88)-Links!AO88)+(ATM_Conf!$C$5/Links!Z$191)*Links!AO88*(Nodes!BI88-Links!AO88)-(ATM_Conf!$C$9*ATM_Conf!$C$5/(ATM_Conf!$C$8*Links!Z$191))*(Nodes!BW88-Links!Z88)/(Links!Z88/ATM_Conf!$C$10)</f>
        <v>#DIV/0!</v>
      </c>
      <c r="AP89" s="45" t="e">
        <f>AP88+(ATM_Conf!$C$5/ATM_Conf!$C$8)*(Links!BE88*EXP((-(Links!AA88/Links!BT88)^Links!CI88)/Links!CI88)-Links!AP88)+(ATM_Conf!$C$5/Links!AA$191)*Links!AP88*(Nodes!BJ88-Links!AP88)-(ATM_Conf!$C$9*ATM_Conf!$C$5/(ATM_Conf!$C$8*Links!AA$191))*(Nodes!BX88-Links!AA88)/(Links!AA88/ATM_Conf!$C$10)</f>
        <v>#DIV/0!</v>
      </c>
      <c r="AQ89" s="45" t="e">
        <f>AQ88+(ATM_Conf!$C$5/ATM_Conf!$C$8)*(Links!BF88*EXP((-(Links!AB88/Links!BU88)^Links!CJ88)/Links!CJ88)-Links!AQ88)+(ATM_Conf!$C$5/Links!AB$191)*Links!AQ88*(Nodes!BK88-Links!AQ88)-(ATM_Conf!$C$9*ATM_Conf!$C$5/(ATM_Conf!$C$8*Links!AB$191))*(Nodes!BY88-Links!AB88)/(Links!AB88/ATM_Conf!$C$10)</f>
        <v>#DIV/0!</v>
      </c>
      <c r="AR89" s="45" t="e">
        <f>AR88+(ATM_Conf!$C$5/ATM_Conf!$C$8)*(Links!BG88*EXP((-(Links!AC88/Links!BV88)^Links!CK88)/Links!CK88)-Links!AR88)+(ATM_Conf!$C$5/Links!AC$191)*Links!AR88*(Nodes!BL88-Links!AR88)-(ATM_Conf!$C$9*ATM_Conf!$C$5/(ATM_Conf!$C$8*Links!AC$191))*(Nodes!BZ88-Links!AC88)/(Links!AC88/ATM_Conf!$C$10)</f>
        <v>#DIV/0!</v>
      </c>
      <c r="AS89" s="45" t="e">
        <f>AS88+(ATM_Conf!$C$5/ATM_Conf!$C$8)*(Links!BH88*EXP((-(Links!AD88/Links!BW88)^Links!CL88)/Links!CL88)-Links!AS88)+(ATM_Conf!$C$5/Links!AD$191)*Links!AS88*(Nodes!BM88-Links!AS88)-(ATM_Conf!$C$9*ATM_Conf!$C$5/(ATM_Conf!$C$8*Links!AD$191))*(Nodes!CA88-Links!AD88)/(Links!AD88/ATM_Conf!$C$10)</f>
        <v>#DIV/0!</v>
      </c>
      <c r="AT89" s="45" t="e">
        <f>AT88+(ATM_Conf!$C$5/ATM_Conf!$C$8)*(Links!BI88*EXP((-(Links!AE88/Links!BX88)^Links!CM88)/Links!CM88)-Links!AT88)+(ATM_Conf!$C$5/Links!AE$191)*Links!AT88*(Nodes!BN88-Links!AT88)</f>
        <v>#DIV/0!</v>
      </c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45"/>
      <c r="BK89" s="45"/>
      <c r="BL89" s="45"/>
      <c r="BM89" s="45"/>
      <c r="BN89" s="45"/>
      <c r="BO89" s="45"/>
      <c r="BP89" s="45"/>
      <c r="BQ89" s="45"/>
      <c r="BR89" s="45"/>
      <c r="BS89" s="45"/>
      <c r="BT89" s="45"/>
      <c r="BU89" s="45"/>
      <c r="BV89" s="45"/>
      <c r="BW89" s="45"/>
      <c r="BX89" s="4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45">
        <f t="shared" ref="CN89:DB98" si="54">CN$87</f>
        <v>0</v>
      </c>
      <c r="CO89" s="45">
        <f t="shared" si="54"/>
        <v>0</v>
      </c>
      <c r="CP89" s="45">
        <f t="shared" si="54"/>
        <v>0</v>
      </c>
      <c r="CQ89" s="45">
        <f t="shared" si="54"/>
        <v>0</v>
      </c>
      <c r="CR89" s="45">
        <f t="shared" si="54"/>
        <v>0</v>
      </c>
      <c r="CS89" s="45">
        <f t="shared" si="54"/>
        <v>0</v>
      </c>
      <c r="CT89" s="45">
        <f t="shared" si="54"/>
        <v>0</v>
      </c>
      <c r="CU89" s="45">
        <f t="shared" si="54"/>
        <v>0</v>
      </c>
      <c r="CV89" s="45">
        <f t="shared" si="54"/>
        <v>0</v>
      </c>
      <c r="CW89" s="45">
        <f t="shared" si="54"/>
        <v>0</v>
      </c>
      <c r="CX89" s="45">
        <f t="shared" si="54"/>
        <v>0</v>
      </c>
      <c r="CY89" s="45">
        <f t="shared" si="54"/>
        <v>0</v>
      </c>
      <c r="CZ89" s="45">
        <f t="shared" si="54"/>
        <v>0</v>
      </c>
      <c r="DA89" s="45">
        <f t="shared" si="54"/>
        <v>0</v>
      </c>
      <c r="DB89" s="45">
        <f t="shared" si="54"/>
        <v>0</v>
      </c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</row>
    <row r="90" spans="1:121" ht="14.25" x14ac:dyDescent="0.15">
      <c r="A90" s="48">
        <v>88</v>
      </c>
      <c r="B90" s="45" t="e">
        <f t="shared" si="34"/>
        <v>#DIV/0!</v>
      </c>
      <c r="C90" s="45" t="e">
        <f t="shared" si="35"/>
        <v>#DIV/0!</v>
      </c>
      <c r="D90" s="45" t="e">
        <f t="shared" si="36"/>
        <v>#DIV/0!</v>
      </c>
      <c r="E90" s="45" t="e">
        <f t="shared" si="37"/>
        <v>#DIV/0!</v>
      </c>
      <c r="F90" s="45" t="e">
        <f t="shared" si="38"/>
        <v>#DIV/0!</v>
      </c>
      <c r="G90" s="45" t="e">
        <f t="shared" si="39"/>
        <v>#DIV/0!</v>
      </c>
      <c r="H90" s="45" t="e">
        <f t="shared" si="40"/>
        <v>#DIV/0!</v>
      </c>
      <c r="I90" s="45" t="e">
        <f t="shared" si="41"/>
        <v>#DIV/0!</v>
      </c>
      <c r="J90" s="45" t="e">
        <f t="shared" si="42"/>
        <v>#DIV/0!</v>
      </c>
      <c r="K90" s="45" t="e">
        <f t="shared" si="43"/>
        <v>#DIV/0!</v>
      </c>
      <c r="L90" s="45" t="e">
        <f t="shared" si="44"/>
        <v>#DIV/0!</v>
      </c>
      <c r="M90" s="45" t="e">
        <f t="shared" si="45"/>
        <v>#DIV/0!</v>
      </c>
      <c r="N90" s="45" t="e">
        <f t="shared" si="46"/>
        <v>#DIV/0!</v>
      </c>
      <c r="O90" s="45" t="e">
        <f t="shared" si="47"/>
        <v>#DIV/0!</v>
      </c>
      <c r="P90" s="45" t="e">
        <f t="shared" si="48"/>
        <v>#DIV/0!</v>
      </c>
      <c r="Q90" s="55" t="e">
        <f>Q89+ATM_Conf!$C$5*(B89)/(Links!B$191*Links!Q$191)</f>
        <v>#DIV/0!</v>
      </c>
      <c r="R90" s="55" t="e">
        <f>R89+ATM_Conf!$C$5*(C89-B89)/(Links!C$191*Links!R$191)</f>
        <v>#DIV/0!</v>
      </c>
      <c r="S90" s="55" t="e">
        <f>S89+ATM_Conf!$C$5*(D89-C89)/(Links!D$191*Links!S$191)</f>
        <v>#DIV/0!</v>
      </c>
      <c r="T90" s="55" t="e">
        <f>T89+ATM_Conf!$C$5*(E89-D89)/(Links!E$191*Links!T$191)</f>
        <v>#DIV/0!</v>
      </c>
      <c r="U90" s="55" t="e">
        <f>U89+ATM_Conf!$C$5*(F89-E89)/(Links!F$191*Links!U$191)</f>
        <v>#DIV/0!</v>
      </c>
      <c r="V90" s="55" t="e">
        <f>V89+ATM_Conf!$C$5*(G89-F89)/(Links!G$191*Links!V$191)</f>
        <v>#DIV/0!</v>
      </c>
      <c r="W90" s="55" t="e">
        <f>W89+ATM_Conf!$C$5*(H89-G89)/(Links!H$191*Links!W$191)</f>
        <v>#DIV/0!</v>
      </c>
      <c r="X90" s="55" t="e">
        <f>X89+ATM_Conf!$C$5*(I89-H89)/(Links!I$191*Links!X$191)</f>
        <v>#DIV/0!</v>
      </c>
      <c r="Y90" s="55" t="e">
        <f>Y89+ATM_Conf!$C$5*(J89)/(Links!J$191*Links!Y$191)</f>
        <v>#DIV/0!</v>
      </c>
      <c r="Z90" s="55" t="e">
        <f>Z89+ATM_Conf!$C$5*(K89-J89)/(Links!K$191*Links!Z$191)</f>
        <v>#DIV/0!</v>
      </c>
      <c r="AA90" s="55" t="e">
        <f>AA89+ATM_Conf!$C$5*(L89-K89)/(Links!L$191*Links!AA$191)</f>
        <v>#DIV/0!</v>
      </c>
      <c r="AB90" s="55" t="e">
        <f>AB89+ATM_Conf!$C$5*(M89-L89)/(Links!M$191*Links!AB$191)</f>
        <v>#DIV/0!</v>
      </c>
      <c r="AC90" s="55" t="e">
        <f>AC89+ATM_Conf!$C$5*(N89-M89)/(Links!N$191*Links!AC$191)</f>
        <v>#DIV/0!</v>
      </c>
      <c r="AD90" s="55" t="e">
        <f>AD89+ATM_Conf!$C$5*(O89-N89)/(Links!O$191*Links!AD$191)</f>
        <v>#DIV/0!</v>
      </c>
      <c r="AE90" s="55" t="e">
        <f>AE89+ATM_Conf!$C$5*(P89-O89)/(Links!P$191*Links!AE$191)</f>
        <v>#DIV/0!</v>
      </c>
      <c r="AF90" s="45" t="e">
        <f>AF89+(ATM_Conf!$C$5/ATM_Conf!$C$8)*(Links!AU89*EXP((-(Links!Q89/Links!BJ89)^Links!BY89)/Links!BY89)-Links!AF89)-(ATM_Conf!$C$9*ATM_Conf!$C$5/(ATM_Conf!$C$8*Links!Q$191))*(Nodes!BO89-Links!Q89)/(Links!Q89/ATM_Conf!$C$10)</f>
        <v>#DIV/0!</v>
      </c>
      <c r="AG90" s="45" t="e">
        <f>AG89+(ATM_Conf!$C$5/ATM_Conf!$C$8)*(Links!AV89*EXP((-(Links!R89/Links!BK89)^Links!BZ89)/Links!BZ89)-Links!AG89)+(ATM_Conf!$C$5/Links!R$191)*Links!AG89*(Nodes!BB89-Links!AG89)-(ATM_Conf!$C$9*ATM_Conf!$C$5/(ATM_Conf!$C$8*Links!R$191))*(Nodes!BP89-Links!R89)/(Links!R89/ATM_Conf!$C$10)</f>
        <v>#DIV/0!</v>
      </c>
      <c r="AH90" s="45" t="e">
        <f>AH89+(ATM_Conf!$C$5/ATM_Conf!$C$8)*(Links!AW89*EXP((-(Links!S89/Links!BL89)^Links!CA89)/Links!CA89)-Links!AH89)+(ATM_Conf!$C$5/Links!S$191)*Links!AH89*(Nodes!BC89-Links!AH89)-(ATM_Conf!$C$9*ATM_Conf!$C$5/(ATM_Conf!$C$8*Links!S$191))*(Nodes!BQ89-Links!S89)/(Links!S89/ATM_Conf!$C$10)</f>
        <v>#DIV/0!</v>
      </c>
      <c r="AI90" s="45" t="e">
        <f>AI89+(ATM_Conf!$C$5/ATM_Conf!$C$8)*(Links!AX89*EXP((-(Links!T89/Links!BM89)^Links!CB89)/Links!CB89)-Links!AI89)+(ATM_Conf!$C$5/Links!T$191)*Links!AI89*(Nodes!BD89-Links!AI89)-(ATM_Conf!$C$9*ATM_Conf!$C$5/(ATM_Conf!$C$8*Links!T$191))*(Nodes!BR89-Links!T89)/(Links!T89/ATM_Conf!$C$10)</f>
        <v>#DIV/0!</v>
      </c>
      <c r="AJ90" s="45" t="e">
        <f>AJ89+(ATM_Conf!$C$5/ATM_Conf!$C$8)*(Links!AY89*EXP((-(Links!U89/Links!BN89)^Links!CC89)/Links!CC89)-Links!AJ89)+(ATM_Conf!$C$5/Links!U$191)*Links!AJ89*(Nodes!BE89-Links!AJ89)-(ATM_Conf!$C$9*ATM_Conf!$C$5/(ATM_Conf!$C$8*Links!U$191))*(Nodes!BS89-Links!U89)/(Links!U89/ATM_Conf!$C$10)</f>
        <v>#DIV/0!</v>
      </c>
      <c r="AK90" s="45" t="e">
        <f>AK89+(ATM_Conf!$C$5/ATM_Conf!$C$8)*(Links!AZ89*EXP((-(Links!V89/Links!BO89)^Links!CD89)/Links!CD89)-Links!AK89)+(ATM_Conf!$C$5/Links!V$191)*Links!AK89*(Nodes!BF89-Links!AK89)-(ATM_Conf!$C$9*ATM_Conf!$C$5/(ATM_Conf!$C$8*Links!V$191))*(Nodes!BT89-Links!V89)/(Links!V89/ATM_Conf!$C$10)</f>
        <v>#DIV/0!</v>
      </c>
      <c r="AL90" s="45" t="e">
        <f>AL89+(ATM_Conf!$C$5/ATM_Conf!$C$8)*(Links!BA89*EXP((-(Links!W89/Links!BP89)^Links!CE89)/Links!CE89)-Links!AL89)+(ATM_Conf!$C$5/Links!W$191)*Links!AL89*(Nodes!BG89-Links!AL89)-(ATM_Conf!$C$9*ATM_Conf!$C$5/(ATM_Conf!$C$8*Links!W$191))*(Nodes!BU89-Links!W89)/(Links!W89/ATM_Conf!$C$10)</f>
        <v>#DIV/0!</v>
      </c>
      <c r="AM90" s="45" t="e">
        <f>AM89+(ATM_Conf!$C$5/ATM_Conf!$C$8)*(Links!BB89*EXP((-(Links!X89/Links!BQ89)^Links!CF89)/Links!CF89)-Links!AM89)+(ATM_Conf!$C$5/Links!X$191)*Links!AM89*(Nodes!BH89-Links!AM89)</f>
        <v>#DIV/0!</v>
      </c>
      <c r="AN90" s="45" t="e">
        <f>AN89+(ATM_Conf!$C$5/ATM_Conf!$C$8)*(Links!BC89*EXP((-(Links!Y89/Links!BR89)^Links!CG89)/Links!CG89)-Links!AN89)-(ATM_Conf!$C$9*ATM_Conf!$C$5/(ATM_Conf!$C$8*Links!Y$191))*(Nodes!BV89-Links!Y89)/(Links!Y89/ATM_Conf!$C$10)</f>
        <v>#DIV/0!</v>
      </c>
      <c r="AO90" s="45" t="e">
        <f>AO89+(ATM_Conf!$C$5/ATM_Conf!$C$8)*(Links!BD89*EXP((-(Links!Z89/Links!BS89)^Links!CH89)/Links!CH89)-Links!AO89)+(ATM_Conf!$C$5/Links!Z$191)*Links!AO89*(Nodes!BI89-Links!AO89)-(ATM_Conf!$C$9*ATM_Conf!$C$5/(ATM_Conf!$C$8*Links!Z$191))*(Nodes!BW89-Links!Z89)/(Links!Z89/ATM_Conf!$C$10)</f>
        <v>#DIV/0!</v>
      </c>
      <c r="AP90" s="45" t="e">
        <f>AP89+(ATM_Conf!$C$5/ATM_Conf!$C$8)*(Links!BE89*EXP((-(Links!AA89/Links!BT89)^Links!CI89)/Links!CI89)-Links!AP89)+(ATM_Conf!$C$5/Links!AA$191)*Links!AP89*(Nodes!BJ89-Links!AP89)-(ATM_Conf!$C$9*ATM_Conf!$C$5/(ATM_Conf!$C$8*Links!AA$191))*(Nodes!BX89-Links!AA89)/(Links!AA89/ATM_Conf!$C$10)</f>
        <v>#DIV/0!</v>
      </c>
      <c r="AQ90" s="45" t="e">
        <f>AQ89+(ATM_Conf!$C$5/ATM_Conf!$C$8)*(Links!BF89*EXP((-(Links!AB89/Links!BU89)^Links!CJ89)/Links!CJ89)-Links!AQ89)+(ATM_Conf!$C$5/Links!AB$191)*Links!AQ89*(Nodes!BK89-Links!AQ89)-(ATM_Conf!$C$9*ATM_Conf!$C$5/(ATM_Conf!$C$8*Links!AB$191))*(Nodes!BY89-Links!AB89)/(Links!AB89/ATM_Conf!$C$10)</f>
        <v>#DIV/0!</v>
      </c>
      <c r="AR90" s="45" t="e">
        <f>AR89+(ATM_Conf!$C$5/ATM_Conf!$C$8)*(Links!BG89*EXP((-(Links!AC89/Links!BV89)^Links!CK89)/Links!CK89)-Links!AR89)+(ATM_Conf!$C$5/Links!AC$191)*Links!AR89*(Nodes!BL89-Links!AR89)-(ATM_Conf!$C$9*ATM_Conf!$C$5/(ATM_Conf!$C$8*Links!AC$191))*(Nodes!BZ89-Links!AC89)/(Links!AC89/ATM_Conf!$C$10)</f>
        <v>#DIV/0!</v>
      </c>
      <c r="AS90" s="45" t="e">
        <f>AS89+(ATM_Conf!$C$5/ATM_Conf!$C$8)*(Links!BH89*EXP((-(Links!AD89/Links!BW89)^Links!CL89)/Links!CL89)-Links!AS89)+(ATM_Conf!$C$5/Links!AD$191)*Links!AS89*(Nodes!BM89-Links!AS89)-(ATM_Conf!$C$9*ATM_Conf!$C$5/(ATM_Conf!$C$8*Links!AD$191))*(Nodes!CA89-Links!AD89)/(Links!AD89/ATM_Conf!$C$10)</f>
        <v>#DIV/0!</v>
      </c>
      <c r="AT90" s="45" t="e">
        <f>AT89+(ATM_Conf!$C$5/ATM_Conf!$C$8)*(Links!BI89*EXP((-(Links!AE89/Links!BX89)^Links!CM89)/Links!CM89)-Links!AT89)+(ATM_Conf!$C$5/Links!AE$191)*Links!AT89*(Nodes!BN89-Links!AT89)</f>
        <v>#DIV/0!</v>
      </c>
      <c r="AU90" s="55"/>
      <c r="AV90" s="55"/>
      <c r="AW90" s="55"/>
      <c r="AX90" s="55"/>
      <c r="AY90" s="55"/>
      <c r="AZ90" s="55"/>
      <c r="BA90" s="55"/>
      <c r="BB90" s="55"/>
      <c r="BC90" s="55"/>
      <c r="BD90" s="55"/>
      <c r="BE90" s="55"/>
      <c r="BF90" s="55"/>
      <c r="BG90" s="55"/>
      <c r="BH90" s="55"/>
      <c r="BI90" s="55"/>
      <c r="BJ90" s="45"/>
      <c r="BK90" s="45"/>
      <c r="BL90" s="45"/>
      <c r="BM90" s="45"/>
      <c r="BN90" s="45"/>
      <c r="BO90" s="45"/>
      <c r="BP90" s="45"/>
      <c r="BQ90" s="45"/>
      <c r="BR90" s="45"/>
      <c r="BS90" s="45"/>
      <c r="BT90" s="45"/>
      <c r="BU90" s="45"/>
      <c r="BV90" s="45"/>
      <c r="BW90" s="45"/>
      <c r="BX90" s="45"/>
      <c r="BY90" s="55"/>
      <c r="BZ90" s="55"/>
      <c r="CA90" s="55"/>
      <c r="CB90" s="55"/>
      <c r="CC90" s="55"/>
      <c r="CD90" s="55"/>
      <c r="CE90" s="55"/>
      <c r="CF90" s="55"/>
      <c r="CG90" s="55"/>
      <c r="CH90" s="55"/>
      <c r="CI90" s="55"/>
      <c r="CJ90" s="55"/>
      <c r="CK90" s="55"/>
      <c r="CL90" s="55"/>
      <c r="CM90" s="55"/>
      <c r="CN90" s="45">
        <f t="shared" si="54"/>
        <v>0</v>
      </c>
      <c r="CO90" s="45">
        <f t="shared" si="54"/>
        <v>0</v>
      </c>
      <c r="CP90" s="45">
        <f t="shared" si="54"/>
        <v>0</v>
      </c>
      <c r="CQ90" s="45">
        <f t="shared" si="54"/>
        <v>0</v>
      </c>
      <c r="CR90" s="45">
        <f t="shared" si="54"/>
        <v>0</v>
      </c>
      <c r="CS90" s="45">
        <f t="shared" si="54"/>
        <v>0</v>
      </c>
      <c r="CT90" s="45">
        <f t="shared" si="54"/>
        <v>0</v>
      </c>
      <c r="CU90" s="45">
        <f t="shared" si="54"/>
        <v>0</v>
      </c>
      <c r="CV90" s="45">
        <f t="shared" si="54"/>
        <v>0</v>
      </c>
      <c r="CW90" s="45">
        <f t="shared" si="54"/>
        <v>0</v>
      </c>
      <c r="CX90" s="45">
        <f t="shared" si="54"/>
        <v>0</v>
      </c>
      <c r="CY90" s="45">
        <f t="shared" si="54"/>
        <v>0</v>
      </c>
      <c r="CZ90" s="45">
        <f t="shared" si="54"/>
        <v>0</v>
      </c>
      <c r="DA90" s="45">
        <f t="shared" si="54"/>
        <v>0</v>
      </c>
      <c r="DB90" s="45">
        <f t="shared" si="54"/>
        <v>0</v>
      </c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</row>
    <row r="91" spans="1:121" ht="14.25" x14ac:dyDescent="0.15">
      <c r="A91" s="48">
        <v>89</v>
      </c>
      <c r="B91" s="45" t="e">
        <f t="shared" si="34"/>
        <v>#DIV/0!</v>
      </c>
      <c r="C91" s="45" t="e">
        <f t="shared" si="35"/>
        <v>#DIV/0!</v>
      </c>
      <c r="D91" s="45" t="e">
        <f t="shared" si="36"/>
        <v>#DIV/0!</v>
      </c>
      <c r="E91" s="45" t="e">
        <f t="shared" si="37"/>
        <v>#DIV/0!</v>
      </c>
      <c r="F91" s="45" t="e">
        <f t="shared" si="38"/>
        <v>#DIV/0!</v>
      </c>
      <c r="G91" s="45" t="e">
        <f t="shared" si="39"/>
        <v>#DIV/0!</v>
      </c>
      <c r="H91" s="45" t="e">
        <f t="shared" si="40"/>
        <v>#DIV/0!</v>
      </c>
      <c r="I91" s="45" t="e">
        <f t="shared" si="41"/>
        <v>#DIV/0!</v>
      </c>
      <c r="J91" s="45" t="e">
        <f t="shared" si="42"/>
        <v>#DIV/0!</v>
      </c>
      <c r="K91" s="45" t="e">
        <f t="shared" si="43"/>
        <v>#DIV/0!</v>
      </c>
      <c r="L91" s="45" t="e">
        <f t="shared" si="44"/>
        <v>#DIV/0!</v>
      </c>
      <c r="M91" s="45" t="e">
        <f t="shared" si="45"/>
        <v>#DIV/0!</v>
      </c>
      <c r="N91" s="45" t="e">
        <f t="shared" si="46"/>
        <v>#DIV/0!</v>
      </c>
      <c r="O91" s="45" t="e">
        <f t="shared" si="47"/>
        <v>#DIV/0!</v>
      </c>
      <c r="P91" s="45" t="e">
        <f t="shared" si="48"/>
        <v>#DIV/0!</v>
      </c>
      <c r="Q91" s="55" t="e">
        <f>Q90+ATM_Conf!$C$5*(B90)/(Links!B$191*Links!Q$191)</f>
        <v>#DIV/0!</v>
      </c>
      <c r="R91" s="55" t="e">
        <f>R90+ATM_Conf!$C$5*(C90-B90)/(Links!C$191*Links!R$191)</f>
        <v>#DIV/0!</v>
      </c>
      <c r="S91" s="55" t="e">
        <f>S90+ATM_Conf!$C$5*(D90-C90)/(Links!D$191*Links!S$191)</f>
        <v>#DIV/0!</v>
      </c>
      <c r="T91" s="55" t="e">
        <f>T90+ATM_Conf!$C$5*(E90-D90)/(Links!E$191*Links!T$191)</f>
        <v>#DIV/0!</v>
      </c>
      <c r="U91" s="55" t="e">
        <f>U90+ATM_Conf!$C$5*(F90-E90)/(Links!F$191*Links!U$191)</f>
        <v>#DIV/0!</v>
      </c>
      <c r="V91" s="55" t="e">
        <f>V90+ATM_Conf!$C$5*(G90-F90)/(Links!G$191*Links!V$191)</f>
        <v>#DIV/0!</v>
      </c>
      <c r="W91" s="55" t="e">
        <f>W90+ATM_Conf!$C$5*(H90-G90)/(Links!H$191*Links!W$191)</f>
        <v>#DIV/0!</v>
      </c>
      <c r="X91" s="55" t="e">
        <f>X90+ATM_Conf!$C$5*(I90-H90)/(Links!I$191*Links!X$191)</f>
        <v>#DIV/0!</v>
      </c>
      <c r="Y91" s="55" t="e">
        <f>Y90+ATM_Conf!$C$5*(J90)/(Links!J$191*Links!Y$191)</f>
        <v>#DIV/0!</v>
      </c>
      <c r="Z91" s="55" t="e">
        <f>Z90+ATM_Conf!$C$5*(K90-J90)/(Links!K$191*Links!Z$191)</f>
        <v>#DIV/0!</v>
      </c>
      <c r="AA91" s="55" t="e">
        <f>AA90+ATM_Conf!$C$5*(L90-K90)/(Links!L$191*Links!AA$191)</f>
        <v>#DIV/0!</v>
      </c>
      <c r="AB91" s="55" t="e">
        <f>AB90+ATM_Conf!$C$5*(M90-L90)/(Links!M$191*Links!AB$191)</f>
        <v>#DIV/0!</v>
      </c>
      <c r="AC91" s="55" t="e">
        <f>AC90+ATM_Conf!$C$5*(N90-M90)/(Links!N$191*Links!AC$191)</f>
        <v>#DIV/0!</v>
      </c>
      <c r="AD91" s="55" t="e">
        <f>AD90+ATM_Conf!$C$5*(O90-N90)/(Links!O$191*Links!AD$191)</f>
        <v>#DIV/0!</v>
      </c>
      <c r="AE91" s="55" t="e">
        <f>AE90+ATM_Conf!$C$5*(P90-O90)/(Links!P$191*Links!AE$191)</f>
        <v>#DIV/0!</v>
      </c>
      <c r="AF91" s="45" t="e">
        <f>AF90+(ATM_Conf!$C$5/ATM_Conf!$C$8)*(Links!AU90*EXP((-(Links!Q90/Links!BJ90)^Links!BY90)/Links!BY90)-Links!AF90)-(ATM_Conf!$C$9*ATM_Conf!$C$5/(ATM_Conf!$C$8*Links!Q$191))*(Nodes!BO90-Links!Q90)/(Links!Q90/ATM_Conf!$C$10)</f>
        <v>#DIV/0!</v>
      </c>
      <c r="AG91" s="45" t="e">
        <f>AG90+(ATM_Conf!$C$5/ATM_Conf!$C$8)*(Links!AV90*EXP((-(Links!R90/Links!BK90)^Links!BZ90)/Links!BZ90)-Links!AG90)+(ATM_Conf!$C$5/Links!R$191)*Links!AG90*(Nodes!BB90-Links!AG90)-(ATM_Conf!$C$9*ATM_Conf!$C$5/(ATM_Conf!$C$8*Links!R$191))*(Nodes!BP90-Links!R90)/(Links!R90/ATM_Conf!$C$10)</f>
        <v>#DIV/0!</v>
      </c>
      <c r="AH91" s="45" t="e">
        <f>AH90+(ATM_Conf!$C$5/ATM_Conf!$C$8)*(Links!AW90*EXP((-(Links!S90/Links!BL90)^Links!CA90)/Links!CA90)-Links!AH90)+(ATM_Conf!$C$5/Links!S$191)*Links!AH90*(Nodes!BC90-Links!AH90)-(ATM_Conf!$C$9*ATM_Conf!$C$5/(ATM_Conf!$C$8*Links!S$191))*(Nodes!BQ90-Links!S90)/(Links!S90/ATM_Conf!$C$10)</f>
        <v>#DIV/0!</v>
      </c>
      <c r="AI91" s="45" t="e">
        <f>AI90+(ATM_Conf!$C$5/ATM_Conf!$C$8)*(Links!AX90*EXP((-(Links!T90/Links!BM90)^Links!CB90)/Links!CB90)-Links!AI90)+(ATM_Conf!$C$5/Links!T$191)*Links!AI90*(Nodes!BD90-Links!AI90)-(ATM_Conf!$C$9*ATM_Conf!$C$5/(ATM_Conf!$C$8*Links!T$191))*(Nodes!BR90-Links!T90)/(Links!T90/ATM_Conf!$C$10)</f>
        <v>#DIV/0!</v>
      </c>
      <c r="AJ91" s="45" t="e">
        <f>AJ90+(ATM_Conf!$C$5/ATM_Conf!$C$8)*(Links!AY90*EXP((-(Links!U90/Links!BN90)^Links!CC90)/Links!CC90)-Links!AJ90)+(ATM_Conf!$C$5/Links!U$191)*Links!AJ90*(Nodes!BE90-Links!AJ90)-(ATM_Conf!$C$9*ATM_Conf!$C$5/(ATM_Conf!$C$8*Links!U$191))*(Nodes!BS90-Links!U90)/(Links!U90/ATM_Conf!$C$10)</f>
        <v>#DIV/0!</v>
      </c>
      <c r="AK91" s="45" t="e">
        <f>AK90+(ATM_Conf!$C$5/ATM_Conf!$C$8)*(Links!AZ90*EXP((-(Links!V90/Links!BO90)^Links!CD90)/Links!CD90)-Links!AK90)+(ATM_Conf!$C$5/Links!V$191)*Links!AK90*(Nodes!BF90-Links!AK90)-(ATM_Conf!$C$9*ATM_Conf!$C$5/(ATM_Conf!$C$8*Links!V$191))*(Nodes!BT90-Links!V90)/(Links!V90/ATM_Conf!$C$10)</f>
        <v>#DIV/0!</v>
      </c>
      <c r="AL91" s="45" t="e">
        <f>AL90+(ATM_Conf!$C$5/ATM_Conf!$C$8)*(Links!BA90*EXP((-(Links!W90/Links!BP90)^Links!CE90)/Links!CE90)-Links!AL90)+(ATM_Conf!$C$5/Links!W$191)*Links!AL90*(Nodes!BG90-Links!AL90)-(ATM_Conf!$C$9*ATM_Conf!$C$5/(ATM_Conf!$C$8*Links!W$191))*(Nodes!BU90-Links!W90)/(Links!W90/ATM_Conf!$C$10)</f>
        <v>#DIV/0!</v>
      </c>
      <c r="AM91" s="45" t="e">
        <f>AM90+(ATM_Conf!$C$5/ATM_Conf!$C$8)*(Links!BB90*EXP((-(Links!X90/Links!BQ90)^Links!CF90)/Links!CF90)-Links!AM90)+(ATM_Conf!$C$5/Links!X$191)*Links!AM90*(Nodes!BH90-Links!AM90)</f>
        <v>#DIV/0!</v>
      </c>
      <c r="AN91" s="45" t="e">
        <f>AN90+(ATM_Conf!$C$5/ATM_Conf!$C$8)*(Links!BC90*EXP((-(Links!Y90/Links!BR90)^Links!CG90)/Links!CG90)-Links!AN90)-(ATM_Conf!$C$9*ATM_Conf!$C$5/(ATM_Conf!$C$8*Links!Y$191))*(Nodes!BV90-Links!Y90)/(Links!Y90/ATM_Conf!$C$10)</f>
        <v>#DIV/0!</v>
      </c>
      <c r="AO91" s="45" t="e">
        <f>AO90+(ATM_Conf!$C$5/ATM_Conf!$C$8)*(Links!BD90*EXP((-(Links!Z90/Links!BS90)^Links!CH90)/Links!CH90)-Links!AO90)+(ATM_Conf!$C$5/Links!Z$191)*Links!AO90*(Nodes!BI90-Links!AO90)-(ATM_Conf!$C$9*ATM_Conf!$C$5/(ATM_Conf!$C$8*Links!Z$191))*(Nodes!BW90-Links!Z90)/(Links!Z90/ATM_Conf!$C$10)</f>
        <v>#DIV/0!</v>
      </c>
      <c r="AP91" s="45" t="e">
        <f>AP90+(ATM_Conf!$C$5/ATM_Conf!$C$8)*(Links!BE90*EXP((-(Links!AA90/Links!BT90)^Links!CI90)/Links!CI90)-Links!AP90)+(ATM_Conf!$C$5/Links!AA$191)*Links!AP90*(Nodes!BJ90-Links!AP90)-(ATM_Conf!$C$9*ATM_Conf!$C$5/(ATM_Conf!$C$8*Links!AA$191))*(Nodes!BX90-Links!AA90)/(Links!AA90/ATM_Conf!$C$10)</f>
        <v>#DIV/0!</v>
      </c>
      <c r="AQ91" s="45" t="e">
        <f>AQ90+(ATM_Conf!$C$5/ATM_Conf!$C$8)*(Links!BF90*EXP((-(Links!AB90/Links!BU90)^Links!CJ90)/Links!CJ90)-Links!AQ90)+(ATM_Conf!$C$5/Links!AB$191)*Links!AQ90*(Nodes!BK90-Links!AQ90)-(ATM_Conf!$C$9*ATM_Conf!$C$5/(ATM_Conf!$C$8*Links!AB$191))*(Nodes!BY90-Links!AB90)/(Links!AB90/ATM_Conf!$C$10)</f>
        <v>#DIV/0!</v>
      </c>
      <c r="AR91" s="45" t="e">
        <f>AR90+(ATM_Conf!$C$5/ATM_Conf!$C$8)*(Links!BG90*EXP((-(Links!AC90/Links!BV90)^Links!CK90)/Links!CK90)-Links!AR90)+(ATM_Conf!$C$5/Links!AC$191)*Links!AR90*(Nodes!BL90-Links!AR90)-(ATM_Conf!$C$9*ATM_Conf!$C$5/(ATM_Conf!$C$8*Links!AC$191))*(Nodes!BZ90-Links!AC90)/(Links!AC90/ATM_Conf!$C$10)</f>
        <v>#DIV/0!</v>
      </c>
      <c r="AS91" s="45" t="e">
        <f>AS90+(ATM_Conf!$C$5/ATM_Conf!$C$8)*(Links!BH90*EXP((-(Links!AD90/Links!BW90)^Links!CL90)/Links!CL90)-Links!AS90)+(ATM_Conf!$C$5/Links!AD$191)*Links!AS90*(Nodes!BM90-Links!AS90)-(ATM_Conf!$C$9*ATM_Conf!$C$5/(ATM_Conf!$C$8*Links!AD$191))*(Nodes!CA90-Links!AD90)/(Links!AD90/ATM_Conf!$C$10)</f>
        <v>#DIV/0!</v>
      </c>
      <c r="AT91" s="45" t="e">
        <f>AT90+(ATM_Conf!$C$5/ATM_Conf!$C$8)*(Links!BI90*EXP((-(Links!AE90/Links!BX90)^Links!CM90)/Links!CM90)-Links!AT90)+(ATM_Conf!$C$5/Links!AE$191)*Links!AT90*(Nodes!BN90-Links!AT90)</f>
        <v>#DIV/0!</v>
      </c>
      <c r="AU91" s="55"/>
      <c r="AV91" s="55"/>
      <c r="AW91" s="55"/>
      <c r="AX91" s="55"/>
      <c r="AY91" s="55"/>
      <c r="AZ91" s="55"/>
      <c r="BA91" s="55"/>
      <c r="BB91" s="55"/>
      <c r="BC91" s="55"/>
      <c r="BD91" s="55"/>
      <c r="BE91" s="55"/>
      <c r="BF91" s="55"/>
      <c r="BG91" s="55"/>
      <c r="BH91" s="55"/>
      <c r="BI91" s="55"/>
      <c r="BJ91" s="45"/>
      <c r="BK91" s="45"/>
      <c r="BL91" s="45"/>
      <c r="BM91" s="45"/>
      <c r="BN91" s="45"/>
      <c r="BO91" s="45"/>
      <c r="BP91" s="45"/>
      <c r="BQ91" s="45"/>
      <c r="BR91" s="45"/>
      <c r="BS91" s="45"/>
      <c r="BT91" s="45"/>
      <c r="BU91" s="45"/>
      <c r="BV91" s="45"/>
      <c r="BW91" s="45"/>
      <c r="BX91" s="45"/>
      <c r="BY91" s="55"/>
      <c r="BZ91" s="55"/>
      <c r="CA91" s="55"/>
      <c r="CB91" s="55"/>
      <c r="CC91" s="55"/>
      <c r="CD91" s="55"/>
      <c r="CE91" s="55"/>
      <c r="CF91" s="55"/>
      <c r="CG91" s="55"/>
      <c r="CH91" s="55"/>
      <c r="CI91" s="55"/>
      <c r="CJ91" s="55"/>
      <c r="CK91" s="55"/>
      <c r="CL91" s="55"/>
      <c r="CM91" s="55"/>
      <c r="CN91" s="45">
        <f t="shared" si="54"/>
        <v>0</v>
      </c>
      <c r="CO91" s="45">
        <f t="shared" si="54"/>
        <v>0</v>
      </c>
      <c r="CP91" s="45">
        <f t="shared" si="54"/>
        <v>0</v>
      </c>
      <c r="CQ91" s="45">
        <f t="shared" si="54"/>
        <v>0</v>
      </c>
      <c r="CR91" s="45">
        <f t="shared" si="54"/>
        <v>0</v>
      </c>
      <c r="CS91" s="45">
        <f t="shared" si="54"/>
        <v>0</v>
      </c>
      <c r="CT91" s="45">
        <f t="shared" si="54"/>
        <v>0</v>
      </c>
      <c r="CU91" s="45">
        <f t="shared" si="54"/>
        <v>0</v>
      </c>
      <c r="CV91" s="45">
        <f t="shared" si="54"/>
        <v>0</v>
      </c>
      <c r="CW91" s="45">
        <f t="shared" si="54"/>
        <v>0</v>
      </c>
      <c r="CX91" s="45">
        <f t="shared" si="54"/>
        <v>0</v>
      </c>
      <c r="CY91" s="45">
        <f t="shared" si="54"/>
        <v>0</v>
      </c>
      <c r="CZ91" s="45">
        <f t="shared" si="54"/>
        <v>0</v>
      </c>
      <c r="DA91" s="45">
        <f t="shared" si="54"/>
        <v>0</v>
      </c>
      <c r="DB91" s="45">
        <f t="shared" si="54"/>
        <v>0</v>
      </c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</row>
    <row r="92" spans="1:121" ht="14.25" x14ac:dyDescent="0.15">
      <c r="A92" s="48">
        <v>90</v>
      </c>
      <c r="B92" s="45" t="e">
        <f t="shared" si="34"/>
        <v>#DIV/0!</v>
      </c>
      <c r="C92" s="45" t="e">
        <f t="shared" si="35"/>
        <v>#DIV/0!</v>
      </c>
      <c r="D92" s="45" t="e">
        <f t="shared" si="36"/>
        <v>#DIV/0!</v>
      </c>
      <c r="E92" s="45" t="e">
        <f t="shared" si="37"/>
        <v>#DIV/0!</v>
      </c>
      <c r="F92" s="45" t="e">
        <f t="shared" si="38"/>
        <v>#DIV/0!</v>
      </c>
      <c r="G92" s="45" t="e">
        <f t="shared" si="39"/>
        <v>#DIV/0!</v>
      </c>
      <c r="H92" s="45" t="e">
        <f t="shared" si="40"/>
        <v>#DIV/0!</v>
      </c>
      <c r="I92" s="45" t="e">
        <f t="shared" si="41"/>
        <v>#DIV/0!</v>
      </c>
      <c r="J92" s="45" t="e">
        <f t="shared" si="42"/>
        <v>#DIV/0!</v>
      </c>
      <c r="K92" s="45" t="e">
        <f t="shared" si="43"/>
        <v>#DIV/0!</v>
      </c>
      <c r="L92" s="45" t="e">
        <f t="shared" si="44"/>
        <v>#DIV/0!</v>
      </c>
      <c r="M92" s="45" t="e">
        <f t="shared" si="45"/>
        <v>#DIV/0!</v>
      </c>
      <c r="N92" s="45" t="e">
        <f t="shared" si="46"/>
        <v>#DIV/0!</v>
      </c>
      <c r="O92" s="45" t="e">
        <f t="shared" si="47"/>
        <v>#DIV/0!</v>
      </c>
      <c r="P92" s="45" t="e">
        <f t="shared" si="48"/>
        <v>#DIV/0!</v>
      </c>
      <c r="Q92" s="55" t="e">
        <f>Q91+ATM_Conf!$C$5*(B91)/(Links!B$191*Links!Q$191)</f>
        <v>#DIV/0!</v>
      </c>
      <c r="R92" s="55" t="e">
        <f>R91+ATM_Conf!$C$5*(C91-B91)/(Links!C$191*Links!R$191)</f>
        <v>#DIV/0!</v>
      </c>
      <c r="S92" s="55" t="e">
        <f>S91+ATM_Conf!$C$5*(D91-C91)/(Links!D$191*Links!S$191)</f>
        <v>#DIV/0!</v>
      </c>
      <c r="T92" s="55" t="e">
        <f>T91+ATM_Conf!$C$5*(E91-D91)/(Links!E$191*Links!T$191)</f>
        <v>#DIV/0!</v>
      </c>
      <c r="U92" s="55" t="e">
        <f>U91+ATM_Conf!$C$5*(F91-E91)/(Links!F$191*Links!U$191)</f>
        <v>#DIV/0!</v>
      </c>
      <c r="V92" s="55" t="e">
        <f>V91+ATM_Conf!$C$5*(G91-F91)/(Links!G$191*Links!V$191)</f>
        <v>#DIV/0!</v>
      </c>
      <c r="W92" s="55" t="e">
        <f>W91+ATM_Conf!$C$5*(H91-G91)/(Links!H$191*Links!W$191)</f>
        <v>#DIV/0!</v>
      </c>
      <c r="X92" s="55" t="e">
        <f>X91+ATM_Conf!$C$5*(I91-H91)/(Links!I$191*Links!X$191)</f>
        <v>#DIV/0!</v>
      </c>
      <c r="Y92" s="55" t="e">
        <f>Y91+ATM_Conf!$C$5*(J91)/(Links!J$191*Links!Y$191)</f>
        <v>#DIV/0!</v>
      </c>
      <c r="Z92" s="55" t="e">
        <f>Z91+ATM_Conf!$C$5*(K91-J91)/(Links!K$191*Links!Z$191)</f>
        <v>#DIV/0!</v>
      </c>
      <c r="AA92" s="55" t="e">
        <f>AA91+ATM_Conf!$C$5*(L91-K91)/(Links!L$191*Links!AA$191)</f>
        <v>#DIV/0!</v>
      </c>
      <c r="AB92" s="55" t="e">
        <f>AB91+ATM_Conf!$C$5*(M91-L91)/(Links!M$191*Links!AB$191)</f>
        <v>#DIV/0!</v>
      </c>
      <c r="AC92" s="55" t="e">
        <f>AC91+ATM_Conf!$C$5*(N91-M91)/(Links!N$191*Links!AC$191)</f>
        <v>#DIV/0!</v>
      </c>
      <c r="AD92" s="55" t="e">
        <f>AD91+ATM_Conf!$C$5*(O91-N91)/(Links!O$191*Links!AD$191)</f>
        <v>#DIV/0!</v>
      </c>
      <c r="AE92" s="55" t="e">
        <f>AE91+ATM_Conf!$C$5*(P91-O91)/(Links!P$191*Links!AE$191)</f>
        <v>#DIV/0!</v>
      </c>
      <c r="AF92" s="45" t="e">
        <f>AF91+(ATM_Conf!$C$5/ATM_Conf!$C$8)*(Links!AU91*EXP((-(Links!Q91/Links!BJ91)^Links!BY91)/Links!BY91)-Links!AF91)-(ATM_Conf!$C$9*ATM_Conf!$C$5/(ATM_Conf!$C$8*Links!Q$191))*(Nodes!BO91-Links!Q91)/(Links!Q91/ATM_Conf!$C$10)</f>
        <v>#DIV/0!</v>
      </c>
      <c r="AG92" s="45" t="e">
        <f>AG91+(ATM_Conf!$C$5/ATM_Conf!$C$8)*(Links!AV91*EXP((-(Links!R91/Links!BK91)^Links!BZ91)/Links!BZ91)-Links!AG91)+(ATM_Conf!$C$5/Links!R$191)*Links!AG91*(Nodes!BB91-Links!AG91)-(ATM_Conf!$C$9*ATM_Conf!$C$5/(ATM_Conf!$C$8*Links!R$191))*(Nodes!BP91-Links!R91)/(Links!R91/ATM_Conf!$C$10)</f>
        <v>#DIV/0!</v>
      </c>
      <c r="AH92" s="45" t="e">
        <f>AH91+(ATM_Conf!$C$5/ATM_Conf!$C$8)*(Links!AW91*EXP((-(Links!S91/Links!BL91)^Links!CA91)/Links!CA91)-Links!AH91)+(ATM_Conf!$C$5/Links!S$191)*Links!AH91*(Nodes!BC91-Links!AH91)-(ATM_Conf!$C$9*ATM_Conf!$C$5/(ATM_Conf!$C$8*Links!S$191))*(Nodes!BQ91-Links!S91)/(Links!S91/ATM_Conf!$C$10)</f>
        <v>#DIV/0!</v>
      </c>
      <c r="AI92" s="45" t="e">
        <f>AI91+(ATM_Conf!$C$5/ATM_Conf!$C$8)*(Links!AX91*EXP((-(Links!T91/Links!BM91)^Links!CB91)/Links!CB91)-Links!AI91)+(ATM_Conf!$C$5/Links!T$191)*Links!AI91*(Nodes!BD91-Links!AI91)-(ATM_Conf!$C$9*ATM_Conf!$C$5/(ATM_Conf!$C$8*Links!T$191))*(Nodes!BR91-Links!T91)/(Links!T91/ATM_Conf!$C$10)</f>
        <v>#DIV/0!</v>
      </c>
      <c r="AJ92" s="45" t="e">
        <f>AJ91+(ATM_Conf!$C$5/ATM_Conf!$C$8)*(Links!AY91*EXP((-(Links!U91/Links!BN91)^Links!CC91)/Links!CC91)-Links!AJ91)+(ATM_Conf!$C$5/Links!U$191)*Links!AJ91*(Nodes!BE91-Links!AJ91)-(ATM_Conf!$C$9*ATM_Conf!$C$5/(ATM_Conf!$C$8*Links!U$191))*(Nodes!BS91-Links!U91)/(Links!U91/ATM_Conf!$C$10)</f>
        <v>#DIV/0!</v>
      </c>
      <c r="AK92" s="45" t="e">
        <f>AK91+(ATM_Conf!$C$5/ATM_Conf!$C$8)*(Links!AZ91*EXP((-(Links!V91/Links!BO91)^Links!CD91)/Links!CD91)-Links!AK91)+(ATM_Conf!$C$5/Links!V$191)*Links!AK91*(Nodes!BF91-Links!AK91)-(ATM_Conf!$C$9*ATM_Conf!$C$5/(ATM_Conf!$C$8*Links!V$191))*(Nodes!BT91-Links!V91)/(Links!V91/ATM_Conf!$C$10)</f>
        <v>#DIV/0!</v>
      </c>
      <c r="AL92" s="45" t="e">
        <f>AL91+(ATM_Conf!$C$5/ATM_Conf!$C$8)*(Links!BA91*EXP((-(Links!W91/Links!BP91)^Links!CE91)/Links!CE91)-Links!AL91)+(ATM_Conf!$C$5/Links!W$191)*Links!AL91*(Nodes!BG91-Links!AL91)-(ATM_Conf!$C$9*ATM_Conf!$C$5/(ATM_Conf!$C$8*Links!W$191))*(Nodes!BU91-Links!W91)/(Links!W91/ATM_Conf!$C$10)</f>
        <v>#DIV/0!</v>
      </c>
      <c r="AM92" s="45" t="e">
        <f>AM91+(ATM_Conf!$C$5/ATM_Conf!$C$8)*(Links!BB91*EXP((-(Links!X91/Links!BQ91)^Links!CF91)/Links!CF91)-Links!AM91)+(ATM_Conf!$C$5/Links!X$191)*Links!AM91*(Nodes!BH91-Links!AM91)</f>
        <v>#DIV/0!</v>
      </c>
      <c r="AN92" s="45" t="e">
        <f>AN91+(ATM_Conf!$C$5/ATM_Conf!$C$8)*(Links!BC91*EXP((-(Links!Y91/Links!BR91)^Links!CG91)/Links!CG91)-Links!AN91)-(ATM_Conf!$C$9*ATM_Conf!$C$5/(ATM_Conf!$C$8*Links!Y$191))*(Nodes!BV91-Links!Y91)/(Links!Y91/ATM_Conf!$C$10)</f>
        <v>#DIV/0!</v>
      </c>
      <c r="AO92" s="45" t="e">
        <f>AO91+(ATM_Conf!$C$5/ATM_Conf!$C$8)*(Links!BD91*EXP((-(Links!Z91/Links!BS91)^Links!CH91)/Links!CH91)-Links!AO91)+(ATM_Conf!$C$5/Links!Z$191)*Links!AO91*(Nodes!BI91-Links!AO91)-(ATM_Conf!$C$9*ATM_Conf!$C$5/(ATM_Conf!$C$8*Links!Z$191))*(Nodes!BW91-Links!Z91)/(Links!Z91/ATM_Conf!$C$10)</f>
        <v>#DIV/0!</v>
      </c>
      <c r="AP92" s="45" t="e">
        <f>AP91+(ATM_Conf!$C$5/ATM_Conf!$C$8)*(Links!BE91*EXP((-(Links!AA91/Links!BT91)^Links!CI91)/Links!CI91)-Links!AP91)+(ATM_Conf!$C$5/Links!AA$191)*Links!AP91*(Nodes!BJ91-Links!AP91)-(ATM_Conf!$C$9*ATM_Conf!$C$5/(ATM_Conf!$C$8*Links!AA$191))*(Nodes!BX91-Links!AA91)/(Links!AA91/ATM_Conf!$C$10)</f>
        <v>#DIV/0!</v>
      </c>
      <c r="AQ92" s="45" t="e">
        <f>AQ91+(ATM_Conf!$C$5/ATM_Conf!$C$8)*(Links!BF91*EXP((-(Links!AB91/Links!BU91)^Links!CJ91)/Links!CJ91)-Links!AQ91)+(ATM_Conf!$C$5/Links!AB$191)*Links!AQ91*(Nodes!BK91-Links!AQ91)-(ATM_Conf!$C$9*ATM_Conf!$C$5/(ATM_Conf!$C$8*Links!AB$191))*(Nodes!BY91-Links!AB91)/(Links!AB91/ATM_Conf!$C$10)</f>
        <v>#DIV/0!</v>
      </c>
      <c r="AR92" s="45" t="e">
        <f>AR91+(ATM_Conf!$C$5/ATM_Conf!$C$8)*(Links!BG91*EXP((-(Links!AC91/Links!BV91)^Links!CK91)/Links!CK91)-Links!AR91)+(ATM_Conf!$C$5/Links!AC$191)*Links!AR91*(Nodes!BL91-Links!AR91)-(ATM_Conf!$C$9*ATM_Conf!$C$5/(ATM_Conf!$C$8*Links!AC$191))*(Nodes!BZ91-Links!AC91)/(Links!AC91/ATM_Conf!$C$10)</f>
        <v>#DIV/0!</v>
      </c>
      <c r="AS92" s="45" t="e">
        <f>AS91+(ATM_Conf!$C$5/ATM_Conf!$C$8)*(Links!BH91*EXP((-(Links!AD91/Links!BW91)^Links!CL91)/Links!CL91)-Links!AS91)+(ATM_Conf!$C$5/Links!AD$191)*Links!AS91*(Nodes!BM91-Links!AS91)-(ATM_Conf!$C$9*ATM_Conf!$C$5/(ATM_Conf!$C$8*Links!AD$191))*(Nodes!CA91-Links!AD91)/(Links!AD91/ATM_Conf!$C$10)</f>
        <v>#DIV/0!</v>
      </c>
      <c r="AT92" s="45" t="e">
        <f>AT91+(ATM_Conf!$C$5/ATM_Conf!$C$8)*(Links!BI91*EXP((-(Links!AE91/Links!BX91)^Links!CM91)/Links!CM91)-Links!AT91)+(ATM_Conf!$C$5/Links!AE$191)*Links!AT91*(Nodes!BN91-Links!AT91)</f>
        <v>#DIV/0!</v>
      </c>
      <c r="AU92" s="55"/>
      <c r="AV92" s="55"/>
      <c r="AW92" s="55"/>
      <c r="AX92" s="55"/>
      <c r="AY92" s="55"/>
      <c r="AZ92" s="55"/>
      <c r="BA92" s="55"/>
      <c r="BB92" s="55"/>
      <c r="BC92" s="55"/>
      <c r="BD92" s="55"/>
      <c r="BE92" s="55"/>
      <c r="BF92" s="55"/>
      <c r="BG92" s="55"/>
      <c r="BH92" s="55"/>
      <c r="BI92" s="55"/>
      <c r="BJ92" s="45"/>
      <c r="BK92" s="45"/>
      <c r="BL92" s="45"/>
      <c r="BM92" s="45"/>
      <c r="BN92" s="45"/>
      <c r="BO92" s="45"/>
      <c r="BP92" s="45"/>
      <c r="BQ92" s="45"/>
      <c r="BR92" s="45"/>
      <c r="BS92" s="45"/>
      <c r="BT92" s="45"/>
      <c r="BU92" s="45"/>
      <c r="BV92" s="45"/>
      <c r="BW92" s="45"/>
      <c r="BX92" s="45"/>
      <c r="BY92" s="55"/>
      <c r="BZ92" s="55"/>
      <c r="CA92" s="55"/>
      <c r="CB92" s="55"/>
      <c r="CC92" s="55"/>
      <c r="CD92" s="55"/>
      <c r="CE92" s="55"/>
      <c r="CF92" s="55"/>
      <c r="CG92" s="55"/>
      <c r="CH92" s="55"/>
      <c r="CI92" s="55"/>
      <c r="CJ92" s="55"/>
      <c r="CK92" s="55"/>
      <c r="CL92" s="55"/>
      <c r="CM92" s="55"/>
      <c r="CN92" s="45">
        <f t="shared" si="54"/>
        <v>0</v>
      </c>
      <c r="CO92" s="45">
        <f t="shared" si="54"/>
        <v>0</v>
      </c>
      <c r="CP92" s="45">
        <f t="shared" si="54"/>
        <v>0</v>
      </c>
      <c r="CQ92" s="45">
        <f t="shared" si="54"/>
        <v>0</v>
      </c>
      <c r="CR92" s="45">
        <f t="shared" si="54"/>
        <v>0</v>
      </c>
      <c r="CS92" s="45">
        <f t="shared" si="54"/>
        <v>0</v>
      </c>
      <c r="CT92" s="45">
        <f t="shared" si="54"/>
        <v>0</v>
      </c>
      <c r="CU92" s="45">
        <f t="shared" si="54"/>
        <v>0</v>
      </c>
      <c r="CV92" s="45">
        <f t="shared" si="54"/>
        <v>0</v>
      </c>
      <c r="CW92" s="45">
        <f t="shared" si="54"/>
        <v>0</v>
      </c>
      <c r="CX92" s="45">
        <f t="shared" si="54"/>
        <v>0</v>
      </c>
      <c r="CY92" s="45">
        <f t="shared" si="54"/>
        <v>0</v>
      </c>
      <c r="CZ92" s="45">
        <f t="shared" si="54"/>
        <v>0</v>
      </c>
      <c r="DA92" s="45">
        <f t="shared" si="54"/>
        <v>0</v>
      </c>
      <c r="DB92" s="45">
        <f t="shared" si="54"/>
        <v>0</v>
      </c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</row>
    <row r="93" spans="1:121" ht="14.25" x14ac:dyDescent="0.15">
      <c r="A93" s="48">
        <v>91</v>
      </c>
      <c r="B93" s="45" t="e">
        <f t="shared" si="34"/>
        <v>#DIV/0!</v>
      </c>
      <c r="C93" s="45" t="e">
        <f t="shared" si="35"/>
        <v>#DIV/0!</v>
      </c>
      <c r="D93" s="45" t="e">
        <f t="shared" si="36"/>
        <v>#DIV/0!</v>
      </c>
      <c r="E93" s="45" t="e">
        <f t="shared" si="37"/>
        <v>#DIV/0!</v>
      </c>
      <c r="F93" s="45" t="e">
        <f t="shared" si="38"/>
        <v>#DIV/0!</v>
      </c>
      <c r="G93" s="45" t="e">
        <f t="shared" si="39"/>
        <v>#DIV/0!</v>
      </c>
      <c r="H93" s="45" t="e">
        <f t="shared" si="40"/>
        <v>#DIV/0!</v>
      </c>
      <c r="I93" s="45" t="e">
        <f t="shared" si="41"/>
        <v>#DIV/0!</v>
      </c>
      <c r="J93" s="45" t="e">
        <f t="shared" si="42"/>
        <v>#DIV/0!</v>
      </c>
      <c r="K93" s="45" t="e">
        <f t="shared" si="43"/>
        <v>#DIV/0!</v>
      </c>
      <c r="L93" s="45" t="e">
        <f t="shared" si="44"/>
        <v>#DIV/0!</v>
      </c>
      <c r="M93" s="45" t="e">
        <f t="shared" si="45"/>
        <v>#DIV/0!</v>
      </c>
      <c r="N93" s="45" t="e">
        <f t="shared" si="46"/>
        <v>#DIV/0!</v>
      </c>
      <c r="O93" s="45" t="e">
        <f t="shared" si="47"/>
        <v>#DIV/0!</v>
      </c>
      <c r="P93" s="45" t="e">
        <f t="shared" si="48"/>
        <v>#DIV/0!</v>
      </c>
      <c r="Q93" s="55" t="e">
        <f>Q92+ATM_Conf!$C$5*(B92)/(Links!B$191*Links!Q$191)</f>
        <v>#DIV/0!</v>
      </c>
      <c r="R93" s="55" t="e">
        <f>R92+ATM_Conf!$C$5*(C92-B92)/(Links!C$191*Links!R$191)</f>
        <v>#DIV/0!</v>
      </c>
      <c r="S93" s="55" t="e">
        <f>S92+ATM_Conf!$C$5*(D92-C92)/(Links!D$191*Links!S$191)</f>
        <v>#DIV/0!</v>
      </c>
      <c r="T93" s="55" t="e">
        <f>T92+ATM_Conf!$C$5*(E92-D92)/(Links!E$191*Links!T$191)</f>
        <v>#DIV/0!</v>
      </c>
      <c r="U93" s="55" t="e">
        <f>U92+ATM_Conf!$C$5*(F92-E92)/(Links!F$191*Links!U$191)</f>
        <v>#DIV/0!</v>
      </c>
      <c r="V93" s="55" t="e">
        <f>V92+ATM_Conf!$C$5*(G92-F92)/(Links!G$191*Links!V$191)</f>
        <v>#DIV/0!</v>
      </c>
      <c r="W93" s="55" t="e">
        <f>W92+ATM_Conf!$C$5*(H92-G92)/(Links!H$191*Links!W$191)</f>
        <v>#DIV/0!</v>
      </c>
      <c r="X93" s="55" t="e">
        <f>X92+ATM_Conf!$C$5*(I92-H92)/(Links!I$191*Links!X$191)</f>
        <v>#DIV/0!</v>
      </c>
      <c r="Y93" s="55" t="e">
        <f>Y92+ATM_Conf!$C$5*(J92)/(Links!J$191*Links!Y$191)</f>
        <v>#DIV/0!</v>
      </c>
      <c r="Z93" s="55" t="e">
        <f>Z92+ATM_Conf!$C$5*(K92-J92)/(Links!K$191*Links!Z$191)</f>
        <v>#DIV/0!</v>
      </c>
      <c r="AA93" s="55" t="e">
        <f>AA92+ATM_Conf!$C$5*(L92-K92)/(Links!L$191*Links!AA$191)</f>
        <v>#DIV/0!</v>
      </c>
      <c r="AB93" s="55" t="e">
        <f>AB92+ATM_Conf!$C$5*(M92-L92)/(Links!M$191*Links!AB$191)</f>
        <v>#DIV/0!</v>
      </c>
      <c r="AC93" s="55" t="e">
        <f>AC92+ATM_Conf!$C$5*(N92-M92)/(Links!N$191*Links!AC$191)</f>
        <v>#DIV/0!</v>
      </c>
      <c r="AD93" s="55" t="e">
        <f>AD92+ATM_Conf!$C$5*(O92-N92)/(Links!O$191*Links!AD$191)</f>
        <v>#DIV/0!</v>
      </c>
      <c r="AE93" s="55" t="e">
        <f>AE92+ATM_Conf!$C$5*(P92-O92)/(Links!P$191*Links!AE$191)</f>
        <v>#DIV/0!</v>
      </c>
      <c r="AF93" s="45" t="e">
        <f>AF92+(ATM_Conf!$C$5/ATM_Conf!$C$8)*(Links!AU92*EXP((-(Links!Q92/Links!BJ92)^Links!BY92)/Links!BY92)-Links!AF92)-(ATM_Conf!$C$9*ATM_Conf!$C$5/(ATM_Conf!$C$8*Links!Q$191))*(Nodes!BO92-Links!Q92)/(Links!Q92/ATM_Conf!$C$10)</f>
        <v>#DIV/0!</v>
      </c>
      <c r="AG93" s="45" t="e">
        <f>AG92+(ATM_Conf!$C$5/ATM_Conf!$C$8)*(Links!AV92*EXP((-(Links!R92/Links!BK92)^Links!BZ92)/Links!BZ92)-Links!AG92)+(ATM_Conf!$C$5/Links!R$191)*Links!AG92*(Nodes!BB92-Links!AG92)-(ATM_Conf!$C$9*ATM_Conf!$C$5/(ATM_Conf!$C$8*Links!R$191))*(Nodes!BP92-Links!R92)/(Links!R92/ATM_Conf!$C$10)</f>
        <v>#DIV/0!</v>
      </c>
      <c r="AH93" s="45" t="e">
        <f>AH92+(ATM_Conf!$C$5/ATM_Conf!$C$8)*(Links!AW92*EXP((-(Links!S92/Links!BL92)^Links!CA92)/Links!CA92)-Links!AH92)+(ATM_Conf!$C$5/Links!S$191)*Links!AH92*(Nodes!BC92-Links!AH92)-(ATM_Conf!$C$9*ATM_Conf!$C$5/(ATM_Conf!$C$8*Links!S$191))*(Nodes!BQ92-Links!S92)/(Links!S92/ATM_Conf!$C$10)</f>
        <v>#DIV/0!</v>
      </c>
      <c r="AI93" s="45" t="e">
        <f>AI92+(ATM_Conf!$C$5/ATM_Conf!$C$8)*(Links!AX92*EXP((-(Links!T92/Links!BM92)^Links!CB92)/Links!CB92)-Links!AI92)+(ATM_Conf!$C$5/Links!T$191)*Links!AI92*(Nodes!BD92-Links!AI92)-(ATM_Conf!$C$9*ATM_Conf!$C$5/(ATM_Conf!$C$8*Links!T$191))*(Nodes!BR92-Links!T92)/(Links!T92/ATM_Conf!$C$10)</f>
        <v>#DIV/0!</v>
      </c>
      <c r="AJ93" s="45" t="e">
        <f>AJ92+(ATM_Conf!$C$5/ATM_Conf!$C$8)*(Links!AY92*EXP((-(Links!U92/Links!BN92)^Links!CC92)/Links!CC92)-Links!AJ92)+(ATM_Conf!$C$5/Links!U$191)*Links!AJ92*(Nodes!BE92-Links!AJ92)-(ATM_Conf!$C$9*ATM_Conf!$C$5/(ATM_Conf!$C$8*Links!U$191))*(Nodes!BS92-Links!U92)/(Links!U92/ATM_Conf!$C$10)</f>
        <v>#DIV/0!</v>
      </c>
      <c r="AK93" s="45" t="e">
        <f>AK92+(ATM_Conf!$C$5/ATM_Conf!$C$8)*(Links!AZ92*EXP((-(Links!V92/Links!BO92)^Links!CD92)/Links!CD92)-Links!AK92)+(ATM_Conf!$C$5/Links!V$191)*Links!AK92*(Nodes!BF92-Links!AK92)-(ATM_Conf!$C$9*ATM_Conf!$C$5/(ATM_Conf!$C$8*Links!V$191))*(Nodes!BT92-Links!V92)/(Links!V92/ATM_Conf!$C$10)</f>
        <v>#DIV/0!</v>
      </c>
      <c r="AL93" s="45" t="e">
        <f>AL92+(ATM_Conf!$C$5/ATM_Conf!$C$8)*(Links!BA92*EXP((-(Links!W92/Links!BP92)^Links!CE92)/Links!CE92)-Links!AL92)+(ATM_Conf!$C$5/Links!W$191)*Links!AL92*(Nodes!BG92-Links!AL92)-(ATM_Conf!$C$9*ATM_Conf!$C$5/(ATM_Conf!$C$8*Links!W$191))*(Nodes!BU92-Links!W92)/(Links!W92/ATM_Conf!$C$10)</f>
        <v>#DIV/0!</v>
      </c>
      <c r="AM93" s="45" t="e">
        <f>AM92+(ATM_Conf!$C$5/ATM_Conf!$C$8)*(Links!BB92*EXP((-(Links!X92/Links!BQ92)^Links!CF92)/Links!CF92)-Links!AM92)+(ATM_Conf!$C$5/Links!X$191)*Links!AM92*(Nodes!BH92-Links!AM92)</f>
        <v>#DIV/0!</v>
      </c>
      <c r="AN93" s="45" t="e">
        <f>AN92+(ATM_Conf!$C$5/ATM_Conf!$C$8)*(Links!BC92*EXP((-(Links!Y92/Links!BR92)^Links!CG92)/Links!CG92)-Links!AN92)-(ATM_Conf!$C$9*ATM_Conf!$C$5/(ATM_Conf!$C$8*Links!Y$191))*(Nodes!BV92-Links!Y92)/(Links!Y92/ATM_Conf!$C$10)</f>
        <v>#DIV/0!</v>
      </c>
      <c r="AO93" s="45" t="e">
        <f>AO92+(ATM_Conf!$C$5/ATM_Conf!$C$8)*(Links!BD92*EXP((-(Links!Z92/Links!BS92)^Links!CH92)/Links!CH92)-Links!AO92)+(ATM_Conf!$C$5/Links!Z$191)*Links!AO92*(Nodes!BI92-Links!AO92)-(ATM_Conf!$C$9*ATM_Conf!$C$5/(ATM_Conf!$C$8*Links!Z$191))*(Nodes!BW92-Links!Z92)/(Links!Z92/ATM_Conf!$C$10)</f>
        <v>#DIV/0!</v>
      </c>
      <c r="AP93" s="45" t="e">
        <f>AP92+(ATM_Conf!$C$5/ATM_Conf!$C$8)*(Links!BE92*EXP((-(Links!AA92/Links!BT92)^Links!CI92)/Links!CI92)-Links!AP92)+(ATM_Conf!$C$5/Links!AA$191)*Links!AP92*(Nodes!BJ92-Links!AP92)-(ATM_Conf!$C$9*ATM_Conf!$C$5/(ATM_Conf!$C$8*Links!AA$191))*(Nodes!BX92-Links!AA92)/(Links!AA92/ATM_Conf!$C$10)</f>
        <v>#DIV/0!</v>
      </c>
      <c r="AQ93" s="45" t="e">
        <f>AQ92+(ATM_Conf!$C$5/ATM_Conf!$C$8)*(Links!BF92*EXP((-(Links!AB92/Links!BU92)^Links!CJ92)/Links!CJ92)-Links!AQ92)+(ATM_Conf!$C$5/Links!AB$191)*Links!AQ92*(Nodes!BK92-Links!AQ92)-(ATM_Conf!$C$9*ATM_Conf!$C$5/(ATM_Conf!$C$8*Links!AB$191))*(Nodes!BY92-Links!AB92)/(Links!AB92/ATM_Conf!$C$10)</f>
        <v>#DIV/0!</v>
      </c>
      <c r="AR93" s="45" t="e">
        <f>AR92+(ATM_Conf!$C$5/ATM_Conf!$C$8)*(Links!BG92*EXP((-(Links!AC92/Links!BV92)^Links!CK92)/Links!CK92)-Links!AR92)+(ATM_Conf!$C$5/Links!AC$191)*Links!AR92*(Nodes!BL92-Links!AR92)-(ATM_Conf!$C$9*ATM_Conf!$C$5/(ATM_Conf!$C$8*Links!AC$191))*(Nodes!BZ92-Links!AC92)/(Links!AC92/ATM_Conf!$C$10)</f>
        <v>#DIV/0!</v>
      </c>
      <c r="AS93" s="45" t="e">
        <f>AS92+(ATM_Conf!$C$5/ATM_Conf!$C$8)*(Links!BH92*EXP((-(Links!AD92/Links!BW92)^Links!CL92)/Links!CL92)-Links!AS92)+(ATM_Conf!$C$5/Links!AD$191)*Links!AS92*(Nodes!BM92-Links!AS92)-(ATM_Conf!$C$9*ATM_Conf!$C$5/(ATM_Conf!$C$8*Links!AD$191))*(Nodes!CA92-Links!AD92)/(Links!AD92/ATM_Conf!$C$10)</f>
        <v>#DIV/0!</v>
      </c>
      <c r="AT93" s="45" t="e">
        <f>AT92+(ATM_Conf!$C$5/ATM_Conf!$C$8)*(Links!BI92*EXP((-(Links!AE92/Links!BX92)^Links!CM92)/Links!CM92)-Links!AT92)+(ATM_Conf!$C$5/Links!AE$191)*Links!AT92*(Nodes!BN92-Links!AT92)</f>
        <v>#DIV/0!</v>
      </c>
      <c r="AU93" s="55"/>
      <c r="AV93" s="55"/>
      <c r="AW93" s="55"/>
      <c r="AX93" s="55"/>
      <c r="AY93" s="55"/>
      <c r="AZ93" s="55"/>
      <c r="BA93" s="55"/>
      <c r="BB93" s="55"/>
      <c r="BC93" s="55"/>
      <c r="BD93" s="55"/>
      <c r="BE93" s="55"/>
      <c r="BF93" s="55"/>
      <c r="BG93" s="55"/>
      <c r="BH93" s="55"/>
      <c r="BI93" s="5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55"/>
      <c r="BZ93" s="55"/>
      <c r="CA93" s="55"/>
      <c r="CB93" s="55"/>
      <c r="CC93" s="55"/>
      <c r="CD93" s="55"/>
      <c r="CE93" s="55"/>
      <c r="CF93" s="55"/>
      <c r="CG93" s="55"/>
      <c r="CH93" s="55"/>
      <c r="CI93" s="55"/>
      <c r="CJ93" s="55"/>
      <c r="CK93" s="55"/>
      <c r="CL93" s="55"/>
      <c r="CM93" s="55"/>
      <c r="CN93" s="45">
        <f t="shared" si="54"/>
        <v>0</v>
      </c>
      <c r="CO93" s="45">
        <f t="shared" si="54"/>
        <v>0</v>
      </c>
      <c r="CP93" s="45">
        <f t="shared" si="54"/>
        <v>0</v>
      </c>
      <c r="CQ93" s="45">
        <f t="shared" si="54"/>
        <v>0</v>
      </c>
      <c r="CR93" s="45">
        <f t="shared" si="54"/>
        <v>0</v>
      </c>
      <c r="CS93" s="45">
        <f t="shared" si="54"/>
        <v>0</v>
      </c>
      <c r="CT93" s="45">
        <f t="shared" si="54"/>
        <v>0</v>
      </c>
      <c r="CU93" s="45">
        <f t="shared" si="54"/>
        <v>0</v>
      </c>
      <c r="CV93" s="45">
        <f t="shared" si="54"/>
        <v>0</v>
      </c>
      <c r="CW93" s="45">
        <f t="shared" si="54"/>
        <v>0</v>
      </c>
      <c r="CX93" s="45">
        <f t="shared" si="54"/>
        <v>0</v>
      </c>
      <c r="CY93" s="45">
        <f t="shared" si="54"/>
        <v>0</v>
      </c>
      <c r="CZ93" s="45">
        <f t="shared" si="54"/>
        <v>0</v>
      </c>
      <c r="DA93" s="45">
        <f t="shared" si="54"/>
        <v>0</v>
      </c>
      <c r="DB93" s="45">
        <f t="shared" si="54"/>
        <v>0</v>
      </c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</row>
    <row r="94" spans="1:121" ht="14.25" x14ac:dyDescent="0.15">
      <c r="A94" s="48">
        <v>92</v>
      </c>
      <c r="B94" s="45" t="e">
        <f t="shared" si="34"/>
        <v>#DIV/0!</v>
      </c>
      <c r="C94" s="45" t="e">
        <f t="shared" si="35"/>
        <v>#DIV/0!</v>
      </c>
      <c r="D94" s="45" t="e">
        <f t="shared" si="36"/>
        <v>#DIV/0!</v>
      </c>
      <c r="E94" s="45" t="e">
        <f t="shared" si="37"/>
        <v>#DIV/0!</v>
      </c>
      <c r="F94" s="45" t="e">
        <f t="shared" si="38"/>
        <v>#DIV/0!</v>
      </c>
      <c r="G94" s="45" t="e">
        <f t="shared" si="39"/>
        <v>#DIV/0!</v>
      </c>
      <c r="H94" s="45" t="e">
        <f t="shared" si="40"/>
        <v>#DIV/0!</v>
      </c>
      <c r="I94" s="45" t="e">
        <f t="shared" si="41"/>
        <v>#DIV/0!</v>
      </c>
      <c r="J94" s="45" t="e">
        <f t="shared" si="42"/>
        <v>#DIV/0!</v>
      </c>
      <c r="K94" s="45" t="e">
        <f t="shared" si="43"/>
        <v>#DIV/0!</v>
      </c>
      <c r="L94" s="45" t="e">
        <f t="shared" si="44"/>
        <v>#DIV/0!</v>
      </c>
      <c r="M94" s="45" t="e">
        <f t="shared" si="45"/>
        <v>#DIV/0!</v>
      </c>
      <c r="N94" s="45" t="e">
        <f t="shared" si="46"/>
        <v>#DIV/0!</v>
      </c>
      <c r="O94" s="45" t="e">
        <f t="shared" si="47"/>
        <v>#DIV/0!</v>
      </c>
      <c r="P94" s="45" t="e">
        <f t="shared" si="48"/>
        <v>#DIV/0!</v>
      </c>
      <c r="Q94" s="55" t="e">
        <f>Q93+ATM_Conf!$C$5*(B93)/(Links!B$191*Links!Q$191)</f>
        <v>#DIV/0!</v>
      </c>
      <c r="R94" s="55" t="e">
        <f>R93+ATM_Conf!$C$5*(C93-B93)/(Links!C$191*Links!R$191)</f>
        <v>#DIV/0!</v>
      </c>
      <c r="S94" s="55" t="e">
        <f>S93+ATM_Conf!$C$5*(D93-C93)/(Links!D$191*Links!S$191)</f>
        <v>#DIV/0!</v>
      </c>
      <c r="T94" s="55" t="e">
        <f>T93+ATM_Conf!$C$5*(E93-D93)/(Links!E$191*Links!T$191)</f>
        <v>#DIV/0!</v>
      </c>
      <c r="U94" s="55" t="e">
        <f>U93+ATM_Conf!$C$5*(F93-E93)/(Links!F$191*Links!U$191)</f>
        <v>#DIV/0!</v>
      </c>
      <c r="V94" s="55" t="e">
        <f>V93+ATM_Conf!$C$5*(G93-F93)/(Links!G$191*Links!V$191)</f>
        <v>#DIV/0!</v>
      </c>
      <c r="W94" s="55" t="e">
        <f>W93+ATM_Conf!$C$5*(H93-G93)/(Links!H$191*Links!W$191)</f>
        <v>#DIV/0!</v>
      </c>
      <c r="X94" s="55" t="e">
        <f>X93+ATM_Conf!$C$5*(I93-H93)/(Links!I$191*Links!X$191)</f>
        <v>#DIV/0!</v>
      </c>
      <c r="Y94" s="55" t="e">
        <f>Y93+ATM_Conf!$C$5*(J93)/(Links!J$191*Links!Y$191)</f>
        <v>#DIV/0!</v>
      </c>
      <c r="Z94" s="55" t="e">
        <f>Z93+ATM_Conf!$C$5*(K93-J93)/(Links!K$191*Links!Z$191)</f>
        <v>#DIV/0!</v>
      </c>
      <c r="AA94" s="55" t="e">
        <f>AA93+ATM_Conf!$C$5*(L93-K93)/(Links!L$191*Links!AA$191)</f>
        <v>#DIV/0!</v>
      </c>
      <c r="AB94" s="55" t="e">
        <f>AB93+ATM_Conf!$C$5*(M93-L93)/(Links!M$191*Links!AB$191)</f>
        <v>#DIV/0!</v>
      </c>
      <c r="AC94" s="55" t="e">
        <f>AC93+ATM_Conf!$C$5*(N93-M93)/(Links!N$191*Links!AC$191)</f>
        <v>#DIV/0!</v>
      </c>
      <c r="AD94" s="55" t="e">
        <f>AD93+ATM_Conf!$C$5*(O93-N93)/(Links!O$191*Links!AD$191)</f>
        <v>#DIV/0!</v>
      </c>
      <c r="AE94" s="55" t="e">
        <f>AE93+ATM_Conf!$C$5*(P93-O93)/(Links!P$191*Links!AE$191)</f>
        <v>#DIV/0!</v>
      </c>
      <c r="AF94" s="45" t="e">
        <f>AF93+(ATM_Conf!$C$5/ATM_Conf!$C$8)*(Links!AU93*EXP((-(Links!Q93/Links!BJ93)^Links!BY93)/Links!BY93)-Links!AF93)-(ATM_Conf!$C$9*ATM_Conf!$C$5/(ATM_Conf!$C$8*Links!Q$191))*(Nodes!BO93-Links!Q93)/(Links!Q93/ATM_Conf!$C$10)</f>
        <v>#DIV/0!</v>
      </c>
      <c r="AG94" s="45" t="e">
        <f>AG93+(ATM_Conf!$C$5/ATM_Conf!$C$8)*(Links!AV93*EXP((-(Links!R93/Links!BK93)^Links!BZ93)/Links!BZ93)-Links!AG93)+(ATM_Conf!$C$5/Links!R$191)*Links!AG93*(Nodes!BB93-Links!AG93)-(ATM_Conf!$C$9*ATM_Conf!$C$5/(ATM_Conf!$C$8*Links!R$191))*(Nodes!BP93-Links!R93)/(Links!R93/ATM_Conf!$C$10)</f>
        <v>#DIV/0!</v>
      </c>
      <c r="AH94" s="45" t="e">
        <f>AH93+(ATM_Conf!$C$5/ATM_Conf!$C$8)*(Links!AW93*EXP((-(Links!S93/Links!BL93)^Links!CA93)/Links!CA93)-Links!AH93)+(ATM_Conf!$C$5/Links!S$191)*Links!AH93*(Nodes!BC93-Links!AH93)-(ATM_Conf!$C$9*ATM_Conf!$C$5/(ATM_Conf!$C$8*Links!S$191))*(Nodes!BQ93-Links!S93)/(Links!S93/ATM_Conf!$C$10)</f>
        <v>#DIV/0!</v>
      </c>
      <c r="AI94" s="45" t="e">
        <f>AI93+(ATM_Conf!$C$5/ATM_Conf!$C$8)*(Links!AX93*EXP((-(Links!T93/Links!BM93)^Links!CB93)/Links!CB93)-Links!AI93)+(ATM_Conf!$C$5/Links!T$191)*Links!AI93*(Nodes!BD93-Links!AI93)-(ATM_Conf!$C$9*ATM_Conf!$C$5/(ATM_Conf!$C$8*Links!T$191))*(Nodes!BR93-Links!T93)/(Links!T93/ATM_Conf!$C$10)</f>
        <v>#DIV/0!</v>
      </c>
      <c r="AJ94" s="45" t="e">
        <f>AJ93+(ATM_Conf!$C$5/ATM_Conf!$C$8)*(Links!AY93*EXP((-(Links!U93/Links!BN93)^Links!CC93)/Links!CC93)-Links!AJ93)+(ATM_Conf!$C$5/Links!U$191)*Links!AJ93*(Nodes!BE93-Links!AJ93)-(ATM_Conf!$C$9*ATM_Conf!$C$5/(ATM_Conf!$C$8*Links!U$191))*(Nodes!BS93-Links!U93)/(Links!U93/ATM_Conf!$C$10)</f>
        <v>#DIV/0!</v>
      </c>
      <c r="AK94" s="45" t="e">
        <f>AK93+(ATM_Conf!$C$5/ATM_Conf!$C$8)*(Links!AZ93*EXP((-(Links!V93/Links!BO93)^Links!CD93)/Links!CD93)-Links!AK93)+(ATM_Conf!$C$5/Links!V$191)*Links!AK93*(Nodes!BF93-Links!AK93)-(ATM_Conf!$C$9*ATM_Conf!$C$5/(ATM_Conf!$C$8*Links!V$191))*(Nodes!BT93-Links!V93)/(Links!V93/ATM_Conf!$C$10)</f>
        <v>#DIV/0!</v>
      </c>
      <c r="AL94" s="45" t="e">
        <f>AL93+(ATM_Conf!$C$5/ATM_Conf!$C$8)*(Links!BA93*EXP((-(Links!W93/Links!BP93)^Links!CE93)/Links!CE93)-Links!AL93)+(ATM_Conf!$C$5/Links!W$191)*Links!AL93*(Nodes!BG93-Links!AL93)-(ATM_Conf!$C$9*ATM_Conf!$C$5/(ATM_Conf!$C$8*Links!W$191))*(Nodes!BU93-Links!W93)/(Links!W93/ATM_Conf!$C$10)</f>
        <v>#DIV/0!</v>
      </c>
      <c r="AM94" s="45" t="e">
        <f>AM93+(ATM_Conf!$C$5/ATM_Conf!$C$8)*(Links!BB93*EXP((-(Links!X93/Links!BQ93)^Links!CF93)/Links!CF93)-Links!AM93)+(ATM_Conf!$C$5/Links!X$191)*Links!AM93*(Nodes!BH93-Links!AM93)</f>
        <v>#DIV/0!</v>
      </c>
      <c r="AN94" s="45" t="e">
        <f>AN93+(ATM_Conf!$C$5/ATM_Conf!$C$8)*(Links!BC93*EXP((-(Links!Y93/Links!BR93)^Links!CG93)/Links!CG93)-Links!AN93)-(ATM_Conf!$C$9*ATM_Conf!$C$5/(ATM_Conf!$C$8*Links!Y$191))*(Nodes!BV93-Links!Y93)/(Links!Y93/ATM_Conf!$C$10)</f>
        <v>#DIV/0!</v>
      </c>
      <c r="AO94" s="45" t="e">
        <f>AO93+(ATM_Conf!$C$5/ATM_Conf!$C$8)*(Links!BD93*EXP((-(Links!Z93/Links!BS93)^Links!CH93)/Links!CH93)-Links!AO93)+(ATM_Conf!$C$5/Links!Z$191)*Links!AO93*(Nodes!BI93-Links!AO93)-(ATM_Conf!$C$9*ATM_Conf!$C$5/(ATM_Conf!$C$8*Links!Z$191))*(Nodes!BW93-Links!Z93)/(Links!Z93/ATM_Conf!$C$10)</f>
        <v>#DIV/0!</v>
      </c>
      <c r="AP94" s="45" t="e">
        <f>AP93+(ATM_Conf!$C$5/ATM_Conf!$C$8)*(Links!BE93*EXP((-(Links!AA93/Links!BT93)^Links!CI93)/Links!CI93)-Links!AP93)+(ATM_Conf!$C$5/Links!AA$191)*Links!AP93*(Nodes!BJ93-Links!AP93)-(ATM_Conf!$C$9*ATM_Conf!$C$5/(ATM_Conf!$C$8*Links!AA$191))*(Nodes!BX93-Links!AA93)/(Links!AA93/ATM_Conf!$C$10)</f>
        <v>#DIV/0!</v>
      </c>
      <c r="AQ94" s="45" t="e">
        <f>AQ93+(ATM_Conf!$C$5/ATM_Conf!$C$8)*(Links!BF93*EXP((-(Links!AB93/Links!BU93)^Links!CJ93)/Links!CJ93)-Links!AQ93)+(ATM_Conf!$C$5/Links!AB$191)*Links!AQ93*(Nodes!BK93-Links!AQ93)-(ATM_Conf!$C$9*ATM_Conf!$C$5/(ATM_Conf!$C$8*Links!AB$191))*(Nodes!BY93-Links!AB93)/(Links!AB93/ATM_Conf!$C$10)</f>
        <v>#DIV/0!</v>
      </c>
      <c r="AR94" s="45" t="e">
        <f>AR93+(ATM_Conf!$C$5/ATM_Conf!$C$8)*(Links!BG93*EXP((-(Links!AC93/Links!BV93)^Links!CK93)/Links!CK93)-Links!AR93)+(ATM_Conf!$C$5/Links!AC$191)*Links!AR93*(Nodes!BL93-Links!AR93)-(ATM_Conf!$C$9*ATM_Conf!$C$5/(ATM_Conf!$C$8*Links!AC$191))*(Nodes!BZ93-Links!AC93)/(Links!AC93/ATM_Conf!$C$10)</f>
        <v>#DIV/0!</v>
      </c>
      <c r="AS94" s="45" t="e">
        <f>AS93+(ATM_Conf!$C$5/ATM_Conf!$C$8)*(Links!BH93*EXP((-(Links!AD93/Links!BW93)^Links!CL93)/Links!CL93)-Links!AS93)+(ATM_Conf!$C$5/Links!AD$191)*Links!AS93*(Nodes!BM93-Links!AS93)-(ATM_Conf!$C$9*ATM_Conf!$C$5/(ATM_Conf!$C$8*Links!AD$191))*(Nodes!CA93-Links!AD93)/(Links!AD93/ATM_Conf!$C$10)</f>
        <v>#DIV/0!</v>
      </c>
      <c r="AT94" s="45" t="e">
        <f>AT93+(ATM_Conf!$C$5/ATM_Conf!$C$8)*(Links!BI93*EXP((-(Links!AE93/Links!BX93)^Links!CM93)/Links!CM93)-Links!AT93)+(ATM_Conf!$C$5/Links!AE$191)*Links!AT93*(Nodes!BN93-Links!AT93)</f>
        <v>#DIV/0!</v>
      </c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  <c r="BJ94" s="45"/>
      <c r="BK94" s="45"/>
      <c r="BL94" s="45"/>
      <c r="BM94" s="45"/>
      <c r="BN94" s="45"/>
      <c r="BO94" s="45"/>
      <c r="BP94" s="45"/>
      <c r="BQ94" s="45"/>
      <c r="BR94" s="45"/>
      <c r="BS94" s="45"/>
      <c r="BT94" s="45"/>
      <c r="BU94" s="45"/>
      <c r="BV94" s="45"/>
      <c r="BW94" s="45"/>
      <c r="BX94" s="45"/>
      <c r="BY94" s="55"/>
      <c r="BZ94" s="55"/>
      <c r="CA94" s="55"/>
      <c r="CB94" s="55"/>
      <c r="CC94" s="55"/>
      <c r="CD94" s="55"/>
      <c r="CE94" s="55"/>
      <c r="CF94" s="55"/>
      <c r="CG94" s="55"/>
      <c r="CH94" s="55"/>
      <c r="CI94" s="55"/>
      <c r="CJ94" s="55"/>
      <c r="CK94" s="55"/>
      <c r="CL94" s="55"/>
      <c r="CM94" s="55"/>
      <c r="CN94" s="45">
        <f t="shared" si="54"/>
        <v>0</v>
      </c>
      <c r="CO94" s="45">
        <f t="shared" si="54"/>
        <v>0</v>
      </c>
      <c r="CP94" s="45">
        <f t="shared" si="54"/>
        <v>0</v>
      </c>
      <c r="CQ94" s="45">
        <f t="shared" si="54"/>
        <v>0</v>
      </c>
      <c r="CR94" s="45">
        <f t="shared" si="54"/>
        <v>0</v>
      </c>
      <c r="CS94" s="45">
        <f t="shared" si="54"/>
        <v>0</v>
      </c>
      <c r="CT94" s="45">
        <f t="shared" si="54"/>
        <v>0</v>
      </c>
      <c r="CU94" s="45">
        <f t="shared" si="54"/>
        <v>0</v>
      </c>
      <c r="CV94" s="45">
        <f t="shared" si="54"/>
        <v>0</v>
      </c>
      <c r="CW94" s="45">
        <f t="shared" si="54"/>
        <v>0</v>
      </c>
      <c r="CX94" s="45">
        <f t="shared" si="54"/>
        <v>0</v>
      </c>
      <c r="CY94" s="45">
        <f t="shared" si="54"/>
        <v>0</v>
      </c>
      <c r="CZ94" s="45">
        <f t="shared" si="54"/>
        <v>0</v>
      </c>
      <c r="DA94" s="45">
        <f t="shared" si="54"/>
        <v>0</v>
      </c>
      <c r="DB94" s="45">
        <f t="shared" si="54"/>
        <v>0</v>
      </c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</row>
    <row r="95" spans="1:121" ht="14.25" x14ac:dyDescent="0.15">
      <c r="A95" s="48">
        <v>93</v>
      </c>
      <c r="B95" s="45" t="e">
        <f t="shared" si="34"/>
        <v>#DIV/0!</v>
      </c>
      <c r="C95" s="45" t="e">
        <f t="shared" si="35"/>
        <v>#DIV/0!</v>
      </c>
      <c r="D95" s="45" t="e">
        <f t="shared" si="36"/>
        <v>#DIV/0!</v>
      </c>
      <c r="E95" s="45" t="e">
        <f t="shared" si="37"/>
        <v>#DIV/0!</v>
      </c>
      <c r="F95" s="45" t="e">
        <f t="shared" si="38"/>
        <v>#DIV/0!</v>
      </c>
      <c r="G95" s="45" t="e">
        <f t="shared" si="39"/>
        <v>#DIV/0!</v>
      </c>
      <c r="H95" s="45" t="e">
        <f t="shared" si="40"/>
        <v>#DIV/0!</v>
      </c>
      <c r="I95" s="45" t="e">
        <f t="shared" si="41"/>
        <v>#DIV/0!</v>
      </c>
      <c r="J95" s="45" t="e">
        <f t="shared" si="42"/>
        <v>#DIV/0!</v>
      </c>
      <c r="K95" s="45" t="e">
        <f t="shared" si="43"/>
        <v>#DIV/0!</v>
      </c>
      <c r="L95" s="45" t="e">
        <f t="shared" si="44"/>
        <v>#DIV/0!</v>
      </c>
      <c r="M95" s="45" t="e">
        <f t="shared" si="45"/>
        <v>#DIV/0!</v>
      </c>
      <c r="N95" s="45" t="e">
        <f t="shared" si="46"/>
        <v>#DIV/0!</v>
      </c>
      <c r="O95" s="45" t="e">
        <f t="shared" si="47"/>
        <v>#DIV/0!</v>
      </c>
      <c r="P95" s="45" t="e">
        <f t="shared" si="48"/>
        <v>#DIV/0!</v>
      </c>
      <c r="Q95" s="55" t="e">
        <f>Q94+ATM_Conf!$C$5*(B94)/(Links!B$191*Links!Q$191)</f>
        <v>#DIV/0!</v>
      </c>
      <c r="R95" s="55" t="e">
        <f>R94+ATM_Conf!$C$5*(C94-B94)/(Links!C$191*Links!R$191)</f>
        <v>#DIV/0!</v>
      </c>
      <c r="S95" s="55" t="e">
        <f>S94+ATM_Conf!$C$5*(D94-C94)/(Links!D$191*Links!S$191)</f>
        <v>#DIV/0!</v>
      </c>
      <c r="T95" s="55" t="e">
        <f>T94+ATM_Conf!$C$5*(E94-D94)/(Links!E$191*Links!T$191)</f>
        <v>#DIV/0!</v>
      </c>
      <c r="U95" s="55" t="e">
        <f>U94+ATM_Conf!$C$5*(F94-E94)/(Links!F$191*Links!U$191)</f>
        <v>#DIV/0!</v>
      </c>
      <c r="V95" s="55" t="e">
        <f>V94+ATM_Conf!$C$5*(G94-F94)/(Links!G$191*Links!V$191)</f>
        <v>#DIV/0!</v>
      </c>
      <c r="W95" s="55" t="e">
        <f>W94+ATM_Conf!$C$5*(H94-G94)/(Links!H$191*Links!W$191)</f>
        <v>#DIV/0!</v>
      </c>
      <c r="X95" s="55" t="e">
        <f>X94+ATM_Conf!$C$5*(I94-H94)/(Links!I$191*Links!X$191)</f>
        <v>#DIV/0!</v>
      </c>
      <c r="Y95" s="55" t="e">
        <f>Y94+ATM_Conf!$C$5*(J94)/(Links!J$191*Links!Y$191)</f>
        <v>#DIV/0!</v>
      </c>
      <c r="Z95" s="55" t="e">
        <f>Z94+ATM_Conf!$C$5*(K94-J94)/(Links!K$191*Links!Z$191)</f>
        <v>#DIV/0!</v>
      </c>
      <c r="AA95" s="55" t="e">
        <f>AA94+ATM_Conf!$C$5*(L94-K94)/(Links!L$191*Links!AA$191)</f>
        <v>#DIV/0!</v>
      </c>
      <c r="AB95" s="55" t="e">
        <f>AB94+ATM_Conf!$C$5*(M94-L94)/(Links!M$191*Links!AB$191)</f>
        <v>#DIV/0!</v>
      </c>
      <c r="AC95" s="55" t="e">
        <f>AC94+ATM_Conf!$C$5*(N94-M94)/(Links!N$191*Links!AC$191)</f>
        <v>#DIV/0!</v>
      </c>
      <c r="AD95" s="55" t="e">
        <f>AD94+ATM_Conf!$C$5*(O94-N94)/(Links!O$191*Links!AD$191)</f>
        <v>#DIV/0!</v>
      </c>
      <c r="AE95" s="55" t="e">
        <f>AE94+ATM_Conf!$C$5*(P94-O94)/(Links!P$191*Links!AE$191)</f>
        <v>#DIV/0!</v>
      </c>
      <c r="AF95" s="45" t="e">
        <f>AF94+(ATM_Conf!$C$5/ATM_Conf!$C$8)*(Links!AU94*EXP((-(Links!Q94/Links!BJ94)^Links!BY94)/Links!BY94)-Links!AF94)-(ATM_Conf!$C$9*ATM_Conf!$C$5/(ATM_Conf!$C$8*Links!Q$191))*(Nodes!BO94-Links!Q94)/(Links!Q94/ATM_Conf!$C$10)</f>
        <v>#DIV/0!</v>
      </c>
      <c r="AG95" s="45" t="e">
        <f>AG94+(ATM_Conf!$C$5/ATM_Conf!$C$8)*(Links!AV94*EXP((-(Links!R94/Links!BK94)^Links!BZ94)/Links!BZ94)-Links!AG94)+(ATM_Conf!$C$5/Links!R$191)*Links!AG94*(Nodes!BB94-Links!AG94)-(ATM_Conf!$C$9*ATM_Conf!$C$5/(ATM_Conf!$C$8*Links!R$191))*(Nodes!BP94-Links!R94)/(Links!R94/ATM_Conf!$C$10)</f>
        <v>#DIV/0!</v>
      </c>
      <c r="AH95" s="45" t="e">
        <f>AH94+(ATM_Conf!$C$5/ATM_Conf!$C$8)*(Links!AW94*EXP((-(Links!S94/Links!BL94)^Links!CA94)/Links!CA94)-Links!AH94)+(ATM_Conf!$C$5/Links!S$191)*Links!AH94*(Nodes!BC94-Links!AH94)-(ATM_Conf!$C$9*ATM_Conf!$C$5/(ATM_Conf!$C$8*Links!S$191))*(Nodes!BQ94-Links!S94)/(Links!S94/ATM_Conf!$C$10)</f>
        <v>#DIV/0!</v>
      </c>
      <c r="AI95" s="45" t="e">
        <f>AI94+(ATM_Conf!$C$5/ATM_Conf!$C$8)*(Links!AX94*EXP((-(Links!T94/Links!BM94)^Links!CB94)/Links!CB94)-Links!AI94)+(ATM_Conf!$C$5/Links!T$191)*Links!AI94*(Nodes!BD94-Links!AI94)-(ATM_Conf!$C$9*ATM_Conf!$C$5/(ATM_Conf!$C$8*Links!T$191))*(Nodes!BR94-Links!T94)/(Links!T94/ATM_Conf!$C$10)</f>
        <v>#DIV/0!</v>
      </c>
      <c r="AJ95" s="45" t="e">
        <f>AJ94+(ATM_Conf!$C$5/ATM_Conf!$C$8)*(Links!AY94*EXP((-(Links!U94/Links!BN94)^Links!CC94)/Links!CC94)-Links!AJ94)+(ATM_Conf!$C$5/Links!U$191)*Links!AJ94*(Nodes!BE94-Links!AJ94)-(ATM_Conf!$C$9*ATM_Conf!$C$5/(ATM_Conf!$C$8*Links!U$191))*(Nodes!BS94-Links!U94)/(Links!U94/ATM_Conf!$C$10)</f>
        <v>#DIV/0!</v>
      </c>
      <c r="AK95" s="45" t="e">
        <f>AK94+(ATM_Conf!$C$5/ATM_Conf!$C$8)*(Links!AZ94*EXP((-(Links!V94/Links!BO94)^Links!CD94)/Links!CD94)-Links!AK94)+(ATM_Conf!$C$5/Links!V$191)*Links!AK94*(Nodes!BF94-Links!AK94)-(ATM_Conf!$C$9*ATM_Conf!$C$5/(ATM_Conf!$C$8*Links!V$191))*(Nodes!BT94-Links!V94)/(Links!V94/ATM_Conf!$C$10)</f>
        <v>#DIV/0!</v>
      </c>
      <c r="AL95" s="45" t="e">
        <f>AL94+(ATM_Conf!$C$5/ATM_Conf!$C$8)*(Links!BA94*EXP((-(Links!W94/Links!BP94)^Links!CE94)/Links!CE94)-Links!AL94)+(ATM_Conf!$C$5/Links!W$191)*Links!AL94*(Nodes!BG94-Links!AL94)-(ATM_Conf!$C$9*ATM_Conf!$C$5/(ATM_Conf!$C$8*Links!W$191))*(Nodes!BU94-Links!W94)/(Links!W94/ATM_Conf!$C$10)</f>
        <v>#DIV/0!</v>
      </c>
      <c r="AM95" s="45" t="e">
        <f>AM94+(ATM_Conf!$C$5/ATM_Conf!$C$8)*(Links!BB94*EXP((-(Links!X94/Links!BQ94)^Links!CF94)/Links!CF94)-Links!AM94)+(ATM_Conf!$C$5/Links!X$191)*Links!AM94*(Nodes!BH94-Links!AM94)</f>
        <v>#DIV/0!</v>
      </c>
      <c r="AN95" s="45" t="e">
        <f>AN94+(ATM_Conf!$C$5/ATM_Conf!$C$8)*(Links!BC94*EXP((-(Links!Y94/Links!BR94)^Links!CG94)/Links!CG94)-Links!AN94)-(ATM_Conf!$C$9*ATM_Conf!$C$5/(ATM_Conf!$C$8*Links!Y$191))*(Nodes!BV94-Links!Y94)/(Links!Y94/ATM_Conf!$C$10)</f>
        <v>#DIV/0!</v>
      </c>
      <c r="AO95" s="45" t="e">
        <f>AO94+(ATM_Conf!$C$5/ATM_Conf!$C$8)*(Links!BD94*EXP((-(Links!Z94/Links!BS94)^Links!CH94)/Links!CH94)-Links!AO94)+(ATM_Conf!$C$5/Links!Z$191)*Links!AO94*(Nodes!BI94-Links!AO94)-(ATM_Conf!$C$9*ATM_Conf!$C$5/(ATM_Conf!$C$8*Links!Z$191))*(Nodes!BW94-Links!Z94)/(Links!Z94/ATM_Conf!$C$10)</f>
        <v>#DIV/0!</v>
      </c>
      <c r="AP95" s="45" t="e">
        <f>AP94+(ATM_Conf!$C$5/ATM_Conf!$C$8)*(Links!BE94*EXP((-(Links!AA94/Links!BT94)^Links!CI94)/Links!CI94)-Links!AP94)+(ATM_Conf!$C$5/Links!AA$191)*Links!AP94*(Nodes!BJ94-Links!AP94)-(ATM_Conf!$C$9*ATM_Conf!$C$5/(ATM_Conf!$C$8*Links!AA$191))*(Nodes!BX94-Links!AA94)/(Links!AA94/ATM_Conf!$C$10)</f>
        <v>#DIV/0!</v>
      </c>
      <c r="AQ95" s="45" t="e">
        <f>AQ94+(ATM_Conf!$C$5/ATM_Conf!$C$8)*(Links!BF94*EXP((-(Links!AB94/Links!BU94)^Links!CJ94)/Links!CJ94)-Links!AQ94)+(ATM_Conf!$C$5/Links!AB$191)*Links!AQ94*(Nodes!BK94-Links!AQ94)-(ATM_Conf!$C$9*ATM_Conf!$C$5/(ATM_Conf!$C$8*Links!AB$191))*(Nodes!BY94-Links!AB94)/(Links!AB94/ATM_Conf!$C$10)</f>
        <v>#DIV/0!</v>
      </c>
      <c r="AR95" s="45" t="e">
        <f>AR94+(ATM_Conf!$C$5/ATM_Conf!$C$8)*(Links!BG94*EXP((-(Links!AC94/Links!BV94)^Links!CK94)/Links!CK94)-Links!AR94)+(ATM_Conf!$C$5/Links!AC$191)*Links!AR94*(Nodes!BL94-Links!AR94)-(ATM_Conf!$C$9*ATM_Conf!$C$5/(ATM_Conf!$C$8*Links!AC$191))*(Nodes!BZ94-Links!AC94)/(Links!AC94/ATM_Conf!$C$10)</f>
        <v>#DIV/0!</v>
      </c>
      <c r="AS95" s="45" t="e">
        <f>AS94+(ATM_Conf!$C$5/ATM_Conf!$C$8)*(Links!BH94*EXP((-(Links!AD94/Links!BW94)^Links!CL94)/Links!CL94)-Links!AS94)+(ATM_Conf!$C$5/Links!AD$191)*Links!AS94*(Nodes!BM94-Links!AS94)-(ATM_Conf!$C$9*ATM_Conf!$C$5/(ATM_Conf!$C$8*Links!AD$191))*(Nodes!CA94-Links!AD94)/(Links!AD94/ATM_Conf!$C$10)</f>
        <v>#DIV/0!</v>
      </c>
      <c r="AT95" s="45" t="e">
        <f>AT94+(ATM_Conf!$C$5/ATM_Conf!$C$8)*(Links!BI94*EXP((-(Links!AE94/Links!BX94)^Links!CM94)/Links!CM94)-Links!AT94)+(ATM_Conf!$C$5/Links!AE$191)*Links!AT94*(Nodes!BN94-Links!AT94)</f>
        <v>#DIV/0!</v>
      </c>
      <c r="AU95" s="55"/>
      <c r="AV95" s="55"/>
      <c r="AW95" s="55"/>
      <c r="AX95" s="55"/>
      <c r="AY95" s="55"/>
      <c r="AZ95" s="55"/>
      <c r="BA95" s="55"/>
      <c r="BB95" s="55"/>
      <c r="BC95" s="55"/>
      <c r="BD95" s="55"/>
      <c r="BE95" s="55"/>
      <c r="BF95" s="55"/>
      <c r="BG95" s="55"/>
      <c r="BH95" s="55"/>
      <c r="BI95" s="5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55"/>
      <c r="BZ95" s="55"/>
      <c r="CA95" s="55"/>
      <c r="CB95" s="55"/>
      <c r="CC95" s="55"/>
      <c r="CD95" s="55"/>
      <c r="CE95" s="55"/>
      <c r="CF95" s="55"/>
      <c r="CG95" s="55"/>
      <c r="CH95" s="55"/>
      <c r="CI95" s="55"/>
      <c r="CJ95" s="55"/>
      <c r="CK95" s="55"/>
      <c r="CL95" s="55"/>
      <c r="CM95" s="55"/>
      <c r="CN95" s="45">
        <f t="shared" si="54"/>
        <v>0</v>
      </c>
      <c r="CO95" s="45">
        <f t="shared" si="54"/>
        <v>0</v>
      </c>
      <c r="CP95" s="45">
        <f t="shared" si="54"/>
        <v>0</v>
      </c>
      <c r="CQ95" s="45">
        <f t="shared" si="54"/>
        <v>0</v>
      </c>
      <c r="CR95" s="45">
        <f t="shared" si="54"/>
        <v>0</v>
      </c>
      <c r="CS95" s="45">
        <f t="shared" si="54"/>
        <v>0</v>
      </c>
      <c r="CT95" s="45">
        <f t="shared" si="54"/>
        <v>0</v>
      </c>
      <c r="CU95" s="45">
        <f t="shared" si="54"/>
        <v>0</v>
      </c>
      <c r="CV95" s="45">
        <f t="shared" si="54"/>
        <v>0</v>
      </c>
      <c r="CW95" s="45">
        <f t="shared" si="54"/>
        <v>0</v>
      </c>
      <c r="CX95" s="45">
        <f t="shared" si="54"/>
        <v>0</v>
      </c>
      <c r="CY95" s="45">
        <f t="shared" si="54"/>
        <v>0</v>
      </c>
      <c r="CZ95" s="45">
        <f t="shared" si="54"/>
        <v>0</v>
      </c>
      <c r="DA95" s="45">
        <f t="shared" si="54"/>
        <v>0</v>
      </c>
      <c r="DB95" s="45">
        <f t="shared" si="54"/>
        <v>0</v>
      </c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</row>
    <row r="96" spans="1:121" ht="14.25" x14ac:dyDescent="0.15">
      <c r="A96" s="48">
        <v>94</v>
      </c>
      <c r="B96" s="45" t="e">
        <f t="shared" si="34"/>
        <v>#DIV/0!</v>
      </c>
      <c r="C96" s="45" t="e">
        <f t="shared" si="35"/>
        <v>#DIV/0!</v>
      </c>
      <c r="D96" s="45" t="e">
        <f t="shared" si="36"/>
        <v>#DIV/0!</v>
      </c>
      <c r="E96" s="45" t="e">
        <f t="shared" si="37"/>
        <v>#DIV/0!</v>
      </c>
      <c r="F96" s="45" t="e">
        <f t="shared" si="38"/>
        <v>#DIV/0!</v>
      </c>
      <c r="G96" s="45" t="e">
        <f t="shared" si="39"/>
        <v>#DIV/0!</v>
      </c>
      <c r="H96" s="45" t="e">
        <f t="shared" si="40"/>
        <v>#DIV/0!</v>
      </c>
      <c r="I96" s="45" t="e">
        <f t="shared" si="41"/>
        <v>#DIV/0!</v>
      </c>
      <c r="J96" s="45" t="e">
        <f t="shared" si="42"/>
        <v>#DIV/0!</v>
      </c>
      <c r="K96" s="45" t="e">
        <f t="shared" si="43"/>
        <v>#DIV/0!</v>
      </c>
      <c r="L96" s="45" t="e">
        <f t="shared" si="44"/>
        <v>#DIV/0!</v>
      </c>
      <c r="M96" s="45" t="e">
        <f t="shared" si="45"/>
        <v>#DIV/0!</v>
      </c>
      <c r="N96" s="45" t="e">
        <f t="shared" si="46"/>
        <v>#DIV/0!</v>
      </c>
      <c r="O96" s="45" t="e">
        <f t="shared" si="47"/>
        <v>#DIV/0!</v>
      </c>
      <c r="P96" s="45" t="e">
        <f t="shared" si="48"/>
        <v>#DIV/0!</v>
      </c>
      <c r="Q96" s="55" t="e">
        <f>Q95+ATM_Conf!$C$5*(B95)/(Links!B$191*Links!Q$191)</f>
        <v>#DIV/0!</v>
      </c>
      <c r="R96" s="55" t="e">
        <f>R95+ATM_Conf!$C$5*(C95-B95)/(Links!C$191*Links!R$191)</f>
        <v>#DIV/0!</v>
      </c>
      <c r="S96" s="55" t="e">
        <f>S95+ATM_Conf!$C$5*(D95-C95)/(Links!D$191*Links!S$191)</f>
        <v>#DIV/0!</v>
      </c>
      <c r="T96" s="55" t="e">
        <f>T95+ATM_Conf!$C$5*(E95-D95)/(Links!E$191*Links!T$191)</f>
        <v>#DIV/0!</v>
      </c>
      <c r="U96" s="55" t="e">
        <f>U95+ATM_Conf!$C$5*(F95-E95)/(Links!F$191*Links!U$191)</f>
        <v>#DIV/0!</v>
      </c>
      <c r="V96" s="55" t="e">
        <f>V95+ATM_Conf!$C$5*(G95-F95)/(Links!G$191*Links!V$191)</f>
        <v>#DIV/0!</v>
      </c>
      <c r="W96" s="55" t="e">
        <f>W95+ATM_Conf!$C$5*(H95-G95)/(Links!H$191*Links!W$191)</f>
        <v>#DIV/0!</v>
      </c>
      <c r="X96" s="55" t="e">
        <f>X95+ATM_Conf!$C$5*(I95-H95)/(Links!I$191*Links!X$191)</f>
        <v>#DIV/0!</v>
      </c>
      <c r="Y96" s="55" t="e">
        <f>Y95+ATM_Conf!$C$5*(J95)/(Links!J$191*Links!Y$191)</f>
        <v>#DIV/0!</v>
      </c>
      <c r="Z96" s="55" t="e">
        <f>Z95+ATM_Conf!$C$5*(K95-J95)/(Links!K$191*Links!Z$191)</f>
        <v>#DIV/0!</v>
      </c>
      <c r="AA96" s="55" t="e">
        <f>AA95+ATM_Conf!$C$5*(L95-K95)/(Links!L$191*Links!AA$191)</f>
        <v>#DIV/0!</v>
      </c>
      <c r="AB96" s="55" t="e">
        <f>AB95+ATM_Conf!$C$5*(M95-L95)/(Links!M$191*Links!AB$191)</f>
        <v>#DIV/0!</v>
      </c>
      <c r="AC96" s="55" t="e">
        <f>AC95+ATM_Conf!$C$5*(N95-M95)/(Links!N$191*Links!AC$191)</f>
        <v>#DIV/0!</v>
      </c>
      <c r="AD96" s="55" t="e">
        <f>AD95+ATM_Conf!$C$5*(O95-N95)/(Links!O$191*Links!AD$191)</f>
        <v>#DIV/0!</v>
      </c>
      <c r="AE96" s="55" t="e">
        <f>AE95+ATM_Conf!$C$5*(P95-O95)/(Links!P$191*Links!AE$191)</f>
        <v>#DIV/0!</v>
      </c>
      <c r="AF96" s="45" t="e">
        <f>AF95+(ATM_Conf!$C$5/ATM_Conf!$C$8)*(Links!AU95*EXP((-(Links!Q95/Links!BJ95)^Links!BY95)/Links!BY95)-Links!AF95)-(ATM_Conf!$C$9*ATM_Conf!$C$5/(ATM_Conf!$C$8*Links!Q$191))*(Nodes!BO95-Links!Q95)/(Links!Q95/ATM_Conf!$C$10)</f>
        <v>#DIV/0!</v>
      </c>
      <c r="AG96" s="45" t="e">
        <f>AG95+(ATM_Conf!$C$5/ATM_Conf!$C$8)*(Links!AV95*EXP((-(Links!R95/Links!BK95)^Links!BZ95)/Links!BZ95)-Links!AG95)+(ATM_Conf!$C$5/Links!R$191)*Links!AG95*(Nodes!BB95-Links!AG95)-(ATM_Conf!$C$9*ATM_Conf!$C$5/(ATM_Conf!$C$8*Links!R$191))*(Nodes!BP95-Links!R95)/(Links!R95/ATM_Conf!$C$10)</f>
        <v>#DIV/0!</v>
      </c>
      <c r="AH96" s="45" t="e">
        <f>AH95+(ATM_Conf!$C$5/ATM_Conf!$C$8)*(Links!AW95*EXP((-(Links!S95/Links!BL95)^Links!CA95)/Links!CA95)-Links!AH95)+(ATM_Conf!$C$5/Links!S$191)*Links!AH95*(Nodes!BC95-Links!AH95)-(ATM_Conf!$C$9*ATM_Conf!$C$5/(ATM_Conf!$C$8*Links!S$191))*(Nodes!BQ95-Links!S95)/(Links!S95/ATM_Conf!$C$10)</f>
        <v>#DIV/0!</v>
      </c>
      <c r="AI96" s="45" t="e">
        <f>AI95+(ATM_Conf!$C$5/ATM_Conf!$C$8)*(Links!AX95*EXP((-(Links!T95/Links!BM95)^Links!CB95)/Links!CB95)-Links!AI95)+(ATM_Conf!$C$5/Links!T$191)*Links!AI95*(Nodes!BD95-Links!AI95)-(ATM_Conf!$C$9*ATM_Conf!$C$5/(ATM_Conf!$C$8*Links!T$191))*(Nodes!BR95-Links!T95)/(Links!T95/ATM_Conf!$C$10)</f>
        <v>#DIV/0!</v>
      </c>
      <c r="AJ96" s="45" t="e">
        <f>AJ95+(ATM_Conf!$C$5/ATM_Conf!$C$8)*(Links!AY95*EXP((-(Links!U95/Links!BN95)^Links!CC95)/Links!CC95)-Links!AJ95)+(ATM_Conf!$C$5/Links!U$191)*Links!AJ95*(Nodes!BE95-Links!AJ95)-(ATM_Conf!$C$9*ATM_Conf!$C$5/(ATM_Conf!$C$8*Links!U$191))*(Nodes!BS95-Links!U95)/(Links!U95/ATM_Conf!$C$10)</f>
        <v>#DIV/0!</v>
      </c>
      <c r="AK96" s="45" t="e">
        <f>AK95+(ATM_Conf!$C$5/ATM_Conf!$C$8)*(Links!AZ95*EXP((-(Links!V95/Links!BO95)^Links!CD95)/Links!CD95)-Links!AK95)+(ATM_Conf!$C$5/Links!V$191)*Links!AK95*(Nodes!BF95-Links!AK95)-(ATM_Conf!$C$9*ATM_Conf!$C$5/(ATM_Conf!$C$8*Links!V$191))*(Nodes!BT95-Links!V95)/(Links!V95/ATM_Conf!$C$10)</f>
        <v>#DIV/0!</v>
      </c>
      <c r="AL96" s="45" t="e">
        <f>AL95+(ATM_Conf!$C$5/ATM_Conf!$C$8)*(Links!BA95*EXP((-(Links!W95/Links!BP95)^Links!CE95)/Links!CE95)-Links!AL95)+(ATM_Conf!$C$5/Links!W$191)*Links!AL95*(Nodes!BG95-Links!AL95)-(ATM_Conf!$C$9*ATM_Conf!$C$5/(ATM_Conf!$C$8*Links!W$191))*(Nodes!BU95-Links!W95)/(Links!W95/ATM_Conf!$C$10)</f>
        <v>#DIV/0!</v>
      </c>
      <c r="AM96" s="45" t="e">
        <f>AM95+(ATM_Conf!$C$5/ATM_Conf!$C$8)*(Links!BB95*EXP((-(Links!X95/Links!BQ95)^Links!CF95)/Links!CF95)-Links!AM95)+(ATM_Conf!$C$5/Links!X$191)*Links!AM95*(Nodes!BH95-Links!AM95)</f>
        <v>#DIV/0!</v>
      </c>
      <c r="AN96" s="45" t="e">
        <f>AN95+(ATM_Conf!$C$5/ATM_Conf!$C$8)*(Links!BC95*EXP((-(Links!Y95/Links!BR95)^Links!CG95)/Links!CG95)-Links!AN95)-(ATM_Conf!$C$9*ATM_Conf!$C$5/(ATM_Conf!$C$8*Links!Y$191))*(Nodes!BV95-Links!Y95)/(Links!Y95/ATM_Conf!$C$10)</f>
        <v>#DIV/0!</v>
      </c>
      <c r="AO96" s="45" t="e">
        <f>AO95+(ATM_Conf!$C$5/ATM_Conf!$C$8)*(Links!BD95*EXP((-(Links!Z95/Links!BS95)^Links!CH95)/Links!CH95)-Links!AO95)+(ATM_Conf!$C$5/Links!Z$191)*Links!AO95*(Nodes!BI95-Links!AO95)-(ATM_Conf!$C$9*ATM_Conf!$C$5/(ATM_Conf!$C$8*Links!Z$191))*(Nodes!BW95-Links!Z95)/(Links!Z95/ATM_Conf!$C$10)</f>
        <v>#DIV/0!</v>
      </c>
      <c r="AP96" s="45" t="e">
        <f>AP95+(ATM_Conf!$C$5/ATM_Conf!$C$8)*(Links!BE95*EXP((-(Links!AA95/Links!BT95)^Links!CI95)/Links!CI95)-Links!AP95)+(ATM_Conf!$C$5/Links!AA$191)*Links!AP95*(Nodes!BJ95-Links!AP95)-(ATM_Conf!$C$9*ATM_Conf!$C$5/(ATM_Conf!$C$8*Links!AA$191))*(Nodes!BX95-Links!AA95)/(Links!AA95/ATM_Conf!$C$10)</f>
        <v>#DIV/0!</v>
      </c>
      <c r="AQ96" s="45" t="e">
        <f>AQ95+(ATM_Conf!$C$5/ATM_Conf!$C$8)*(Links!BF95*EXP((-(Links!AB95/Links!BU95)^Links!CJ95)/Links!CJ95)-Links!AQ95)+(ATM_Conf!$C$5/Links!AB$191)*Links!AQ95*(Nodes!BK95-Links!AQ95)-(ATM_Conf!$C$9*ATM_Conf!$C$5/(ATM_Conf!$C$8*Links!AB$191))*(Nodes!BY95-Links!AB95)/(Links!AB95/ATM_Conf!$C$10)</f>
        <v>#DIV/0!</v>
      </c>
      <c r="AR96" s="45" t="e">
        <f>AR95+(ATM_Conf!$C$5/ATM_Conf!$C$8)*(Links!BG95*EXP((-(Links!AC95/Links!BV95)^Links!CK95)/Links!CK95)-Links!AR95)+(ATM_Conf!$C$5/Links!AC$191)*Links!AR95*(Nodes!BL95-Links!AR95)-(ATM_Conf!$C$9*ATM_Conf!$C$5/(ATM_Conf!$C$8*Links!AC$191))*(Nodes!BZ95-Links!AC95)/(Links!AC95/ATM_Conf!$C$10)</f>
        <v>#DIV/0!</v>
      </c>
      <c r="AS96" s="45" t="e">
        <f>AS95+(ATM_Conf!$C$5/ATM_Conf!$C$8)*(Links!BH95*EXP((-(Links!AD95/Links!BW95)^Links!CL95)/Links!CL95)-Links!AS95)+(ATM_Conf!$C$5/Links!AD$191)*Links!AS95*(Nodes!BM95-Links!AS95)-(ATM_Conf!$C$9*ATM_Conf!$C$5/(ATM_Conf!$C$8*Links!AD$191))*(Nodes!CA95-Links!AD95)/(Links!AD95/ATM_Conf!$C$10)</f>
        <v>#DIV/0!</v>
      </c>
      <c r="AT96" s="45" t="e">
        <f>AT95+(ATM_Conf!$C$5/ATM_Conf!$C$8)*(Links!BI95*EXP((-(Links!AE95/Links!BX95)^Links!CM95)/Links!CM95)-Links!AT95)+(ATM_Conf!$C$5/Links!AE$191)*Links!AT95*(Nodes!BN95-Links!AT95)</f>
        <v>#DIV/0!</v>
      </c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45"/>
      <c r="BK96" s="45"/>
      <c r="BL96" s="45"/>
      <c r="BM96" s="45"/>
      <c r="BN96" s="45"/>
      <c r="BO96" s="45"/>
      <c r="BP96" s="45"/>
      <c r="BQ96" s="45"/>
      <c r="BR96" s="45"/>
      <c r="BS96" s="45"/>
      <c r="BT96" s="45"/>
      <c r="BU96" s="45"/>
      <c r="BV96" s="45"/>
      <c r="BW96" s="45"/>
      <c r="BX96" s="4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45">
        <f t="shared" si="54"/>
        <v>0</v>
      </c>
      <c r="CO96" s="45">
        <f t="shared" si="54"/>
        <v>0</v>
      </c>
      <c r="CP96" s="45">
        <f t="shared" si="54"/>
        <v>0</v>
      </c>
      <c r="CQ96" s="45">
        <f t="shared" si="54"/>
        <v>0</v>
      </c>
      <c r="CR96" s="45">
        <f t="shared" si="54"/>
        <v>0</v>
      </c>
      <c r="CS96" s="45">
        <f t="shared" si="54"/>
        <v>0</v>
      </c>
      <c r="CT96" s="45">
        <f t="shared" si="54"/>
        <v>0</v>
      </c>
      <c r="CU96" s="45">
        <f t="shared" si="54"/>
        <v>0</v>
      </c>
      <c r="CV96" s="45">
        <f t="shared" si="54"/>
        <v>0</v>
      </c>
      <c r="CW96" s="45">
        <f t="shared" si="54"/>
        <v>0</v>
      </c>
      <c r="CX96" s="45">
        <f t="shared" si="54"/>
        <v>0</v>
      </c>
      <c r="CY96" s="45">
        <f t="shared" si="54"/>
        <v>0</v>
      </c>
      <c r="CZ96" s="45">
        <f t="shared" si="54"/>
        <v>0</v>
      </c>
      <c r="DA96" s="45">
        <f t="shared" si="54"/>
        <v>0</v>
      </c>
      <c r="DB96" s="45">
        <f t="shared" si="54"/>
        <v>0</v>
      </c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</row>
    <row r="97" spans="1:121" ht="14.25" x14ac:dyDescent="0.15">
      <c r="A97" s="48">
        <v>95</v>
      </c>
      <c r="B97" s="45" t="e">
        <f t="shared" si="34"/>
        <v>#DIV/0!</v>
      </c>
      <c r="C97" s="45" t="e">
        <f t="shared" si="35"/>
        <v>#DIV/0!</v>
      </c>
      <c r="D97" s="45" t="e">
        <f t="shared" si="36"/>
        <v>#DIV/0!</v>
      </c>
      <c r="E97" s="45" t="e">
        <f t="shared" si="37"/>
        <v>#DIV/0!</v>
      </c>
      <c r="F97" s="45" t="e">
        <f t="shared" si="38"/>
        <v>#DIV/0!</v>
      </c>
      <c r="G97" s="45" t="e">
        <f t="shared" si="39"/>
        <v>#DIV/0!</v>
      </c>
      <c r="H97" s="45" t="e">
        <f t="shared" si="40"/>
        <v>#DIV/0!</v>
      </c>
      <c r="I97" s="45" t="e">
        <f t="shared" si="41"/>
        <v>#DIV/0!</v>
      </c>
      <c r="J97" s="45" t="e">
        <f t="shared" si="42"/>
        <v>#DIV/0!</v>
      </c>
      <c r="K97" s="45" t="e">
        <f t="shared" si="43"/>
        <v>#DIV/0!</v>
      </c>
      <c r="L97" s="45" t="e">
        <f t="shared" si="44"/>
        <v>#DIV/0!</v>
      </c>
      <c r="M97" s="45" t="e">
        <f t="shared" si="45"/>
        <v>#DIV/0!</v>
      </c>
      <c r="N97" s="45" t="e">
        <f t="shared" si="46"/>
        <v>#DIV/0!</v>
      </c>
      <c r="O97" s="45" t="e">
        <f t="shared" si="47"/>
        <v>#DIV/0!</v>
      </c>
      <c r="P97" s="45" t="e">
        <f t="shared" si="48"/>
        <v>#DIV/0!</v>
      </c>
      <c r="Q97" s="55" t="e">
        <f>Q96+ATM_Conf!$C$5*(B96)/(Links!B$191*Links!Q$191)</f>
        <v>#DIV/0!</v>
      </c>
      <c r="R97" s="55" t="e">
        <f>R96+ATM_Conf!$C$5*(C96-B96)/(Links!C$191*Links!R$191)</f>
        <v>#DIV/0!</v>
      </c>
      <c r="S97" s="55" t="e">
        <f>S96+ATM_Conf!$C$5*(D96-C96)/(Links!D$191*Links!S$191)</f>
        <v>#DIV/0!</v>
      </c>
      <c r="T97" s="55" t="e">
        <f>T96+ATM_Conf!$C$5*(E96-D96)/(Links!E$191*Links!T$191)</f>
        <v>#DIV/0!</v>
      </c>
      <c r="U97" s="55" t="e">
        <f>U96+ATM_Conf!$C$5*(F96-E96)/(Links!F$191*Links!U$191)</f>
        <v>#DIV/0!</v>
      </c>
      <c r="V97" s="55" t="e">
        <f>V96+ATM_Conf!$C$5*(G96-F96)/(Links!G$191*Links!V$191)</f>
        <v>#DIV/0!</v>
      </c>
      <c r="W97" s="55" t="e">
        <f>W96+ATM_Conf!$C$5*(H96-G96)/(Links!H$191*Links!W$191)</f>
        <v>#DIV/0!</v>
      </c>
      <c r="X97" s="55" t="e">
        <f>X96+ATM_Conf!$C$5*(I96-H96)/(Links!I$191*Links!X$191)</f>
        <v>#DIV/0!</v>
      </c>
      <c r="Y97" s="55" t="e">
        <f>Y96+ATM_Conf!$C$5*(J96)/(Links!J$191*Links!Y$191)</f>
        <v>#DIV/0!</v>
      </c>
      <c r="Z97" s="55" t="e">
        <f>Z96+ATM_Conf!$C$5*(K96-J96)/(Links!K$191*Links!Z$191)</f>
        <v>#DIV/0!</v>
      </c>
      <c r="AA97" s="55" t="e">
        <f>AA96+ATM_Conf!$C$5*(L96-K96)/(Links!L$191*Links!AA$191)</f>
        <v>#DIV/0!</v>
      </c>
      <c r="AB97" s="55" t="e">
        <f>AB96+ATM_Conf!$C$5*(M96-L96)/(Links!M$191*Links!AB$191)</f>
        <v>#DIV/0!</v>
      </c>
      <c r="AC97" s="55" t="e">
        <f>AC96+ATM_Conf!$C$5*(N96-M96)/(Links!N$191*Links!AC$191)</f>
        <v>#DIV/0!</v>
      </c>
      <c r="AD97" s="55" t="e">
        <f>AD96+ATM_Conf!$C$5*(O96-N96)/(Links!O$191*Links!AD$191)</f>
        <v>#DIV/0!</v>
      </c>
      <c r="AE97" s="55" t="e">
        <f>AE96+ATM_Conf!$C$5*(P96-O96)/(Links!P$191*Links!AE$191)</f>
        <v>#DIV/0!</v>
      </c>
      <c r="AF97" s="45" t="e">
        <f>AF96+(ATM_Conf!$C$5/ATM_Conf!$C$8)*(Links!AU96*EXP((-(Links!Q96/Links!BJ96)^Links!BY96)/Links!BY96)-Links!AF96)-(ATM_Conf!$C$9*ATM_Conf!$C$5/(ATM_Conf!$C$8*Links!Q$191))*(Nodes!BO96-Links!Q96)/(Links!Q96/ATM_Conf!$C$10)</f>
        <v>#DIV/0!</v>
      </c>
      <c r="AG97" s="45" t="e">
        <f>AG96+(ATM_Conf!$C$5/ATM_Conf!$C$8)*(Links!AV96*EXP((-(Links!R96/Links!BK96)^Links!BZ96)/Links!BZ96)-Links!AG96)+(ATM_Conf!$C$5/Links!R$191)*Links!AG96*(Nodes!BB96-Links!AG96)-(ATM_Conf!$C$9*ATM_Conf!$C$5/(ATM_Conf!$C$8*Links!R$191))*(Nodes!BP96-Links!R96)/(Links!R96/ATM_Conf!$C$10)</f>
        <v>#DIV/0!</v>
      </c>
      <c r="AH97" s="45" t="e">
        <f>AH96+(ATM_Conf!$C$5/ATM_Conf!$C$8)*(Links!AW96*EXP((-(Links!S96/Links!BL96)^Links!CA96)/Links!CA96)-Links!AH96)+(ATM_Conf!$C$5/Links!S$191)*Links!AH96*(Nodes!BC96-Links!AH96)-(ATM_Conf!$C$9*ATM_Conf!$C$5/(ATM_Conf!$C$8*Links!S$191))*(Nodes!BQ96-Links!S96)/(Links!S96/ATM_Conf!$C$10)</f>
        <v>#DIV/0!</v>
      </c>
      <c r="AI97" s="45" t="e">
        <f>AI96+(ATM_Conf!$C$5/ATM_Conf!$C$8)*(Links!AX96*EXP((-(Links!T96/Links!BM96)^Links!CB96)/Links!CB96)-Links!AI96)+(ATM_Conf!$C$5/Links!T$191)*Links!AI96*(Nodes!BD96-Links!AI96)-(ATM_Conf!$C$9*ATM_Conf!$C$5/(ATM_Conf!$C$8*Links!T$191))*(Nodes!BR96-Links!T96)/(Links!T96/ATM_Conf!$C$10)</f>
        <v>#DIV/0!</v>
      </c>
      <c r="AJ97" s="45" t="e">
        <f>AJ96+(ATM_Conf!$C$5/ATM_Conf!$C$8)*(Links!AY96*EXP((-(Links!U96/Links!BN96)^Links!CC96)/Links!CC96)-Links!AJ96)+(ATM_Conf!$C$5/Links!U$191)*Links!AJ96*(Nodes!BE96-Links!AJ96)-(ATM_Conf!$C$9*ATM_Conf!$C$5/(ATM_Conf!$C$8*Links!U$191))*(Nodes!BS96-Links!U96)/(Links!U96/ATM_Conf!$C$10)</f>
        <v>#DIV/0!</v>
      </c>
      <c r="AK97" s="45" t="e">
        <f>AK96+(ATM_Conf!$C$5/ATM_Conf!$C$8)*(Links!AZ96*EXP((-(Links!V96/Links!BO96)^Links!CD96)/Links!CD96)-Links!AK96)+(ATM_Conf!$C$5/Links!V$191)*Links!AK96*(Nodes!BF96-Links!AK96)-(ATM_Conf!$C$9*ATM_Conf!$C$5/(ATM_Conf!$C$8*Links!V$191))*(Nodes!BT96-Links!V96)/(Links!V96/ATM_Conf!$C$10)</f>
        <v>#DIV/0!</v>
      </c>
      <c r="AL97" s="45" t="e">
        <f>AL96+(ATM_Conf!$C$5/ATM_Conf!$C$8)*(Links!BA96*EXP((-(Links!W96/Links!BP96)^Links!CE96)/Links!CE96)-Links!AL96)+(ATM_Conf!$C$5/Links!W$191)*Links!AL96*(Nodes!BG96-Links!AL96)-(ATM_Conf!$C$9*ATM_Conf!$C$5/(ATM_Conf!$C$8*Links!W$191))*(Nodes!BU96-Links!W96)/(Links!W96/ATM_Conf!$C$10)</f>
        <v>#DIV/0!</v>
      </c>
      <c r="AM97" s="45" t="e">
        <f>AM96+(ATM_Conf!$C$5/ATM_Conf!$C$8)*(Links!BB96*EXP((-(Links!X96/Links!BQ96)^Links!CF96)/Links!CF96)-Links!AM96)+(ATM_Conf!$C$5/Links!X$191)*Links!AM96*(Nodes!BH96-Links!AM96)</f>
        <v>#DIV/0!</v>
      </c>
      <c r="AN97" s="45" t="e">
        <f>AN96+(ATM_Conf!$C$5/ATM_Conf!$C$8)*(Links!BC96*EXP((-(Links!Y96/Links!BR96)^Links!CG96)/Links!CG96)-Links!AN96)-(ATM_Conf!$C$9*ATM_Conf!$C$5/(ATM_Conf!$C$8*Links!Y$191))*(Nodes!BV96-Links!Y96)/(Links!Y96/ATM_Conf!$C$10)</f>
        <v>#DIV/0!</v>
      </c>
      <c r="AO97" s="45" t="e">
        <f>AO96+(ATM_Conf!$C$5/ATM_Conf!$C$8)*(Links!BD96*EXP((-(Links!Z96/Links!BS96)^Links!CH96)/Links!CH96)-Links!AO96)+(ATM_Conf!$C$5/Links!Z$191)*Links!AO96*(Nodes!BI96-Links!AO96)-(ATM_Conf!$C$9*ATM_Conf!$C$5/(ATM_Conf!$C$8*Links!Z$191))*(Nodes!BW96-Links!Z96)/(Links!Z96/ATM_Conf!$C$10)</f>
        <v>#DIV/0!</v>
      </c>
      <c r="AP97" s="45" t="e">
        <f>AP96+(ATM_Conf!$C$5/ATM_Conf!$C$8)*(Links!BE96*EXP((-(Links!AA96/Links!BT96)^Links!CI96)/Links!CI96)-Links!AP96)+(ATM_Conf!$C$5/Links!AA$191)*Links!AP96*(Nodes!BJ96-Links!AP96)-(ATM_Conf!$C$9*ATM_Conf!$C$5/(ATM_Conf!$C$8*Links!AA$191))*(Nodes!BX96-Links!AA96)/(Links!AA96/ATM_Conf!$C$10)</f>
        <v>#DIV/0!</v>
      </c>
      <c r="AQ97" s="45" t="e">
        <f>AQ96+(ATM_Conf!$C$5/ATM_Conf!$C$8)*(Links!BF96*EXP((-(Links!AB96/Links!BU96)^Links!CJ96)/Links!CJ96)-Links!AQ96)+(ATM_Conf!$C$5/Links!AB$191)*Links!AQ96*(Nodes!BK96-Links!AQ96)-(ATM_Conf!$C$9*ATM_Conf!$C$5/(ATM_Conf!$C$8*Links!AB$191))*(Nodes!BY96-Links!AB96)/(Links!AB96/ATM_Conf!$C$10)</f>
        <v>#DIV/0!</v>
      </c>
      <c r="AR97" s="45" t="e">
        <f>AR96+(ATM_Conf!$C$5/ATM_Conf!$C$8)*(Links!BG96*EXP((-(Links!AC96/Links!BV96)^Links!CK96)/Links!CK96)-Links!AR96)+(ATM_Conf!$C$5/Links!AC$191)*Links!AR96*(Nodes!BL96-Links!AR96)-(ATM_Conf!$C$9*ATM_Conf!$C$5/(ATM_Conf!$C$8*Links!AC$191))*(Nodes!BZ96-Links!AC96)/(Links!AC96/ATM_Conf!$C$10)</f>
        <v>#DIV/0!</v>
      </c>
      <c r="AS97" s="45" t="e">
        <f>AS96+(ATM_Conf!$C$5/ATM_Conf!$C$8)*(Links!BH96*EXP((-(Links!AD96/Links!BW96)^Links!CL96)/Links!CL96)-Links!AS96)+(ATM_Conf!$C$5/Links!AD$191)*Links!AS96*(Nodes!BM96-Links!AS96)-(ATM_Conf!$C$9*ATM_Conf!$C$5/(ATM_Conf!$C$8*Links!AD$191))*(Nodes!CA96-Links!AD96)/(Links!AD96/ATM_Conf!$C$10)</f>
        <v>#DIV/0!</v>
      </c>
      <c r="AT97" s="45" t="e">
        <f>AT96+(ATM_Conf!$C$5/ATM_Conf!$C$8)*(Links!BI96*EXP((-(Links!AE96/Links!BX96)^Links!CM96)/Links!CM96)-Links!AT96)+(ATM_Conf!$C$5/Links!AE$191)*Links!AT96*(Nodes!BN96-Links!AT96)</f>
        <v>#DIV/0!</v>
      </c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45">
        <f t="shared" si="54"/>
        <v>0</v>
      </c>
      <c r="CO97" s="45">
        <f t="shared" si="54"/>
        <v>0</v>
      </c>
      <c r="CP97" s="45">
        <f t="shared" si="54"/>
        <v>0</v>
      </c>
      <c r="CQ97" s="45">
        <f t="shared" si="54"/>
        <v>0</v>
      </c>
      <c r="CR97" s="45">
        <f t="shared" si="54"/>
        <v>0</v>
      </c>
      <c r="CS97" s="45">
        <f t="shared" si="54"/>
        <v>0</v>
      </c>
      <c r="CT97" s="45">
        <f t="shared" si="54"/>
        <v>0</v>
      </c>
      <c r="CU97" s="45">
        <f t="shared" si="54"/>
        <v>0</v>
      </c>
      <c r="CV97" s="45">
        <f t="shared" si="54"/>
        <v>0</v>
      </c>
      <c r="CW97" s="45">
        <f t="shared" si="54"/>
        <v>0</v>
      </c>
      <c r="CX97" s="45">
        <f t="shared" si="54"/>
        <v>0</v>
      </c>
      <c r="CY97" s="45">
        <f t="shared" si="54"/>
        <v>0</v>
      </c>
      <c r="CZ97" s="45">
        <f t="shared" si="54"/>
        <v>0</v>
      </c>
      <c r="DA97" s="45">
        <f t="shared" si="54"/>
        <v>0</v>
      </c>
      <c r="DB97" s="45">
        <f t="shared" si="54"/>
        <v>0</v>
      </c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</row>
    <row r="98" spans="1:121" ht="14.25" x14ac:dyDescent="0.15">
      <c r="A98" s="48">
        <v>96</v>
      </c>
      <c r="B98" s="45" t="e">
        <f t="shared" si="34"/>
        <v>#DIV/0!</v>
      </c>
      <c r="C98" s="45" t="e">
        <f t="shared" si="35"/>
        <v>#DIV/0!</v>
      </c>
      <c r="D98" s="45" t="e">
        <f t="shared" si="36"/>
        <v>#DIV/0!</v>
      </c>
      <c r="E98" s="45" t="e">
        <f t="shared" si="37"/>
        <v>#DIV/0!</v>
      </c>
      <c r="F98" s="45" t="e">
        <f t="shared" si="38"/>
        <v>#DIV/0!</v>
      </c>
      <c r="G98" s="45" t="e">
        <f t="shared" si="39"/>
        <v>#DIV/0!</v>
      </c>
      <c r="H98" s="45" t="e">
        <f t="shared" si="40"/>
        <v>#DIV/0!</v>
      </c>
      <c r="I98" s="45" t="e">
        <f t="shared" si="41"/>
        <v>#DIV/0!</v>
      </c>
      <c r="J98" s="45" t="e">
        <f t="shared" si="42"/>
        <v>#DIV/0!</v>
      </c>
      <c r="K98" s="45" t="e">
        <f t="shared" si="43"/>
        <v>#DIV/0!</v>
      </c>
      <c r="L98" s="45" t="e">
        <f t="shared" si="44"/>
        <v>#DIV/0!</v>
      </c>
      <c r="M98" s="45" t="e">
        <f t="shared" si="45"/>
        <v>#DIV/0!</v>
      </c>
      <c r="N98" s="45" t="e">
        <f t="shared" si="46"/>
        <v>#DIV/0!</v>
      </c>
      <c r="O98" s="45" t="e">
        <f t="shared" si="47"/>
        <v>#DIV/0!</v>
      </c>
      <c r="P98" s="45" t="e">
        <f t="shared" si="48"/>
        <v>#DIV/0!</v>
      </c>
      <c r="Q98" s="55" t="e">
        <f>Q97+ATM_Conf!$C$5*(B97)/(Links!B$191*Links!Q$191)</f>
        <v>#DIV/0!</v>
      </c>
      <c r="R98" s="55" t="e">
        <f>R97+ATM_Conf!$C$5*(C97-B97)/(Links!C$191*Links!R$191)</f>
        <v>#DIV/0!</v>
      </c>
      <c r="S98" s="55" t="e">
        <f>S97+ATM_Conf!$C$5*(D97-C97)/(Links!D$191*Links!S$191)</f>
        <v>#DIV/0!</v>
      </c>
      <c r="T98" s="55" t="e">
        <f>T97+ATM_Conf!$C$5*(E97-D97)/(Links!E$191*Links!T$191)</f>
        <v>#DIV/0!</v>
      </c>
      <c r="U98" s="55" t="e">
        <f>U97+ATM_Conf!$C$5*(F97-E97)/(Links!F$191*Links!U$191)</f>
        <v>#DIV/0!</v>
      </c>
      <c r="V98" s="55" t="e">
        <f>V97+ATM_Conf!$C$5*(G97-F97)/(Links!G$191*Links!V$191)</f>
        <v>#DIV/0!</v>
      </c>
      <c r="W98" s="55" t="e">
        <f>W97+ATM_Conf!$C$5*(H97-G97)/(Links!H$191*Links!W$191)</f>
        <v>#DIV/0!</v>
      </c>
      <c r="X98" s="55" t="e">
        <f>X97+ATM_Conf!$C$5*(I97-H97)/(Links!I$191*Links!X$191)</f>
        <v>#DIV/0!</v>
      </c>
      <c r="Y98" s="55" t="e">
        <f>Y97+ATM_Conf!$C$5*(J97)/(Links!J$191*Links!Y$191)</f>
        <v>#DIV/0!</v>
      </c>
      <c r="Z98" s="55" t="e">
        <f>Z97+ATM_Conf!$C$5*(K97-J97)/(Links!K$191*Links!Z$191)</f>
        <v>#DIV/0!</v>
      </c>
      <c r="AA98" s="55" t="e">
        <f>AA97+ATM_Conf!$C$5*(L97-K97)/(Links!L$191*Links!AA$191)</f>
        <v>#DIV/0!</v>
      </c>
      <c r="AB98" s="55" t="e">
        <f>AB97+ATM_Conf!$C$5*(M97-L97)/(Links!M$191*Links!AB$191)</f>
        <v>#DIV/0!</v>
      </c>
      <c r="AC98" s="55" t="e">
        <f>AC97+ATM_Conf!$C$5*(N97-M97)/(Links!N$191*Links!AC$191)</f>
        <v>#DIV/0!</v>
      </c>
      <c r="AD98" s="55" t="e">
        <f>AD97+ATM_Conf!$C$5*(O97-N97)/(Links!O$191*Links!AD$191)</f>
        <v>#DIV/0!</v>
      </c>
      <c r="AE98" s="55" t="e">
        <f>AE97+ATM_Conf!$C$5*(P97-O97)/(Links!P$191*Links!AE$191)</f>
        <v>#DIV/0!</v>
      </c>
      <c r="AF98" s="45" t="e">
        <f>AF97+(ATM_Conf!$C$5/ATM_Conf!$C$8)*(Links!AU97*EXP((-(Links!Q97/Links!BJ97)^Links!BY97)/Links!BY97)-Links!AF97)-(ATM_Conf!$C$9*ATM_Conf!$C$5/(ATM_Conf!$C$8*Links!Q$191))*(Nodes!BO97-Links!Q97)/(Links!Q97/ATM_Conf!$C$10)</f>
        <v>#DIV/0!</v>
      </c>
      <c r="AG98" s="45" t="e">
        <f>AG97+(ATM_Conf!$C$5/ATM_Conf!$C$8)*(Links!AV97*EXP((-(Links!R97/Links!BK97)^Links!BZ97)/Links!BZ97)-Links!AG97)+(ATM_Conf!$C$5/Links!R$191)*Links!AG97*(Nodes!BB97-Links!AG97)-(ATM_Conf!$C$9*ATM_Conf!$C$5/(ATM_Conf!$C$8*Links!R$191))*(Nodes!BP97-Links!R97)/(Links!R97/ATM_Conf!$C$10)</f>
        <v>#DIV/0!</v>
      </c>
      <c r="AH98" s="45" t="e">
        <f>AH97+(ATM_Conf!$C$5/ATM_Conf!$C$8)*(Links!AW97*EXP((-(Links!S97/Links!BL97)^Links!CA97)/Links!CA97)-Links!AH97)+(ATM_Conf!$C$5/Links!S$191)*Links!AH97*(Nodes!BC97-Links!AH97)-(ATM_Conf!$C$9*ATM_Conf!$C$5/(ATM_Conf!$C$8*Links!S$191))*(Nodes!BQ97-Links!S97)/(Links!S97/ATM_Conf!$C$10)</f>
        <v>#DIV/0!</v>
      </c>
      <c r="AI98" s="45" t="e">
        <f>AI97+(ATM_Conf!$C$5/ATM_Conf!$C$8)*(Links!AX97*EXP((-(Links!T97/Links!BM97)^Links!CB97)/Links!CB97)-Links!AI97)+(ATM_Conf!$C$5/Links!T$191)*Links!AI97*(Nodes!BD97-Links!AI97)-(ATM_Conf!$C$9*ATM_Conf!$C$5/(ATM_Conf!$C$8*Links!T$191))*(Nodes!BR97-Links!T97)/(Links!T97/ATM_Conf!$C$10)</f>
        <v>#DIV/0!</v>
      </c>
      <c r="AJ98" s="45" t="e">
        <f>AJ97+(ATM_Conf!$C$5/ATM_Conf!$C$8)*(Links!AY97*EXP((-(Links!U97/Links!BN97)^Links!CC97)/Links!CC97)-Links!AJ97)+(ATM_Conf!$C$5/Links!U$191)*Links!AJ97*(Nodes!BE97-Links!AJ97)-(ATM_Conf!$C$9*ATM_Conf!$C$5/(ATM_Conf!$C$8*Links!U$191))*(Nodes!BS97-Links!U97)/(Links!U97/ATM_Conf!$C$10)</f>
        <v>#DIV/0!</v>
      </c>
      <c r="AK98" s="45" t="e">
        <f>AK97+(ATM_Conf!$C$5/ATM_Conf!$C$8)*(Links!AZ97*EXP((-(Links!V97/Links!BO97)^Links!CD97)/Links!CD97)-Links!AK97)+(ATM_Conf!$C$5/Links!V$191)*Links!AK97*(Nodes!BF97-Links!AK97)-(ATM_Conf!$C$9*ATM_Conf!$C$5/(ATM_Conf!$C$8*Links!V$191))*(Nodes!BT97-Links!V97)/(Links!V97/ATM_Conf!$C$10)</f>
        <v>#DIV/0!</v>
      </c>
      <c r="AL98" s="45" t="e">
        <f>AL97+(ATM_Conf!$C$5/ATM_Conf!$C$8)*(Links!BA97*EXP((-(Links!W97/Links!BP97)^Links!CE97)/Links!CE97)-Links!AL97)+(ATM_Conf!$C$5/Links!W$191)*Links!AL97*(Nodes!BG97-Links!AL97)-(ATM_Conf!$C$9*ATM_Conf!$C$5/(ATM_Conf!$C$8*Links!W$191))*(Nodes!BU97-Links!W97)/(Links!W97/ATM_Conf!$C$10)</f>
        <v>#DIV/0!</v>
      </c>
      <c r="AM98" s="45" t="e">
        <f>AM97+(ATM_Conf!$C$5/ATM_Conf!$C$8)*(Links!BB97*EXP((-(Links!X97/Links!BQ97)^Links!CF97)/Links!CF97)-Links!AM97)+(ATM_Conf!$C$5/Links!X$191)*Links!AM97*(Nodes!BH97-Links!AM97)</f>
        <v>#DIV/0!</v>
      </c>
      <c r="AN98" s="45" t="e">
        <f>AN97+(ATM_Conf!$C$5/ATM_Conf!$C$8)*(Links!BC97*EXP((-(Links!Y97/Links!BR97)^Links!CG97)/Links!CG97)-Links!AN97)-(ATM_Conf!$C$9*ATM_Conf!$C$5/(ATM_Conf!$C$8*Links!Y$191))*(Nodes!BV97-Links!Y97)/(Links!Y97/ATM_Conf!$C$10)</f>
        <v>#DIV/0!</v>
      </c>
      <c r="AO98" s="45" t="e">
        <f>AO97+(ATM_Conf!$C$5/ATM_Conf!$C$8)*(Links!BD97*EXP((-(Links!Z97/Links!BS97)^Links!CH97)/Links!CH97)-Links!AO97)+(ATM_Conf!$C$5/Links!Z$191)*Links!AO97*(Nodes!BI97-Links!AO97)-(ATM_Conf!$C$9*ATM_Conf!$C$5/(ATM_Conf!$C$8*Links!Z$191))*(Nodes!BW97-Links!Z97)/(Links!Z97/ATM_Conf!$C$10)</f>
        <v>#DIV/0!</v>
      </c>
      <c r="AP98" s="45" t="e">
        <f>AP97+(ATM_Conf!$C$5/ATM_Conf!$C$8)*(Links!BE97*EXP((-(Links!AA97/Links!BT97)^Links!CI97)/Links!CI97)-Links!AP97)+(ATM_Conf!$C$5/Links!AA$191)*Links!AP97*(Nodes!BJ97-Links!AP97)-(ATM_Conf!$C$9*ATM_Conf!$C$5/(ATM_Conf!$C$8*Links!AA$191))*(Nodes!BX97-Links!AA97)/(Links!AA97/ATM_Conf!$C$10)</f>
        <v>#DIV/0!</v>
      </c>
      <c r="AQ98" s="45" t="e">
        <f>AQ97+(ATM_Conf!$C$5/ATM_Conf!$C$8)*(Links!BF97*EXP((-(Links!AB97/Links!BU97)^Links!CJ97)/Links!CJ97)-Links!AQ97)+(ATM_Conf!$C$5/Links!AB$191)*Links!AQ97*(Nodes!BK97-Links!AQ97)-(ATM_Conf!$C$9*ATM_Conf!$C$5/(ATM_Conf!$C$8*Links!AB$191))*(Nodes!BY97-Links!AB97)/(Links!AB97/ATM_Conf!$C$10)</f>
        <v>#DIV/0!</v>
      </c>
      <c r="AR98" s="45" t="e">
        <f>AR97+(ATM_Conf!$C$5/ATM_Conf!$C$8)*(Links!BG97*EXP((-(Links!AC97/Links!BV97)^Links!CK97)/Links!CK97)-Links!AR97)+(ATM_Conf!$C$5/Links!AC$191)*Links!AR97*(Nodes!BL97-Links!AR97)-(ATM_Conf!$C$9*ATM_Conf!$C$5/(ATM_Conf!$C$8*Links!AC$191))*(Nodes!BZ97-Links!AC97)/(Links!AC97/ATM_Conf!$C$10)</f>
        <v>#DIV/0!</v>
      </c>
      <c r="AS98" s="45" t="e">
        <f>AS97+(ATM_Conf!$C$5/ATM_Conf!$C$8)*(Links!BH97*EXP((-(Links!AD97/Links!BW97)^Links!CL97)/Links!CL97)-Links!AS97)+(ATM_Conf!$C$5/Links!AD$191)*Links!AS97*(Nodes!BM97-Links!AS97)-(ATM_Conf!$C$9*ATM_Conf!$C$5/(ATM_Conf!$C$8*Links!AD$191))*(Nodes!CA97-Links!AD97)/(Links!AD97/ATM_Conf!$C$10)</f>
        <v>#DIV/0!</v>
      </c>
      <c r="AT98" s="45" t="e">
        <f>AT97+(ATM_Conf!$C$5/ATM_Conf!$C$8)*(Links!BI97*EXP((-(Links!AE97/Links!BX97)^Links!CM97)/Links!CM97)-Links!AT97)+(ATM_Conf!$C$5/Links!AE$191)*Links!AT97*(Nodes!BN97-Links!AT97)</f>
        <v>#DIV/0!</v>
      </c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45"/>
      <c r="BK98" s="45"/>
      <c r="BL98" s="45"/>
      <c r="BM98" s="45"/>
      <c r="BN98" s="45"/>
      <c r="BO98" s="45"/>
      <c r="BP98" s="45"/>
      <c r="BQ98" s="45"/>
      <c r="BR98" s="45"/>
      <c r="BS98" s="45"/>
      <c r="BT98" s="45"/>
      <c r="BU98" s="45"/>
      <c r="BV98" s="45"/>
      <c r="BW98" s="45"/>
      <c r="BX98" s="45"/>
      <c r="BY98" s="55"/>
      <c r="BZ98" s="55"/>
      <c r="CA98" s="55"/>
      <c r="CB98" s="55"/>
      <c r="CC98" s="55"/>
      <c r="CD98" s="55"/>
      <c r="CE98" s="55"/>
      <c r="CF98" s="55"/>
      <c r="CG98" s="55"/>
      <c r="CH98" s="55"/>
      <c r="CI98" s="55"/>
      <c r="CJ98" s="55"/>
      <c r="CK98" s="55"/>
      <c r="CL98" s="55"/>
      <c r="CM98" s="55"/>
      <c r="CN98" s="45">
        <f t="shared" si="54"/>
        <v>0</v>
      </c>
      <c r="CO98" s="45">
        <f t="shared" si="54"/>
        <v>0</v>
      </c>
      <c r="CP98" s="45">
        <f t="shared" si="54"/>
        <v>0</v>
      </c>
      <c r="CQ98" s="45">
        <f t="shared" si="54"/>
        <v>0</v>
      </c>
      <c r="CR98" s="45">
        <f t="shared" si="54"/>
        <v>0</v>
      </c>
      <c r="CS98" s="45">
        <f t="shared" si="54"/>
        <v>0</v>
      </c>
      <c r="CT98" s="45">
        <f t="shared" si="54"/>
        <v>0</v>
      </c>
      <c r="CU98" s="45">
        <f t="shared" si="54"/>
        <v>0</v>
      </c>
      <c r="CV98" s="45">
        <f t="shared" si="54"/>
        <v>0</v>
      </c>
      <c r="CW98" s="45">
        <f t="shared" si="54"/>
        <v>0</v>
      </c>
      <c r="CX98" s="45">
        <f t="shared" si="54"/>
        <v>0</v>
      </c>
      <c r="CY98" s="45">
        <f t="shared" si="54"/>
        <v>0</v>
      </c>
      <c r="CZ98" s="45">
        <f t="shared" si="54"/>
        <v>0</v>
      </c>
      <c r="DA98" s="45">
        <f t="shared" si="54"/>
        <v>0</v>
      </c>
      <c r="DB98" s="45">
        <f t="shared" si="54"/>
        <v>0</v>
      </c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</row>
    <row r="99" spans="1:121" ht="14.25" x14ac:dyDescent="0.15">
      <c r="A99" s="48">
        <v>97</v>
      </c>
      <c r="B99" s="45" t="e">
        <f t="shared" si="34"/>
        <v>#DIV/0!</v>
      </c>
      <c r="C99" s="45" t="e">
        <f t="shared" si="35"/>
        <v>#DIV/0!</v>
      </c>
      <c r="D99" s="45" t="e">
        <f t="shared" si="36"/>
        <v>#DIV/0!</v>
      </c>
      <c r="E99" s="45" t="e">
        <f t="shared" si="37"/>
        <v>#DIV/0!</v>
      </c>
      <c r="F99" s="45" t="e">
        <f t="shared" si="38"/>
        <v>#DIV/0!</v>
      </c>
      <c r="G99" s="45" t="e">
        <f t="shared" si="39"/>
        <v>#DIV/0!</v>
      </c>
      <c r="H99" s="45" t="e">
        <f t="shared" si="40"/>
        <v>#DIV/0!</v>
      </c>
      <c r="I99" s="45" t="e">
        <f t="shared" si="41"/>
        <v>#DIV/0!</v>
      </c>
      <c r="J99" s="45" t="e">
        <f t="shared" si="42"/>
        <v>#DIV/0!</v>
      </c>
      <c r="K99" s="45" t="e">
        <f t="shared" si="43"/>
        <v>#DIV/0!</v>
      </c>
      <c r="L99" s="45" t="e">
        <f t="shared" si="44"/>
        <v>#DIV/0!</v>
      </c>
      <c r="M99" s="45" t="e">
        <f t="shared" si="45"/>
        <v>#DIV/0!</v>
      </c>
      <c r="N99" s="45" t="e">
        <f t="shared" si="46"/>
        <v>#DIV/0!</v>
      </c>
      <c r="O99" s="45" t="e">
        <f t="shared" si="47"/>
        <v>#DIV/0!</v>
      </c>
      <c r="P99" s="45" t="e">
        <f t="shared" si="48"/>
        <v>#DIV/0!</v>
      </c>
      <c r="Q99" s="55" t="e">
        <f>Q98+ATM_Conf!$C$5*(B98)/(Links!B$191*Links!Q$191)</f>
        <v>#DIV/0!</v>
      </c>
      <c r="R99" s="55" t="e">
        <f>R98+ATM_Conf!$C$5*(C98-B98)/(Links!C$191*Links!R$191)</f>
        <v>#DIV/0!</v>
      </c>
      <c r="S99" s="55" t="e">
        <f>S98+ATM_Conf!$C$5*(D98-C98)/(Links!D$191*Links!S$191)</f>
        <v>#DIV/0!</v>
      </c>
      <c r="T99" s="55" t="e">
        <f>T98+ATM_Conf!$C$5*(E98-D98)/(Links!E$191*Links!T$191)</f>
        <v>#DIV/0!</v>
      </c>
      <c r="U99" s="55" t="e">
        <f>U98+ATM_Conf!$C$5*(F98-E98)/(Links!F$191*Links!U$191)</f>
        <v>#DIV/0!</v>
      </c>
      <c r="V99" s="55" t="e">
        <f>V98+ATM_Conf!$C$5*(G98-F98)/(Links!G$191*Links!V$191)</f>
        <v>#DIV/0!</v>
      </c>
      <c r="W99" s="55" t="e">
        <f>W98+ATM_Conf!$C$5*(H98-G98)/(Links!H$191*Links!W$191)</f>
        <v>#DIV/0!</v>
      </c>
      <c r="X99" s="55" t="e">
        <f>X98+ATM_Conf!$C$5*(I98-H98)/(Links!I$191*Links!X$191)</f>
        <v>#DIV/0!</v>
      </c>
      <c r="Y99" s="55" t="e">
        <f>Y98+ATM_Conf!$C$5*(J98)/(Links!J$191*Links!Y$191)</f>
        <v>#DIV/0!</v>
      </c>
      <c r="Z99" s="55" t="e">
        <f>Z98+ATM_Conf!$C$5*(K98-J98)/(Links!K$191*Links!Z$191)</f>
        <v>#DIV/0!</v>
      </c>
      <c r="AA99" s="55" t="e">
        <f>AA98+ATM_Conf!$C$5*(L98-K98)/(Links!L$191*Links!AA$191)</f>
        <v>#DIV/0!</v>
      </c>
      <c r="AB99" s="55" t="e">
        <f>AB98+ATM_Conf!$C$5*(M98-L98)/(Links!M$191*Links!AB$191)</f>
        <v>#DIV/0!</v>
      </c>
      <c r="AC99" s="55" t="e">
        <f>AC98+ATM_Conf!$C$5*(N98-M98)/(Links!N$191*Links!AC$191)</f>
        <v>#DIV/0!</v>
      </c>
      <c r="AD99" s="55" t="e">
        <f>AD98+ATM_Conf!$C$5*(O98-N98)/(Links!O$191*Links!AD$191)</f>
        <v>#DIV/0!</v>
      </c>
      <c r="AE99" s="55" t="e">
        <f>AE98+ATM_Conf!$C$5*(P98-O98)/(Links!P$191*Links!AE$191)</f>
        <v>#DIV/0!</v>
      </c>
      <c r="AF99" s="45" t="e">
        <f>AF98+(ATM_Conf!$C$5/ATM_Conf!$C$8)*(Links!AU98*EXP((-(Links!Q98/Links!BJ98)^Links!BY98)/Links!BY98)-Links!AF98)-(ATM_Conf!$C$9*ATM_Conf!$C$5/(ATM_Conf!$C$8*Links!Q$191))*(Nodes!BO98-Links!Q98)/(Links!Q98/ATM_Conf!$C$10)</f>
        <v>#DIV/0!</v>
      </c>
      <c r="AG99" s="45" t="e">
        <f>AG98+(ATM_Conf!$C$5/ATM_Conf!$C$8)*(Links!AV98*EXP((-(Links!R98/Links!BK98)^Links!BZ98)/Links!BZ98)-Links!AG98)+(ATM_Conf!$C$5/Links!R$191)*Links!AG98*(Nodes!BB98-Links!AG98)-(ATM_Conf!$C$9*ATM_Conf!$C$5/(ATM_Conf!$C$8*Links!R$191))*(Nodes!BP98-Links!R98)/(Links!R98/ATM_Conf!$C$10)</f>
        <v>#DIV/0!</v>
      </c>
      <c r="AH99" s="45" t="e">
        <f>AH98+(ATM_Conf!$C$5/ATM_Conf!$C$8)*(Links!AW98*EXP((-(Links!S98/Links!BL98)^Links!CA98)/Links!CA98)-Links!AH98)+(ATM_Conf!$C$5/Links!S$191)*Links!AH98*(Nodes!BC98-Links!AH98)-(ATM_Conf!$C$9*ATM_Conf!$C$5/(ATM_Conf!$C$8*Links!S$191))*(Nodes!BQ98-Links!S98)/(Links!S98/ATM_Conf!$C$10)</f>
        <v>#DIV/0!</v>
      </c>
      <c r="AI99" s="45" t="e">
        <f>AI98+(ATM_Conf!$C$5/ATM_Conf!$C$8)*(Links!AX98*EXP((-(Links!T98/Links!BM98)^Links!CB98)/Links!CB98)-Links!AI98)+(ATM_Conf!$C$5/Links!T$191)*Links!AI98*(Nodes!BD98-Links!AI98)-(ATM_Conf!$C$9*ATM_Conf!$C$5/(ATM_Conf!$C$8*Links!T$191))*(Nodes!BR98-Links!T98)/(Links!T98/ATM_Conf!$C$10)</f>
        <v>#DIV/0!</v>
      </c>
      <c r="AJ99" s="45" t="e">
        <f>AJ98+(ATM_Conf!$C$5/ATM_Conf!$C$8)*(Links!AY98*EXP((-(Links!U98/Links!BN98)^Links!CC98)/Links!CC98)-Links!AJ98)+(ATM_Conf!$C$5/Links!U$191)*Links!AJ98*(Nodes!BE98-Links!AJ98)-(ATM_Conf!$C$9*ATM_Conf!$C$5/(ATM_Conf!$C$8*Links!U$191))*(Nodes!BS98-Links!U98)/(Links!U98/ATM_Conf!$C$10)</f>
        <v>#DIV/0!</v>
      </c>
      <c r="AK99" s="45" t="e">
        <f>AK98+(ATM_Conf!$C$5/ATM_Conf!$C$8)*(Links!AZ98*EXP((-(Links!V98/Links!BO98)^Links!CD98)/Links!CD98)-Links!AK98)+(ATM_Conf!$C$5/Links!V$191)*Links!AK98*(Nodes!BF98-Links!AK98)-(ATM_Conf!$C$9*ATM_Conf!$C$5/(ATM_Conf!$C$8*Links!V$191))*(Nodes!BT98-Links!V98)/(Links!V98/ATM_Conf!$C$10)</f>
        <v>#DIV/0!</v>
      </c>
      <c r="AL99" s="45" t="e">
        <f>AL98+(ATM_Conf!$C$5/ATM_Conf!$C$8)*(Links!BA98*EXP((-(Links!W98/Links!BP98)^Links!CE98)/Links!CE98)-Links!AL98)+(ATM_Conf!$C$5/Links!W$191)*Links!AL98*(Nodes!BG98-Links!AL98)-(ATM_Conf!$C$9*ATM_Conf!$C$5/(ATM_Conf!$C$8*Links!W$191))*(Nodes!BU98-Links!W98)/(Links!W98/ATM_Conf!$C$10)</f>
        <v>#DIV/0!</v>
      </c>
      <c r="AM99" s="45" t="e">
        <f>AM98+(ATM_Conf!$C$5/ATM_Conf!$C$8)*(Links!BB98*EXP((-(Links!X98/Links!BQ98)^Links!CF98)/Links!CF98)-Links!AM98)+(ATM_Conf!$C$5/Links!X$191)*Links!AM98*(Nodes!BH98-Links!AM98)</f>
        <v>#DIV/0!</v>
      </c>
      <c r="AN99" s="45" t="e">
        <f>AN98+(ATM_Conf!$C$5/ATM_Conf!$C$8)*(Links!BC98*EXP((-(Links!Y98/Links!BR98)^Links!CG98)/Links!CG98)-Links!AN98)-(ATM_Conf!$C$9*ATM_Conf!$C$5/(ATM_Conf!$C$8*Links!Y$191))*(Nodes!BV98-Links!Y98)/(Links!Y98/ATM_Conf!$C$10)</f>
        <v>#DIV/0!</v>
      </c>
      <c r="AO99" s="45" t="e">
        <f>AO98+(ATM_Conf!$C$5/ATM_Conf!$C$8)*(Links!BD98*EXP((-(Links!Z98/Links!BS98)^Links!CH98)/Links!CH98)-Links!AO98)+(ATM_Conf!$C$5/Links!Z$191)*Links!AO98*(Nodes!BI98-Links!AO98)-(ATM_Conf!$C$9*ATM_Conf!$C$5/(ATM_Conf!$C$8*Links!Z$191))*(Nodes!BW98-Links!Z98)/(Links!Z98/ATM_Conf!$C$10)</f>
        <v>#DIV/0!</v>
      </c>
      <c r="AP99" s="45" t="e">
        <f>AP98+(ATM_Conf!$C$5/ATM_Conf!$C$8)*(Links!BE98*EXP((-(Links!AA98/Links!BT98)^Links!CI98)/Links!CI98)-Links!AP98)+(ATM_Conf!$C$5/Links!AA$191)*Links!AP98*(Nodes!BJ98-Links!AP98)-(ATM_Conf!$C$9*ATM_Conf!$C$5/(ATM_Conf!$C$8*Links!AA$191))*(Nodes!BX98-Links!AA98)/(Links!AA98/ATM_Conf!$C$10)</f>
        <v>#DIV/0!</v>
      </c>
      <c r="AQ99" s="45" t="e">
        <f>AQ98+(ATM_Conf!$C$5/ATM_Conf!$C$8)*(Links!BF98*EXP((-(Links!AB98/Links!BU98)^Links!CJ98)/Links!CJ98)-Links!AQ98)+(ATM_Conf!$C$5/Links!AB$191)*Links!AQ98*(Nodes!BK98-Links!AQ98)-(ATM_Conf!$C$9*ATM_Conf!$C$5/(ATM_Conf!$C$8*Links!AB$191))*(Nodes!BY98-Links!AB98)/(Links!AB98/ATM_Conf!$C$10)</f>
        <v>#DIV/0!</v>
      </c>
      <c r="AR99" s="45" t="e">
        <f>AR98+(ATM_Conf!$C$5/ATM_Conf!$C$8)*(Links!BG98*EXP((-(Links!AC98/Links!BV98)^Links!CK98)/Links!CK98)-Links!AR98)+(ATM_Conf!$C$5/Links!AC$191)*Links!AR98*(Nodes!BL98-Links!AR98)-(ATM_Conf!$C$9*ATM_Conf!$C$5/(ATM_Conf!$C$8*Links!AC$191))*(Nodes!BZ98-Links!AC98)/(Links!AC98/ATM_Conf!$C$10)</f>
        <v>#DIV/0!</v>
      </c>
      <c r="AS99" s="45" t="e">
        <f>AS98+(ATM_Conf!$C$5/ATM_Conf!$C$8)*(Links!BH98*EXP((-(Links!AD98/Links!BW98)^Links!CL98)/Links!CL98)-Links!AS98)+(ATM_Conf!$C$5/Links!AD$191)*Links!AS98*(Nodes!BM98-Links!AS98)-(ATM_Conf!$C$9*ATM_Conf!$C$5/(ATM_Conf!$C$8*Links!AD$191))*(Nodes!CA98-Links!AD98)/(Links!AD98/ATM_Conf!$C$10)</f>
        <v>#DIV/0!</v>
      </c>
      <c r="AT99" s="45" t="e">
        <f>AT98+(ATM_Conf!$C$5/ATM_Conf!$C$8)*(Links!BI98*EXP((-(Links!AE98/Links!BX98)^Links!CM98)/Links!CM98)-Links!AT98)+(ATM_Conf!$C$5/Links!AE$191)*Links!AT98*(Nodes!BN98-Links!AT98)</f>
        <v>#DIV/0!</v>
      </c>
      <c r="AU99" s="55"/>
      <c r="AV99" s="55"/>
      <c r="AW99" s="55"/>
      <c r="AX99" s="55"/>
      <c r="AY99" s="55"/>
      <c r="AZ99" s="55"/>
      <c r="BA99" s="55"/>
      <c r="BB99" s="55"/>
      <c r="BC99" s="55"/>
      <c r="BD99" s="55"/>
      <c r="BE99" s="55"/>
      <c r="BF99" s="55"/>
      <c r="BG99" s="55"/>
      <c r="BH99" s="55"/>
      <c r="BI99" s="5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55"/>
      <c r="BZ99" s="55"/>
      <c r="CA99" s="55"/>
      <c r="CB99" s="55"/>
      <c r="CC99" s="55"/>
      <c r="CD99" s="55"/>
      <c r="CE99" s="55"/>
      <c r="CF99" s="55"/>
      <c r="CG99" s="55"/>
      <c r="CH99" s="55"/>
      <c r="CI99" s="55"/>
      <c r="CJ99" s="55"/>
      <c r="CK99" s="55"/>
      <c r="CL99" s="55"/>
      <c r="CM99" s="55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53">
        <f>(CN99-CN87)^2</f>
        <v>0</v>
      </c>
      <c r="DD99" s="53">
        <f t="shared" ref="DD99:DQ99" si="55">(CO99-CO87)^2</f>
        <v>0</v>
      </c>
      <c r="DE99" s="53">
        <f t="shared" si="55"/>
        <v>0</v>
      </c>
      <c r="DF99" s="53">
        <f t="shared" si="55"/>
        <v>0</v>
      </c>
      <c r="DG99" s="53">
        <f t="shared" si="55"/>
        <v>0</v>
      </c>
      <c r="DH99" s="53">
        <f t="shared" si="55"/>
        <v>0</v>
      </c>
      <c r="DI99" s="53">
        <f t="shared" si="55"/>
        <v>0</v>
      </c>
      <c r="DJ99" s="53">
        <f t="shared" si="55"/>
        <v>0</v>
      </c>
      <c r="DK99" s="53">
        <f t="shared" si="55"/>
        <v>0</v>
      </c>
      <c r="DL99" s="53">
        <f t="shared" si="55"/>
        <v>0</v>
      </c>
      <c r="DM99" s="53">
        <f t="shared" si="55"/>
        <v>0</v>
      </c>
      <c r="DN99" s="53">
        <f t="shared" si="55"/>
        <v>0</v>
      </c>
      <c r="DO99" s="53">
        <f t="shared" si="55"/>
        <v>0</v>
      </c>
      <c r="DP99" s="53">
        <f t="shared" si="55"/>
        <v>0</v>
      </c>
      <c r="DQ99" s="53">
        <f t="shared" si="55"/>
        <v>0</v>
      </c>
    </row>
    <row r="100" spans="1:121" ht="14.25" x14ac:dyDescent="0.15">
      <c r="A100" s="48">
        <v>98</v>
      </c>
      <c r="B100" s="45" t="e">
        <f t="shared" si="34"/>
        <v>#DIV/0!</v>
      </c>
      <c r="C100" s="45" t="e">
        <f t="shared" si="35"/>
        <v>#DIV/0!</v>
      </c>
      <c r="D100" s="45" t="e">
        <f t="shared" si="36"/>
        <v>#DIV/0!</v>
      </c>
      <c r="E100" s="45" t="e">
        <f t="shared" si="37"/>
        <v>#DIV/0!</v>
      </c>
      <c r="F100" s="45" t="e">
        <f t="shared" si="38"/>
        <v>#DIV/0!</v>
      </c>
      <c r="G100" s="45" t="e">
        <f t="shared" si="39"/>
        <v>#DIV/0!</v>
      </c>
      <c r="H100" s="45" t="e">
        <f t="shared" si="40"/>
        <v>#DIV/0!</v>
      </c>
      <c r="I100" s="45" t="e">
        <f t="shared" si="41"/>
        <v>#DIV/0!</v>
      </c>
      <c r="J100" s="45" t="e">
        <f t="shared" si="42"/>
        <v>#DIV/0!</v>
      </c>
      <c r="K100" s="45" t="e">
        <f t="shared" si="43"/>
        <v>#DIV/0!</v>
      </c>
      <c r="L100" s="45" t="e">
        <f t="shared" si="44"/>
        <v>#DIV/0!</v>
      </c>
      <c r="M100" s="45" t="e">
        <f t="shared" si="45"/>
        <v>#DIV/0!</v>
      </c>
      <c r="N100" s="45" t="e">
        <f t="shared" si="46"/>
        <v>#DIV/0!</v>
      </c>
      <c r="O100" s="45" t="e">
        <f t="shared" si="47"/>
        <v>#DIV/0!</v>
      </c>
      <c r="P100" s="45" t="e">
        <f t="shared" si="48"/>
        <v>#DIV/0!</v>
      </c>
      <c r="Q100" s="55" t="e">
        <f>Q99+ATM_Conf!$C$5*(B99)/(Links!B$191*Links!Q$191)</f>
        <v>#DIV/0!</v>
      </c>
      <c r="R100" s="55" t="e">
        <f>R99+ATM_Conf!$C$5*(C99-B99)/(Links!C$191*Links!R$191)</f>
        <v>#DIV/0!</v>
      </c>
      <c r="S100" s="55" t="e">
        <f>S99+ATM_Conf!$C$5*(D99-C99)/(Links!D$191*Links!S$191)</f>
        <v>#DIV/0!</v>
      </c>
      <c r="T100" s="55" t="e">
        <f>T99+ATM_Conf!$C$5*(E99-D99)/(Links!E$191*Links!T$191)</f>
        <v>#DIV/0!</v>
      </c>
      <c r="U100" s="55" t="e">
        <f>U99+ATM_Conf!$C$5*(F99-E99)/(Links!F$191*Links!U$191)</f>
        <v>#DIV/0!</v>
      </c>
      <c r="V100" s="55" t="e">
        <f>V99+ATM_Conf!$C$5*(G99-F99)/(Links!G$191*Links!V$191)</f>
        <v>#DIV/0!</v>
      </c>
      <c r="W100" s="55" t="e">
        <f>W99+ATM_Conf!$C$5*(H99-G99)/(Links!H$191*Links!W$191)</f>
        <v>#DIV/0!</v>
      </c>
      <c r="X100" s="55" t="e">
        <f>X99+ATM_Conf!$C$5*(I99-H99)/(Links!I$191*Links!X$191)</f>
        <v>#DIV/0!</v>
      </c>
      <c r="Y100" s="55" t="e">
        <f>Y99+ATM_Conf!$C$5*(J99)/(Links!J$191*Links!Y$191)</f>
        <v>#DIV/0!</v>
      </c>
      <c r="Z100" s="55" t="e">
        <f>Z99+ATM_Conf!$C$5*(K99-J99)/(Links!K$191*Links!Z$191)</f>
        <v>#DIV/0!</v>
      </c>
      <c r="AA100" s="55" t="e">
        <f>AA99+ATM_Conf!$C$5*(L99-K99)/(Links!L$191*Links!AA$191)</f>
        <v>#DIV/0!</v>
      </c>
      <c r="AB100" s="55" t="e">
        <f>AB99+ATM_Conf!$C$5*(M99-L99)/(Links!M$191*Links!AB$191)</f>
        <v>#DIV/0!</v>
      </c>
      <c r="AC100" s="55" t="e">
        <f>AC99+ATM_Conf!$C$5*(N99-M99)/(Links!N$191*Links!AC$191)</f>
        <v>#DIV/0!</v>
      </c>
      <c r="AD100" s="55" t="e">
        <f>AD99+ATM_Conf!$C$5*(O99-N99)/(Links!O$191*Links!AD$191)</f>
        <v>#DIV/0!</v>
      </c>
      <c r="AE100" s="55" t="e">
        <f>AE99+ATM_Conf!$C$5*(P99-O99)/(Links!P$191*Links!AE$191)</f>
        <v>#DIV/0!</v>
      </c>
      <c r="AF100" s="45" t="e">
        <f>AF99+(ATM_Conf!$C$5/ATM_Conf!$C$8)*(Links!AU99*EXP((-(Links!Q99/Links!BJ99)^Links!BY99)/Links!BY99)-Links!AF99)-(ATM_Conf!$C$9*ATM_Conf!$C$5/(ATM_Conf!$C$8*Links!Q$191))*(Nodes!BO99-Links!Q99)/(Links!Q99/ATM_Conf!$C$10)</f>
        <v>#DIV/0!</v>
      </c>
      <c r="AG100" s="45" t="e">
        <f>AG99+(ATM_Conf!$C$5/ATM_Conf!$C$8)*(Links!AV99*EXP((-(Links!R99/Links!BK99)^Links!BZ99)/Links!BZ99)-Links!AG99)+(ATM_Conf!$C$5/Links!R$191)*Links!AG99*(Nodes!BB99-Links!AG99)-(ATM_Conf!$C$9*ATM_Conf!$C$5/(ATM_Conf!$C$8*Links!R$191))*(Nodes!BP99-Links!R99)/(Links!R99/ATM_Conf!$C$10)</f>
        <v>#DIV/0!</v>
      </c>
      <c r="AH100" s="45" t="e">
        <f>AH99+(ATM_Conf!$C$5/ATM_Conf!$C$8)*(Links!AW99*EXP((-(Links!S99/Links!BL99)^Links!CA99)/Links!CA99)-Links!AH99)+(ATM_Conf!$C$5/Links!S$191)*Links!AH99*(Nodes!BC99-Links!AH99)-(ATM_Conf!$C$9*ATM_Conf!$C$5/(ATM_Conf!$C$8*Links!S$191))*(Nodes!BQ99-Links!S99)/(Links!S99/ATM_Conf!$C$10)</f>
        <v>#DIV/0!</v>
      </c>
      <c r="AI100" s="45" t="e">
        <f>AI99+(ATM_Conf!$C$5/ATM_Conf!$C$8)*(Links!AX99*EXP((-(Links!T99/Links!BM99)^Links!CB99)/Links!CB99)-Links!AI99)+(ATM_Conf!$C$5/Links!T$191)*Links!AI99*(Nodes!BD99-Links!AI99)-(ATM_Conf!$C$9*ATM_Conf!$C$5/(ATM_Conf!$C$8*Links!T$191))*(Nodes!BR99-Links!T99)/(Links!T99/ATM_Conf!$C$10)</f>
        <v>#DIV/0!</v>
      </c>
      <c r="AJ100" s="45" t="e">
        <f>AJ99+(ATM_Conf!$C$5/ATM_Conf!$C$8)*(Links!AY99*EXP((-(Links!U99/Links!BN99)^Links!CC99)/Links!CC99)-Links!AJ99)+(ATM_Conf!$C$5/Links!U$191)*Links!AJ99*(Nodes!BE99-Links!AJ99)-(ATM_Conf!$C$9*ATM_Conf!$C$5/(ATM_Conf!$C$8*Links!U$191))*(Nodes!BS99-Links!U99)/(Links!U99/ATM_Conf!$C$10)</f>
        <v>#DIV/0!</v>
      </c>
      <c r="AK100" s="45" t="e">
        <f>AK99+(ATM_Conf!$C$5/ATM_Conf!$C$8)*(Links!AZ99*EXP((-(Links!V99/Links!BO99)^Links!CD99)/Links!CD99)-Links!AK99)+(ATM_Conf!$C$5/Links!V$191)*Links!AK99*(Nodes!BF99-Links!AK99)-(ATM_Conf!$C$9*ATM_Conf!$C$5/(ATM_Conf!$C$8*Links!V$191))*(Nodes!BT99-Links!V99)/(Links!V99/ATM_Conf!$C$10)</f>
        <v>#DIV/0!</v>
      </c>
      <c r="AL100" s="45" t="e">
        <f>AL99+(ATM_Conf!$C$5/ATM_Conf!$C$8)*(Links!BA99*EXP((-(Links!W99/Links!BP99)^Links!CE99)/Links!CE99)-Links!AL99)+(ATM_Conf!$C$5/Links!W$191)*Links!AL99*(Nodes!BG99-Links!AL99)-(ATM_Conf!$C$9*ATM_Conf!$C$5/(ATM_Conf!$C$8*Links!W$191))*(Nodes!BU99-Links!W99)/(Links!W99/ATM_Conf!$C$10)</f>
        <v>#DIV/0!</v>
      </c>
      <c r="AM100" s="45" t="e">
        <f>AM99+(ATM_Conf!$C$5/ATM_Conf!$C$8)*(Links!BB99*EXP((-(Links!X99/Links!BQ99)^Links!CF99)/Links!CF99)-Links!AM99)+(ATM_Conf!$C$5/Links!X$191)*Links!AM99*(Nodes!BH99-Links!AM99)</f>
        <v>#DIV/0!</v>
      </c>
      <c r="AN100" s="45" t="e">
        <f>AN99+(ATM_Conf!$C$5/ATM_Conf!$C$8)*(Links!BC99*EXP((-(Links!Y99/Links!BR99)^Links!CG99)/Links!CG99)-Links!AN99)-(ATM_Conf!$C$9*ATM_Conf!$C$5/(ATM_Conf!$C$8*Links!Y$191))*(Nodes!BV99-Links!Y99)/(Links!Y99/ATM_Conf!$C$10)</f>
        <v>#DIV/0!</v>
      </c>
      <c r="AO100" s="45" t="e">
        <f>AO99+(ATM_Conf!$C$5/ATM_Conf!$C$8)*(Links!BD99*EXP((-(Links!Z99/Links!BS99)^Links!CH99)/Links!CH99)-Links!AO99)+(ATM_Conf!$C$5/Links!Z$191)*Links!AO99*(Nodes!BI99-Links!AO99)-(ATM_Conf!$C$9*ATM_Conf!$C$5/(ATM_Conf!$C$8*Links!Z$191))*(Nodes!BW99-Links!Z99)/(Links!Z99/ATM_Conf!$C$10)</f>
        <v>#DIV/0!</v>
      </c>
      <c r="AP100" s="45" t="e">
        <f>AP99+(ATM_Conf!$C$5/ATM_Conf!$C$8)*(Links!BE99*EXP((-(Links!AA99/Links!BT99)^Links!CI99)/Links!CI99)-Links!AP99)+(ATM_Conf!$C$5/Links!AA$191)*Links!AP99*(Nodes!BJ99-Links!AP99)-(ATM_Conf!$C$9*ATM_Conf!$C$5/(ATM_Conf!$C$8*Links!AA$191))*(Nodes!BX99-Links!AA99)/(Links!AA99/ATM_Conf!$C$10)</f>
        <v>#DIV/0!</v>
      </c>
      <c r="AQ100" s="45" t="e">
        <f>AQ99+(ATM_Conf!$C$5/ATM_Conf!$C$8)*(Links!BF99*EXP((-(Links!AB99/Links!BU99)^Links!CJ99)/Links!CJ99)-Links!AQ99)+(ATM_Conf!$C$5/Links!AB$191)*Links!AQ99*(Nodes!BK99-Links!AQ99)-(ATM_Conf!$C$9*ATM_Conf!$C$5/(ATM_Conf!$C$8*Links!AB$191))*(Nodes!BY99-Links!AB99)/(Links!AB99/ATM_Conf!$C$10)</f>
        <v>#DIV/0!</v>
      </c>
      <c r="AR100" s="45" t="e">
        <f>AR99+(ATM_Conf!$C$5/ATM_Conf!$C$8)*(Links!BG99*EXP((-(Links!AC99/Links!BV99)^Links!CK99)/Links!CK99)-Links!AR99)+(ATM_Conf!$C$5/Links!AC$191)*Links!AR99*(Nodes!BL99-Links!AR99)-(ATM_Conf!$C$9*ATM_Conf!$C$5/(ATM_Conf!$C$8*Links!AC$191))*(Nodes!BZ99-Links!AC99)/(Links!AC99/ATM_Conf!$C$10)</f>
        <v>#DIV/0!</v>
      </c>
      <c r="AS100" s="45" t="e">
        <f>AS99+(ATM_Conf!$C$5/ATM_Conf!$C$8)*(Links!BH99*EXP((-(Links!AD99/Links!BW99)^Links!CL99)/Links!CL99)-Links!AS99)+(ATM_Conf!$C$5/Links!AD$191)*Links!AS99*(Nodes!BM99-Links!AS99)-(ATM_Conf!$C$9*ATM_Conf!$C$5/(ATM_Conf!$C$8*Links!AD$191))*(Nodes!CA99-Links!AD99)/(Links!AD99/ATM_Conf!$C$10)</f>
        <v>#DIV/0!</v>
      </c>
      <c r="AT100" s="45" t="e">
        <f>AT99+(ATM_Conf!$C$5/ATM_Conf!$C$8)*(Links!BI99*EXP((-(Links!AE99/Links!BX99)^Links!CM99)/Links!CM99)-Links!AT99)+(ATM_Conf!$C$5/Links!AE$191)*Links!AT99*(Nodes!BN99-Links!AT99)</f>
        <v>#DIV/0!</v>
      </c>
      <c r="AU100" s="55"/>
      <c r="AV100" s="55"/>
      <c r="AW100" s="55"/>
      <c r="AX100" s="55"/>
      <c r="AY100" s="55"/>
      <c r="AZ100" s="55"/>
      <c r="BA100" s="55"/>
      <c r="BB100" s="55"/>
      <c r="BC100" s="55"/>
      <c r="BD100" s="55"/>
      <c r="BE100" s="55"/>
      <c r="BF100" s="55"/>
      <c r="BG100" s="55"/>
      <c r="BH100" s="55"/>
      <c r="BI100" s="55"/>
      <c r="BJ100" s="45"/>
      <c r="BK100" s="45"/>
      <c r="BL100" s="45"/>
      <c r="BM100" s="45"/>
      <c r="BN100" s="45"/>
      <c r="BO100" s="45"/>
      <c r="BP100" s="45"/>
      <c r="BQ100" s="45"/>
      <c r="BR100" s="45"/>
      <c r="BS100" s="45"/>
      <c r="BT100" s="45"/>
      <c r="BU100" s="45"/>
      <c r="BV100" s="45"/>
      <c r="BW100" s="45"/>
      <c r="BX100" s="45"/>
      <c r="BY100" s="55"/>
      <c r="BZ100" s="55"/>
      <c r="CA100" s="55"/>
      <c r="CB100" s="55"/>
      <c r="CC100" s="55"/>
      <c r="CD100" s="55"/>
      <c r="CE100" s="55"/>
      <c r="CF100" s="55"/>
      <c r="CG100" s="55"/>
      <c r="CH100" s="55"/>
      <c r="CI100" s="55"/>
      <c r="CJ100" s="55"/>
      <c r="CK100" s="55"/>
      <c r="CL100" s="55"/>
      <c r="CM100" s="55"/>
      <c r="CN100" s="45">
        <f>CN$99</f>
        <v>0</v>
      </c>
      <c r="CO100" s="45">
        <f t="shared" ref="CO100:DB100" si="56">CO$99</f>
        <v>0</v>
      </c>
      <c r="CP100" s="45">
        <f t="shared" si="56"/>
        <v>0</v>
      </c>
      <c r="CQ100" s="45">
        <f t="shared" si="56"/>
        <v>0</v>
      </c>
      <c r="CR100" s="45">
        <f t="shared" si="56"/>
        <v>0</v>
      </c>
      <c r="CS100" s="45">
        <f t="shared" si="56"/>
        <v>0</v>
      </c>
      <c r="CT100" s="45">
        <f t="shared" si="56"/>
        <v>0</v>
      </c>
      <c r="CU100" s="45">
        <f t="shared" si="56"/>
        <v>0</v>
      </c>
      <c r="CV100" s="45">
        <f t="shared" si="56"/>
        <v>0</v>
      </c>
      <c r="CW100" s="45">
        <f t="shared" si="56"/>
        <v>0</v>
      </c>
      <c r="CX100" s="45">
        <f t="shared" si="56"/>
        <v>0</v>
      </c>
      <c r="CY100" s="45">
        <f t="shared" si="56"/>
        <v>0</v>
      </c>
      <c r="CZ100" s="45">
        <f t="shared" si="56"/>
        <v>0</v>
      </c>
      <c r="DA100" s="45">
        <f t="shared" si="56"/>
        <v>0</v>
      </c>
      <c r="DB100" s="45">
        <f t="shared" si="56"/>
        <v>0</v>
      </c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</row>
    <row r="101" spans="1:121" ht="14.25" x14ac:dyDescent="0.15">
      <c r="A101" s="48">
        <v>99</v>
      </c>
      <c r="B101" s="45" t="e">
        <f t="shared" si="34"/>
        <v>#DIV/0!</v>
      </c>
      <c r="C101" s="45" t="e">
        <f t="shared" si="35"/>
        <v>#DIV/0!</v>
      </c>
      <c r="D101" s="45" t="e">
        <f t="shared" si="36"/>
        <v>#DIV/0!</v>
      </c>
      <c r="E101" s="45" t="e">
        <f t="shared" si="37"/>
        <v>#DIV/0!</v>
      </c>
      <c r="F101" s="45" t="e">
        <f t="shared" si="38"/>
        <v>#DIV/0!</v>
      </c>
      <c r="G101" s="45" t="e">
        <f t="shared" si="39"/>
        <v>#DIV/0!</v>
      </c>
      <c r="H101" s="45" t="e">
        <f t="shared" si="40"/>
        <v>#DIV/0!</v>
      </c>
      <c r="I101" s="45" t="e">
        <f t="shared" si="41"/>
        <v>#DIV/0!</v>
      </c>
      <c r="J101" s="45" t="e">
        <f t="shared" si="42"/>
        <v>#DIV/0!</v>
      </c>
      <c r="K101" s="45" t="e">
        <f t="shared" si="43"/>
        <v>#DIV/0!</v>
      </c>
      <c r="L101" s="45" t="e">
        <f t="shared" si="44"/>
        <v>#DIV/0!</v>
      </c>
      <c r="M101" s="45" t="e">
        <f t="shared" si="45"/>
        <v>#DIV/0!</v>
      </c>
      <c r="N101" s="45" t="e">
        <f t="shared" si="46"/>
        <v>#DIV/0!</v>
      </c>
      <c r="O101" s="45" t="e">
        <f t="shared" si="47"/>
        <v>#DIV/0!</v>
      </c>
      <c r="P101" s="45" t="e">
        <f t="shared" si="48"/>
        <v>#DIV/0!</v>
      </c>
      <c r="Q101" s="55" t="e">
        <f>Q100+ATM_Conf!$C$5*(B100)/(Links!B$191*Links!Q$191)</f>
        <v>#DIV/0!</v>
      </c>
      <c r="R101" s="55" t="e">
        <f>R100+ATM_Conf!$C$5*(C100-B100)/(Links!C$191*Links!R$191)</f>
        <v>#DIV/0!</v>
      </c>
      <c r="S101" s="55" t="e">
        <f>S100+ATM_Conf!$C$5*(D100-C100)/(Links!D$191*Links!S$191)</f>
        <v>#DIV/0!</v>
      </c>
      <c r="T101" s="55" t="e">
        <f>T100+ATM_Conf!$C$5*(E100-D100)/(Links!E$191*Links!T$191)</f>
        <v>#DIV/0!</v>
      </c>
      <c r="U101" s="55" t="e">
        <f>U100+ATM_Conf!$C$5*(F100-E100)/(Links!F$191*Links!U$191)</f>
        <v>#DIV/0!</v>
      </c>
      <c r="V101" s="55" t="e">
        <f>V100+ATM_Conf!$C$5*(G100-F100)/(Links!G$191*Links!V$191)</f>
        <v>#DIV/0!</v>
      </c>
      <c r="W101" s="55" t="e">
        <f>W100+ATM_Conf!$C$5*(H100-G100)/(Links!H$191*Links!W$191)</f>
        <v>#DIV/0!</v>
      </c>
      <c r="X101" s="55" t="e">
        <f>X100+ATM_Conf!$C$5*(I100-H100)/(Links!I$191*Links!X$191)</f>
        <v>#DIV/0!</v>
      </c>
      <c r="Y101" s="55" t="e">
        <f>Y100+ATM_Conf!$C$5*(J100)/(Links!J$191*Links!Y$191)</f>
        <v>#DIV/0!</v>
      </c>
      <c r="Z101" s="55" t="e">
        <f>Z100+ATM_Conf!$C$5*(K100-J100)/(Links!K$191*Links!Z$191)</f>
        <v>#DIV/0!</v>
      </c>
      <c r="AA101" s="55" t="e">
        <f>AA100+ATM_Conf!$C$5*(L100-K100)/(Links!L$191*Links!AA$191)</f>
        <v>#DIV/0!</v>
      </c>
      <c r="AB101" s="55" t="e">
        <f>AB100+ATM_Conf!$C$5*(M100-L100)/(Links!M$191*Links!AB$191)</f>
        <v>#DIV/0!</v>
      </c>
      <c r="AC101" s="55" t="e">
        <f>AC100+ATM_Conf!$C$5*(N100-M100)/(Links!N$191*Links!AC$191)</f>
        <v>#DIV/0!</v>
      </c>
      <c r="AD101" s="55" t="e">
        <f>AD100+ATM_Conf!$C$5*(O100-N100)/(Links!O$191*Links!AD$191)</f>
        <v>#DIV/0!</v>
      </c>
      <c r="AE101" s="55" t="e">
        <f>AE100+ATM_Conf!$C$5*(P100-O100)/(Links!P$191*Links!AE$191)</f>
        <v>#DIV/0!</v>
      </c>
      <c r="AF101" s="45" t="e">
        <f>AF100+(ATM_Conf!$C$5/ATM_Conf!$C$8)*(Links!AU100*EXP((-(Links!Q100/Links!BJ100)^Links!BY100)/Links!BY100)-Links!AF100)-(ATM_Conf!$C$9*ATM_Conf!$C$5/(ATM_Conf!$C$8*Links!Q$191))*(Nodes!BO100-Links!Q100)/(Links!Q100/ATM_Conf!$C$10)</f>
        <v>#DIV/0!</v>
      </c>
      <c r="AG101" s="45" t="e">
        <f>AG100+(ATM_Conf!$C$5/ATM_Conf!$C$8)*(Links!AV100*EXP((-(Links!R100/Links!BK100)^Links!BZ100)/Links!BZ100)-Links!AG100)+(ATM_Conf!$C$5/Links!R$191)*Links!AG100*(Nodes!BB100-Links!AG100)-(ATM_Conf!$C$9*ATM_Conf!$C$5/(ATM_Conf!$C$8*Links!R$191))*(Nodes!BP100-Links!R100)/(Links!R100/ATM_Conf!$C$10)</f>
        <v>#DIV/0!</v>
      </c>
      <c r="AH101" s="45" t="e">
        <f>AH100+(ATM_Conf!$C$5/ATM_Conf!$C$8)*(Links!AW100*EXP((-(Links!S100/Links!BL100)^Links!CA100)/Links!CA100)-Links!AH100)+(ATM_Conf!$C$5/Links!S$191)*Links!AH100*(Nodes!BC100-Links!AH100)-(ATM_Conf!$C$9*ATM_Conf!$C$5/(ATM_Conf!$C$8*Links!S$191))*(Nodes!BQ100-Links!S100)/(Links!S100/ATM_Conf!$C$10)</f>
        <v>#DIV/0!</v>
      </c>
      <c r="AI101" s="45" t="e">
        <f>AI100+(ATM_Conf!$C$5/ATM_Conf!$C$8)*(Links!AX100*EXP((-(Links!T100/Links!BM100)^Links!CB100)/Links!CB100)-Links!AI100)+(ATM_Conf!$C$5/Links!T$191)*Links!AI100*(Nodes!BD100-Links!AI100)-(ATM_Conf!$C$9*ATM_Conf!$C$5/(ATM_Conf!$C$8*Links!T$191))*(Nodes!BR100-Links!T100)/(Links!T100/ATM_Conf!$C$10)</f>
        <v>#DIV/0!</v>
      </c>
      <c r="AJ101" s="45" t="e">
        <f>AJ100+(ATM_Conf!$C$5/ATM_Conf!$C$8)*(Links!AY100*EXP((-(Links!U100/Links!BN100)^Links!CC100)/Links!CC100)-Links!AJ100)+(ATM_Conf!$C$5/Links!U$191)*Links!AJ100*(Nodes!BE100-Links!AJ100)-(ATM_Conf!$C$9*ATM_Conf!$C$5/(ATM_Conf!$C$8*Links!U$191))*(Nodes!BS100-Links!U100)/(Links!U100/ATM_Conf!$C$10)</f>
        <v>#DIV/0!</v>
      </c>
      <c r="AK101" s="45" t="e">
        <f>AK100+(ATM_Conf!$C$5/ATM_Conf!$C$8)*(Links!AZ100*EXP((-(Links!V100/Links!BO100)^Links!CD100)/Links!CD100)-Links!AK100)+(ATM_Conf!$C$5/Links!V$191)*Links!AK100*(Nodes!BF100-Links!AK100)-(ATM_Conf!$C$9*ATM_Conf!$C$5/(ATM_Conf!$C$8*Links!V$191))*(Nodes!BT100-Links!V100)/(Links!V100/ATM_Conf!$C$10)</f>
        <v>#DIV/0!</v>
      </c>
      <c r="AL101" s="45" t="e">
        <f>AL100+(ATM_Conf!$C$5/ATM_Conf!$C$8)*(Links!BA100*EXP((-(Links!W100/Links!BP100)^Links!CE100)/Links!CE100)-Links!AL100)+(ATM_Conf!$C$5/Links!W$191)*Links!AL100*(Nodes!BG100-Links!AL100)-(ATM_Conf!$C$9*ATM_Conf!$C$5/(ATM_Conf!$C$8*Links!W$191))*(Nodes!BU100-Links!W100)/(Links!W100/ATM_Conf!$C$10)</f>
        <v>#DIV/0!</v>
      </c>
      <c r="AM101" s="45" t="e">
        <f>AM100+(ATM_Conf!$C$5/ATM_Conf!$C$8)*(Links!BB100*EXP((-(Links!X100/Links!BQ100)^Links!CF100)/Links!CF100)-Links!AM100)+(ATM_Conf!$C$5/Links!X$191)*Links!AM100*(Nodes!BH100-Links!AM100)</f>
        <v>#DIV/0!</v>
      </c>
      <c r="AN101" s="45" t="e">
        <f>AN100+(ATM_Conf!$C$5/ATM_Conf!$C$8)*(Links!BC100*EXP((-(Links!Y100/Links!BR100)^Links!CG100)/Links!CG100)-Links!AN100)-(ATM_Conf!$C$9*ATM_Conf!$C$5/(ATM_Conf!$C$8*Links!Y$191))*(Nodes!BV100-Links!Y100)/(Links!Y100/ATM_Conf!$C$10)</f>
        <v>#DIV/0!</v>
      </c>
      <c r="AO101" s="45" t="e">
        <f>AO100+(ATM_Conf!$C$5/ATM_Conf!$C$8)*(Links!BD100*EXP((-(Links!Z100/Links!BS100)^Links!CH100)/Links!CH100)-Links!AO100)+(ATM_Conf!$C$5/Links!Z$191)*Links!AO100*(Nodes!BI100-Links!AO100)-(ATM_Conf!$C$9*ATM_Conf!$C$5/(ATM_Conf!$C$8*Links!Z$191))*(Nodes!BW100-Links!Z100)/(Links!Z100/ATM_Conf!$C$10)</f>
        <v>#DIV/0!</v>
      </c>
      <c r="AP101" s="45" t="e">
        <f>AP100+(ATM_Conf!$C$5/ATM_Conf!$C$8)*(Links!BE100*EXP((-(Links!AA100/Links!BT100)^Links!CI100)/Links!CI100)-Links!AP100)+(ATM_Conf!$C$5/Links!AA$191)*Links!AP100*(Nodes!BJ100-Links!AP100)-(ATM_Conf!$C$9*ATM_Conf!$C$5/(ATM_Conf!$C$8*Links!AA$191))*(Nodes!BX100-Links!AA100)/(Links!AA100/ATM_Conf!$C$10)</f>
        <v>#DIV/0!</v>
      </c>
      <c r="AQ101" s="45" t="e">
        <f>AQ100+(ATM_Conf!$C$5/ATM_Conf!$C$8)*(Links!BF100*EXP((-(Links!AB100/Links!BU100)^Links!CJ100)/Links!CJ100)-Links!AQ100)+(ATM_Conf!$C$5/Links!AB$191)*Links!AQ100*(Nodes!BK100-Links!AQ100)-(ATM_Conf!$C$9*ATM_Conf!$C$5/(ATM_Conf!$C$8*Links!AB$191))*(Nodes!BY100-Links!AB100)/(Links!AB100/ATM_Conf!$C$10)</f>
        <v>#DIV/0!</v>
      </c>
      <c r="AR101" s="45" t="e">
        <f>AR100+(ATM_Conf!$C$5/ATM_Conf!$C$8)*(Links!BG100*EXP((-(Links!AC100/Links!BV100)^Links!CK100)/Links!CK100)-Links!AR100)+(ATM_Conf!$C$5/Links!AC$191)*Links!AR100*(Nodes!BL100-Links!AR100)-(ATM_Conf!$C$9*ATM_Conf!$C$5/(ATM_Conf!$C$8*Links!AC$191))*(Nodes!BZ100-Links!AC100)/(Links!AC100/ATM_Conf!$C$10)</f>
        <v>#DIV/0!</v>
      </c>
      <c r="AS101" s="45" t="e">
        <f>AS100+(ATM_Conf!$C$5/ATM_Conf!$C$8)*(Links!BH100*EXP((-(Links!AD100/Links!BW100)^Links!CL100)/Links!CL100)-Links!AS100)+(ATM_Conf!$C$5/Links!AD$191)*Links!AS100*(Nodes!BM100-Links!AS100)-(ATM_Conf!$C$9*ATM_Conf!$C$5/(ATM_Conf!$C$8*Links!AD$191))*(Nodes!CA100-Links!AD100)/(Links!AD100/ATM_Conf!$C$10)</f>
        <v>#DIV/0!</v>
      </c>
      <c r="AT101" s="45" t="e">
        <f>AT100+(ATM_Conf!$C$5/ATM_Conf!$C$8)*(Links!BI100*EXP((-(Links!AE100/Links!BX100)^Links!CM100)/Links!CM100)-Links!AT100)+(ATM_Conf!$C$5/Links!AE$191)*Links!AT100*(Nodes!BN100-Links!AT100)</f>
        <v>#DIV/0!</v>
      </c>
      <c r="AU101" s="55"/>
      <c r="AV101" s="55"/>
      <c r="AW101" s="55"/>
      <c r="AX101" s="55"/>
      <c r="AY101" s="55"/>
      <c r="AZ101" s="55"/>
      <c r="BA101" s="55"/>
      <c r="BB101" s="55"/>
      <c r="BC101" s="55"/>
      <c r="BD101" s="55"/>
      <c r="BE101" s="55"/>
      <c r="BF101" s="55"/>
      <c r="BG101" s="55"/>
      <c r="BH101" s="55"/>
      <c r="BI101" s="55"/>
      <c r="BJ101" s="45"/>
      <c r="BK101" s="45"/>
      <c r="BL101" s="45"/>
      <c r="BM101" s="45"/>
      <c r="BN101" s="45"/>
      <c r="BO101" s="45"/>
      <c r="BP101" s="45"/>
      <c r="BQ101" s="45"/>
      <c r="BR101" s="45"/>
      <c r="BS101" s="45"/>
      <c r="BT101" s="45"/>
      <c r="BU101" s="45"/>
      <c r="BV101" s="45"/>
      <c r="BW101" s="45"/>
      <c r="BX101" s="45"/>
      <c r="BY101" s="55"/>
      <c r="BZ101" s="55"/>
      <c r="CA101" s="55"/>
      <c r="CB101" s="55"/>
      <c r="CC101" s="55"/>
      <c r="CD101" s="55"/>
      <c r="CE101" s="55"/>
      <c r="CF101" s="55"/>
      <c r="CG101" s="55"/>
      <c r="CH101" s="55"/>
      <c r="CI101" s="55"/>
      <c r="CJ101" s="55"/>
      <c r="CK101" s="55"/>
      <c r="CL101" s="55"/>
      <c r="CM101" s="55"/>
      <c r="CN101" s="45">
        <f t="shared" ref="CN101:DB110" si="57">CN$99</f>
        <v>0</v>
      </c>
      <c r="CO101" s="45">
        <f t="shared" si="57"/>
        <v>0</v>
      </c>
      <c r="CP101" s="45">
        <f t="shared" si="57"/>
        <v>0</v>
      </c>
      <c r="CQ101" s="45">
        <f t="shared" si="57"/>
        <v>0</v>
      </c>
      <c r="CR101" s="45">
        <f t="shared" si="57"/>
        <v>0</v>
      </c>
      <c r="CS101" s="45">
        <f t="shared" si="57"/>
        <v>0</v>
      </c>
      <c r="CT101" s="45">
        <f t="shared" si="57"/>
        <v>0</v>
      </c>
      <c r="CU101" s="45">
        <f t="shared" si="57"/>
        <v>0</v>
      </c>
      <c r="CV101" s="45">
        <f t="shared" si="57"/>
        <v>0</v>
      </c>
      <c r="CW101" s="45">
        <f t="shared" si="57"/>
        <v>0</v>
      </c>
      <c r="CX101" s="45">
        <f t="shared" si="57"/>
        <v>0</v>
      </c>
      <c r="CY101" s="45">
        <f t="shared" si="57"/>
        <v>0</v>
      </c>
      <c r="CZ101" s="45">
        <f t="shared" si="57"/>
        <v>0</v>
      </c>
      <c r="DA101" s="45">
        <f t="shared" si="57"/>
        <v>0</v>
      </c>
      <c r="DB101" s="45">
        <f t="shared" si="57"/>
        <v>0</v>
      </c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</row>
    <row r="102" spans="1:121" ht="14.25" x14ac:dyDescent="0.15">
      <c r="A102" s="48">
        <v>100</v>
      </c>
      <c r="B102" s="45" t="e">
        <f t="shared" si="34"/>
        <v>#DIV/0!</v>
      </c>
      <c r="C102" s="45" t="e">
        <f t="shared" si="35"/>
        <v>#DIV/0!</v>
      </c>
      <c r="D102" s="45" t="e">
        <f t="shared" si="36"/>
        <v>#DIV/0!</v>
      </c>
      <c r="E102" s="45" t="e">
        <f t="shared" si="37"/>
        <v>#DIV/0!</v>
      </c>
      <c r="F102" s="45" t="e">
        <f t="shared" si="38"/>
        <v>#DIV/0!</v>
      </c>
      <c r="G102" s="45" t="e">
        <f t="shared" si="39"/>
        <v>#DIV/0!</v>
      </c>
      <c r="H102" s="45" t="e">
        <f t="shared" si="40"/>
        <v>#DIV/0!</v>
      </c>
      <c r="I102" s="45" t="e">
        <f t="shared" si="41"/>
        <v>#DIV/0!</v>
      </c>
      <c r="J102" s="45" t="e">
        <f t="shared" si="42"/>
        <v>#DIV/0!</v>
      </c>
      <c r="K102" s="45" t="e">
        <f t="shared" si="43"/>
        <v>#DIV/0!</v>
      </c>
      <c r="L102" s="45" t="e">
        <f t="shared" si="44"/>
        <v>#DIV/0!</v>
      </c>
      <c r="M102" s="45" t="e">
        <f t="shared" si="45"/>
        <v>#DIV/0!</v>
      </c>
      <c r="N102" s="45" t="e">
        <f t="shared" si="46"/>
        <v>#DIV/0!</v>
      </c>
      <c r="O102" s="45" t="e">
        <f t="shared" si="47"/>
        <v>#DIV/0!</v>
      </c>
      <c r="P102" s="45" t="e">
        <f t="shared" si="48"/>
        <v>#DIV/0!</v>
      </c>
      <c r="Q102" s="55" t="e">
        <f>Q101+ATM_Conf!$C$5*(B101)/(Links!B$191*Links!Q$191)</f>
        <v>#DIV/0!</v>
      </c>
      <c r="R102" s="55" t="e">
        <f>R101+ATM_Conf!$C$5*(C101-B101)/(Links!C$191*Links!R$191)</f>
        <v>#DIV/0!</v>
      </c>
      <c r="S102" s="55" t="e">
        <f>S101+ATM_Conf!$C$5*(D101-C101)/(Links!D$191*Links!S$191)</f>
        <v>#DIV/0!</v>
      </c>
      <c r="T102" s="55" t="e">
        <f>T101+ATM_Conf!$C$5*(E101-D101)/(Links!E$191*Links!T$191)</f>
        <v>#DIV/0!</v>
      </c>
      <c r="U102" s="55" t="e">
        <f>U101+ATM_Conf!$C$5*(F101-E101)/(Links!F$191*Links!U$191)</f>
        <v>#DIV/0!</v>
      </c>
      <c r="V102" s="55" t="e">
        <f>V101+ATM_Conf!$C$5*(G101-F101)/(Links!G$191*Links!V$191)</f>
        <v>#DIV/0!</v>
      </c>
      <c r="W102" s="55" t="e">
        <f>W101+ATM_Conf!$C$5*(H101-G101)/(Links!H$191*Links!W$191)</f>
        <v>#DIV/0!</v>
      </c>
      <c r="X102" s="55" t="e">
        <f>X101+ATM_Conf!$C$5*(I101-H101)/(Links!I$191*Links!X$191)</f>
        <v>#DIV/0!</v>
      </c>
      <c r="Y102" s="55" t="e">
        <f>Y101+ATM_Conf!$C$5*(J101)/(Links!J$191*Links!Y$191)</f>
        <v>#DIV/0!</v>
      </c>
      <c r="Z102" s="55" t="e">
        <f>Z101+ATM_Conf!$C$5*(K101-J101)/(Links!K$191*Links!Z$191)</f>
        <v>#DIV/0!</v>
      </c>
      <c r="AA102" s="55" t="e">
        <f>AA101+ATM_Conf!$C$5*(L101-K101)/(Links!L$191*Links!AA$191)</f>
        <v>#DIV/0!</v>
      </c>
      <c r="AB102" s="55" t="e">
        <f>AB101+ATM_Conf!$C$5*(M101-L101)/(Links!M$191*Links!AB$191)</f>
        <v>#DIV/0!</v>
      </c>
      <c r="AC102" s="55" t="e">
        <f>AC101+ATM_Conf!$C$5*(N101-M101)/(Links!N$191*Links!AC$191)</f>
        <v>#DIV/0!</v>
      </c>
      <c r="AD102" s="55" t="e">
        <f>AD101+ATM_Conf!$C$5*(O101-N101)/(Links!O$191*Links!AD$191)</f>
        <v>#DIV/0!</v>
      </c>
      <c r="AE102" s="55" t="e">
        <f>AE101+ATM_Conf!$C$5*(P101-O101)/(Links!P$191*Links!AE$191)</f>
        <v>#DIV/0!</v>
      </c>
      <c r="AF102" s="45" t="e">
        <f>AF101+(ATM_Conf!$C$5/ATM_Conf!$C$8)*(Links!AU101*EXP((-(Links!Q101/Links!BJ101)^Links!BY101)/Links!BY101)-Links!AF101)-(ATM_Conf!$C$9*ATM_Conf!$C$5/(ATM_Conf!$C$8*Links!Q$191))*(Nodes!BO101-Links!Q101)/(Links!Q101/ATM_Conf!$C$10)</f>
        <v>#DIV/0!</v>
      </c>
      <c r="AG102" s="45" t="e">
        <f>AG101+(ATM_Conf!$C$5/ATM_Conf!$C$8)*(Links!AV101*EXP((-(Links!R101/Links!BK101)^Links!BZ101)/Links!BZ101)-Links!AG101)+(ATM_Conf!$C$5/Links!R$191)*Links!AG101*(Nodes!BB101-Links!AG101)-(ATM_Conf!$C$9*ATM_Conf!$C$5/(ATM_Conf!$C$8*Links!R$191))*(Nodes!BP101-Links!R101)/(Links!R101/ATM_Conf!$C$10)</f>
        <v>#DIV/0!</v>
      </c>
      <c r="AH102" s="45" t="e">
        <f>AH101+(ATM_Conf!$C$5/ATM_Conf!$C$8)*(Links!AW101*EXP((-(Links!S101/Links!BL101)^Links!CA101)/Links!CA101)-Links!AH101)+(ATM_Conf!$C$5/Links!S$191)*Links!AH101*(Nodes!BC101-Links!AH101)-(ATM_Conf!$C$9*ATM_Conf!$C$5/(ATM_Conf!$C$8*Links!S$191))*(Nodes!BQ101-Links!S101)/(Links!S101/ATM_Conf!$C$10)</f>
        <v>#DIV/0!</v>
      </c>
      <c r="AI102" s="45" t="e">
        <f>AI101+(ATM_Conf!$C$5/ATM_Conf!$C$8)*(Links!AX101*EXP((-(Links!T101/Links!BM101)^Links!CB101)/Links!CB101)-Links!AI101)+(ATM_Conf!$C$5/Links!T$191)*Links!AI101*(Nodes!BD101-Links!AI101)-(ATM_Conf!$C$9*ATM_Conf!$C$5/(ATM_Conf!$C$8*Links!T$191))*(Nodes!BR101-Links!T101)/(Links!T101/ATM_Conf!$C$10)</f>
        <v>#DIV/0!</v>
      </c>
      <c r="AJ102" s="45" t="e">
        <f>AJ101+(ATM_Conf!$C$5/ATM_Conf!$C$8)*(Links!AY101*EXP((-(Links!U101/Links!BN101)^Links!CC101)/Links!CC101)-Links!AJ101)+(ATM_Conf!$C$5/Links!U$191)*Links!AJ101*(Nodes!BE101-Links!AJ101)-(ATM_Conf!$C$9*ATM_Conf!$C$5/(ATM_Conf!$C$8*Links!U$191))*(Nodes!BS101-Links!U101)/(Links!U101/ATM_Conf!$C$10)</f>
        <v>#DIV/0!</v>
      </c>
      <c r="AK102" s="45" t="e">
        <f>AK101+(ATM_Conf!$C$5/ATM_Conf!$C$8)*(Links!AZ101*EXP((-(Links!V101/Links!BO101)^Links!CD101)/Links!CD101)-Links!AK101)+(ATM_Conf!$C$5/Links!V$191)*Links!AK101*(Nodes!BF101-Links!AK101)-(ATM_Conf!$C$9*ATM_Conf!$C$5/(ATM_Conf!$C$8*Links!V$191))*(Nodes!BT101-Links!V101)/(Links!V101/ATM_Conf!$C$10)</f>
        <v>#DIV/0!</v>
      </c>
      <c r="AL102" s="45" t="e">
        <f>AL101+(ATM_Conf!$C$5/ATM_Conf!$C$8)*(Links!BA101*EXP((-(Links!W101/Links!BP101)^Links!CE101)/Links!CE101)-Links!AL101)+(ATM_Conf!$C$5/Links!W$191)*Links!AL101*(Nodes!BG101-Links!AL101)-(ATM_Conf!$C$9*ATM_Conf!$C$5/(ATM_Conf!$C$8*Links!W$191))*(Nodes!BU101-Links!W101)/(Links!W101/ATM_Conf!$C$10)</f>
        <v>#DIV/0!</v>
      </c>
      <c r="AM102" s="45" t="e">
        <f>AM101+(ATM_Conf!$C$5/ATM_Conf!$C$8)*(Links!BB101*EXP((-(Links!X101/Links!BQ101)^Links!CF101)/Links!CF101)-Links!AM101)+(ATM_Conf!$C$5/Links!X$191)*Links!AM101*(Nodes!BH101-Links!AM101)</f>
        <v>#DIV/0!</v>
      </c>
      <c r="AN102" s="45" t="e">
        <f>AN101+(ATM_Conf!$C$5/ATM_Conf!$C$8)*(Links!BC101*EXP((-(Links!Y101/Links!BR101)^Links!CG101)/Links!CG101)-Links!AN101)-(ATM_Conf!$C$9*ATM_Conf!$C$5/(ATM_Conf!$C$8*Links!Y$191))*(Nodes!BV101-Links!Y101)/(Links!Y101/ATM_Conf!$C$10)</f>
        <v>#DIV/0!</v>
      </c>
      <c r="AO102" s="45" t="e">
        <f>AO101+(ATM_Conf!$C$5/ATM_Conf!$C$8)*(Links!BD101*EXP((-(Links!Z101/Links!BS101)^Links!CH101)/Links!CH101)-Links!AO101)+(ATM_Conf!$C$5/Links!Z$191)*Links!AO101*(Nodes!BI101-Links!AO101)-(ATM_Conf!$C$9*ATM_Conf!$C$5/(ATM_Conf!$C$8*Links!Z$191))*(Nodes!BW101-Links!Z101)/(Links!Z101/ATM_Conf!$C$10)</f>
        <v>#DIV/0!</v>
      </c>
      <c r="AP102" s="45" t="e">
        <f>AP101+(ATM_Conf!$C$5/ATM_Conf!$C$8)*(Links!BE101*EXP((-(Links!AA101/Links!BT101)^Links!CI101)/Links!CI101)-Links!AP101)+(ATM_Conf!$C$5/Links!AA$191)*Links!AP101*(Nodes!BJ101-Links!AP101)-(ATM_Conf!$C$9*ATM_Conf!$C$5/(ATM_Conf!$C$8*Links!AA$191))*(Nodes!BX101-Links!AA101)/(Links!AA101/ATM_Conf!$C$10)</f>
        <v>#DIV/0!</v>
      </c>
      <c r="AQ102" s="45" t="e">
        <f>AQ101+(ATM_Conf!$C$5/ATM_Conf!$C$8)*(Links!BF101*EXP((-(Links!AB101/Links!BU101)^Links!CJ101)/Links!CJ101)-Links!AQ101)+(ATM_Conf!$C$5/Links!AB$191)*Links!AQ101*(Nodes!BK101-Links!AQ101)-(ATM_Conf!$C$9*ATM_Conf!$C$5/(ATM_Conf!$C$8*Links!AB$191))*(Nodes!BY101-Links!AB101)/(Links!AB101/ATM_Conf!$C$10)</f>
        <v>#DIV/0!</v>
      </c>
      <c r="AR102" s="45" t="e">
        <f>AR101+(ATM_Conf!$C$5/ATM_Conf!$C$8)*(Links!BG101*EXP((-(Links!AC101/Links!BV101)^Links!CK101)/Links!CK101)-Links!AR101)+(ATM_Conf!$C$5/Links!AC$191)*Links!AR101*(Nodes!BL101-Links!AR101)-(ATM_Conf!$C$9*ATM_Conf!$C$5/(ATM_Conf!$C$8*Links!AC$191))*(Nodes!BZ101-Links!AC101)/(Links!AC101/ATM_Conf!$C$10)</f>
        <v>#DIV/0!</v>
      </c>
      <c r="AS102" s="45" t="e">
        <f>AS101+(ATM_Conf!$C$5/ATM_Conf!$C$8)*(Links!BH101*EXP((-(Links!AD101/Links!BW101)^Links!CL101)/Links!CL101)-Links!AS101)+(ATM_Conf!$C$5/Links!AD$191)*Links!AS101*(Nodes!BM101-Links!AS101)-(ATM_Conf!$C$9*ATM_Conf!$C$5/(ATM_Conf!$C$8*Links!AD$191))*(Nodes!CA101-Links!AD101)/(Links!AD101/ATM_Conf!$C$10)</f>
        <v>#DIV/0!</v>
      </c>
      <c r="AT102" s="45" t="e">
        <f>AT101+(ATM_Conf!$C$5/ATM_Conf!$C$8)*(Links!BI101*EXP((-(Links!AE101/Links!BX101)^Links!CM101)/Links!CM101)-Links!AT101)+(ATM_Conf!$C$5/Links!AE$191)*Links!AT101*(Nodes!BN101-Links!AT101)</f>
        <v>#DIV/0!</v>
      </c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  <c r="BJ102" s="45"/>
      <c r="BK102" s="45"/>
      <c r="BL102" s="45"/>
      <c r="BM102" s="45"/>
      <c r="BN102" s="45"/>
      <c r="BO102" s="45"/>
      <c r="BP102" s="45"/>
      <c r="BQ102" s="45"/>
      <c r="BR102" s="45"/>
      <c r="BS102" s="45"/>
      <c r="BT102" s="45"/>
      <c r="BU102" s="45"/>
      <c r="BV102" s="45"/>
      <c r="BW102" s="45"/>
      <c r="BX102" s="45"/>
      <c r="BY102" s="55"/>
      <c r="BZ102" s="55"/>
      <c r="CA102" s="55"/>
      <c r="CB102" s="55"/>
      <c r="CC102" s="55"/>
      <c r="CD102" s="55"/>
      <c r="CE102" s="55"/>
      <c r="CF102" s="55"/>
      <c r="CG102" s="55"/>
      <c r="CH102" s="55"/>
      <c r="CI102" s="55"/>
      <c r="CJ102" s="55"/>
      <c r="CK102" s="55"/>
      <c r="CL102" s="55"/>
      <c r="CM102" s="55"/>
      <c r="CN102" s="45">
        <f t="shared" si="57"/>
        <v>0</v>
      </c>
      <c r="CO102" s="45">
        <f t="shared" si="57"/>
        <v>0</v>
      </c>
      <c r="CP102" s="45">
        <f t="shared" si="57"/>
        <v>0</v>
      </c>
      <c r="CQ102" s="45">
        <f t="shared" si="57"/>
        <v>0</v>
      </c>
      <c r="CR102" s="45">
        <f t="shared" si="57"/>
        <v>0</v>
      </c>
      <c r="CS102" s="45">
        <f t="shared" si="57"/>
        <v>0</v>
      </c>
      <c r="CT102" s="45">
        <f t="shared" si="57"/>
        <v>0</v>
      </c>
      <c r="CU102" s="45">
        <f t="shared" si="57"/>
        <v>0</v>
      </c>
      <c r="CV102" s="45">
        <f t="shared" si="57"/>
        <v>0</v>
      </c>
      <c r="CW102" s="45">
        <f t="shared" si="57"/>
        <v>0</v>
      </c>
      <c r="CX102" s="45">
        <f t="shared" si="57"/>
        <v>0</v>
      </c>
      <c r="CY102" s="45">
        <f t="shared" si="57"/>
        <v>0</v>
      </c>
      <c r="CZ102" s="45">
        <f t="shared" si="57"/>
        <v>0</v>
      </c>
      <c r="DA102" s="45">
        <f t="shared" si="57"/>
        <v>0</v>
      </c>
      <c r="DB102" s="45">
        <f t="shared" si="57"/>
        <v>0</v>
      </c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</row>
    <row r="103" spans="1:121" ht="14.25" x14ac:dyDescent="0.15">
      <c r="A103" s="48">
        <v>101</v>
      </c>
      <c r="B103" s="45" t="e">
        <f t="shared" si="34"/>
        <v>#DIV/0!</v>
      </c>
      <c r="C103" s="45" t="e">
        <f t="shared" si="35"/>
        <v>#DIV/0!</v>
      </c>
      <c r="D103" s="45" t="e">
        <f t="shared" si="36"/>
        <v>#DIV/0!</v>
      </c>
      <c r="E103" s="45" t="e">
        <f t="shared" si="37"/>
        <v>#DIV/0!</v>
      </c>
      <c r="F103" s="45" t="e">
        <f t="shared" si="38"/>
        <v>#DIV/0!</v>
      </c>
      <c r="G103" s="45" t="e">
        <f t="shared" si="39"/>
        <v>#DIV/0!</v>
      </c>
      <c r="H103" s="45" t="e">
        <f t="shared" si="40"/>
        <v>#DIV/0!</v>
      </c>
      <c r="I103" s="45" t="e">
        <f t="shared" si="41"/>
        <v>#DIV/0!</v>
      </c>
      <c r="J103" s="45" t="e">
        <f t="shared" si="42"/>
        <v>#DIV/0!</v>
      </c>
      <c r="K103" s="45" t="e">
        <f t="shared" si="43"/>
        <v>#DIV/0!</v>
      </c>
      <c r="L103" s="45" t="e">
        <f t="shared" si="44"/>
        <v>#DIV/0!</v>
      </c>
      <c r="M103" s="45" t="e">
        <f t="shared" si="45"/>
        <v>#DIV/0!</v>
      </c>
      <c r="N103" s="45" t="e">
        <f t="shared" si="46"/>
        <v>#DIV/0!</v>
      </c>
      <c r="O103" s="45" t="e">
        <f t="shared" si="47"/>
        <v>#DIV/0!</v>
      </c>
      <c r="P103" s="45" t="e">
        <f t="shared" si="48"/>
        <v>#DIV/0!</v>
      </c>
      <c r="Q103" s="55" t="e">
        <f>Q102+ATM_Conf!$C$5*(B102)/(Links!B$191*Links!Q$191)</f>
        <v>#DIV/0!</v>
      </c>
      <c r="R103" s="55" t="e">
        <f>R102+ATM_Conf!$C$5*(C102-B102)/(Links!C$191*Links!R$191)</f>
        <v>#DIV/0!</v>
      </c>
      <c r="S103" s="55" t="e">
        <f>S102+ATM_Conf!$C$5*(D102-C102)/(Links!D$191*Links!S$191)</f>
        <v>#DIV/0!</v>
      </c>
      <c r="T103" s="55" t="e">
        <f>T102+ATM_Conf!$C$5*(E102-D102)/(Links!E$191*Links!T$191)</f>
        <v>#DIV/0!</v>
      </c>
      <c r="U103" s="55" t="e">
        <f>U102+ATM_Conf!$C$5*(F102-E102)/(Links!F$191*Links!U$191)</f>
        <v>#DIV/0!</v>
      </c>
      <c r="V103" s="55" t="e">
        <f>V102+ATM_Conf!$C$5*(G102-F102)/(Links!G$191*Links!V$191)</f>
        <v>#DIV/0!</v>
      </c>
      <c r="W103" s="55" t="e">
        <f>W102+ATM_Conf!$C$5*(H102-G102)/(Links!H$191*Links!W$191)</f>
        <v>#DIV/0!</v>
      </c>
      <c r="X103" s="55" t="e">
        <f>X102+ATM_Conf!$C$5*(I102-H102)/(Links!I$191*Links!X$191)</f>
        <v>#DIV/0!</v>
      </c>
      <c r="Y103" s="55" t="e">
        <f>Y102+ATM_Conf!$C$5*(J102)/(Links!J$191*Links!Y$191)</f>
        <v>#DIV/0!</v>
      </c>
      <c r="Z103" s="55" t="e">
        <f>Z102+ATM_Conf!$C$5*(K102-J102)/(Links!K$191*Links!Z$191)</f>
        <v>#DIV/0!</v>
      </c>
      <c r="AA103" s="55" t="e">
        <f>AA102+ATM_Conf!$C$5*(L102-K102)/(Links!L$191*Links!AA$191)</f>
        <v>#DIV/0!</v>
      </c>
      <c r="AB103" s="55" t="e">
        <f>AB102+ATM_Conf!$C$5*(M102-L102)/(Links!M$191*Links!AB$191)</f>
        <v>#DIV/0!</v>
      </c>
      <c r="AC103" s="55" t="e">
        <f>AC102+ATM_Conf!$C$5*(N102-M102)/(Links!N$191*Links!AC$191)</f>
        <v>#DIV/0!</v>
      </c>
      <c r="AD103" s="55" t="e">
        <f>AD102+ATM_Conf!$C$5*(O102-N102)/(Links!O$191*Links!AD$191)</f>
        <v>#DIV/0!</v>
      </c>
      <c r="AE103" s="55" t="e">
        <f>AE102+ATM_Conf!$C$5*(P102-O102)/(Links!P$191*Links!AE$191)</f>
        <v>#DIV/0!</v>
      </c>
      <c r="AF103" s="45" t="e">
        <f>AF102+(ATM_Conf!$C$5/ATM_Conf!$C$8)*(Links!AU102*EXP((-(Links!Q102/Links!BJ102)^Links!BY102)/Links!BY102)-Links!AF102)-(ATM_Conf!$C$9*ATM_Conf!$C$5/(ATM_Conf!$C$8*Links!Q$191))*(Nodes!BO102-Links!Q102)/(Links!Q102/ATM_Conf!$C$10)</f>
        <v>#DIV/0!</v>
      </c>
      <c r="AG103" s="45" t="e">
        <f>AG102+(ATM_Conf!$C$5/ATM_Conf!$C$8)*(Links!AV102*EXP((-(Links!R102/Links!BK102)^Links!BZ102)/Links!BZ102)-Links!AG102)+(ATM_Conf!$C$5/Links!R$191)*Links!AG102*(Nodes!BB102-Links!AG102)-(ATM_Conf!$C$9*ATM_Conf!$C$5/(ATM_Conf!$C$8*Links!R$191))*(Nodes!BP102-Links!R102)/(Links!R102/ATM_Conf!$C$10)</f>
        <v>#DIV/0!</v>
      </c>
      <c r="AH103" s="45" t="e">
        <f>AH102+(ATM_Conf!$C$5/ATM_Conf!$C$8)*(Links!AW102*EXP((-(Links!S102/Links!BL102)^Links!CA102)/Links!CA102)-Links!AH102)+(ATM_Conf!$C$5/Links!S$191)*Links!AH102*(Nodes!BC102-Links!AH102)-(ATM_Conf!$C$9*ATM_Conf!$C$5/(ATM_Conf!$C$8*Links!S$191))*(Nodes!BQ102-Links!S102)/(Links!S102/ATM_Conf!$C$10)</f>
        <v>#DIV/0!</v>
      </c>
      <c r="AI103" s="45" t="e">
        <f>AI102+(ATM_Conf!$C$5/ATM_Conf!$C$8)*(Links!AX102*EXP((-(Links!T102/Links!BM102)^Links!CB102)/Links!CB102)-Links!AI102)+(ATM_Conf!$C$5/Links!T$191)*Links!AI102*(Nodes!BD102-Links!AI102)-(ATM_Conf!$C$9*ATM_Conf!$C$5/(ATM_Conf!$C$8*Links!T$191))*(Nodes!BR102-Links!T102)/(Links!T102/ATM_Conf!$C$10)</f>
        <v>#DIV/0!</v>
      </c>
      <c r="AJ103" s="45" t="e">
        <f>AJ102+(ATM_Conf!$C$5/ATM_Conf!$C$8)*(Links!AY102*EXP((-(Links!U102/Links!BN102)^Links!CC102)/Links!CC102)-Links!AJ102)+(ATM_Conf!$C$5/Links!U$191)*Links!AJ102*(Nodes!BE102-Links!AJ102)-(ATM_Conf!$C$9*ATM_Conf!$C$5/(ATM_Conf!$C$8*Links!U$191))*(Nodes!BS102-Links!U102)/(Links!U102/ATM_Conf!$C$10)</f>
        <v>#DIV/0!</v>
      </c>
      <c r="AK103" s="45" t="e">
        <f>AK102+(ATM_Conf!$C$5/ATM_Conf!$C$8)*(Links!AZ102*EXP((-(Links!V102/Links!BO102)^Links!CD102)/Links!CD102)-Links!AK102)+(ATM_Conf!$C$5/Links!V$191)*Links!AK102*(Nodes!BF102-Links!AK102)-(ATM_Conf!$C$9*ATM_Conf!$C$5/(ATM_Conf!$C$8*Links!V$191))*(Nodes!BT102-Links!V102)/(Links!V102/ATM_Conf!$C$10)</f>
        <v>#DIV/0!</v>
      </c>
      <c r="AL103" s="45" t="e">
        <f>AL102+(ATM_Conf!$C$5/ATM_Conf!$C$8)*(Links!BA102*EXP((-(Links!W102/Links!BP102)^Links!CE102)/Links!CE102)-Links!AL102)+(ATM_Conf!$C$5/Links!W$191)*Links!AL102*(Nodes!BG102-Links!AL102)-(ATM_Conf!$C$9*ATM_Conf!$C$5/(ATM_Conf!$C$8*Links!W$191))*(Nodes!BU102-Links!W102)/(Links!W102/ATM_Conf!$C$10)</f>
        <v>#DIV/0!</v>
      </c>
      <c r="AM103" s="45" t="e">
        <f>AM102+(ATM_Conf!$C$5/ATM_Conf!$C$8)*(Links!BB102*EXP((-(Links!X102/Links!BQ102)^Links!CF102)/Links!CF102)-Links!AM102)+(ATM_Conf!$C$5/Links!X$191)*Links!AM102*(Nodes!BH102-Links!AM102)</f>
        <v>#DIV/0!</v>
      </c>
      <c r="AN103" s="45" t="e">
        <f>AN102+(ATM_Conf!$C$5/ATM_Conf!$C$8)*(Links!BC102*EXP((-(Links!Y102/Links!BR102)^Links!CG102)/Links!CG102)-Links!AN102)-(ATM_Conf!$C$9*ATM_Conf!$C$5/(ATM_Conf!$C$8*Links!Y$191))*(Nodes!BV102-Links!Y102)/(Links!Y102/ATM_Conf!$C$10)</f>
        <v>#DIV/0!</v>
      </c>
      <c r="AO103" s="45" t="e">
        <f>AO102+(ATM_Conf!$C$5/ATM_Conf!$C$8)*(Links!BD102*EXP((-(Links!Z102/Links!BS102)^Links!CH102)/Links!CH102)-Links!AO102)+(ATM_Conf!$C$5/Links!Z$191)*Links!AO102*(Nodes!BI102-Links!AO102)-(ATM_Conf!$C$9*ATM_Conf!$C$5/(ATM_Conf!$C$8*Links!Z$191))*(Nodes!BW102-Links!Z102)/(Links!Z102/ATM_Conf!$C$10)</f>
        <v>#DIV/0!</v>
      </c>
      <c r="AP103" s="45" t="e">
        <f>AP102+(ATM_Conf!$C$5/ATM_Conf!$C$8)*(Links!BE102*EXP((-(Links!AA102/Links!BT102)^Links!CI102)/Links!CI102)-Links!AP102)+(ATM_Conf!$C$5/Links!AA$191)*Links!AP102*(Nodes!BJ102-Links!AP102)-(ATM_Conf!$C$9*ATM_Conf!$C$5/(ATM_Conf!$C$8*Links!AA$191))*(Nodes!BX102-Links!AA102)/(Links!AA102/ATM_Conf!$C$10)</f>
        <v>#DIV/0!</v>
      </c>
      <c r="AQ103" s="45" t="e">
        <f>AQ102+(ATM_Conf!$C$5/ATM_Conf!$C$8)*(Links!BF102*EXP((-(Links!AB102/Links!BU102)^Links!CJ102)/Links!CJ102)-Links!AQ102)+(ATM_Conf!$C$5/Links!AB$191)*Links!AQ102*(Nodes!BK102-Links!AQ102)-(ATM_Conf!$C$9*ATM_Conf!$C$5/(ATM_Conf!$C$8*Links!AB$191))*(Nodes!BY102-Links!AB102)/(Links!AB102/ATM_Conf!$C$10)</f>
        <v>#DIV/0!</v>
      </c>
      <c r="AR103" s="45" t="e">
        <f>AR102+(ATM_Conf!$C$5/ATM_Conf!$C$8)*(Links!BG102*EXP((-(Links!AC102/Links!BV102)^Links!CK102)/Links!CK102)-Links!AR102)+(ATM_Conf!$C$5/Links!AC$191)*Links!AR102*(Nodes!BL102-Links!AR102)-(ATM_Conf!$C$9*ATM_Conf!$C$5/(ATM_Conf!$C$8*Links!AC$191))*(Nodes!BZ102-Links!AC102)/(Links!AC102/ATM_Conf!$C$10)</f>
        <v>#DIV/0!</v>
      </c>
      <c r="AS103" s="45" t="e">
        <f>AS102+(ATM_Conf!$C$5/ATM_Conf!$C$8)*(Links!BH102*EXP((-(Links!AD102/Links!BW102)^Links!CL102)/Links!CL102)-Links!AS102)+(ATM_Conf!$C$5/Links!AD$191)*Links!AS102*(Nodes!BM102-Links!AS102)-(ATM_Conf!$C$9*ATM_Conf!$C$5/(ATM_Conf!$C$8*Links!AD$191))*(Nodes!CA102-Links!AD102)/(Links!AD102/ATM_Conf!$C$10)</f>
        <v>#DIV/0!</v>
      </c>
      <c r="AT103" s="45" t="e">
        <f>AT102+(ATM_Conf!$C$5/ATM_Conf!$C$8)*(Links!BI102*EXP((-(Links!AE102/Links!BX102)^Links!CM102)/Links!CM102)-Links!AT102)+(ATM_Conf!$C$5/Links!AE$191)*Links!AT102*(Nodes!BN102-Links!AT102)</f>
        <v>#DIV/0!</v>
      </c>
      <c r="AU103" s="55"/>
      <c r="AV103" s="55"/>
      <c r="AW103" s="55"/>
      <c r="AX103" s="55"/>
      <c r="AY103" s="55"/>
      <c r="AZ103" s="55"/>
      <c r="BA103" s="55"/>
      <c r="BB103" s="55"/>
      <c r="BC103" s="55"/>
      <c r="BD103" s="55"/>
      <c r="BE103" s="55"/>
      <c r="BF103" s="55"/>
      <c r="BG103" s="55"/>
      <c r="BH103" s="55"/>
      <c r="BI103" s="55"/>
      <c r="BJ103" s="45"/>
      <c r="BK103" s="45"/>
      <c r="BL103" s="45"/>
      <c r="BM103" s="45"/>
      <c r="BN103" s="45"/>
      <c r="BO103" s="45"/>
      <c r="BP103" s="45"/>
      <c r="BQ103" s="45"/>
      <c r="BR103" s="45"/>
      <c r="BS103" s="45"/>
      <c r="BT103" s="45"/>
      <c r="BU103" s="45"/>
      <c r="BV103" s="45"/>
      <c r="BW103" s="45"/>
      <c r="BX103" s="45"/>
      <c r="BY103" s="55"/>
      <c r="BZ103" s="55"/>
      <c r="CA103" s="55"/>
      <c r="CB103" s="55"/>
      <c r="CC103" s="55"/>
      <c r="CD103" s="55"/>
      <c r="CE103" s="55"/>
      <c r="CF103" s="55"/>
      <c r="CG103" s="55"/>
      <c r="CH103" s="55"/>
      <c r="CI103" s="55"/>
      <c r="CJ103" s="55"/>
      <c r="CK103" s="55"/>
      <c r="CL103" s="55"/>
      <c r="CM103" s="55"/>
      <c r="CN103" s="45">
        <f t="shared" si="57"/>
        <v>0</v>
      </c>
      <c r="CO103" s="45">
        <f t="shared" si="57"/>
        <v>0</v>
      </c>
      <c r="CP103" s="45">
        <f t="shared" si="57"/>
        <v>0</v>
      </c>
      <c r="CQ103" s="45">
        <f t="shared" si="57"/>
        <v>0</v>
      </c>
      <c r="CR103" s="45">
        <f t="shared" si="57"/>
        <v>0</v>
      </c>
      <c r="CS103" s="45">
        <f t="shared" si="57"/>
        <v>0</v>
      </c>
      <c r="CT103" s="45">
        <f t="shared" si="57"/>
        <v>0</v>
      </c>
      <c r="CU103" s="45">
        <f t="shared" si="57"/>
        <v>0</v>
      </c>
      <c r="CV103" s="45">
        <f t="shared" si="57"/>
        <v>0</v>
      </c>
      <c r="CW103" s="45">
        <f t="shared" si="57"/>
        <v>0</v>
      </c>
      <c r="CX103" s="45">
        <f t="shared" si="57"/>
        <v>0</v>
      </c>
      <c r="CY103" s="45">
        <f t="shared" si="57"/>
        <v>0</v>
      </c>
      <c r="CZ103" s="45">
        <f t="shared" si="57"/>
        <v>0</v>
      </c>
      <c r="DA103" s="45">
        <f t="shared" si="57"/>
        <v>0</v>
      </c>
      <c r="DB103" s="45">
        <f t="shared" si="57"/>
        <v>0</v>
      </c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</row>
    <row r="104" spans="1:121" ht="14.25" x14ac:dyDescent="0.15">
      <c r="A104" s="48">
        <v>102</v>
      </c>
      <c r="B104" s="45" t="e">
        <f t="shared" si="34"/>
        <v>#DIV/0!</v>
      </c>
      <c r="C104" s="45" t="e">
        <f t="shared" si="35"/>
        <v>#DIV/0!</v>
      </c>
      <c r="D104" s="45" t="e">
        <f t="shared" si="36"/>
        <v>#DIV/0!</v>
      </c>
      <c r="E104" s="45" t="e">
        <f t="shared" si="37"/>
        <v>#DIV/0!</v>
      </c>
      <c r="F104" s="45" t="e">
        <f t="shared" si="38"/>
        <v>#DIV/0!</v>
      </c>
      <c r="G104" s="45" t="e">
        <f t="shared" si="39"/>
        <v>#DIV/0!</v>
      </c>
      <c r="H104" s="45" t="e">
        <f t="shared" si="40"/>
        <v>#DIV/0!</v>
      </c>
      <c r="I104" s="45" t="e">
        <f t="shared" si="41"/>
        <v>#DIV/0!</v>
      </c>
      <c r="J104" s="45" t="e">
        <f t="shared" si="42"/>
        <v>#DIV/0!</v>
      </c>
      <c r="K104" s="45" t="e">
        <f t="shared" si="43"/>
        <v>#DIV/0!</v>
      </c>
      <c r="L104" s="45" t="e">
        <f t="shared" si="44"/>
        <v>#DIV/0!</v>
      </c>
      <c r="M104" s="45" t="e">
        <f t="shared" si="45"/>
        <v>#DIV/0!</v>
      </c>
      <c r="N104" s="45" t="e">
        <f t="shared" si="46"/>
        <v>#DIV/0!</v>
      </c>
      <c r="O104" s="45" t="e">
        <f t="shared" si="47"/>
        <v>#DIV/0!</v>
      </c>
      <c r="P104" s="45" t="e">
        <f t="shared" si="48"/>
        <v>#DIV/0!</v>
      </c>
      <c r="Q104" s="55" t="e">
        <f>Q103+ATM_Conf!$C$5*(B103)/(Links!B$191*Links!Q$191)</f>
        <v>#DIV/0!</v>
      </c>
      <c r="R104" s="55" t="e">
        <f>R103+ATM_Conf!$C$5*(C103-B103)/(Links!C$191*Links!R$191)</f>
        <v>#DIV/0!</v>
      </c>
      <c r="S104" s="55" t="e">
        <f>S103+ATM_Conf!$C$5*(D103-C103)/(Links!D$191*Links!S$191)</f>
        <v>#DIV/0!</v>
      </c>
      <c r="T104" s="55" t="e">
        <f>T103+ATM_Conf!$C$5*(E103-D103)/(Links!E$191*Links!T$191)</f>
        <v>#DIV/0!</v>
      </c>
      <c r="U104" s="55" t="e">
        <f>U103+ATM_Conf!$C$5*(F103-E103)/(Links!F$191*Links!U$191)</f>
        <v>#DIV/0!</v>
      </c>
      <c r="V104" s="55" t="e">
        <f>V103+ATM_Conf!$C$5*(G103-F103)/(Links!G$191*Links!V$191)</f>
        <v>#DIV/0!</v>
      </c>
      <c r="W104" s="55" t="e">
        <f>W103+ATM_Conf!$C$5*(H103-G103)/(Links!H$191*Links!W$191)</f>
        <v>#DIV/0!</v>
      </c>
      <c r="X104" s="55" t="e">
        <f>X103+ATM_Conf!$C$5*(I103-H103)/(Links!I$191*Links!X$191)</f>
        <v>#DIV/0!</v>
      </c>
      <c r="Y104" s="55" t="e">
        <f>Y103+ATM_Conf!$C$5*(J103)/(Links!J$191*Links!Y$191)</f>
        <v>#DIV/0!</v>
      </c>
      <c r="Z104" s="55" t="e">
        <f>Z103+ATM_Conf!$C$5*(K103-J103)/(Links!K$191*Links!Z$191)</f>
        <v>#DIV/0!</v>
      </c>
      <c r="AA104" s="55" t="e">
        <f>AA103+ATM_Conf!$C$5*(L103-K103)/(Links!L$191*Links!AA$191)</f>
        <v>#DIV/0!</v>
      </c>
      <c r="AB104" s="55" t="e">
        <f>AB103+ATM_Conf!$C$5*(M103-L103)/(Links!M$191*Links!AB$191)</f>
        <v>#DIV/0!</v>
      </c>
      <c r="AC104" s="55" t="e">
        <f>AC103+ATM_Conf!$C$5*(N103-M103)/(Links!N$191*Links!AC$191)</f>
        <v>#DIV/0!</v>
      </c>
      <c r="AD104" s="55" t="e">
        <f>AD103+ATM_Conf!$C$5*(O103-N103)/(Links!O$191*Links!AD$191)</f>
        <v>#DIV/0!</v>
      </c>
      <c r="AE104" s="55" t="e">
        <f>AE103+ATM_Conf!$C$5*(P103-O103)/(Links!P$191*Links!AE$191)</f>
        <v>#DIV/0!</v>
      </c>
      <c r="AF104" s="45" t="e">
        <f>AF103+(ATM_Conf!$C$5/ATM_Conf!$C$8)*(Links!AU103*EXP((-(Links!Q103/Links!BJ103)^Links!BY103)/Links!BY103)-Links!AF103)-(ATM_Conf!$C$9*ATM_Conf!$C$5/(ATM_Conf!$C$8*Links!Q$191))*(Nodes!BO103-Links!Q103)/(Links!Q103/ATM_Conf!$C$10)</f>
        <v>#DIV/0!</v>
      </c>
      <c r="AG104" s="45" t="e">
        <f>AG103+(ATM_Conf!$C$5/ATM_Conf!$C$8)*(Links!AV103*EXP((-(Links!R103/Links!BK103)^Links!BZ103)/Links!BZ103)-Links!AG103)+(ATM_Conf!$C$5/Links!R$191)*Links!AG103*(Nodes!BB103-Links!AG103)-(ATM_Conf!$C$9*ATM_Conf!$C$5/(ATM_Conf!$C$8*Links!R$191))*(Nodes!BP103-Links!R103)/(Links!R103/ATM_Conf!$C$10)</f>
        <v>#DIV/0!</v>
      </c>
      <c r="AH104" s="45" t="e">
        <f>AH103+(ATM_Conf!$C$5/ATM_Conf!$C$8)*(Links!AW103*EXP((-(Links!S103/Links!BL103)^Links!CA103)/Links!CA103)-Links!AH103)+(ATM_Conf!$C$5/Links!S$191)*Links!AH103*(Nodes!BC103-Links!AH103)-(ATM_Conf!$C$9*ATM_Conf!$C$5/(ATM_Conf!$C$8*Links!S$191))*(Nodes!BQ103-Links!S103)/(Links!S103/ATM_Conf!$C$10)</f>
        <v>#DIV/0!</v>
      </c>
      <c r="AI104" s="45" t="e">
        <f>AI103+(ATM_Conf!$C$5/ATM_Conf!$C$8)*(Links!AX103*EXP((-(Links!T103/Links!BM103)^Links!CB103)/Links!CB103)-Links!AI103)+(ATM_Conf!$C$5/Links!T$191)*Links!AI103*(Nodes!BD103-Links!AI103)-(ATM_Conf!$C$9*ATM_Conf!$C$5/(ATM_Conf!$C$8*Links!T$191))*(Nodes!BR103-Links!T103)/(Links!T103/ATM_Conf!$C$10)</f>
        <v>#DIV/0!</v>
      </c>
      <c r="AJ104" s="45" t="e">
        <f>AJ103+(ATM_Conf!$C$5/ATM_Conf!$C$8)*(Links!AY103*EXP((-(Links!U103/Links!BN103)^Links!CC103)/Links!CC103)-Links!AJ103)+(ATM_Conf!$C$5/Links!U$191)*Links!AJ103*(Nodes!BE103-Links!AJ103)-(ATM_Conf!$C$9*ATM_Conf!$C$5/(ATM_Conf!$C$8*Links!U$191))*(Nodes!BS103-Links!U103)/(Links!U103/ATM_Conf!$C$10)</f>
        <v>#DIV/0!</v>
      </c>
      <c r="AK104" s="45" t="e">
        <f>AK103+(ATM_Conf!$C$5/ATM_Conf!$C$8)*(Links!AZ103*EXP((-(Links!V103/Links!BO103)^Links!CD103)/Links!CD103)-Links!AK103)+(ATM_Conf!$C$5/Links!V$191)*Links!AK103*(Nodes!BF103-Links!AK103)-(ATM_Conf!$C$9*ATM_Conf!$C$5/(ATM_Conf!$C$8*Links!V$191))*(Nodes!BT103-Links!V103)/(Links!V103/ATM_Conf!$C$10)</f>
        <v>#DIV/0!</v>
      </c>
      <c r="AL104" s="45" t="e">
        <f>AL103+(ATM_Conf!$C$5/ATM_Conf!$C$8)*(Links!BA103*EXP((-(Links!W103/Links!BP103)^Links!CE103)/Links!CE103)-Links!AL103)+(ATM_Conf!$C$5/Links!W$191)*Links!AL103*(Nodes!BG103-Links!AL103)-(ATM_Conf!$C$9*ATM_Conf!$C$5/(ATM_Conf!$C$8*Links!W$191))*(Nodes!BU103-Links!W103)/(Links!W103/ATM_Conf!$C$10)</f>
        <v>#DIV/0!</v>
      </c>
      <c r="AM104" s="45" t="e">
        <f>AM103+(ATM_Conf!$C$5/ATM_Conf!$C$8)*(Links!BB103*EXP((-(Links!X103/Links!BQ103)^Links!CF103)/Links!CF103)-Links!AM103)+(ATM_Conf!$C$5/Links!X$191)*Links!AM103*(Nodes!BH103-Links!AM103)</f>
        <v>#DIV/0!</v>
      </c>
      <c r="AN104" s="45" t="e">
        <f>AN103+(ATM_Conf!$C$5/ATM_Conf!$C$8)*(Links!BC103*EXP((-(Links!Y103/Links!BR103)^Links!CG103)/Links!CG103)-Links!AN103)-(ATM_Conf!$C$9*ATM_Conf!$C$5/(ATM_Conf!$C$8*Links!Y$191))*(Nodes!BV103-Links!Y103)/(Links!Y103/ATM_Conf!$C$10)</f>
        <v>#DIV/0!</v>
      </c>
      <c r="AO104" s="45" t="e">
        <f>AO103+(ATM_Conf!$C$5/ATM_Conf!$C$8)*(Links!BD103*EXP((-(Links!Z103/Links!BS103)^Links!CH103)/Links!CH103)-Links!AO103)+(ATM_Conf!$C$5/Links!Z$191)*Links!AO103*(Nodes!BI103-Links!AO103)-(ATM_Conf!$C$9*ATM_Conf!$C$5/(ATM_Conf!$C$8*Links!Z$191))*(Nodes!BW103-Links!Z103)/(Links!Z103/ATM_Conf!$C$10)</f>
        <v>#DIV/0!</v>
      </c>
      <c r="AP104" s="45" t="e">
        <f>AP103+(ATM_Conf!$C$5/ATM_Conf!$C$8)*(Links!BE103*EXP((-(Links!AA103/Links!BT103)^Links!CI103)/Links!CI103)-Links!AP103)+(ATM_Conf!$C$5/Links!AA$191)*Links!AP103*(Nodes!BJ103-Links!AP103)-(ATM_Conf!$C$9*ATM_Conf!$C$5/(ATM_Conf!$C$8*Links!AA$191))*(Nodes!BX103-Links!AA103)/(Links!AA103/ATM_Conf!$C$10)</f>
        <v>#DIV/0!</v>
      </c>
      <c r="AQ104" s="45" t="e">
        <f>AQ103+(ATM_Conf!$C$5/ATM_Conf!$C$8)*(Links!BF103*EXP((-(Links!AB103/Links!BU103)^Links!CJ103)/Links!CJ103)-Links!AQ103)+(ATM_Conf!$C$5/Links!AB$191)*Links!AQ103*(Nodes!BK103-Links!AQ103)-(ATM_Conf!$C$9*ATM_Conf!$C$5/(ATM_Conf!$C$8*Links!AB$191))*(Nodes!BY103-Links!AB103)/(Links!AB103/ATM_Conf!$C$10)</f>
        <v>#DIV/0!</v>
      </c>
      <c r="AR104" s="45" t="e">
        <f>AR103+(ATM_Conf!$C$5/ATM_Conf!$C$8)*(Links!BG103*EXP((-(Links!AC103/Links!BV103)^Links!CK103)/Links!CK103)-Links!AR103)+(ATM_Conf!$C$5/Links!AC$191)*Links!AR103*(Nodes!BL103-Links!AR103)-(ATM_Conf!$C$9*ATM_Conf!$C$5/(ATM_Conf!$C$8*Links!AC$191))*(Nodes!BZ103-Links!AC103)/(Links!AC103/ATM_Conf!$C$10)</f>
        <v>#DIV/0!</v>
      </c>
      <c r="AS104" s="45" t="e">
        <f>AS103+(ATM_Conf!$C$5/ATM_Conf!$C$8)*(Links!BH103*EXP((-(Links!AD103/Links!BW103)^Links!CL103)/Links!CL103)-Links!AS103)+(ATM_Conf!$C$5/Links!AD$191)*Links!AS103*(Nodes!BM103-Links!AS103)-(ATM_Conf!$C$9*ATM_Conf!$C$5/(ATM_Conf!$C$8*Links!AD$191))*(Nodes!CA103-Links!AD103)/(Links!AD103/ATM_Conf!$C$10)</f>
        <v>#DIV/0!</v>
      </c>
      <c r="AT104" s="45" t="e">
        <f>AT103+(ATM_Conf!$C$5/ATM_Conf!$C$8)*(Links!BI103*EXP((-(Links!AE103/Links!BX103)^Links!CM103)/Links!CM103)-Links!AT103)+(ATM_Conf!$C$5/Links!AE$191)*Links!AT103*(Nodes!BN103-Links!AT103)</f>
        <v>#DIV/0!</v>
      </c>
      <c r="AU104" s="55"/>
      <c r="AV104" s="55"/>
      <c r="AW104" s="55"/>
      <c r="AX104" s="55"/>
      <c r="AY104" s="55"/>
      <c r="AZ104" s="55"/>
      <c r="BA104" s="55"/>
      <c r="BB104" s="55"/>
      <c r="BC104" s="55"/>
      <c r="BD104" s="55"/>
      <c r="BE104" s="55"/>
      <c r="BF104" s="55"/>
      <c r="BG104" s="55"/>
      <c r="BH104" s="55"/>
      <c r="BI104" s="5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55"/>
      <c r="BZ104" s="55"/>
      <c r="CA104" s="55"/>
      <c r="CB104" s="55"/>
      <c r="CC104" s="55"/>
      <c r="CD104" s="55"/>
      <c r="CE104" s="55"/>
      <c r="CF104" s="55"/>
      <c r="CG104" s="55"/>
      <c r="CH104" s="55"/>
      <c r="CI104" s="55"/>
      <c r="CJ104" s="55"/>
      <c r="CK104" s="55"/>
      <c r="CL104" s="55"/>
      <c r="CM104" s="55"/>
      <c r="CN104" s="45">
        <f t="shared" si="57"/>
        <v>0</v>
      </c>
      <c r="CO104" s="45">
        <f t="shared" si="57"/>
        <v>0</v>
      </c>
      <c r="CP104" s="45">
        <f t="shared" si="57"/>
        <v>0</v>
      </c>
      <c r="CQ104" s="45">
        <f t="shared" si="57"/>
        <v>0</v>
      </c>
      <c r="CR104" s="45">
        <f t="shared" si="57"/>
        <v>0</v>
      </c>
      <c r="CS104" s="45">
        <f t="shared" si="57"/>
        <v>0</v>
      </c>
      <c r="CT104" s="45">
        <f t="shared" si="57"/>
        <v>0</v>
      </c>
      <c r="CU104" s="45">
        <f t="shared" si="57"/>
        <v>0</v>
      </c>
      <c r="CV104" s="45">
        <f t="shared" si="57"/>
        <v>0</v>
      </c>
      <c r="CW104" s="45">
        <f t="shared" si="57"/>
        <v>0</v>
      </c>
      <c r="CX104" s="45">
        <f t="shared" si="57"/>
        <v>0</v>
      </c>
      <c r="CY104" s="45">
        <f t="shared" si="57"/>
        <v>0</v>
      </c>
      <c r="CZ104" s="45">
        <f t="shared" si="57"/>
        <v>0</v>
      </c>
      <c r="DA104" s="45">
        <f t="shared" si="57"/>
        <v>0</v>
      </c>
      <c r="DB104" s="45">
        <f t="shared" si="57"/>
        <v>0</v>
      </c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</row>
    <row r="105" spans="1:121" ht="14.25" x14ac:dyDescent="0.15">
      <c r="A105" s="48">
        <v>103</v>
      </c>
      <c r="B105" s="45" t="e">
        <f t="shared" si="34"/>
        <v>#DIV/0!</v>
      </c>
      <c r="C105" s="45" t="e">
        <f t="shared" si="35"/>
        <v>#DIV/0!</v>
      </c>
      <c r="D105" s="45" t="e">
        <f t="shared" si="36"/>
        <v>#DIV/0!</v>
      </c>
      <c r="E105" s="45" t="e">
        <f t="shared" si="37"/>
        <v>#DIV/0!</v>
      </c>
      <c r="F105" s="45" t="e">
        <f t="shared" si="38"/>
        <v>#DIV/0!</v>
      </c>
      <c r="G105" s="45" t="e">
        <f t="shared" si="39"/>
        <v>#DIV/0!</v>
      </c>
      <c r="H105" s="45" t="e">
        <f t="shared" si="40"/>
        <v>#DIV/0!</v>
      </c>
      <c r="I105" s="45" t="e">
        <f t="shared" si="41"/>
        <v>#DIV/0!</v>
      </c>
      <c r="J105" s="45" t="e">
        <f t="shared" si="42"/>
        <v>#DIV/0!</v>
      </c>
      <c r="K105" s="45" t="e">
        <f t="shared" si="43"/>
        <v>#DIV/0!</v>
      </c>
      <c r="L105" s="45" t="e">
        <f t="shared" si="44"/>
        <v>#DIV/0!</v>
      </c>
      <c r="M105" s="45" t="e">
        <f t="shared" si="45"/>
        <v>#DIV/0!</v>
      </c>
      <c r="N105" s="45" t="e">
        <f t="shared" si="46"/>
        <v>#DIV/0!</v>
      </c>
      <c r="O105" s="45" t="e">
        <f t="shared" si="47"/>
        <v>#DIV/0!</v>
      </c>
      <c r="P105" s="45" t="e">
        <f t="shared" si="48"/>
        <v>#DIV/0!</v>
      </c>
      <c r="Q105" s="55" t="e">
        <f>Q104+ATM_Conf!$C$5*(B104)/(Links!B$191*Links!Q$191)</f>
        <v>#DIV/0!</v>
      </c>
      <c r="R105" s="55" t="e">
        <f>R104+ATM_Conf!$C$5*(C104-B104)/(Links!C$191*Links!R$191)</f>
        <v>#DIV/0!</v>
      </c>
      <c r="S105" s="55" t="e">
        <f>S104+ATM_Conf!$C$5*(D104-C104)/(Links!D$191*Links!S$191)</f>
        <v>#DIV/0!</v>
      </c>
      <c r="T105" s="55" t="e">
        <f>T104+ATM_Conf!$C$5*(E104-D104)/(Links!E$191*Links!T$191)</f>
        <v>#DIV/0!</v>
      </c>
      <c r="U105" s="55" t="e">
        <f>U104+ATM_Conf!$C$5*(F104-E104)/(Links!F$191*Links!U$191)</f>
        <v>#DIV/0!</v>
      </c>
      <c r="V105" s="55" t="e">
        <f>V104+ATM_Conf!$C$5*(G104-F104)/(Links!G$191*Links!V$191)</f>
        <v>#DIV/0!</v>
      </c>
      <c r="W105" s="55" t="e">
        <f>W104+ATM_Conf!$C$5*(H104-G104)/(Links!H$191*Links!W$191)</f>
        <v>#DIV/0!</v>
      </c>
      <c r="X105" s="55" t="e">
        <f>X104+ATM_Conf!$C$5*(I104-H104)/(Links!I$191*Links!X$191)</f>
        <v>#DIV/0!</v>
      </c>
      <c r="Y105" s="55" t="e">
        <f>Y104+ATM_Conf!$C$5*(J104)/(Links!J$191*Links!Y$191)</f>
        <v>#DIV/0!</v>
      </c>
      <c r="Z105" s="55" t="e">
        <f>Z104+ATM_Conf!$C$5*(K104-J104)/(Links!K$191*Links!Z$191)</f>
        <v>#DIV/0!</v>
      </c>
      <c r="AA105" s="55" t="e">
        <f>AA104+ATM_Conf!$C$5*(L104-K104)/(Links!L$191*Links!AA$191)</f>
        <v>#DIV/0!</v>
      </c>
      <c r="AB105" s="55" t="e">
        <f>AB104+ATM_Conf!$C$5*(M104-L104)/(Links!M$191*Links!AB$191)</f>
        <v>#DIV/0!</v>
      </c>
      <c r="AC105" s="55" t="e">
        <f>AC104+ATM_Conf!$C$5*(N104-M104)/(Links!N$191*Links!AC$191)</f>
        <v>#DIV/0!</v>
      </c>
      <c r="AD105" s="55" t="e">
        <f>AD104+ATM_Conf!$C$5*(O104-N104)/(Links!O$191*Links!AD$191)</f>
        <v>#DIV/0!</v>
      </c>
      <c r="AE105" s="55" t="e">
        <f>AE104+ATM_Conf!$C$5*(P104-O104)/(Links!P$191*Links!AE$191)</f>
        <v>#DIV/0!</v>
      </c>
      <c r="AF105" s="45" t="e">
        <f>AF104+(ATM_Conf!$C$5/ATM_Conf!$C$8)*(Links!AU104*EXP((-(Links!Q104/Links!BJ104)^Links!BY104)/Links!BY104)-Links!AF104)-(ATM_Conf!$C$9*ATM_Conf!$C$5/(ATM_Conf!$C$8*Links!Q$191))*(Nodes!BO104-Links!Q104)/(Links!Q104/ATM_Conf!$C$10)</f>
        <v>#DIV/0!</v>
      </c>
      <c r="AG105" s="45" t="e">
        <f>AG104+(ATM_Conf!$C$5/ATM_Conf!$C$8)*(Links!AV104*EXP((-(Links!R104/Links!BK104)^Links!BZ104)/Links!BZ104)-Links!AG104)+(ATM_Conf!$C$5/Links!R$191)*Links!AG104*(Nodes!BB104-Links!AG104)-(ATM_Conf!$C$9*ATM_Conf!$C$5/(ATM_Conf!$C$8*Links!R$191))*(Nodes!BP104-Links!R104)/(Links!R104/ATM_Conf!$C$10)</f>
        <v>#DIV/0!</v>
      </c>
      <c r="AH105" s="45" t="e">
        <f>AH104+(ATM_Conf!$C$5/ATM_Conf!$C$8)*(Links!AW104*EXP((-(Links!S104/Links!BL104)^Links!CA104)/Links!CA104)-Links!AH104)+(ATM_Conf!$C$5/Links!S$191)*Links!AH104*(Nodes!BC104-Links!AH104)-(ATM_Conf!$C$9*ATM_Conf!$C$5/(ATM_Conf!$C$8*Links!S$191))*(Nodes!BQ104-Links!S104)/(Links!S104/ATM_Conf!$C$10)</f>
        <v>#DIV/0!</v>
      </c>
      <c r="AI105" s="45" t="e">
        <f>AI104+(ATM_Conf!$C$5/ATM_Conf!$C$8)*(Links!AX104*EXP((-(Links!T104/Links!BM104)^Links!CB104)/Links!CB104)-Links!AI104)+(ATM_Conf!$C$5/Links!T$191)*Links!AI104*(Nodes!BD104-Links!AI104)-(ATM_Conf!$C$9*ATM_Conf!$C$5/(ATM_Conf!$C$8*Links!T$191))*(Nodes!BR104-Links!T104)/(Links!T104/ATM_Conf!$C$10)</f>
        <v>#DIV/0!</v>
      </c>
      <c r="AJ105" s="45" t="e">
        <f>AJ104+(ATM_Conf!$C$5/ATM_Conf!$C$8)*(Links!AY104*EXP((-(Links!U104/Links!BN104)^Links!CC104)/Links!CC104)-Links!AJ104)+(ATM_Conf!$C$5/Links!U$191)*Links!AJ104*(Nodes!BE104-Links!AJ104)-(ATM_Conf!$C$9*ATM_Conf!$C$5/(ATM_Conf!$C$8*Links!U$191))*(Nodes!BS104-Links!U104)/(Links!U104/ATM_Conf!$C$10)</f>
        <v>#DIV/0!</v>
      </c>
      <c r="AK105" s="45" t="e">
        <f>AK104+(ATM_Conf!$C$5/ATM_Conf!$C$8)*(Links!AZ104*EXP((-(Links!V104/Links!BO104)^Links!CD104)/Links!CD104)-Links!AK104)+(ATM_Conf!$C$5/Links!V$191)*Links!AK104*(Nodes!BF104-Links!AK104)-(ATM_Conf!$C$9*ATM_Conf!$C$5/(ATM_Conf!$C$8*Links!V$191))*(Nodes!BT104-Links!V104)/(Links!V104/ATM_Conf!$C$10)</f>
        <v>#DIV/0!</v>
      </c>
      <c r="AL105" s="45" t="e">
        <f>AL104+(ATM_Conf!$C$5/ATM_Conf!$C$8)*(Links!BA104*EXP((-(Links!W104/Links!BP104)^Links!CE104)/Links!CE104)-Links!AL104)+(ATM_Conf!$C$5/Links!W$191)*Links!AL104*(Nodes!BG104-Links!AL104)-(ATM_Conf!$C$9*ATM_Conf!$C$5/(ATM_Conf!$C$8*Links!W$191))*(Nodes!BU104-Links!W104)/(Links!W104/ATM_Conf!$C$10)</f>
        <v>#DIV/0!</v>
      </c>
      <c r="AM105" s="45" t="e">
        <f>AM104+(ATM_Conf!$C$5/ATM_Conf!$C$8)*(Links!BB104*EXP((-(Links!X104/Links!BQ104)^Links!CF104)/Links!CF104)-Links!AM104)+(ATM_Conf!$C$5/Links!X$191)*Links!AM104*(Nodes!BH104-Links!AM104)</f>
        <v>#DIV/0!</v>
      </c>
      <c r="AN105" s="45" t="e">
        <f>AN104+(ATM_Conf!$C$5/ATM_Conf!$C$8)*(Links!BC104*EXP((-(Links!Y104/Links!BR104)^Links!CG104)/Links!CG104)-Links!AN104)-(ATM_Conf!$C$9*ATM_Conf!$C$5/(ATM_Conf!$C$8*Links!Y$191))*(Nodes!BV104-Links!Y104)/(Links!Y104/ATM_Conf!$C$10)</f>
        <v>#DIV/0!</v>
      </c>
      <c r="AO105" s="45" t="e">
        <f>AO104+(ATM_Conf!$C$5/ATM_Conf!$C$8)*(Links!BD104*EXP((-(Links!Z104/Links!BS104)^Links!CH104)/Links!CH104)-Links!AO104)+(ATM_Conf!$C$5/Links!Z$191)*Links!AO104*(Nodes!BI104-Links!AO104)-(ATM_Conf!$C$9*ATM_Conf!$C$5/(ATM_Conf!$C$8*Links!Z$191))*(Nodes!BW104-Links!Z104)/(Links!Z104/ATM_Conf!$C$10)</f>
        <v>#DIV/0!</v>
      </c>
      <c r="AP105" s="45" t="e">
        <f>AP104+(ATM_Conf!$C$5/ATM_Conf!$C$8)*(Links!BE104*EXP((-(Links!AA104/Links!BT104)^Links!CI104)/Links!CI104)-Links!AP104)+(ATM_Conf!$C$5/Links!AA$191)*Links!AP104*(Nodes!BJ104-Links!AP104)-(ATM_Conf!$C$9*ATM_Conf!$C$5/(ATM_Conf!$C$8*Links!AA$191))*(Nodes!BX104-Links!AA104)/(Links!AA104/ATM_Conf!$C$10)</f>
        <v>#DIV/0!</v>
      </c>
      <c r="AQ105" s="45" t="e">
        <f>AQ104+(ATM_Conf!$C$5/ATM_Conf!$C$8)*(Links!BF104*EXP((-(Links!AB104/Links!BU104)^Links!CJ104)/Links!CJ104)-Links!AQ104)+(ATM_Conf!$C$5/Links!AB$191)*Links!AQ104*(Nodes!BK104-Links!AQ104)-(ATM_Conf!$C$9*ATM_Conf!$C$5/(ATM_Conf!$C$8*Links!AB$191))*(Nodes!BY104-Links!AB104)/(Links!AB104/ATM_Conf!$C$10)</f>
        <v>#DIV/0!</v>
      </c>
      <c r="AR105" s="45" t="e">
        <f>AR104+(ATM_Conf!$C$5/ATM_Conf!$C$8)*(Links!BG104*EXP((-(Links!AC104/Links!BV104)^Links!CK104)/Links!CK104)-Links!AR104)+(ATM_Conf!$C$5/Links!AC$191)*Links!AR104*(Nodes!BL104-Links!AR104)-(ATM_Conf!$C$9*ATM_Conf!$C$5/(ATM_Conf!$C$8*Links!AC$191))*(Nodes!BZ104-Links!AC104)/(Links!AC104/ATM_Conf!$C$10)</f>
        <v>#DIV/0!</v>
      </c>
      <c r="AS105" s="45" t="e">
        <f>AS104+(ATM_Conf!$C$5/ATM_Conf!$C$8)*(Links!BH104*EXP((-(Links!AD104/Links!BW104)^Links!CL104)/Links!CL104)-Links!AS104)+(ATM_Conf!$C$5/Links!AD$191)*Links!AS104*(Nodes!BM104-Links!AS104)-(ATM_Conf!$C$9*ATM_Conf!$C$5/(ATM_Conf!$C$8*Links!AD$191))*(Nodes!CA104-Links!AD104)/(Links!AD104/ATM_Conf!$C$10)</f>
        <v>#DIV/0!</v>
      </c>
      <c r="AT105" s="45" t="e">
        <f>AT104+(ATM_Conf!$C$5/ATM_Conf!$C$8)*(Links!BI104*EXP((-(Links!AE104/Links!BX104)^Links!CM104)/Links!CM104)-Links!AT104)+(ATM_Conf!$C$5/Links!AE$191)*Links!AT104*(Nodes!BN104-Links!AT104)</f>
        <v>#DIV/0!</v>
      </c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45"/>
      <c r="BK105" s="45"/>
      <c r="BL105" s="45"/>
      <c r="BM105" s="45"/>
      <c r="BN105" s="45"/>
      <c r="BO105" s="45"/>
      <c r="BP105" s="45"/>
      <c r="BQ105" s="45"/>
      <c r="BR105" s="45"/>
      <c r="BS105" s="45"/>
      <c r="BT105" s="45"/>
      <c r="BU105" s="45"/>
      <c r="BV105" s="45"/>
      <c r="BW105" s="45"/>
      <c r="BX105" s="45"/>
      <c r="BY105" s="55"/>
      <c r="BZ105" s="55"/>
      <c r="CA105" s="55"/>
      <c r="CB105" s="55"/>
      <c r="CC105" s="55"/>
      <c r="CD105" s="55"/>
      <c r="CE105" s="55"/>
      <c r="CF105" s="55"/>
      <c r="CG105" s="55"/>
      <c r="CH105" s="55"/>
      <c r="CI105" s="55"/>
      <c r="CJ105" s="55"/>
      <c r="CK105" s="55"/>
      <c r="CL105" s="55"/>
      <c r="CM105" s="55"/>
      <c r="CN105" s="45">
        <f t="shared" si="57"/>
        <v>0</v>
      </c>
      <c r="CO105" s="45">
        <f t="shared" si="57"/>
        <v>0</v>
      </c>
      <c r="CP105" s="45">
        <f t="shared" si="57"/>
        <v>0</v>
      </c>
      <c r="CQ105" s="45">
        <f t="shared" si="57"/>
        <v>0</v>
      </c>
      <c r="CR105" s="45">
        <f t="shared" si="57"/>
        <v>0</v>
      </c>
      <c r="CS105" s="45">
        <f t="shared" si="57"/>
        <v>0</v>
      </c>
      <c r="CT105" s="45">
        <f t="shared" si="57"/>
        <v>0</v>
      </c>
      <c r="CU105" s="45">
        <f t="shared" si="57"/>
        <v>0</v>
      </c>
      <c r="CV105" s="45">
        <f t="shared" si="57"/>
        <v>0</v>
      </c>
      <c r="CW105" s="45">
        <f t="shared" si="57"/>
        <v>0</v>
      </c>
      <c r="CX105" s="45">
        <f t="shared" si="57"/>
        <v>0</v>
      </c>
      <c r="CY105" s="45">
        <f t="shared" si="57"/>
        <v>0</v>
      </c>
      <c r="CZ105" s="45">
        <f t="shared" si="57"/>
        <v>0</v>
      </c>
      <c r="DA105" s="45">
        <f t="shared" si="57"/>
        <v>0</v>
      </c>
      <c r="DB105" s="45">
        <f t="shared" si="57"/>
        <v>0</v>
      </c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</row>
    <row r="106" spans="1:121" ht="14.25" x14ac:dyDescent="0.15">
      <c r="A106" s="48">
        <v>104</v>
      </c>
      <c r="B106" s="45" t="e">
        <f t="shared" si="34"/>
        <v>#DIV/0!</v>
      </c>
      <c r="C106" s="45" t="e">
        <f t="shared" si="35"/>
        <v>#DIV/0!</v>
      </c>
      <c r="D106" s="45" t="e">
        <f t="shared" si="36"/>
        <v>#DIV/0!</v>
      </c>
      <c r="E106" s="45" t="e">
        <f t="shared" si="37"/>
        <v>#DIV/0!</v>
      </c>
      <c r="F106" s="45" t="e">
        <f t="shared" si="38"/>
        <v>#DIV/0!</v>
      </c>
      <c r="G106" s="45" t="e">
        <f t="shared" si="39"/>
        <v>#DIV/0!</v>
      </c>
      <c r="H106" s="45" t="e">
        <f t="shared" si="40"/>
        <v>#DIV/0!</v>
      </c>
      <c r="I106" s="45" t="e">
        <f t="shared" si="41"/>
        <v>#DIV/0!</v>
      </c>
      <c r="J106" s="45" t="e">
        <f t="shared" si="42"/>
        <v>#DIV/0!</v>
      </c>
      <c r="K106" s="45" t="e">
        <f t="shared" si="43"/>
        <v>#DIV/0!</v>
      </c>
      <c r="L106" s="45" t="e">
        <f t="shared" si="44"/>
        <v>#DIV/0!</v>
      </c>
      <c r="M106" s="45" t="e">
        <f t="shared" si="45"/>
        <v>#DIV/0!</v>
      </c>
      <c r="N106" s="45" t="e">
        <f t="shared" si="46"/>
        <v>#DIV/0!</v>
      </c>
      <c r="O106" s="45" t="e">
        <f t="shared" si="47"/>
        <v>#DIV/0!</v>
      </c>
      <c r="P106" s="45" t="e">
        <f t="shared" si="48"/>
        <v>#DIV/0!</v>
      </c>
      <c r="Q106" s="55" t="e">
        <f>Q105+ATM_Conf!$C$5*(B105)/(Links!B$191*Links!Q$191)</f>
        <v>#DIV/0!</v>
      </c>
      <c r="R106" s="55" t="e">
        <f>R105+ATM_Conf!$C$5*(C105-B105)/(Links!C$191*Links!R$191)</f>
        <v>#DIV/0!</v>
      </c>
      <c r="S106" s="55" t="e">
        <f>S105+ATM_Conf!$C$5*(D105-C105)/(Links!D$191*Links!S$191)</f>
        <v>#DIV/0!</v>
      </c>
      <c r="T106" s="55" t="e">
        <f>T105+ATM_Conf!$C$5*(E105-D105)/(Links!E$191*Links!T$191)</f>
        <v>#DIV/0!</v>
      </c>
      <c r="U106" s="55" t="e">
        <f>U105+ATM_Conf!$C$5*(F105-E105)/(Links!F$191*Links!U$191)</f>
        <v>#DIV/0!</v>
      </c>
      <c r="V106" s="55" t="e">
        <f>V105+ATM_Conf!$C$5*(G105-F105)/(Links!G$191*Links!V$191)</f>
        <v>#DIV/0!</v>
      </c>
      <c r="W106" s="55" t="e">
        <f>W105+ATM_Conf!$C$5*(H105-G105)/(Links!H$191*Links!W$191)</f>
        <v>#DIV/0!</v>
      </c>
      <c r="X106" s="55" t="e">
        <f>X105+ATM_Conf!$C$5*(I105-H105)/(Links!I$191*Links!X$191)</f>
        <v>#DIV/0!</v>
      </c>
      <c r="Y106" s="55" t="e">
        <f>Y105+ATM_Conf!$C$5*(J105)/(Links!J$191*Links!Y$191)</f>
        <v>#DIV/0!</v>
      </c>
      <c r="Z106" s="55" t="e">
        <f>Z105+ATM_Conf!$C$5*(K105-J105)/(Links!K$191*Links!Z$191)</f>
        <v>#DIV/0!</v>
      </c>
      <c r="AA106" s="55" t="e">
        <f>AA105+ATM_Conf!$C$5*(L105-K105)/(Links!L$191*Links!AA$191)</f>
        <v>#DIV/0!</v>
      </c>
      <c r="AB106" s="55" t="e">
        <f>AB105+ATM_Conf!$C$5*(M105-L105)/(Links!M$191*Links!AB$191)</f>
        <v>#DIV/0!</v>
      </c>
      <c r="AC106" s="55" t="e">
        <f>AC105+ATM_Conf!$C$5*(N105-M105)/(Links!N$191*Links!AC$191)</f>
        <v>#DIV/0!</v>
      </c>
      <c r="AD106" s="55" t="e">
        <f>AD105+ATM_Conf!$C$5*(O105-N105)/(Links!O$191*Links!AD$191)</f>
        <v>#DIV/0!</v>
      </c>
      <c r="AE106" s="55" t="e">
        <f>AE105+ATM_Conf!$C$5*(P105-O105)/(Links!P$191*Links!AE$191)</f>
        <v>#DIV/0!</v>
      </c>
      <c r="AF106" s="45" t="e">
        <f>AF105+(ATM_Conf!$C$5/ATM_Conf!$C$8)*(Links!AU105*EXP((-(Links!Q105/Links!BJ105)^Links!BY105)/Links!BY105)-Links!AF105)-(ATM_Conf!$C$9*ATM_Conf!$C$5/(ATM_Conf!$C$8*Links!Q$191))*(Nodes!BO105-Links!Q105)/(Links!Q105/ATM_Conf!$C$10)</f>
        <v>#DIV/0!</v>
      </c>
      <c r="AG106" s="45" t="e">
        <f>AG105+(ATM_Conf!$C$5/ATM_Conf!$C$8)*(Links!AV105*EXP((-(Links!R105/Links!BK105)^Links!BZ105)/Links!BZ105)-Links!AG105)+(ATM_Conf!$C$5/Links!R$191)*Links!AG105*(Nodes!BB105-Links!AG105)-(ATM_Conf!$C$9*ATM_Conf!$C$5/(ATM_Conf!$C$8*Links!R$191))*(Nodes!BP105-Links!R105)/(Links!R105/ATM_Conf!$C$10)</f>
        <v>#DIV/0!</v>
      </c>
      <c r="AH106" s="45" t="e">
        <f>AH105+(ATM_Conf!$C$5/ATM_Conf!$C$8)*(Links!AW105*EXP((-(Links!S105/Links!BL105)^Links!CA105)/Links!CA105)-Links!AH105)+(ATM_Conf!$C$5/Links!S$191)*Links!AH105*(Nodes!BC105-Links!AH105)-(ATM_Conf!$C$9*ATM_Conf!$C$5/(ATM_Conf!$C$8*Links!S$191))*(Nodes!BQ105-Links!S105)/(Links!S105/ATM_Conf!$C$10)</f>
        <v>#DIV/0!</v>
      </c>
      <c r="AI106" s="45" t="e">
        <f>AI105+(ATM_Conf!$C$5/ATM_Conf!$C$8)*(Links!AX105*EXP((-(Links!T105/Links!BM105)^Links!CB105)/Links!CB105)-Links!AI105)+(ATM_Conf!$C$5/Links!T$191)*Links!AI105*(Nodes!BD105-Links!AI105)-(ATM_Conf!$C$9*ATM_Conf!$C$5/(ATM_Conf!$C$8*Links!T$191))*(Nodes!BR105-Links!T105)/(Links!T105/ATM_Conf!$C$10)</f>
        <v>#DIV/0!</v>
      </c>
      <c r="AJ106" s="45" t="e">
        <f>AJ105+(ATM_Conf!$C$5/ATM_Conf!$C$8)*(Links!AY105*EXP((-(Links!U105/Links!BN105)^Links!CC105)/Links!CC105)-Links!AJ105)+(ATM_Conf!$C$5/Links!U$191)*Links!AJ105*(Nodes!BE105-Links!AJ105)-(ATM_Conf!$C$9*ATM_Conf!$C$5/(ATM_Conf!$C$8*Links!U$191))*(Nodes!BS105-Links!U105)/(Links!U105/ATM_Conf!$C$10)</f>
        <v>#DIV/0!</v>
      </c>
      <c r="AK106" s="45" t="e">
        <f>AK105+(ATM_Conf!$C$5/ATM_Conf!$C$8)*(Links!AZ105*EXP((-(Links!V105/Links!BO105)^Links!CD105)/Links!CD105)-Links!AK105)+(ATM_Conf!$C$5/Links!V$191)*Links!AK105*(Nodes!BF105-Links!AK105)-(ATM_Conf!$C$9*ATM_Conf!$C$5/(ATM_Conf!$C$8*Links!V$191))*(Nodes!BT105-Links!V105)/(Links!V105/ATM_Conf!$C$10)</f>
        <v>#DIV/0!</v>
      </c>
      <c r="AL106" s="45" t="e">
        <f>AL105+(ATM_Conf!$C$5/ATM_Conf!$C$8)*(Links!BA105*EXP((-(Links!W105/Links!BP105)^Links!CE105)/Links!CE105)-Links!AL105)+(ATM_Conf!$C$5/Links!W$191)*Links!AL105*(Nodes!BG105-Links!AL105)-(ATM_Conf!$C$9*ATM_Conf!$C$5/(ATM_Conf!$C$8*Links!W$191))*(Nodes!BU105-Links!W105)/(Links!W105/ATM_Conf!$C$10)</f>
        <v>#DIV/0!</v>
      </c>
      <c r="AM106" s="45" t="e">
        <f>AM105+(ATM_Conf!$C$5/ATM_Conf!$C$8)*(Links!BB105*EXP((-(Links!X105/Links!BQ105)^Links!CF105)/Links!CF105)-Links!AM105)+(ATM_Conf!$C$5/Links!X$191)*Links!AM105*(Nodes!BH105-Links!AM105)</f>
        <v>#DIV/0!</v>
      </c>
      <c r="AN106" s="45" t="e">
        <f>AN105+(ATM_Conf!$C$5/ATM_Conf!$C$8)*(Links!BC105*EXP((-(Links!Y105/Links!BR105)^Links!CG105)/Links!CG105)-Links!AN105)-(ATM_Conf!$C$9*ATM_Conf!$C$5/(ATM_Conf!$C$8*Links!Y$191))*(Nodes!BV105-Links!Y105)/(Links!Y105/ATM_Conf!$C$10)</f>
        <v>#DIV/0!</v>
      </c>
      <c r="AO106" s="45" t="e">
        <f>AO105+(ATM_Conf!$C$5/ATM_Conf!$C$8)*(Links!BD105*EXP((-(Links!Z105/Links!BS105)^Links!CH105)/Links!CH105)-Links!AO105)+(ATM_Conf!$C$5/Links!Z$191)*Links!AO105*(Nodes!BI105-Links!AO105)-(ATM_Conf!$C$9*ATM_Conf!$C$5/(ATM_Conf!$C$8*Links!Z$191))*(Nodes!BW105-Links!Z105)/(Links!Z105/ATM_Conf!$C$10)</f>
        <v>#DIV/0!</v>
      </c>
      <c r="AP106" s="45" t="e">
        <f>AP105+(ATM_Conf!$C$5/ATM_Conf!$C$8)*(Links!BE105*EXP((-(Links!AA105/Links!BT105)^Links!CI105)/Links!CI105)-Links!AP105)+(ATM_Conf!$C$5/Links!AA$191)*Links!AP105*(Nodes!BJ105-Links!AP105)-(ATM_Conf!$C$9*ATM_Conf!$C$5/(ATM_Conf!$C$8*Links!AA$191))*(Nodes!BX105-Links!AA105)/(Links!AA105/ATM_Conf!$C$10)</f>
        <v>#DIV/0!</v>
      </c>
      <c r="AQ106" s="45" t="e">
        <f>AQ105+(ATM_Conf!$C$5/ATM_Conf!$C$8)*(Links!BF105*EXP((-(Links!AB105/Links!BU105)^Links!CJ105)/Links!CJ105)-Links!AQ105)+(ATM_Conf!$C$5/Links!AB$191)*Links!AQ105*(Nodes!BK105-Links!AQ105)-(ATM_Conf!$C$9*ATM_Conf!$C$5/(ATM_Conf!$C$8*Links!AB$191))*(Nodes!BY105-Links!AB105)/(Links!AB105/ATM_Conf!$C$10)</f>
        <v>#DIV/0!</v>
      </c>
      <c r="AR106" s="45" t="e">
        <f>AR105+(ATM_Conf!$C$5/ATM_Conf!$C$8)*(Links!BG105*EXP((-(Links!AC105/Links!BV105)^Links!CK105)/Links!CK105)-Links!AR105)+(ATM_Conf!$C$5/Links!AC$191)*Links!AR105*(Nodes!BL105-Links!AR105)-(ATM_Conf!$C$9*ATM_Conf!$C$5/(ATM_Conf!$C$8*Links!AC$191))*(Nodes!BZ105-Links!AC105)/(Links!AC105/ATM_Conf!$C$10)</f>
        <v>#DIV/0!</v>
      </c>
      <c r="AS106" s="45" t="e">
        <f>AS105+(ATM_Conf!$C$5/ATM_Conf!$C$8)*(Links!BH105*EXP((-(Links!AD105/Links!BW105)^Links!CL105)/Links!CL105)-Links!AS105)+(ATM_Conf!$C$5/Links!AD$191)*Links!AS105*(Nodes!BM105-Links!AS105)-(ATM_Conf!$C$9*ATM_Conf!$C$5/(ATM_Conf!$C$8*Links!AD$191))*(Nodes!CA105-Links!AD105)/(Links!AD105/ATM_Conf!$C$10)</f>
        <v>#DIV/0!</v>
      </c>
      <c r="AT106" s="45" t="e">
        <f>AT105+(ATM_Conf!$C$5/ATM_Conf!$C$8)*(Links!BI105*EXP((-(Links!AE105/Links!BX105)^Links!CM105)/Links!CM105)-Links!AT105)+(ATM_Conf!$C$5/Links!AE$191)*Links!AT105*(Nodes!BN105-Links!AT105)</f>
        <v>#DIV/0!</v>
      </c>
      <c r="AU106" s="55"/>
      <c r="AV106" s="55"/>
      <c r="AW106" s="55"/>
      <c r="AX106" s="55"/>
      <c r="AY106" s="55"/>
      <c r="AZ106" s="55"/>
      <c r="BA106" s="55"/>
      <c r="BB106" s="55"/>
      <c r="BC106" s="55"/>
      <c r="BD106" s="55"/>
      <c r="BE106" s="55"/>
      <c r="BF106" s="55"/>
      <c r="BG106" s="55"/>
      <c r="BH106" s="55"/>
      <c r="BI106" s="55"/>
      <c r="BJ106" s="45"/>
      <c r="BK106" s="45"/>
      <c r="BL106" s="45"/>
      <c r="BM106" s="45"/>
      <c r="BN106" s="45"/>
      <c r="BO106" s="45"/>
      <c r="BP106" s="45"/>
      <c r="BQ106" s="45"/>
      <c r="BR106" s="45"/>
      <c r="BS106" s="45"/>
      <c r="BT106" s="45"/>
      <c r="BU106" s="45"/>
      <c r="BV106" s="45"/>
      <c r="BW106" s="45"/>
      <c r="BX106" s="45"/>
      <c r="BY106" s="55"/>
      <c r="BZ106" s="55"/>
      <c r="CA106" s="55"/>
      <c r="CB106" s="55"/>
      <c r="CC106" s="55"/>
      <c r="CD106" s="55"/>
      <c r="CE106" s="55"/>
      <c r="CF106" s="55"/>
      <c r="CG106" s="55"/>
      <c r="CH106" s="55"/>
      <c r="CI106" s="55"/>
      <c r="CJ106" s="55"/>
      <c r="CK106" s="55"/>
      <c r="CL106" s="55"/>
      <c r="CM106" s="55"/>
      <c r="CN106" s="45">
        <f t="shared" si="57"/>
        <v>0</v>
      </c>
      <c r="CO106" s="45">
        <f t="shared" si="57"/>
        <v>0</v>
      </c>
      <c r="CP106" s="45">
        <f t="shared" si="57"/>
        <v>0</v>
      </c>
      <c r="CQ106" s="45">
        <f t="shared" si="57"/>
        <v>0</v>
      </c>
      <c r="CR106" s="45">
        <f t="shared" si="57"/>
        <v>0</v>
      </c>
      <c r="CS106" s="45">
        <f t="shared" si="57"/>
        <v>0</v>
      </c>
      <c r="CT106" s="45">
        <f t="shared" si="57"/>
        <v>0</v>
      </c>
      <c r="CU106" s="45">
        <f t="shared" si="57"/>
        <v>0</v>
      </c>
      <c r="CV106" s="45">
        <f t="shared" si="57"/>
        <v>0</v>
      </c>
      <c r="CW106" s="45">
        <f t="shared" si="57"/>
        <v>0</v>
      </c>
      <c r="CX106" s="45">
        <f t="shared" si="57"/>
        <v>0</v>
      </c>
      <c r="CY106" s="45">
        <f t="shared" si="57"/>
        <v>0</v>
      </c>
      <c r="CZ106" s="45">
        <f t="shared" si="57"/>
        <v>0</v>
      </c>
      <c r="DA106" s="45">
        <f t="shared" si="57"/>
        <v>0</v>
      </c>
      <c r="DB106" s="45">
        <f t="shared" si="57"/>
        <v>0</v>
      </c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</row>
    <row r="107" spans="1:121" ht="14.25" x14ac:dyDescent="0.15">
      <c r="A107" s="48">
        <v>105</v>
      </c>
      <c r="B107" s="45" t="e">
        <f t="shared" si="34"/>
        <v>#DIV/0!</v>
      </c>
      <c r="C107" s="45" t="e">
        <f t="shared" si="35"/>
        <v>#DIV/0!</v>
      </c>
      <c r="D107" s="45" t="e">
        <f t="shared" si="36"/>
        <v>#DIV/0!</v>
      </c>
      <c r="E107" s="45" t="e">
        <f t="shared" si="37"/>
        <v>#DIV/0!</v>
      </c>
      <c r="F107" s="45" t="e">
        <f t="shared" si="38"/>
        <v>#DIV/0!</v>
      </c>
      <c r="G107" s="45" t="e">
        <f t="shared" si="39"/>
        <v>#DIV/0!</v>
      </c>
      <c r="H107" s="45" t="e">
        <f t="shared" si="40"/>
        <v>#DIV/0!</v>
      </c>
      <c r="I107" s="45" t="e">
        <f t="shared" si="41"/>
        <v>#DIV/0!</v>
      </c>
      <c r="J107" s="45" t="e">
        <f t="shared" si="42"/>
        <v>#DIV/0!</v>
      </c>
      <c r="K107" s="45" t="e">
        <f t="shared" si="43"/>
        <v>#DIV/0!</v>
      </c>
      <c r="L107" s="45" t="e">
        <f t="shared" si="44"/>
        <v>#DIV/0!</v>
      </c>
      <c r="M107" s="45" t="e">
        <f t="shared" si="45"/>
        <v>#DIV/0!</v>
      </c>
      <c r="N107" s="45" t="e">
        <f t="shared" si="46"/>
        <v>#DIV/0!</v>
      </c>
      <c r="O107" s="45" t="e">
        <f t="shared" si="47"/>
        <v>#DIV/0!</v>
      </c>
      <c r="P107" s="45" t="e">
        <f t="shared" si="48"/>
        <v>#DIV/0!</v>
      </c>
      <c r="Q107" s="55" t="e">
        <f>Q106+ATM_Conf!$C$5*(B106)/(Links!B$191*Links!Q$191)</f>
        <v>#DIV/0!</v>
      </c>
      <c r="R107" s="55" t="e">
        <f>R106+ATM_Conf!$C$5*(C106-B106)/(Links!C$191*Links!R$191)</f>
        <v>#DIV/0!</v>
      </c>
      <c r="S107" s="55" t="e">
        <f>S106+ATM_Conf!$C$5*(D106-C106)/(Links!D$191*Links!S$191)</f>
        <v>#DIV/0!</v>
      </c>
      <c r="T107" s="55" t="e">
        <f>T106+ATM_Conf!$C$5*(E106-D106)/(Links!E$191*Links!T$191)</f>
        <v>#DIV/0!</v>
      </c>
      <c r="U107" s="55" t="e">
        <f>U106+ATM_Conf!$C$5*(F106-E106)/(Links!F$191*Links!U$191)</f>
        <v>#DIV/0!</v>
      </c>
      <c r="V107" s="55" t="e">
        <f>V106+ATM_Conf!$C$5*(G106-F106)/(Links!G$191*Links!V$191)</f>
        <v>#DIV/0!</v>
      </c>
      <c r="W107" s="55" t="e">
        <f>W106+ATM_Conf!$C$5*(H106-G106)/(Links!H$191*Links!W$191)</f>
        <v>#DIV/0!</v>
      </c>
      <c r="X107" s="55" t="e">
        <f>X106+ATM_Conf!$C$5*(I106-H106)/(Links!I$191*Links!X$191)</f>
        <v>#DIV/0!</v>
      </c>
      <c r="Y107" s="55" t="e">
        <f>Y106+ATM_Conf!$C$5*(J106)/(Links!J$191*Links!Y$191)</f>
        <v>#DIV/0!</v>
      </c>
      <c r="Z107" s="55" t="e">
        <f>Z106+ATM_Conf!$C$5*(K106-J106)/(Links!K$191*Links!Z$191)</f>
        <v>#DIV/0!</v>
      </c>
      <c r="AA107" s="55" t="e">
        <f>AA106+ATM_Conf!$C$5*(L106-K106)/(Links!L$191*Links!AA$191)</f>
        <v>#DIV/0!</v>
      </c>
      <c r="AB107" s="55" t="e">
        <f>AB106+ATM_Conf!$C$5*(M106-L106)/(Links!M$191*Links!AB$191)</f>
        <v>#DIV/0!</v>
      </c>
      <c r="AC107" s="55" t="e">
        <f>AC106+ATM_Conf!$C$5*(N106-M106)/(Links!N$191*Links!AC$191)</f>
        <v>#DIV/0!</v>
      </c>
      <c r="AD107" s="55" t="e">
        <f>AD106+ATM_Conf!$C$5*(O106-N106)/(Links!O$191*Links!AD$191)</f>
        <v>#DIV/0!</v>
      </c>
      <c r="AE107" s="55" t="e">
        <f>AE106+ATM_Conf!$C$5*(P106-O106)/(Links!P$191*Links!AE$191)</f>
        <v>#DIV/0!</v>
      </c>
      <c r="AF107" s="45" t="e">
        <f>AF106+(ATM_Conf!$C$5/ATM_Conf!$C$8)*(Links!AU106*EXP((-(Links!Q106/Links!BJ106)^Links!BY106)/Links!BY106)-Links!AF106)-(ATM_Conf!$C$9*ATM_Conf!$C$5/(ATM_Conf!$C$8*Links!Q$191))*(Nodes!BO106-Links!Q106)/(Links!Q106/ATM_Conf!$C$10)</f>
        <v>#DIV/0!</v>
      </c>
      <c r="AG107" s="45" t="e">
        <f>AG106+(ATM_Conf!$C$5/ATM_Conf!$C$8)*(Links!AV106*EXP((-(Links!R106/Links!BK106)^Links!BZ106)/Links!BZ106)-Links!AG106)+(ATM_Conf!$C$5/Links!R$191)*Links!AG106*(Nodes!BB106-Links!AG106)-(ATM_Conf!$C$9*ATM_Conf!$C$5/(ATM_Conf!$C$8*Links!R$191))*(Nodes!BP106-Links!R106)/(Links!R106/ATM_Conf!$C$10)</f>
        <v>#DIV/0!</v>
      </c>
      <c r="AH107" s="45" t="e">
        <f>AH106+(ATM_Conf!$C$5/ATM_Conf!$C$8)*(Links!AW106*EXP((-(Links!S106/Links!BL106)^Links!CA106)/Links!CA106)-Links!AH106)+(ATM_Conf!$C$5/Links!S$191)*Links!AH106*(Nodes!BC106-Links!AH106)-(ATM_Conf!$C$9*ATM_Conf!$C$5/(ATM_Conf!$C$8*Links!S$191))*(Nodes!BQ106-Links!S106)/(Links!S106/ATM_Conf!$C$10)</f>
        <v>#DIV/0!</v>
      </c>
      <c r="AI107" s="45" t="e">
        <f>AI106+(ATM_Conf!$C$5/ATM_Conf!$C$8)*(Links!AX106*EXP((-(Links!T106/Links!BM106)^Links!CB106)/Links!CB106)-Links!AI106)+(ATM_Conf!$C$5/Links!T$191)*Links!AI106*(Nodes!BD106-Links!AI106)-(ATM_Conf!$C$9*ATM_Conf!$C$5/(ATM_Conf!$C$8*Links!T$191))*(Nodes!BR106-Links!T106)/(Links!T106/ATM_Conf!$C$10)</f>
        <v>#DIV/0!</v>
      </c>
      <c r="AJ107" s="45" t="e">
        <f>AJ106+(ATM_Conf!$C$5/ATM_Conf!$C$8)*(Links!AY106*EXP((-(Links!U106/Links!BN106)^Links!CC106)/Links!CC106)-Links!AJ106)+(ATM_Conf!$C$5/Links!U$191)*Links!AJ106*(Nodes!BE106-Links!AJ106)-(ATM_Conf!$C$9*ATM_Conf!$C$5/(ATM_Conf!$C$8*Links!U$191))*(Nodes!BS106-Links!U106)/(Links!U106/ATM_Conf!$C$10)</f>
        <v>#DIV/0!</v>
      </c>
      <c r="AK107" s="45" t="e">
        <f>AK106+(ATM_Conf!$C$5/ATM_Conf!$C$8)*(Links!AZ106*EXP((-(Links!V106/Links!BO106)^Links!CD106)/Links!CD106)-Links!AK106)+(ATM_Conf!$C$5/Links!V$191)*Links!AK106*(Nodes!BF106-Links!AK106)-(ATM_Conf!$C$9*ATM_Conf!$C$5/(ATM_Conf!$C$8*Links!V$191))*(Nodes!BT106-Links!V106)/(Links!V106/ATM_Conf!$C$10)</f>
        <v>#DIV/0!</v>
      </c>
      <c r="AL107" s="45" t="e">
        <f>AL106+(ATM_Conf!$C$5/ATM_Conf!$C$8)*(Links!BA106*EXP((-(Links!W106/Links!BP106)^Links!CE106)/Links!CE106)-Links!AL106)+(ATM_Conf!$C$5/Links!W$191)*Links!AL106*(Nodes!BG106-Links!AL106)-(ATM_Conf!$C$9*ATM_Conf!$C$5/(ATM_Conf!$C$8*Links!W$191))*(Nodes!BU106-Links!W106)/(Links!W106/ATM_Conf!$C$10)</f>
        <v>#DIV/0!</v>
      </c>
      <c r="AM107" s="45" t="e">
        <f>AM106+(ATM_Conf!$C$5/ATM_Conf!$C$8)*(Links!BB106*EXP((-(Links!X106/Links!BQ106)^Links!CF106)/Links!CF106)-Links!AM106)+(ATM_Conf!$C$5/Links!X$191)*Links!AM106*(Nodes!BH106-Links!AM106)</f>
        <v>#DIV/0!</v>
      </c>
      <c r="AN107" s="45" t="e">
        <f>AN106+(ATM_Conf!$C$5/ATM_Conf!$C$8)*(Links!BC106*EXP((-(Links!Y106/Links!BR106)^Links!CG106)/Links!CG106)-Links!AN106)-(ATM_Conf!$C$9*ATM_Conf!$C$5/(ATM_Conf!$C$8*Links!Y$191))*(Nodes!BV106-Links!Y106)/(Links!Y106/ATM_Conf!$C$10)</f>
        <v>#DIV/0!</v>
      </c>
      <c r="AO107" s="45" t="e">
        <f>AO106+(ATM_Conf!$C$5/ATM_Conf!$C$8)*(Links!BD106*EXP((-(Links!Z106/Links!BS106)^Links!CH106)/Links!CH106)-Links!AO106)+(ATM_Conf!$C$5/Links!Z$191)*Links!AO106*(Nodes!BI106-Links!AO106)-(ATM_Conf!$C$9*ATM_Conf!$C$5/(ATM_Conf!$C$8*Links!Z$191))*(Nodes!BW106-Links!Z106)/(Links!Z106/ATM_Conf!$C$10)</f>
        <v>#DIV/0!</v>
      </c>
      <c r="AP107" s="45" t="e">
        <f>AP106+(ATM_Conf!$C$5/ATM_Conf!$C$8)*(Links!BE106*EXP((-(Links!AA106/Links!BT106)^Links!CI106)/Links!CI106)-Links!AP106)+(ATM_Conf!$C$5/Links!AA$191)*Links!AP106*(Nodes!BJ106-Links!AP106)-(ATM_Conf!$C$9*ATM_Conf!$C$5/(ATM_Conf!$C$8*Links!AA$191))*(Nodes!BX106-Links!AA106)/(Links!AA106/ATM_Conf!$C$10)</f>
        <v>#DIV/0!</v>
      </c>
      <c r="AQ107" s="45" t="e">
        <f>AQ106+(ATM_Conf!$C$5/ATM_Conf!$C$8)*(Links!BF106*EXP((-(Links!AB106/Links!BU106)^Links!CJ106)/Links!CJ106)-Links!AQ106)+(ATM_Conf!$C$5/Links!AB$191)*Links!AQ106*(Nodes!BK106-Links!AQ106)-(ATM_Conf!$C$9*ATM_Conf!$C$5/(ATM_Conf!$C$8*Links!AB$191))*(Nodes!BY106-Links!AB106)/(Links!AB106/ATM_Conf!$C$10)</f>
        <v>#DIV/0!</v>
      </c>
      <c r="AR107" s="45" t="e">
        <f>AR106+(ATM_Conf!$C$5/ATM_Conf!$C$8)*(Links!BG106*EXP((-(Links!AC106/Links!BV106)^Links!CK106)/Links!CK106)-Links!AR106)+(ATM_Conf!$C$5/Links!AC$191)*Links!AR106*(Nodes!BL106-Links!AR106)-(ATM_Conf!$C$9*ATM_Conf!$C$5/(ATM_Conf!$C$8*Links!AC$191))*(Nodes!BZ106-Links!AC106)/(Links!AC106/ATM_Conf!$C$10)</f>
        <v>#DIV/0!</v>
      </c>
      <c r="AS107" s="45" t="e">
        <f>AS106+(ATM_Conf!$C$5/ATM_Conf!$C$8)*(Links!BH106*EXP((-(Links!AD106/Links!BW106)^Links!CL106)/Links!CL106)-Links!AS106)+(ATM_Conf!$C$5/Links!AD$191)*Links!AS106*(Nodes!BM106-Links!AS106)-(ATM_Conf!$C$9*ATM_Conf!$C$5/(ATM_Conf!$C$8*Links!AD$191))*(Nodes!CA106-Links!AD106)/(Links!AD106/ATM_Conf!$C$10)</f>
        <v>#DIV/0!</v>
      </c>
      <c r="AT107" s="45" t="e">
        <f>AT106+(ATM_Conf!$C$5/ATM_Conf!$C$8)*(Links!BI106*EXP((-(Links!AE106/Links!BX106)^Links!CM106)/Links!CM106)-Links!AT106)+(ATM_Conf!$C$5/Links!AE$191)*Links!AT106*(Nodes!BN106-Links!AT106)</f>
        <v>#DIV/0!</v>
      </c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  <c r="BI107" s="55"/>
      <c r="BJ107" s="45"/>
      <c r="BK107" s="45"/>
      <c r="BL107" s="45"/>
      <c r="BM107" s="45"/>
      <c r="BN107" s="45"/>
      <c r="BO107" s="45"/>
      <c r="BP107" s="45"/>
      <c r="BQ107" s="45"/>
      <c r="BR107" s="45"/>
      <c r="BS107" s="45"/>
      <c r="BT107" s="45"/>
      <c r="BU107" s="45"/>
      <c r="BV107" s="45"/>
      <c r="BW107" s="45"/>
      <c r="BX107" s="45"/>
      <c r="BY107" s="55"/>
      <c r="BZ107" s="55"/>
      <c r="CA107" s="55"/>
      <c r="CB107" s="55"/>
      <c r="CC107" s="55"/>
      <c r="CD107" s="55"/>
      <c r="CE107" s="55"/>
      <c r="CF107" s="55"/>
      <c r="CG107" s="55"/>
      <c r="CH107" s="55"/>
      <c r="CI107" s="55"/>
      <c r="CJ107" s="55"/>
      <c r="CK107" s="55"/>
      <c r="CL107" s="55"/>
      <c r="CM107" s="55"/>
      <c r="CN107" s="45">
        <f t="shared" si="57"/>
        <v>0</v>
      </c>
      <c r="CO107" s="45">
        <f t="shared" si="57"/>
        <v>0</v>
      </c>
      <c r="CP107" s="45">
        <f t="shared" si="57"/>
        <v>0</v>
      </c>
      <c r="CQ107" s="45">
        <f t="shared" si="57"/>
        <v>0</v>
      </c>
      <c r="CR107" s="45">
        <f t="shared" si="57"/>
        <v>0</v>
      </c>
      <c r="CS107" s="45">
        <f t="shared" si="57"/>
        <v>0</v>
      </c>
      <c r="CT107" s="45">
        <f t="shared" si="57"/>
        <v>0</v>
      </c>
      <c r="CU107" s="45">
        <f t="shared" si="57"/>
        <v>0</v>
      </c>
      <c r="CV107" s="45">
        <f t="shared" si="57"/>
        <v>0</v>
      </c>
      <c r="CW107" s="45">
        <f t="shared" si="57"/>
        <v>0</v>
      </c>
      <c r="CX107" s="45">
        <f t="shared" si="57"/>
        <v>0</v>
      </c>
      <c r="CY107" s="45">
        <f t="shared" si="57"/>
        <v>0</v>
      </c>
      <c r="CZ107" s="45">
        <f t="shared" si="57"/>
        <v>0</v>
      </c>
      <c r="DA107" s="45">
        <f t="shared" si="57"/>
        <v>0</v>
      </c>
      <c r="DB107" s="45">
        <f t="shared" si="57"/>
        <v>0</v>
      </c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</row>
    <row r="108" spans="1:121" ht="14.25" x14ac:dyDescent="0.15">
      <c r="A108" s="48">
        <v>106</v>
      </c>
      <c r="B108" s="45" t="e">
        <f t="shared" si="34"/>
        <v>#DIV/0!</v>
      </c>
      <c r="C108" s="45" t="e">
        <f t="shared" si="35"/>
        <v>#DIV/0!</v>
      </c>
      <c r="D108" s="45" t="e">
        <f t="shared" si="36"/>
        <v>#DIV/0!</v>
      </c>
      <c r="E108" s="45" t="e">
        <f t="shared" si="37"/>
        <v>#DIV/0!</v>
      </c>
      <c r="F108" s="45" t="e">
        <f t="shared" si="38"/>
        <v>#DIV/0!</v>
      </c>
      <c r="G108" s="45" t="e">
        <f t="shared" si="39"/>
        <v>#DIV/0!</v>
      </c>
      <c r="H108" s="45" t="e">
        <f t="shared" si="40"/>
        <v>#DIV/0!</v>
      </c>
      <c r="I108" s="45" t="e">
        <f t="shared" si="41"/>
        <v>#DIV/0!</v>
      </c>
      <c r="J108" s="45" t="e">
        <f t="shared" si="42"/>
        <v>#DIV/0!</v>
      </c>
      <c r="K108" s="45" t="e">
        <f t="shared" si="43"/>
        <v>#DIV/0!</v>
      </c>
      <c r="L108" s="45" t="e">
        <f t="shared" si="44"/>
        <v>#DIV/0!</v>
      </c>
      <c r="M108" s="45" t="e">
        <f t="shared" si="45"/>
        <v>#DIV/0!</v>
      </c>
      <c r="N108" s="45" t="e">
        <f t="shared" si="46"/>
        <v>#DIV/0!</v>
      </c>
      <c r="O108" s="45" t="e">
        <f t="shared" si="47"/>
        <v>#DIV/0!</v>
      </c>
      <c r="P108" s="45" t="e">
        <f t="shared" si="48"/>
        <v>#DIV/0!</v>
      </c>
      <c r="Q108" s="55" t="e">
        <f>Q107+ATM_Conf!$C$5*(B107)/(Links!B$191*Links!Q$191)</f>
        <v>#DIV/0!</v>
      </c>
      <c r="R108" s="55" t="e">
        <f>R107+ATM_Conf!$C$5*(C107-B107)/(Links!C$191*Links!R$191)</f>
        <v>#DIV/0!</v>
      </c>
      <c r="S108" s="55" t="e">
        <f>S107+ATM_Conf!$C$5*(D107-C107)/(Links!D$191*Links!S$191)</f>
        <v>#DIV/0!</v>
      </c>
      <c r="T108" s="55" t="e">
        <f>T107+ATM_Conf!$C$5*(E107-D107)/(Links!E$191*Links!T$191)</f>
        <v>#DIV/0!</v>
      </c>
      <c r="U108" s="55" t="e">
        <f>U107+ATM_Conf!$C$5*(F107-E107)/(Links!F$191*Links!U$191)</f>
        <v>#DIV/0!</v>
      </c>
      <c r="V108" s="55" t="e">
        <f>V107+ATM_Conf!$C$5*(G107-F107)/(Links!G$191*Links!V$191)</f>
        <v>#DIV/0!</v>
      </c>
      <c r="W108" s="55" t="e">
        <f>W107+ATM_Conf!$C$5*(H107-G107)/(Links!H$191*Links!W$191)</f>
        <v>#DIV/0!</v>
      </c>
      <c r="X108" s="55" t="e">
        <f>X107+ATM_Conf!$C$5*(I107-H107)/(Links!I$191*Links!X$191)</f>
        <v>#DIV/0!</v>
      </c>
      <c r="Y108" s="55" t="e">
        <f>Y107+ATM_Conf!$C$5*(J107)/(Links!J$191*Links!Y$191)</f>
        <v>#DIV/0!</v>
      </c>
      <c r="Z108" s="55" t="e">
        <f>Z107+ATM_Conf!$C$5*(K107-J107)/(Links!K$191*Links!Z$191)</f>
        <v>#DIV/0!</v>
      </c>
      <c r="AA108" s="55" t="e">
        <f>AA107+ATM_Conf!$C$5*(L107-K107)/(Links!L$191*Links!AA$191)</f>
        <v>#DIV/0!</v>
      </c>
      <c r="AB108" s="55" t="e">
        <f>AB107+ATM_Conf!$C$5*(M107-L107)/(Links!M$191*Links!AB$191)</f>
        <v>#DIV/0!</v>
      </c>
      <c r="AC108" s="55" t="e">
        <f>AC107+ATM_Conf!$C$5*(N107-M107)/(Links!N$191*Links!AC$191)</f>
        <v>#DIV/0!</v>
      </c>
      <c r="AD108" s="55" t="e">
        <f>AD107+ATM_Conf!$C$5*(O107-N107)/(Links!O$191*Links!AD$191)</f>
        <v>#DIV/0!</v>
      </c>
      <c r="AE108" s="55" t="e">
        <f>AE107+ATM_Conf!$C$5*(P107-O107)/(Links!P$191*Links!AE$191)</f>
        <v>#DIV/0!</v>
      </c>
      <c r="AF108" s="45" t="e">
        <f>AF107+(ATM_Conf!$C$5/ATM_Conf!$C$8)*(Links!AU107*EXP((-(Links!Q107/Links!BJ107)^Links!BY107)/Links!BY107)-Links!AF107)-(ATM_Conf!$C$9*ATM_Conf!$C$5/(ATM_Conf!$C$8*Links!Q$191))*(Nodes!BO107-Links!Q107)/(Links!Q107/ATM_Conf!$C$10)</f>
        <v>#DIV/0!</v>
      </c>
      <c r="AG108" s="45" t="e">
        <f>AG107+(ATM_Conf!$C$5/ATM_Conf!$C$8)*(Links!AV107*EXP((-(Links!R107/Links!BK107)^Links!BZ107)/Links!BZ107)-Links!AG107)+(ATM_Conf!$C$5/Links!R$191)*Links!AG107*(Nodes!BB107-Links!AG107)-(ATM_Conf!$C$9*ATM_Conf!$C$5/(ATM_Conf!$C$8*Links!R$191))*(Nodes!BP107-Links!R107)/(Links!R107/ATM_Conf!$C$10)</f>
        <v>#DIV/0!</v>
      </c>
      <c r="AH108" s="45" t="e">
        <f>AH107+(ATM_Conf!$C$5/ATM_Conf!$C$8)*(Links!AW107*EXP((-(Links!S107/Links!BL107)^Links!CA107)/Links!CA107)-Links!AH107)+(ATM_Conf!$C$5/Links!S$191)*Links!AH107*(Nodes!BC107-Links!AH107)-(ATM_Conf!$C$9*ATM_Conf!$C$5/(ATM_Conf!$C$8*Links!S$191))*(Nodes!BQ107-Links!S107)/(Links!S107/ATM_Conf!$C$10)</f>
        <v>#DIV/0!</v>
      </c>
      <c r="AI108" s="45" t="e">
        <f>AI107+(ATM_Conf!$C$5/ATM_Conf!$C$8)*(Links!AX107*EXP((-(Links!T107/Links!BM107)^Links!CB107)/Links!CB107)-Links!AI107)+(ATM_Conf!$C$5/Links!T$191)*Links!AI107*(Nodes!BD107-Links!AI107)-(ATM_Conf!$C$9*ATM_Conf!$C$5/(ATM_Conf!$C$8*Links!T$191))*(Nodes!BR107-Links!T107)/(Links!T107/ATM_Conf!$C$10)</f>
        <v>#DIV/0!</v>
      </c>
      <c r="AJ108" s="45" t="e">
        <f>AJ107+(ATM_Conf!$C$5/ATM_Conf!$C$8)*(Links!AY107*EXP((-(Links!U107/Links!BN107)^Links!CC107)/Links!CC107)-Links!AJ107)+(ATM_Conf!$C$5/Links!U$191)*Links!AJ107*(Nodes!BE107-Links!AJ107)-(ATM_Conf!$C$9*ATM_Conf!$C$5/(ATM_Conf!$C$8*Links!U$191))*(Nodes!BS107-Links!U107)/(Links!U107/ATM_Conf!$C$10)</f>
        <v>#DIV/0!</v>
      </c>
      <c r="AK108" s="45" t="e">
        <f>AK107+(ATM_Conf!$C$5/ATM_Conf!$C$8)*(Links!AZ107*EXP((-(Links!V107/Links!BO107)^Links!CD107)/Links!CD107)-Links!AK107)+(ATM_Conf!$C$5/Links!V$191)*Links!AK107*(Nodes!BF107-Links!AK107)-(ATM_Conf!$C$9*ATM_Conf!$C$5/(ATM_Conf!$C$8*Links!V$191))*(Nodes!BT107-Links!V107)/(Links!V107/ATM_Conf!$C$10)</f>
        <v>#DIV/0!</v>
      </c>
      <c r="AL108" s="45" t="e">
        <f>AL107+(ATM_Conf!$C$5/ATM_Conf!$C$8)*(Links!BA107*EXP((-(Links!W107/Links!BP107)^Links!CE107)/Links!CE107)-Links!AL107)+(ATM_Conf!$C$5/Links!W$191)*Links!AL107*(Nodes!BG107-Links!AL107)-(ATM_Conf!$C$9*ATM_Conf!$C$5/(ATM_Conf!$C$8*Links!W$191))*(Nodes!BU107-Links!W107)/(Links!W107/ATM_Conf!$C$10)</f>
        <v>#DIV/0!</v>
      </c>
      <c r="AM108" s="45" t="e">
        <f>AM107+(ATM_Conf!$C$5/ATM_Conf!$C$8)*(Links!BB107*EXP((-(Links!X107/Links!BQ107)^Links!CF107)/Links!CF107)-Links!AM107)+(ATM_Conf!$C$5/Links!X$191)*Links!AM107*(Nodes!BH107-Links!AM107)</f>
        <v>#DIV/0!</v>
      </c>
      <c r="AN108" s="45" t="e">
        <f>AN107+(ATM_Conf!$C$5/ATM_Conf!$C$8)*(Links!BC107*EXP((-(Links!Y107/Links!BR107)^Links!CG107)/Links!CG107)-Links!AN107)-(ATM_Conf!$C$9*ATM_Conf!$C$5/(ATM_Conf!$C$8*Links!Y$191))*(Nodes!BV107-Links!Y107)/(Links!Y107/ATM_Conf!$C$10)</f>
        <v>#DIV/0!</v>
      </c>
      <c r="AO108" s="45" t="e">
        <f>AO107+(ATM_Conf!$C$5/ATM_Conf!$C$8)*(Links!BD107*EXP((-(Links!Z107/Links!BS107)^Links!CH107)/Links!CH107)-Links!AO107)+(ATM_Conf!$C$5/Links!Z$191)*Links!AO107*(Nodes!BI107-Links!AO107)-(ATM_Conf!$C$9*ATM_Conf!$C$5/(ATM_Conf!$C$8*Links!Z$191))*(Nodes!BW107-Links!Z107)/(Links!Z107/ATM_Conf!$C$10)</f>
        <v>#DIV/0!</v>
      </c>
      <c r="AP108" s="45" t="e">
        <f>AP107+(ATM_Conf!$C$5/ATM_Conf!$C$8)*(Links!BE107*EXP((-(Links!AA107/Links!BT107)^Links!CI107)/Links!CI107)-Links!AP107)+(ATM_Conf!$C$5/Links!AA$191)*Links!AP107*(Nodes!BJ107-Links!AP107)-(ATM_Conf!$C$9*ATM_Conf!$C$5/(ATM_Conf!$C$8*Links!AA$191))*(Nodes!BX107-Links!AA107)/(Links!AA107/ATM_Conf!$C$10)</f>
        <v>#DIV/0!</v>
      </c>
      <c r="AQ108" s="45" t="e">
        <f>AQ107+(ATM_Conf!$C$5/ATM_Conf!$C$8)*(Links!BF107*EXP((-(Links!AB107/Links!BU107)^Links!CJ107)/Links!CJ107)-Links!AQ107)+(ATM_Conf!$C$5/Links!AB$191)*Links!AQ107*(Nodes!BK107-Links!AQ107)-(ATM_Conf!$C$9*ATM_Conf!$C$5/(ATM_Conf!$C$8*Links!AB$191))*(Nodes!BY107-Links!AB107)/(Links!AB107/ATM_Conf!$C$10)</f>
        <v>#DIV/0!</v>
      </c>
      <c r="AR108" s="45" t="e">
        <f>AR107+(ATM_Conf!$C$5/ATM_Conf!$C$8)*(Links!BG107*EXP((-(Links!AC107/Links!BV107)^Links!CK107)/Links!CK107)-Links!AR107)+(ATM_Conf!$C$5/Links!AC$191)*Links!AR107*(Nodes!BL107-Links!AR107)-(ATM_Conf!$C$9*ATM_Conf!$C$5/(ATM_Conf!$C$8*Links!AC$191))*(Nodes!BZ107-Links!AC107)/(Links!AC107/ATM_Conf!$C$10)</f>
        <v>#DIV/0!</v>
      </c>
      <c r="AS108" s="45" t="e">
        <f>AS107+(ATM_Conf!$C$5/ATM_Conf!$C$8)*(Links!BH107*EXP((-(Links!AD107/Links!BW107)^Links!CL107)/Links!CL107)-Links!AS107)+(ATM_Conf!$C$5/Links!AD$191)*Links!AS107*(Nodes!BM107-Links!AS107)-(ATM_Conf!$C$9*ATM_Conf!$C$5/(ATM_Conf!$C$8*Links!AD$191))*(Nodes!CA107-Links!AD107)/(Links!AD107/ATM_Conf!$C$10)</f>
        <v>#DIV/0!</v>
      </c>
      <c r="AT108" s="45" t="e">
        <f>AT107+(ATM_Conf!$C$5/ATM_Conf!$C$8)*(Links!BI107*EXP((-(Links!AE107/Links!BX107)^Links!CM107)/Links!CM107)-Links!AT107)+(ATM_Conf!$C$5/Links!AE$191)*Links!AT107*(Nodes!BN107-Links!AT107)</f>
        <v>#DIV/0!</v>
      </c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45"/>
      <c r="BK108" s="45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45">
        <f t="shared" si="57"/>
        <v>0</v>
      </c>
      <c r="CO108" s="45">
        <f t="shared" si="57"/>
        <v>0</v>
      </c>
      <c r="CP108" s="45">
        <f t="shared" si="57"/>
        <v>0</v>
      </c>
      <c r="CQ108" s="45">
        <f t="shared" si="57"/>
        <v>0</v>
      </c>
      <c r="CR108" s="45">
        <f t="shared" si="57"/>
        <v>0</v>
      </c>
      <c r="CS108" s="45">
        <f t="shared" si="57"/>
        <v>0</v>
      </c>
      <c r="CT108" s="45">
        <f t="shared" si="57"/>
        <v>0</v>
      </c>
      <c r="CU108" s="45">
        <f t="shared" si="57"/>
        <v>0</v>
      </c>
      <c r="CV108" s="45">
        <f t="shared" si="57"/>
        <v>0</v>
      </c>
      <c r="CW108" s="45">
        <f t="shared" si="57"/>
        <v>0</v>
      </c>
      <c r="CX108" s="45">
        <f t="shared" si="57"/>
        <v>0</v>
      </c>
      <c r="CY108" s="45">
        <f t="shared" si="57"/>
        <v>0</v>
      </c>
      <c r="CZ108" s="45">
        <f t="shared" si="57"/>
        <v>0</v>
      </c>
      <c r="DA108" s="45">
        <f t="shared" si="57"/>
        <v>0</v>
      </c>
      <c r="DB108" s="45">
        <f t="shared" si="57"/>
        <v>0</v>
      </c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</row>
    <row r="109" spans="1:121" ht="14.25" x14ac:dyDescent="0.15">
      <c r="A109" s="48">
        <v>107</v>
      </c>
      <c r="B109" s="45" t="e">
        <f t="shared" si="34"/>
        <v>#DIV/0!</v>
      </c>
      <c r="C109" s="45" t="e">
        <f t="shared" si="35"/>
        <v>#DIV/0!</v>
      </c>
      <c r="D109" s="45" t="e">
        <f t="shared" si="36"/>
        <v>#DIV/0!</v>
      </c>
      <c r="E109" s="45" t="e">
        <f t="shared" si="37"/>
        <v>#DIV/0!</v>
      </c>
      <c r="F109" s="45" t="e">
        <f t="shared" si="38"/>
        <v>#DIV/0!</v>
      </c>
      <c r="G109" s="45" t="e">
        <f t="shared" si="39"/>
        <v>#DIV/0!</v>
      </c>
      <c r="H109" s="45" t="e">
        <f t="shared" si="40"/>
        <v>#DIV/0!</v>
      </c>
      <c r="I109" s="45" t="e">
        <f t="shared" si="41"/>
        <v>#DIV/0!</v>
      </c>
      <c r="J109" s="45" t="e">
        <f t="shared" si="42"/>
        <v>#DIV/0!</v>
      </c>
      <c r="K109" s="45" t="e">
        <f t="shared" si="43"/>
        <v>#DIV/0!</v>
      </c>
      <c r="L109" s="45" t="e">
        <f t="shared" si="44"/>
        <v>#DIV/0!</v>
      </c>
      <c r="M109" s="45" t="e">
        <f t="shared" si="45"/>
        <v>#DIV/0!</v>
      </c>
      <c r="N109" s="45" t="e">
        <f t="shared" si="46"/>
        <v>#DIV/0!</v>
      </c>
      <c r="O109" s="45" t="e">
        <f t="shared" si="47"/>
        <v>#DIV/0!</v>
      </c>
      <c r="P109" s="45" t="e">
        <f t="shared" si="48"/>
        <v>#DIV/0!</v>
      </c>
      <c r="Q109" s="55" t="e">
        <f>Q108+ATM_Conf!$C$5*(B108)/(Links!B$191*Links!Q$191)</f>
        <v>#DIV/0!</v>
      </c>
      <c r="R109" s="55" t="e">
        <f>R108+ATM_Conf!$C$5*(C108-B108)/(Links!C$191*Links!R$191)</f>
        <v>#DIV/0!</v>
      </c>
      <c r="S109" s="55" t="e">
        <f>S108+ATM_Conf!$C$5*(D108-C108)/(Links!D$191*Links!S$191)</f>
        <v>#DIV/0!</v>
      </c>
      <c r="T109" s="55" t="e">
        <f>T108+ATM_Conf!$C$5*(E108-D108)/(Links!E$191*Links!T$191)</f>
        <v>#DIV/0!</v>
      </c>
      <c r="U109" s="55" t="e">
        <f>U108+ATM_Conf!$C$5*(F108-E108)/(Links!F$191*Links!U$191)</f>
        <v>#DIV/0!</v>
      </c>
      <c r="V109" s="55" t="e">
        <f>V108+ATM_Conf!$C$5*(G108-F108)/(Links!G$191*Links!V$191)</f>
        <v>#DIV/0!</v>
      </c>
      <c r="W109" s="55" t="e">
        <f>W108+ATM_Conf!$C$5*(H108-G108)/(Links!H$191*Links!W$191)</f>
        <v>#DIV/0!</v>
      </c>
      <c r="X109" s="55" t="e">
        <f>X108+ATM_Conf!$C$5*(I108-H108)/(Links!I$191*Links!X$191)</f>
        <v>#DIV/0!</v>
      </c>
      <c r="Y109" s="55" t="e">
        <f>Y108+ATM_Conf!$C$5*(J108)/(Links!J$191*Links!Y$191)</f>
        <v>#DIV/0!</v>
      </c>
      <c r="Z109" s="55" t="e">
        <f>Z108+ATM_Conf!$C$5*(K108-J108)/(Links!K$191*Links!Z$191)</f>
        <v>#DIV/0!</v>
      </c>
      <c r="AA109" s="55" t="e">
        <f>AA108+ATM_Conf!$C$5*(L108-K108)/(Links!L$191*Links!AA$191)</f>
        <v>#DIV/0!</v>
      </c>
      <c r="AB109" s="55" t="e">
        <f>AB108+ATM_Conf!$C$5*(M108-L108)/(Links!M$191*Links!AB$191)</f>
        <v>#DIV/0!</v>
      </c>
      <c r="AC109" s="55" t="e">
        <f>AC108+ATM_Conf!$C$5*(N108-M108)/(Links!N$191*Links!AC$191)</f>
        <v>#DIV/0!</v>
      </c>
      <c r="AD109" s="55" t="e">
        <f>AD108+ATM_Conf!$C$5*(O108-N108)/(Links!O$191*Links!AD$191)</f>
        <v>#DIV/0!</v>
      </c>
      <c r="AE109" s="55" t="e">
        <f>AE108+ATM_Conf!$C$5*(P108-O108)/(Links!P$191*Links!AE$191)</f>
        <v>#DIV/0!</v>
      </c>
      <c r="AF109" s="45" t="e">
        <f>AF108+(ATM_Conf!$C$5/ATM_Conf!$C$8)*(Links!AU108*EXP((-(Links!Q108/Links!BJ108)^Links!BY108)/Links!BY108)-Links!AF108)-(ATM_Conf!$C$9*ATM_Conf!$C$5/(ATM_Conf!$C$8*Links!Q$191))*(Nodes!BO108-Links!Q108)/(Links!Q108/ATM_Conf!$C$10)</f>
        <v>#DIV/0!</v>
      </c>
      <c r="AG109" s="45" t="e">
        <f>AG108+(ATM_Conf!$C$5/ATM_Conf!$C$8)*(Links!AV108*EXP((-(Links!R108/Links!BK108)^Links!BZ108)/Links!BZ108)-Links!AG108)+(ATM_Conf!$C$5/Links!R$191)*Links!AG108*(Nodes!BB108-Links!AG108)-(ATM_Conf!$C$9*ATM_Conf!$C$5/(ATM_Conf!$C$8*Links!R$191))*(Nodes!BP108-Links!R108)/(Links!R108/ATM_Conf!$C$10)</f>
        <v>#DIV/0!</v>
      </c>
      <c r="AH109" s="45" t="e">
        <f>AH108+(ATM_Conf!$C$5/ATM_Conf!$C$8)*(Links!AW108*EXP((-(Links!S108/Links!BL108)^Links!CA108)/Links!CA108)-Links!AH108)+(ATM_Conf!$C$5/Links!S$191)*Links!AH108*(Nodes!BC108-Links!AH108)-(ATM_Conf!$C$9*ATM_Conf!$C$5/(ATM_Conf!$C$8*Links!S$191))*(Nodes!BQ108-Links!S108)/(Links!S108/ATM_Conf!$C$10)</f>
        <v>#DIV/0!</v>
      </c>
      <c r="AI109" s="45" t="e">
        <f>AI108+(ATM_Conf!$C$5/ATM_Conf!$C$8)*(Links!AX108*EXP((-(Links!T108/Links!BM108)^Links!CB108)/Links!CB108)-Links!AI108)+(ATM_Conf!$C$5/Links!T$191)*Links!AI108*(Nodes!BD108-Links!AI108)-(ATM_Conf!$C$9*ATM_Conf!$C$5/(ATM_Conf!$C$8*Links!T$191))*(Nodes!BR108-Links!T108)/(Links!T108/ATM_Conf!$C$10)</f>
        <v>#DIV/0!</v>
      </c>
      <c r="AJ109" s="45" t="e">
        <f>AJ108+(ATM_Conf!$C$5/ATM_Conf!$C$8)*(Links!AY108*EXP((-(Links!U108/Links!BN108)^Links!CC108)/Links!CC108)-Links!AJ108)+(ATM_Conf!$C$5/Links!U$191)*Links!AJ108*(Nodes!BE108-Links!AJ108)-(ATM_Conf!$C$9*ATM_Conf!$C$5/(ATM_Conf!$C$8*Links!U$191))*(Nodes!BS108-Links!U108)/(Links!U108/ATM_Conf!$C$10)</f>
        <v>#DIV/0!</v>
      </c>
      <c r="AK109" s="45" t="e">
        <f>AK108+(ATM_Conf!$C$5/ATM_Conf!$C$8)*(Links!AZ108*EXP((-(Links!V108/Links!BO108)^Links!CD108)/Links!CD108)-Links!AK108)+(ATM_Conf!$C$5/Links!V$191)*Links!AK108*(Nodes!BF108-Links!AK108)-(ATM_Conf!$C$9*ATM_Conf!$C$5/(ATM_Conf!$C$8*Links!V$191))*(Nodes!BT108-Links!V108)/(Links!V108/ATM_Conf!$C$10)</f>
        <v>#DIV/0!</v>
      </c>
      <c r="AL109" s="45" t="e">
        <f>AL108+(ATM_Conf!$C$5/ATM_Conf!$C$8)*(Links!BA108*EXP((-(Links!W108/Links!BP108)^Links!CE108)/Links!CE108)-Links!AL108)+(ATM_Conf!$C$5/Links!W$191)*Links!AL108*(Nodes!BG108-Links!AL108)-(ATM_Conf!$C$9*ATM_Conf!$C$5/(ATM_Conf!$C$8*Links!W$191))*(Nodes!BU108-Links!W108)/(Links!W108/ATM_Conf!$C$10)</f>
        <v>#DIV/0!</v>
      </c>
      <c r="AM109" s="45" t="e">
        <f>AM108+(ATM_Conf!$C$5/ATM_Conf!$C$8)*(Links!BB108*EXP((-(Links!X108/Links!BQ108)^Links!CF108)/Links!CF108)-Links!AM108)+(ATM_Conf!$C$5/Links!X$191)*Links!AM108*(Nodes!BH108-Links!AM108)</f>
        <v>#DIV/0!</v>
      </c>
      <c r="AN109" s="45" t="e">
        <f>AN108+(ATM_Conf!$C$5/ATM_Conf!$C$8)*(Links!BC108*EXP((-(Links!Y108/Links!BR108)^Links!CG108)/Links!CG108)-Links!AN108)-(ATM_Conf!$C$9*ATM_Conf!$C$5/(ATM_Conf!$C$8*Links!Y$191))*(Nodes!BV108-Links!Y108)/(Links!Y108/ATM_Conf!$C$10)</f>
        <v>#DIV/0!</v>
      </c>
      <c r="AO109" s="45" t="e">
        <f>AO108+(ATM_Conf!$C$5/ATM_Conf!$C$8)*(Links!BD108*EXP((-(Links!Z108/Links!BS108)^Links!CH108)/Links!CH108)-Links!AO108)+(ATM_Conf!$C$5/Links!Z$191)*Links!AO108*(Nodes!BI108-Links!AO108)-(ATM_Conf!$C$9*ATM_Conf!$C$5/(ATM_Conf!$C$8*Links!Z$191))*(Nodes!BW108-Links!Z108)/(Links!Z108/ATM_Conf!$C$10)</f>
        <v>#DIV/0!</v>
      </c>
      <c r="AP109" s="45" t="e">
        <f>AP108+(ATM_Conf!$C$5/ATM_Conf!$C$8)*(Links!BE108*EXP((-(Links!AA108/Links!BT108)^Links!CI108)/Links!CI108)-Links!AP108)+(ATM_Conf!$C$5/Links!AA$191)*Links!AP108*(Nodes!BJ108-Links!AP108)-(ATM_Conf!$C$9*ATM_Conf!$C$5/(ATM_Conf!$C$8*Links!AA$191))*(Nodes!BX108-Links!AA108)/(Links!AA108/ATM_Conf!$C$10)</f>
        <v>#DIV/0!</v>
      </c>
      <c r="AQ109" s="45" t="e">
        <f>AQ108+(ATM_Conf!$C$5/ATM_Conf!$C$8)*(Links!BF108*EXP((-(Links!AB108/Links!BU108)^Links!CJ108)/Links!CJ108)-Links!AQ108)+(ATM_Conf!$C$5/Links!AB$191)*Links!AQ108*(Nodes!BK108-Links!AQ108)-(ATM_Conf!$C$9*ATM_Conf!$C$5/(ATM_Conf!$C$8*Links!AB$191))*(Nodes!BY108-Links!AB108)/(Links!AB108/ATM_Conf!$C$10)</f>
        <v>#DIV/0!</v>
      </c>
      <c r="AR109" s="45" t="e">
        <f>AR108+(ATM_Conf!$C$5/ATM_Conf!$C$8)*(Links!BG108*EXP((-(Links!AC108/Links!BV108)^Links!CK108)/Links!CK108)-Links!AR108)+(ATM_Conf!$C$5/Links!AC$191)*Links!AR108*(Nodes!BL108-Links!AR108)-(ATM_Conf!$C$9*ATM_Conf!$C$5/(ATM_Conf!$C$8*Links!AC$191))*(Nodes!BZ108-Links!AC108)/(Links!AC108/ATM_Conf!$C$10)</f>
        <v>#DIV/0!</v>
      </c>
      <c r="AS109" s="45" t="e">
        <f>AS108+(ATM_Conf!$C$5/ATM_Conf!$C$8)*(Links!BH108*EXP((-(Links!AD108/Links!BW108)^Links!CL108)/Links!CL108)-Links!AS108)+(ATM_Conf!$C$5/Links!AD$191)*Links!AS108*(Nodes!BM108-Links!AS108)-(ATM_Conf!$C$9*ATM_Conf!$C$5/(ATM_Conf!$C$8*Links!AD$191))*(Nodes!CA108-Links!AD108)/(Links!AD108/ATM_Conf!$C$10)</f>
        <v>#DIV/0!</v>
      </c>
      <c r="AT109" s="45" t="e">
        <f>AT108+(ATM_Conf!$C$5/ATM_Conf!$C$8)*(Links!BI108*EXP((-(Links!AE108/Links!BX108)^Links!CM108)/Links!CM108)-Links!AT108)+(ATM_Conf!$C$5/Links!AE$191)*Links!AT108*(Nodes!BN108-Links!AT108)</f>
        <v>#DIV/0!</v>
      </c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  <c r="BI109" s="5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55"/>
      <c r="BZ109" s="55"/>
      <c r="CA109" s="55"/>
      <c r="CB109" s="55"/>
      <c r="CC109" s="55"/>
      <c r="CD109" s="55"/>
      <c r="CE109" s="55"/>
      <c r="CF109" s="55"/>
      <c r="CG109" s="55"/>
      <c r="CH109" s="55"/>
      <c r="CI109" s="55"/>
      <c r="CJ109" s="55"/>
      <c r="CK109" s="55"/>
      <c r="CL109" s="55"/>
      <c r="CM109" s="55"/>
      <c r="CN109" s="45">
        <f t="shared" si="57"/>
        <v>0</v>
      </c>
      <c r="CO109" s="45">
        <f t="shared" si="57"/>
        <v>0</v>
      </c>
      <c r="CP109" s="45">
        <f t="shared" si="57"/>
        <v>0</v>
      </c>
      <c r="CQ109" s="45">
        <f t="shared" si="57"/>
        <v>0</v>
      </c>
      <c r="CR109" s="45">
        <f t="shared" si="57"/>
        <v>0</v>
      </c>
      <c r="CS109" s="45">
        <f t="shared" si="57"/>
        <v>0</v>
      </c>
      <c r="CT109" s="45">
        <f t="shared" si="57"/>
        <v>0</v>
      </c>
      <c r="CU109" s="45">
        <f t="shared" si="57"/>
        <v>0</v>
      </c>
      <c r="CV109" s="45">
        <f t="shared" si="57"/>
        <v>0</v>
      </c>
      <c r="CW109" s="45">
        <f t="shared" si="57"/>
        <v>0</v>
      </c>
      <c r="CX109" s="45">
        <f t="shared" si="57"/>
        <v>0</v>
      </c>
      <c r="CY109" s="45">
        <f t="shared" si="57"/>
        <v>0</v>
      </c>
      <c r="CZ109" s="45">
        <f t="shared" si="57"/>
        <v>0</v>
      </c>
      <c r="DA109" s="45">
        <f t="shared" si="57"/>
        <v>0</v>
      </c>
      <c r="DB109" s="45">
        <f t="shared" si="57"/>
        <v>0</v>
      </c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</row>
    <row r="110" spans="1:121" ht="14.25" x14ac:dyDescent="0.15">
      <c r="A110" s="48">
        <v>108</v>
      </c>
      <c r="B110" s="45" t="e">
        <f t="shared" si="34"/>
        <v>#DIV/0!</v>
      </c>
      <c r="C110" s="45" t="e">
        <f t="shared" si="35"/>
        <v>#DIV/0!</v>
      </c>
      <c r="D110" s="45" t="e">
        <f t="shared" si="36"/>
        <v>#DIV/0!</v>
      </c>
      <c r="E110" s="45" t="e">
        <f t="shared" si="37"/>
        <v>#DIV/0!</v>
      </c>
      <c r="F110" s="45" t="e">
        <f t="shared" si="38"/>
        <v>#DIV/0!</v>
      </c>
      <c r="G110" s="45" t="e">
        <f t="shared" si="39"/>
        <v>#DIV/0!</v>
      </c>
      <c r="H110" s="45" t="e">
        <f t="shared" si="40"/>
        <v>#DIV/0!</v>
      </c>
      <c r="I110" s="45" t="e">
        <f t="shared" si="41"/>
        <v>#DIV/0!</v>
      </c>
      <c r="J110" s="45" t="e">
        <f t="shared" si="42"/>
        <v>#DIV/0!</v>
      </c>
      <c r="K110" s="45" t="e">
        <f t="shared" si="43"/>
        <v>#DIV/0!</v>
      </c>
      <c r="L110" s="45" t="e">
        <f t="shared" si="44"/>
        <v>#DIV/0!</v>
      </c>
      <c r="M110" s="45" t="e">
        <f t="shared" si="45"/>
        <v>#DIV/0!</v>
      </c>
      <c r="N110" s="45" t="e">
        <f t="shared" si="46"/>
        <v>#DIV/0!</v>
      </c>
      <c r="O110" s="45" t="e">
        <f t="shared" si="47"/>
        <v>#DIV/0!</v>
      </c>
      <c r="P110" s="45" t="e">
        <f t="shared" si="48"/>
        <v>#DIV/0!</v>
      </c>
      <c r="Q110" s="55" t="e">
        <f>Q109+ATM_Conf!$C$5*(B109)/(Links!B$191*Links!Q$191)</f>
        <v>#DIV/0!</v>
      </c>
      <c r="R110" s="55" t="e">
        <f>R109+ATM_Conf!$C$5*(C109-B109)/(Links!C$191*Links!R$191)</f>
        <v>#DIV/0!</v>
      </c>
      <c r="S110" s="55" t="e">
        <f>S109+ATM_Conf!$C$5*(D109-C109)/(Links!D$191*Links!S$191)</f>
        <v>#DIV/0!</v>
      </c>
      <c r="T110" s="55" t="e">
        <f>T109+ATM_Conf!$C$5*(E109-D109)/(Links!E$191*Links!T$191)</f>
        <v>#DIV/0!</v>
      </c>
      <c r="U110" s="55" t="e">
        <f>U109+ATM_Conf!$C$5*(F109-E109)/(Links!F$191*Links!U$191)</f>
        <v>#DIV/0!</v>
      </c>
      <c r="V110" s="55" t="e">
        <f>V109+ATM_Conf!$C$5*(G109-F109)/(Links!G$191*Links!V$191)</f>
        <v>#DIV/0!</v>
      </c>
      <c r="W110" s="55" t="e">
        <f>W109+ATM_Conf!$C$5*(H109-G109)/(Links!H$191*Links!W$191)</f>
        <v>#DIV/0!</v>
      </c>
      <c r="X110" s="55" t="e">
        <f>X109+ATM_Conf!$C$5*(I109-H109)/(Links!I$191*Links!X$191)</f>
        <v>#DIV/0!</v>
      </c>
      <c r="Y110" s="55" t="e">
        <f>Y109+ATM_Conf!$C$5*(J109)/(Links!J$191*Links!Y$191)</f>
        <v>#DIV/0!</v>
      </c>
      <c r="Z110" s="55" t="e">
        <f>Z109+ATM_Conf!$C$5*(K109-J109)/(Links!K$191*Links!Z$191)</f>
        <v>#DIV/0!</v>
      </c>
      <c r="AA110" s="55" t="e">
        <f>AA109+ATM_Conf!$C$5*(L109-K109)/(Links!L$191*Links!AA$191)</f>
        <v>#DIV/0!</v>
      </c>
      <c r="AB110" s="55" t="e">
        <f>AB109+ATM_Conf!$C$5*(M109-L109)/(Links!M$191*Links!AB$191)</f>
        <v>#DIV/0!</v>
      </c>
      <c r="AC110" s="55" t="e">
        <f>AC109+ATM_Conf!$C$5*(N109-M109)/(Links!N$191*Links!AC$191)</f>
        <v>#DIV/0!</v>
      </c>
      <c r="AD110" s="55" t="e">
        <f>AD109+ATM_Conf!$C$5*(O109-N109)/(Links!O$191*Links!AD$191)</f>
        <v>#DIV/0!</v>
      </c>
      <c r="AE110" s="55" t="e">
        <f>AE109+ATM_Conf!$C$5*(P109-O109)/(Links!P$191*Links!AE$191)</f>
        <v>#DIV/0!</v>
      </c>
      <c r="AF110" s="45" t="e">
        <f>AF109+(ATM_Conf!$C$5/ATM_Conf!$C$8)*(Links!AU109*EXP((-(Links!Q109/Links!BJ109)^Links!BY109)/Links!BY109)-Links!AF109)-(ATM_Conf!$C$9*ATM_Conf!$C$5/(ATM_Conf!$C$8*Links!Q$191))*(Nodes!BO109-Links!Q109)/(Links!Q109/ATM_Conf!$C$10)</f>
        <v>#DIV/0!</v>
      </c>
      <c r="AG110" s="45" t="e">
        <f>AG109+(ATM_Conf!$C$5/ATM_Conf!$C$8)*(Links!AV109*EXP((-(Links!R109/Links!BK109)^Links!BZ109)/Links!BZ109)-Links!AG109)+(ATM_Conf!$C$5/Links!R$191)*Links!AG109*(Nodes!BB109-Links!AG109)-(ATM_Conf!$C$9*ATM_Conf!$C$5/(ATM_Conf!$C$8*Links!R$191))*(Nodes!BP109-Links!R109)/(Links!R109/ATM_Conf!$C$10)</f>
        <v>#DIV/0!</v>
      </c>
      <c r="AH110" s="45" t="e">
        <f>AH109+(ATM_Conf!$C$5/ATM_Conf!$C$8)*(Links!AW109*EXP((-(Links!S109/Links!BL109)^Links!CA109)/Links!CA109)-Links!AH109)+(ATM_Conf!$C$5/Links!S$191)*Links!AH109*(Nodes!BC109-Links!AH109)-(ATM_Conf!$C$9*ATM_Conf!$C$5/(ATM_Conf!$C$8*Links!S$191))*(Nodes!BQ109-Links!S109)/(Links!S109/ATM_Conf!$C$10)</f>
        <v>#DIV/0!</v>
      </c>
      <c r="AI110" s="45" t="e">
        <f>AI109+(ATM_Conf!$C$5/ATM_Conf!$C$8)*(Links!AX109*EXP((-(Links!T109/Links!BM109)^Links!CB109)/Links!CB109)-Links!AI109)+(ATM_Conf!$C$5/Links!T$191)*Links!AI109*(Nodes!BD109-Links!AI109)-(ATM_Conf!$C$9*ATM_Conf!$C$5/(ATM_Conf!$C$8*Links!T$191))*(Nodes!BR109-Links!T109)/(Links!T109/ATM_Conf!$C$10)</f>
        <v>#DIV/0!</v>
      </c>
      <c r="AJ110" s="45" t="e">
        <f>AJ109+(ATM_Conf!$C$5/ATM_Conf!$C$8)*(Links!AY109*EXP((-(Links!U109/Links!BN109)^Links!CC109)/Links!CC109)-Links!AJ109)+(ATM_Conf!$C$5/Links!U$191)*Links!AJ109*(Nodes!BE109-Links!AJ109)-(ATM_Conf!$C$9*ATM_Conf!$C$5/(ATM_Conf!$C$8*Links!U$191))*(Nodes!BS109-Links!U109)/(Links!U109/ATM_Conf!$C$10)</f>
        <v>#DIV/0!</v>
      </c>
      <c r="AK110" s="45" t="e">
        <f>AK109+(ATM_Conf!$C$5/ATM_Conf!$C$8)*(Links!AZ109*EXP((-(Links!V109/Links!BO109)^Links!CD109)/Links!CD109)-Links!AK109)+(ATM_Conf!$C$5/Links!V$191)*Links!AK109*(Nodes!BF109-Links!AK109)-(ATM_Conf!$C$9*ATM_Conf!$C$5/(ATM_Conf!$C$8*Links!V$191))*(Nodes!BT109-Links!V109)/(Links!V109/ATM_Conf!$C$10)</f>
        <v>#DIV/0!</v>
      </c>
      <c r="AL110" s="45" t="e">
        <f>AL109+(ATM_Conf!$C$5/ATM_Conf!$C$8)*(Links!BA109*EXP((-(Links!W109/Links!BP109)^Links!CE109)/Links!CE109)-Links!AL109)+(ATM_Conf!$C$5/Links!W$191)*Links!AL109*(Nodes!BG109-Links!AL109)-(ATM_Conf!$C$9*ATM_Conf!$C$5/(ATM_Conf!$C$8*Links!W$191))*(Nodes!BU109-Links!W109)/(Links!W109/ATM_Conf!$C$10)</f>
        <v>#DIV/0!</v>
      </c>
      <c r="AM110" s="45" t="e">
        <f>AM109+(ATM_Conf!$C$5/ATM_Conf!$C$8)*(Links!BB109*EXP((-(Links!X109/Links!BQ109)^Links!CF109)/Links!CF109)-Links!AM109)+(ATM_Conf!$C$5/Links!X$191)*Links!AM109*(Nodes!BH109-Links!AM109)</f>
        <v>#DIV/0!</v>
      </c>
      <c r="AN110" s="45" t="e">
        <f>AN109+(ATM_Conf!$C$5/ATM_Conf!$C$8)*(Links!BC109*EXP((-(Links!Y109/Links!BR109)^Links!CG109)/Links!CG109)-Links!AN109)-(ATM_Conf!$C$9*ATM_Conf!$C$5/(ATM_Conf!$C$8*Links!Y$191))*(Nodes!BV109-Links!Y109)/(Links!Y109/ATM_Conf!$C$10)</f>
        <v>#DIV/0!</v>
      </c>
      <c r="AO110" s="45" t="e">
        <f>AO109+(ATM_Conf!$C$5/ATM_Conf!$C$8)*(Links!BD109*EXP((-(Links!Z109/Links!BS109)^Links!CH109)/Links!CH109)-Links!AO109)+(ATM_Conf!$C$5/Links!Z$191)*Links!AO109*(Nodes!BI109-Links!AO109)-(ATM_Conf!$C$9*ATM_Conf!$C$5/(ATM_Conf!$C$8*Links!Z$191))*(Nodes!BW109-Links!Z109)/(Links!Z109/ATM_Conf!$C$10)</f>
        <v>#DIV/0!</v>
      </c>
      <c r="AP110" s="45" t="e">
        <f>AP109+(ATM_Conf!$C$5/ATM_Conf!$C$8)*(Links!BE109*EXP((-(Links!AA109/Links!BT109)^Links!CI109)/Links!CI109)-Links!AP109)+(ATM_Conf!$C$5/Links!AA$191)*Links!AP109*(Nodes!BJ109-Links!AP109)-(ATM_Conf!$C$9*ATM_Conf!$C$5/(ATM_Conf!$C$8*Links!AA$191))*(Nodes!BX109-Links!AA109)/(Links!AA109/ATM_Conf!$C$10)</f>
        <v>#DIV/0!</v>
      </c>
      <c r="AQ110" s="45" t="e">
        <f>AQ109+(ATM_Conf!$C$5/ATM_Conf!$C$8)*(Links!BF109*EXP((-(Links!AB109/Links!BU109)^Links!CJ109)/Links!CJ109)-Links!AQ109)+(ATM_Conf!$C$5/Links!AB$191)*Links!AQ109*(Nodes!BK109-Links!AQ109)-(ATM_Conf!$C$9*ATM_Conf!$C$5/(ATM_Conf!$C$8*Links!AB$191))*(Nodes!BY109-Links!AB109)/(Links!AB109/ATM_Conf!$C$10)</f>
        <v>#DIV/0!</v>
      </c>
      <c r="AR110" s="45" t="e">
        <f>AR109+(ATM_Conf!$C$5/ATM_Conf!$C$8)*(Links!BG109*EXP((-(Links!AC109/Links!BV109)^Links!CK109)/Links!CK109)-Links!AR109)+(ATM_Conf!$C$5/Links!AC$191)*Links!AR109*(Nodes!BL109-Links!AR109)-(ATM_Conf!$C$9*ATM_Conf!$C$5/(ATM_Conf!$C$8*Links!AC$191))*(Nodes!BZ109-Links!AC109)/(Links!AC109/ATM_Conf!$C$10)</f>
        <v>#DIV/0!</v>
      </c>
      <c r="AS110" s="45" t="e">
        <f>AS109+(ATM_Conf!$C$5/ATM_Conf!$C$8)*(Links!BH109*EXP((-(Links!AD109/Links!BW109)^Links!CL109)/Links!CL109)-Links!AS109)+(ATM_Conf!$C$5/Links!AD$191)*Links!AS109*(Nodes!BM109-Links!AS109)-(ATM_Conf!$C$9*ATM_Conf!$C$5/(ATM_Conf!$C$8*Links!AD$191))*(Nodes!CA109-Links!AD109)/(Links!AD109/ATM_Conf!$C$10)</f>
        <v>#DIV/0!</v>
      </c>
      <c r="AT110" s="45" t="e">
        <f>AT109+(ATM_Conf!$C$5/ATM_Conf!$C$8)*(Links!BI109*EXP((-(Links!AE109/Links!BX109)^Links!CM109)/Links!CM109)-Links!AT109)+(ATM_Conf!$C$5/Links!AE$191)*Links!AT109*(Nodes!BN109-Links!AT109)</f>
        <v>#DIV/0!</v>
      </c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55"/>
      <c r="BZ110" s="55"/>
      <c r="CA110" s="55"/>
      <c r="CB110" s="55"/>
      <c r="CC110" s="55"/>
      <c r="CD110" s="55"/>
      <c r="CE110" s="55"/>
      <c r="CF110" s="55"/>
      <c r="CG110" s="55"/>
      <c r="CH110" s="55"/>
      <c r="CI110" s="55"/>
      <c r="CJ110" s="55"/>
      <c r="CK110" s="55"/>
      <c r="CL110" s="55"/>
      <c r="CM110" s="55"/>
      <c r="CN110" s="45">
        <f t="shared" si="57"/>
        <v>0</v>
      </c>
      <c r="CO110" s="45">
        <f t="shared" si="57"/>
        <v>0</v>
      </c>
      <c r="CP110" s="45">
        <f t="shared" si="57"/>
        <v>0</v>
      </c>
      <c r="CQ110" s="45">
        <f t="shared" si="57"/>
        <v>0</v>
      </c>
      <c r="CR110" s="45">
        <f t="shared" si="57"/>
        <v>0</v>
      </c>
      <c r="CS110" s="45">
        <f t="shared" si="57"/>
        <v>0</v>
      </c>
      <c r="CT110" s="45">
        <f t="shared" si="57"/>
        <v>0</v>
      </c>
      <c r="CU110" s="45">
        <f t="shared" si="57"/>
        <v>0</v>
      </c>
      <c r="CV110" s="45">
        <f t="shared" si="57"/>
        <v>0</v>
      </c>
      <c r="CW110" s="45">
        <f t="shared" si="57"/>
        <v>0</v>
      </c>
      <c r="CX110" s="45">
        <f t="shared" si="57"/>
        <v>0</v>
      </c>
      <c r="CY110" s="45">
        <f t="shared" si="57"/>
        <v>0</v>
      </c>
      <c r="CZ110" s="45">
        <f t="shared" si="57"/>
        <v>0</v>
      </c>
      <c r="DA110" s="45">
        <f t="shared" si="57"/>
        <v>0</v>
      </c>
      <c r="DB110" s="45">
        <f t="shared" si="57"/>
        <v>0</v>
      </c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</row>
    <row r="111" spans="1:121" ht="14.25" x14ac:dyDescent="0.15">
      <c r="A111" s="48">
        <v>109</v>
      </c>
      <c r="B111" s="45" t="e">
        <f t="shared" si="34"/>
        <v>#DIV/0!</v>
      </c>
      <c r="C111" s="45" t="e">
        <f t="shared" si="35"/>
        <v>#DIV/0!</v>
      </c>
      <c r="D111" s="45" t="e">
        <f t="shared" si="36"/>
        <v>#DIV/0!</v>
      </c>
      <c r="E111" s="45" t="e">
        <f t="shared" si="37"/>
        <v>#DIV/0!</v>
      </c>
      <c r="F111" s="45" t="e">
        <f t="shared" si="38"/>
        <v>#DIV/0!</v>
      </c>
      <c r="G111" s="45" t="e">
        <f t="shared" si="39"/>
        <v>#DIV/0!</v>
      </c>
      <c r="H111" s="45" t="e">
        <f t="shared" si="40"/>
        <v>#DIV/0!</v>
      </c>
      <c r="I111" s="45" t="e">
        <f t="shared" si="41"/>
        <v>#DIV/0!</v>
      </c>
      <c r="J111" s="45" t="e">
        <f t="shared" si="42"/>
        <v>#DIV/0!</v>
      </c>
      <c r="K111" s="45" t="e">
        <f t="shared" si="43"/>
        <v>#DIV/0!</v>
      </c>
      <c r="L111" s="45" t="e">
        <f t="shared" si="44"/>
        <v>#DIV/0!</v>
      </c>
      <c r="M111" s="45" t="e">
        <f t="shared" si="45"/>
        <v>#DIV/0!</v>
      </c>
      <c r="N111" s="45" t="e">
        <f t="shared" si="46"/>
        <v>#DIV/0!</v>
      </c>
      <c r="O111" s="45" t="e">
        <f t="shared" si="47"/>
        <v>#DIV/0!</v>
      </c>
      <c r="P111" s="45" t="e">
        <f t="shared" si="48"/>
        <v>#DIV/0!</v>
      </c>
      <c r="Q111" s="55" t="e">
        <f>Q110+ATM_Conf!$C$5*(B110)/(Links!B$191*Links!Q$191)</f>
        <v>#DIV/0!</v>
      </c>
      <c r="R111" s="55" t="e">
        <f>R110+ATM_Conf!$C$5*(C110-B110)/(Links!C$191*Links!R$191)</f>
        <v>#DIV/0!</v>
      </c>
      <c r="S111" s="55" t="e">
        <f>S110+ATM_Conf!$C$5*(D110-C110)/(Links!D$191*Links!S$191)</f>
        <v>#DIV/0!</v>
      </c>
      <c r="T111" s="55" t="e">
        <f>T110+ATM_Conf!$C$5*(E110-D110)/(Links!E$191*Links!T$191)</f>
        <v>#DIV/0!</v>
      </c>
      <c r="U111" s="55" t="e">
        <f>U110+ATM_Conf!$C$5*(F110-E110)/(Links!F$191*Links!U$191)</f>
        <v>#DIV/0!</v>
      </c>
      <c r="V111" s="55" t="e">
        <f>V110+ATM_Conf!$C$5*(G110-F110)/(Links!G$191*Links!V$191)</f>
        <v>#DIV/0!</v>
      </c>
      <c r="W111" s="55" t="e">
        <f>W110+ATM_Conf!$C$5*(H110-G110)/(Links!H$191*Links!W$191)</f>
        <v>#DIV/0!</v>
      </c>
      <c r="X111" s="55" t="e">
        <f>X110+ATM_Conf!$C$5*(I110-H110)/(Links!I$191*Links!X$191)</f>
        <v>#DIV/0!</v>
      </c>
      <c r="Y111" s="55" t="e">
        <f>Y110+ATM_Conf!$C$5*(J110)/(Links!J$191*Links!Y$191)</f>
        <v>#DIV/0!</v>
      </c>
      <c r="Z111" s="55" t="e">
        <f>Z110+ATM_Conf!$C$5*(K110-J110)/(Links!K$191*Links!Z$191)</f>
        <v>#DIV/0!</v>
      </c>
      <c r="AA111" s="55" t="e">
        <f>AA110+ATM_Conf!$C$5*(L110-K110)/(Links!L$191*Links!AA$191)</f>
        <v>#DIV/0!</v>
      </c>
      <c r="AB111" s="55" t="e">
        <f>AB110+ATM_Conf!$C$5*(M110-L110)/(Links!M$191*Links!AB$191)</f>
        <v>#DIV/0!</v>
      </c>
      <c r="AC111" s="55" t="e">
        <f>AC110+ATM_Conf!$C$5*(N110-M110)/(Links!N$191*Links!AC$191)</f>
        <v>#DIV/0!</v>
      </c>
      <c r="AD111" s="55" t="e">
        <f>AD110+ATM_Conf!$C$5*(O110-N110)/(Links!O$191*Links!AD$191)</f>
        <v>#DIV/0!</v>
      </c>
      <c r="AE111" s="55" t="e">
        <f>AE110+ATM_Conf!$C$5*(P110-O110)/(Links!P$191*Links!AE$191)</f>
        <v>#DIV/0!</v>
      </c>
      <c r="AF111" s="45" t="e">
        <f>AF110+(ATM_Conf!$C$5/ATM_Conf!$C$8)*(Links!AU110*EXP((-(Links!Q110/Links!BJ110)^Links!BY110)/Links!BY110)-Links!AF110)-(ATM_Conf!$C$9*ATM_Conf!$C$5/(ATM_Conf!$C$8*Links!Q$191))*(Nodes!BO110-Links!Q110)/(Links!Q110/ATM_Conf!$C$10)</f>
        <v>#DIV/0!</v>
      </c>
      <c r="AG111" s="45" t="e">
        <f>AG110+(ATM_Conf!$C$5/ATM_Conf!$C$8)*(Links!AV110*EXP((-(Links!R110/Links!BK110)^Links!BZ110)/Links!BZ110)-Links!AG110)+(ATM_Conf!$C$5/Links!R$191)*Links!AG110*(Nodes!BB110-Links!AG110)-(ATM_Conf!$C$9*ATM_Conf!$C$5/(ATM_Conf!$C$8*Links!R$191))*(Nodes!BP110-Links!R110)/(Links!R110/ATM_Conf!$C$10)</f>
        <v>#DIV/0!</v>
      </c>
      <c r="AH111" s="45" t="e">
        <f>AH110+(ATM_Conf!$C$5/ATM_Conf!$C$8)*(Links!AW110*EXP((-(Links!S110/Links!BL110)^Links!CA110)/Links!CA110)-Links!AH110)+(ATM_Conf!$C$5/Links!S$191)*Links!AH110*(Nodes!BC110-Links!AH110)-(ATM_Conf!$C$9*ATM_Conf!$C$5/(ATM_Conf!$C$8*Links!S$191))*(Nodes!BQ110-Links!S110)/(Links!S110/ATM_Conf!$C$10)</f>
        <v>#DIV/0!</v>
      </c>
      <c r="AI111" s="45" t="e">
        <f>AI110+(ATM_Conf!$C$5/ATM_Conf!$C$8)*(Links!AX110*EXP((-(Links!T110/Links!BM110)^Links!CB110)/Links!CB110)-Links!AI110)+(ATM_Conf!$C$5/Links!T$191)*Links!AI110*(Nodes!BD110-Links!AI110)-(ATM_Conf!$C$9*ATM_Conf!$C$5/(ATM_Conf!$C$8*Links!T$191))*(Nodes!BR110-Links!T110)/(Links!T110/ATM_Conf!$C$10)</f>
        <v>#DIV/0!</v>
      </c>
      <c r="AJ111" s="45" t="e">
        <f>AJ110+(ATM_Conf!$C$5/ATM_Conf!$C$8)*(Links!AY110*EXP((-(Links!U110/Links!BN110)^Links!CC110)/Links!CC110)-Links!AJ110)+(ATM_Conf!$C$5/Links!U$191)*Links!AJ110*(Nodes!BE110-Links!AJ110)-(ATM_Conf!$C$9*ATM_Conf!$C$5/(ATM_Conf!$C$8*Links!U$191))*(Nodes!BS110-Links!U110)/(Links!U110/ATM_Conf!$C$10)</f>
        <v>#DIV/0!</v>
      </c>
      <c r="AK111" s="45" t="e">
        <f>AK110+(ATM_Conf!$C$5/ATM_Conf!$C$8)*(Links!AZ110*EXP((-(Links!V110/Links!BO110)^Links!CD110)/Links!CD110)-Links!AK110)+(ATM_Conf!$C$5/Links!V$191)*Links!AK110*(Nodes!BF110-Links!AK110)-(ATM_Conf!$C$9*ATM_Conf!$C$5/(ATM_Conf!$C$8*Links!V$191))*(Nodes!BT110-Links!V110)/(Links!V110/ATM_Conf!$C$10)</f>
        <v>#DIV/0!</v>
      </c>
      <c r="AL111" s="45" t="e">
        <f>AL110+(ATM_Conf!$C$5/ATM_Conf!$C$8)*(Links!BA110*EXP((-(Links!W110/Links!BP110)^Links!CE110)/Links!CE110)-Links!AL110)+(ATM_Conf!$C$5/Links!W$191)*Links!AL110*(Nodes!BG110-Links!AL110)-(ATM_Conf!$C$9*ATM_Conf!$C$5/(ATM_Conf!$C$8*Links!W$191))*(Nodes!BU110-Links!W110)/(Links!W110/ATM_Conf!$C$10)</f>
        <v>#DIV/0!</v>
      </c>
      <c r="AM111" s="45" t="e">
        <f>AM110+(ATM_Conf!$C$5/ATM_Conf!$C$8)*(Links!BB110*EXP((-(Links!X110/Links!BQ110)^Links!CF110)/Links!CF110)-Links!AM110)+(ATM_Conf!$C$5/Links!X$191)*Links!AM110*(Nodes!BH110-Links!AM110)</f>
        <v>#DIV/0!</v>
      </c>
      <c r="AN111" s="45" t="e">
        <f>AN110+(ATM_Conf!$C$5/ATM_Conf!$C$8)*(Links!BC110*EXP((-(Links!Y110/Links!BR110)^Links!CG110)/Links!CG110)-Links!AN110)-(ATM_Conf!$C$9*ATM_Conf!$C$5/(ATM_Conf!$C$8*Links!Y$191))*(Nodes!BV110-Links!Y110)/(Links!Y110/ATM_Conf!$C$10)</f>
        <v>#DIV/0!</v>
      </c>
      <c r="AO111" s="45" t="e">
        <f>AO110+(ATM_Conf!$C$5/ATM_Conf!$C$8)*(Links!BD110*EXP((-(Links!Z110/Links!BS110)^Links!CH110)/Links!CH110)-Links!AO110)+(ATM_Conf!$C$5/Links!Z$191)*Links!AO110*(Nodes!BI110-Links!AO110)-(ATM_Conf!$C$9*ATM_Conf!$C$5/(ATM_Conf!$C$8*Links!Z$191))*(Nodes!BW110-Links!Z110)/(Links!Z110/ATM_Conf!$C$10)</f>
        <v>#DIV/0!</v>
      </c>
      <c r="AP111" s="45" t="e">
        <f>AP110+(ATM_Conf!$C$5/ATM_Conf!$C$8)*(Links!BE110*EXP((-(Links!AA110/Links!BT110)^Links!CI110)/Links!CI110)-Links!AP110)+(ATM_Conf!$C$5/Links!AA$191)*Links!AP110*(Nodes!BJ110-Links!AP110)-(ATM_Conf!$C$9*ATM_Conf!$C$5/(ATM_Conf!$C$8*Links!AA$191))*(Nodes!BX110-Links!AA110)/(Links!AA110/ATM_Conf!$C$10)</f>
        <v>#DIV/0!</v>
      </c>
      <c r="AQ111" s="45" t="e">
        <f>AQ110+(ATM_Conf!$C$5/ATM_Conf!$C$8)*(Links!BF110*EXP((-(Links!AB110/Links!BU110)^Links!CJ110)/Links!CJ110)-Links!AQ110)+(ATM_Conf!$C$5/Links!AB$191)*Links!AQ110*(Nodes!BK110-Links!AQ110)-(ATM_Conf!$C$9*ATM_Conf!$C$5/(ATM_Conf!$C$8*Links!AB$191))*(Nodes!BY110-Links!AB110)/(Links!AB110/ATM_Conf!$C$10)</f>
        <v>#DIV/0!</v>
      </c>
      <c r="AR111" s="45" t="e">
        <f>AR110+(ATM_Conf!$C$5/ATM_Conf!$C$8)*(Links!BG110*EXP((-(Links!AC110/Links!BV110)^Links!CK110)/Links!CK110)-Links!AR110)+(ATM_Conf!$C$5/Links!AC$191)*Links!AR110*(Nodes!BL110-Links!AR110)-(ATM_Conf!$C$9*ATM_Conf!$C$5/(ATM_Conf!$C$8*Links!AC$191))*(Nodes!BZ110-Links!AC110)/(Links!AC110/ATM_Conf!$C$10)</f>
        <v>#DIV/0!</v>
      </c>
      <c r="AS111" s="45" t="e">
        <f>AS110+(ATM_Conf!$C$5/ATM_Conf!$C$8)*(Links!BH110*EXP((-(Links!AD110/Links!BW110)^Links!CL110)/Links!CL110)-Links!AS110)+(ATM_Conf!$C$5/Links!AD$191)*Links!AS110*(Nodes!BM110-Links!AS110)-(ATM_Conf!$C$9*ATM_Conf!$C$5/(ATM_Conf!$C$8*Links!AD$191))*(Nodes!CA110-Links!AD110)/(Links!AD110/ATM_Conf!$C$10)</f>
        <v>#DIV/0!</v>
      </c>
      <c r="AT111" s="45" t="e">
        <f>AT110+(ATM_Conf!$C$5/ATM_Conf!$C$8)*(Links!BI110*EXP((-(Links!AE110/Links!BX110)^Links!CM110)/Links!CM110)-Links!AT110)+(ATM_Conf!$C$5/Links!AE$191)*Links!AT110*(Nodes!BN110-Links!AT110)</f>
        <v>#DIV/0!</v>
      </c>
      <c r="AU111" s="55"/>
      <c r="AV111" s="55"/>
      <c r="AW111" s="55"/>
      <c r="AX111" s="55"/>
      <c r="AY111" s="55"/>
      <c r="AZ111" s="55"/>
      <c r="BA111" s="55"/>
      <c r="BB111" s="55"/>
      <c r="BC111" s="55"/>
      <c r="BD111" s="55"/>
      <c r="BE111" s="55"/>
      <c r="BF111" s="55"/>
      <c r="BG111" s="55"/>
      <c r="BH111" s="55"/>
      <c r="BI111" s="55"/>
      <c r="BJ111" s="45"/>
      <c r="BK111" s="45"/>
      <c r="BL111" s="45"/>
      <c r="BM111" s="45"/>
      <c r="BN111" s="45"/>
      <c r="BO111" s="45"/>
      <c r="BP111" s="45"/>
      <c r="BQ111" s="45"/>
      <c r="BR111" s="45"/>
      <c r="BS111" s="45"/>
      <c r="BT111" s="45"/>
      <c r="BU111" s="45"/>
      <c r="BV111" s="45"/>
      <c r="BW111" s="45"/>
      <c r="BX111" s="45"/>
      <c r="BY111" s="55"/>
      <c r="BZ111" s="55"/>
      <c r="CA111" s="55"/>
      <c r="CB111" s="55"/>
      <c r="CC111" s="55"/>
      <c r="CD111" s="55"/>
      <c r="CE111" s="55"/>
      <c r="CF111" s="55"/>
      <c r="CG111" s="55"/>
      <c r="CH111" s="55"/>
      <c r="CI111" s="55"/>
      <c r="CJ111" s="55"/>
      <c r="CK111" s="55"/>
      <c r="CL111" s="55"/>
      <c r="CM111" s="55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53">
        <f>(CN111-CN99)^2</f>
        <v>0</v>
      </c>
      <c r="DD111" s="53">
        <f t="shared" ref="DD111:DQ111" si="58">(CO111-CO99)^2</f>
        <v>0</v>
      </c>
      <c r="DE111" s="53">
        <f t="shared" si="58"/>
        <v>0</v>
      </c>
      <c r="DF111" s="53">
        <f t="shared" si="58"/>
        <v>0</v>
      </c>
      <c r="DG111" s="53">
        <f t="shared" si="58"/>
        <v>0</v>
      </c>
      <c r="DH111" s="53">
        <f t="shared" si="58"/>
        <v>0</v>
      </c>
      <c r="DI111" s="53">
        <f t="shared" si="58"/>
        <v>0</v>
      </c>
      <c r="DJ111" s="53">
        <f t="shared" si="58"/>
        <v>0</v>
      </c>
      <c r="DK111" s="53">
        <f t="shared" si="58"/>
        <v>0</v>
      </c>
      <c r="DL111" s="53">
        <f t="shared" si="58"/>
        <v>0</v>
      </c>
      <c r="DM111" s="53">
        <f t="shared" si="58"/>
        <v>0</v>
      </c>
      <c r="DN111" s="53">
        <f t="shared" si="58"/>
        <v>0</v>
      </c>
      <c r="DO111" s="53">
        <f t="shared" si="58"/>
        <v>0</v>
      </c>
      <c r="DP111" s="53">
        <f t="shared" si="58"/>
        <v>0</v>
      </c>
      <c r="DQ111" s="53">
        <f t="shared" si="58"/>
        <v>0</v>
      </c>
    </row>
    <row r="112" spans="1:121" ht="14.25" x14ac:dyDescent="0.15">
      <c r="A112" s="48">
        <v>110</v>
      </c>
      <c r="B112" s="45" t="e">
        <f t="shared" si="34"/>
        <v>#DIV/0!</v>
      </c>
      <c r="C112" s="45" t="e">
        <f t="shared" si="35"/>
        <v>#DIV/0!</v>
      </c>
      <c r="D112" s="45" t="e">
        <f t="shared" si="36"/>
        <v>#DIV/0!</v>
      </c>
      <c r="E112" s="45" t="e">
        <f t="shared" si="37"/>
        <v>#DIV/0!</v>
      </c>
      <c r="F112" s="45" t="e">
        <f t="shared" si="38"/>
        <v>#DIV/0!</v>
      </c>
      <c r="G112" s="45" t="e">
        <f t="shared" si="39"/>
        <v>#DIV/0!</v>
      </c>
      <c r="H112" s="45" t="e">
        <f t="shared" si="40"/>
        <v>#DIV/0!</v>
      </c>
      <c r="I112" s="45" t="e">
        <f t="shared" si="41"/>
        <v>#DIV/0!</v>
      </c>
      <c r="J112" s="45" t="e">
        <f t="shared" si="42"/>
        <v>#DIV/0!</v>
      </c>
      <c r="K112" s="45" t="e">
        <f t="shared" si="43"/>
        <v>#DIV/0!</v>
      </c>
      <c r="L112" s="45" t="e">
        <f t="shared" si="44"/>
        <v>#DIV/0!</v>
      </c>
      <c r="M112" s="45" t="e">
        <f t="shared" si="45"/>
        <v>#DIV/0!</v>
      </c>
      <c r="N112" s="45" t="e">
        <f t="shared" si="46"/>
        <v>#DIV/0!</v>
      </c>
      <c r="O112" s="45" t="e">
        <f t="shared" si="47"/>
        <v>#DIV/0!</v>
      </c>
      <c r="P112" s="45" t="e">
        <f t="shared" si="48"/>
        <v>#DIV/0!</v>
      </c>
      <c r="Q112" s="55" t="e">
        <f>Q111+ATM_Conf!$C$5*(B111)/(Links!B$191*Links!Q$191)</f>
        <v>#DIV/0!</v>
      </c>
      <c r="R112" s="55" t="e">
        <f>R111+ATM_Conf!$C$5*(C111-B111)/(Links!C$191*Links!R$191)</f>
        <v>#DIV/0!</v>
      </c>
      <c r="S112" s="55" t="e">
        <f>S111+ATM_Conf!$C$5*(D111-C111)/(Links!D$191*Links!S$191)</f>
        <v>#DIV/0!</v>
      </c>
      <c r="T112" s="55" t="e">
        <f>T111+ATM_Conf!$C$5*(E111-D111)/(Links!E$191*Links!T$191)</f>
        <v>#DIV/0!</v>
      </c>
      <c r="U112" s="55" t="e">
        <f>U111+ATM_Conf!$C$5*(F111-E111)/(Links!F$191*Links!U$191)</f>
        <v>#DIV/0!</v>
      </c>
      <c r="V112" s="55" t="e">
        <f>V111+ATM_Conf!$C$5*(G111-F111)/(Links!G$191*Links!V$191)</f>
        <v>#DIV/0!</v>
      </c>
      <c r="W112" s="55" t="e">
        <f>W111+ATM_Conf!$C$5*(H111-G111)/(Links!H$191*Links!W$191)</f>
        <v>#DIV/0!</v>
      </c>
      <c r="X112" s="55" t="e">
        <f>X111+ATM_Conf!$C$5*(I111-H111)/(Links!I$191*Links!X$191)</f>
        <v>#DIV/0!</v>
      </c>
      <c r="Y112" s="55" t="e">
        <f>Y111+ATM_Conf!$C$5*(J111)/(Links!J$191*Links!Y$191)</f>
        <v>#DIV/0!</v>
      </c>
      <c r="Z112" s="55" t="e">
        <f>Z111+ATM_Conf!$C$5*(K111-J111)/(Links!K$191*Links!Z$191)</f>
        <v>#DIV/0!</v>
      </c>
      <c r="AA112" s="55" t="e">
        <f>AA111+ATM_Conf!$C$5*(L111-K111)/(Links!L$191*Links!AA$191)</f>
        <v>#DIV/0!</v>
      </c>
      <c r="AB112" s="55" t="e">
        <f>AB111+ATM_Conf!$C$5*(M111-L111)/(Links!M$191*Links!AB$191)</f>
        <v>#DIV/0!</v>
      </c>
      <c r="AC112" s="55" t="e">
        <f>AC111+ATM_Conf!$C$5*(N111-M111)/(Links!N$191*Links!AC$191)</f>
        <v>#DIV/0!</v>
      </c>
      <c r="AD112" s="55" t="e">
        <f>AD111+ATM_Conf!$C$5*(O111-N111)/(Links!O$191*Links!AD$191)</f>
        <v>#DIV/0!</v>
      </c>
      <c r="AE112" s="55" t="e">
        <f>AE111+ATM_Conf!$C$5*(P111-O111)/(Links!P$191*Links!AE$191)</f>
        <v>#DIV/0!</v>
      </c>
      <c r="AF112" s="45" t="e">
        <f>AF111+(ATM_Conf!$C$5/ATM_Conf!$C$8)*(Links!AU111*EXP((-(Links!Q111/Links!BJ111)^Links!BY111)/Links!BY111)-Links!AF111)-(ATM_Conf!$C$9*ATM_Conf!$C$5/(ATM_Conf!$C$8*Links!Q$191))*(Nodes!BO111-Links!Q111)/(Links!Q111/ATM_Conf!$C$10)</f>
        <v>#DIV/0!</v>
      </c>
      <c r="AG112" s="45" t="e">
        <f>AG111+(ATM_Conf!$C$5/ATM_Conf!$C$8)*(Links!AV111*EXP((-(Links!R111/Links!BK111)^Links!BZ111)/Links!BZ111)-Links!AG111)+(ATM_Conf!$C$5/Links!R$191)*Links!AG111*(Nodes!BB111-Links!AG111)-(ATM_Conf!$C$9*ATM_Conf!$C$5/(ATM_Conf!$C$8*Links!R$191))*(Nodes!BP111-Links!R111)/(Links!R111/ATM_Conf!$C$10)</f>
        <v>#DIV/0!</v>
      </c>
      <c r="AH112" s="45" t="e">
        <f>AH111+(ATM_Conf!$C$5/ATM_Conf!$C$8)*(Links!AW111*EXP((-(Links!S111/Links!BL111)^Links!CA111)/Links!CA111)-Links!AH111)+(ATM_Conf!$C$5/Links!S$191)*Links!AH111*(Nodes!BC111-Links!AH111)-(ATM_Conf!$C$9*ATM_Conf!$C$5/(ATM_Conf!$C$8*Links!S$191))*(Nodes!BQ111-Links!S111)/(Links!S111/ATM_Conf!$C$10)</f>
        <v>#DIV/0!</v>
      </c>
      <c r="AI112" s="45" t="e">
        <f>AI111+(ATM_Conf!$C$5/ATM_Conf!$C$8)*(Links!AX111*EXP((-(Links!T111/Links!BM111)^Links!CB111)/Links!CB111)-Links!AI111)+(ATM_Conf!$C$5/Links!T$191)*Links!AI111*(Nodes!BD111-Links!AI111)-(ATM_Conf!$C$9*ATM_Conf!$C$5/(ATM_Conf!$C$8*Links!T$191))*(Nodes!BR111-Links!T111)/(Links!T111/ATM_Conf!$C$10)</f>
        <v>#DIV/0!</v>
      </c>
      <c r="AJ112" s="45" t="e">
        <f>AJ111+(ATM_Conf!$C$5/ATM_Conf!$C$8)*(Links!AY111*EXP((-(Links!U111/Links!BN111)^Links!CC111)/Links!CC111)-Links!AJ111)+(ATM_Conf!$C$5/Links!U$191)*Links!AJ111*(Nodes!BE111-Links!AJ111)-(ATM_Conf!$C$9*ATM_Conf!$C$5/(ATM_Conf!$C$8*Links!U$191))*(Nodes!BS111-Links!U111)/(Links!U111/ATM_Conf!$C$10)</f>
        <v>#DIV/0!</v>
      </c>
      <c r="AK112" s="45" t="e">
        <f>AK111+(ATM_Conf!$C$5/ATM_Conf!$C$8)*(Links!AZ111*EXP((-(Links!V111/Links!BO111)^Links!CD111)/Links!CD111)-Links!AK111)+(ATM_Conf!$C$5/Links!V$191)*Links!AK111*(Nodes!BF111-Links!AK111)-(ATM_Conf!$C$9*ATM_Conf!$C$5/(ATM_Conf!$C$8*Links!V$191))*(Nodes!BT111-Links!V111)/(Links!V111/ATM_Conf!$C$10)</f>
        <v>#DIV/0!</v>
      </c>
      <c r="AL112" s="45" t="e">
        <f>AL111+(ATM_Conf!$C$5/ATM_Conf!$C$8)*(Links!BA111*EXP((-(Links!W111/Links!BP111)^Links!CE111)/Links!CE111)-Links!AL111)+(ATM_Conf!$C$5/Links!W$191)*Links!AL111*(Nodes!BG111-Links!AL111)-(ATM_Conf!$C$9*ATM_Conf!$C$5/(ATM_Conf!$C$8*Links!W$191))*(Nodes!BU111-Links!W111)/(Links!W111/ATM_Conf!$C$10)</f>
        <v>#DIV/0!</v>
      </c>
      <c r="AM112" s="45" t="e">
        <f>AM111+(ATM_Conf!$C$5/ATM_Conf!$C$8)*(Links!BB111*EXP((-(Links!X111/Links!BQ111)^Links!CF111)/Links!CF111)-Links!AM111)+(ATM_Conf!$C$5/Links!X$191)*Links!AM111*(Nodes!BH111-Links!AM111)</f>
        <v>#DIV/0!</v>
      </c>
      <c r="AN112" s="45" t="e">
        <f>AN111+(ATM_Conf!$C$5/ATM_Conf!$C$8)*(Links!BC111*EXP((-(Links!Y111/Links!BR111)^Links!CG111)/Links!CG111)-Links!AN111)-(ATM_Conf!$C$9*ATM_Conf!$C$5/(ATM_Conf!$C$8*Links!Y$191))*(Nodes!BV111-Links!Y111)/(Links!Y111/ATM_Conf!$C$10)</f>
        <v>#DIV/0!</v>
      </c>
      <c r="AO112" s="45" t="e">
        <f>AO111+(ATM_Conf!$C$5/ATM_Conf!$C$8)*(Links!BD111*EXP((-(Links!Z111/Links!BS111)^Links!CH111)/Links!CH111)-Links!AO111)+(ATM_Conf!$C$5/Links!Z$191)*Links!AO111*(Nodes!BI111-Links!AO111)-(ATM_Conf!$C$9*ATM_Conf!$C$5/(ATM_Conf!$C$8*Links!Z$191))*(Nodes!BW111-Links!Z111)/(Links!Z111/ATM_Conf!$C$10)</f>
        <v>#DIV/0!</v>
      </c>
      <c r="AP112" s="45" t="e">
        <f>AP111+(ATM_Conf!$C$5/ATM_Conf!$C$8)*(Links!BE111*EXP((-(Links!AA111/Links!BT111)^Links!CI111)/Links!CI111)-Links!AP111)+(ATM_Conf!$C$5/Links!AA$191)*Links!AP111*(Nodes!BJ111-Links!AP111)-(ATM_Conf!$C$9*ATM_Conf!$C$5/(ATM_Conf!$C$8*Links!AA$191))*(Nodes!BX111-Links!AA111)/(Links!AA111/ATM_Conf!$C$10)</f>
        <v>#DIV/0!</v>
      </c>
      <c r="AQ112" s="45" t="e">
        <f>AQ111+(ATM_Conf!$C$5/ATM_Conf!$C$8)*(Links!BF111*EXP((-(Links!AB111/Links!BU111)^Links!CJ111)/Links!CJ111)-Links!AQ111)+(ATM_Conf!$C$5/Links!AB$191)*Links!AQ111*(Nodes!BK111-Links!AQ111)-(ATM_Conf!$C$9*ATM_Conf!$C$5/(ATM_Conf!$C$8*Links!AB$191))*(Nodes!BY111-Links!AB111)/(Links!AB111/ATM_Conf!$C$10)</f>
        <v>#DIV/0!</v>
      </c>
      <c r="AR112" s="45" t="e">
        <f>AR111+(ATM_Conf!$C$5/ATM_Conf!$C$8)*(Links!BG111*EXP((-(Links!AC111/Links!BV111)^Links!CK111)/Links!CK111)-Links!AR111)+(ATM_Conf!$C$5/Links!AC$191)*Links!AR111*(Nodes!BL111-Links!AR111)-(ATM_Conf!$C$9*ATM_Conf!$C$5/(ATM_Conf!$C$8*Links!AC$191))*(Nodes!BZ111-Links!AC111)/(Links!AC111/ATM_Conf!$C$10)</f>
        <v>#DIV/0!</v>
      </c>
      <c r="AS112" s="45" t="e">
        <f>AS111+(ATM_Conf!$C$5/ATM_Conf!$C$8)*(Links!BH111*EXP((-(Links!AD111/Links!BW111)^Links!CL111)/Links!CL111)-Links!AS111)+(ATM_Conf!$C$5/Links!AD$191)*Links!AS111*(Nodes!BM111-Links!AS111)-(ATM_Conf!$C$9*ATM_Conf!$C$5/(ATM_Conf!$C$8*Links!AD$191))*(Nodes!CA111-Links!AD111)/(Links!AD111/ATM_Conf!$C$10)</f>
        <v>#DIV/0!</v>
      </c>
      <c r="AT112" s="45" t="e">
        <f>AT111+(ATM_Conf!$C$5/ATM_Conf!$C$8)*(Links!BI111*EXP((-(Links!AE111/Links!BX111)^Links!CM111)/Links!CM111)-Links!AT111)+(ATM_Conf!$C$5/Links!AE$191)*Links!AT111*(Nodes!BN111-Links!AT111)</f>
        <v>#DIV/0!</v>
      </c>
      <c r="AU112" s="55"/>
      <c r="AV112" s="55"/>
      <c r="AW112" s="55"/>
      <c r="AX112" s="55"/>
      <c r="AY112" s="55"/>
      <c r="AZ112" s="55"/>
      <c r="BA112" s="55"/>
      <c r="BB112" s="55"/>
      <c r="BC112" s="55"/>
      <c r="BD112" s="55"/>
      <c r="BE112" s="55"/>
      <c r="BF112" s="55"/>
      <c r="BG112" s="55"/>
      <c r="BH112" s="55"/>
      <c r="BI112" s="55"/>
      <c r="BJ112" s="45"/>
      <c r="BK112" s="45"/>
      <c r="BL112" s="45"/>
      <c r="BM112" s="45"/>
      <c r="BN112" s="45"/>
      <c r="BO112" s="45"/>
      <c r="BP112" s="45"/>
      <c r="BQ112" s="45"/>
      <c r="BR112" s="45"/>
      <c r="BS112" s="45"/>
      <c r="BT112" s="45"/>
      <c r="BU112" s="45"/>
      <c r="BV112" s="45"/>
      <c r="BW112" s="45"/>
      <c r="BX112" s="45"/>
      <c r="BY112" s="55"/>
      <c r="BZ112" s="55"/>
      <c r="CA112" s="55"/>
      <c r="CB112" s="55"/>
      <c r="CC112" s="55"/>
      <c r="CD112" s="55"/>
      <c r="CE112" s="55"/>
      <c r="CF112" s="55"/>
      <c r="CG112" s="55"/>
      <c r="CH112" s="55"/>
      <c r="CI112" s="55"/>
      <c r="CJ112" s="55"/>
      <c r="CK112" s="55"/>
      <c r="CL112" s="55"/>
      <c r="CM112" s="55"/>
      <c r="CN112" s="45">
        <f>CN$111</f>
        <v>0</v>
      </c>
      <c r="CO112" s="45">
        <f t="shared" ref="CO112:DB122" si="59">CO$111</f>
        <v>0</v>
      </c>
      <c r="CP112" s="45">
        <f t="shared" si="59"/>
        <v>0</v>
      </c>
      <c r="CQ112" s="45">
        <f t="shared" si="59"/>
        <v>0</v>
      </c>
      <c r="CR112" s="45">
        <f t="shared" si="59"/>
        <v>0</v>
      </c>
      <c r="CS112" s="45">
        <f t="shared" si="59"/>
        <v>0</v>
      </c>
      <c r="CT112" s="45">
        <f t="shared" si="59"/>
        <v>0</v>
      </c>
      <c r="CU112" s="45">
        <f t="shared" si="59"/>
        <v>0</v>
      </c>
      <c r="CV112" s="45">
        <f t="shared" si="59"/>
        <v>0</v>
      </c>
      <c r="CW112" s="45">
        <f t="shared" si="59"/>
        <v>0</v>
      </c>
      <c r="CX112" s="45">
        <f t="shared" si="59"/>
        <v>0</v>
      </c>
      <c r="CY112" s="45">
        <f t="shared" si="59"/>
        <v>0</v>
      </c>
      <c r="CZ112" s="45">
        <f t="shared" si="59"/>
        <v>0</v>
      </c>
      <c r="DA112" s="45">
        <f t="shared" si="59"/>
        <v>0</v>
      </c>
      <c r="DB112" s="45">
        <f t="shared" si="59"/>
        <v>0</v>
      </c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</row>
    <row r="113" spans="1:121" ht="14.25" x14ac:dyDescent="0.15">
      <c r="A113" s="48">
        <v>111</v>
      </c>
      <c r="B113" s="45" t="e">
        <f t="shared" si="34"/>
        <v>#DIV/0!</v>
      </c>
      <c r="C113" s="45" t="e">
        <f t="shared" si="35"/>
        <v>#DIV/0!</v>
      </c>
      <c r="D113" s="45" t="e">
        <f t="shared" si="36"/>
        <v>#DIV/0!</v>
      </c>
      <c r="E113" s="45" t="e">
        <f t="shared" si="37"/>
        <v>#DIV/0!</v>
      </c>
      <c r="F113" s="45" t="e">
        <f t="shared" si="38"/>
        <v>#DIV/0!</v>
      </c>
      <c r="G113" s="45" t="e">
        <f t="shared" si="39"/>
        <v>#DIV/0!</v>
      </c>
      <c r="H113" s="45" t="e">
        <f t="shared" si="40"/>
        <v>#DIV/0!</v>
      </c>
      <c r="I113" s="45" t="e">
        <f t="shared" si="41"/>
        <v>#DIV/0!</v>
      </c>
      <c r="J113" s="45" t="e">
        <f t="shared" si="42"/>
        <v>#DIV/0!</v>
      </c>
      <c r="K113" s="45" t="e">
        <f t="shared" si="43"/>
        <v>#DIV/0!</v>
      </c>
      <c r="L113" s="45" t="e">
        <f t="shared" si="44"/>
        <v>#DIV/0!</v>
      </c>
      <c r="M113" s="45" t="e">
        <f t="shared" si="45"/>
        <v>#DIV/0!</v>
      </c>
      <c r="N113" s="45" t="e">
        <f t="shared" si="46"/>
        <v>#DIV/0!</v>
      </c>
      <c r="O113" s="45" t="e">
        <f t="shared" si="47"/>
        <v>#DIV/0!</v>
      </c>
      <c r="P113" s="45" t="e">
        <f t="shared" si="48"/>
        <v>#DIV/0!</v>
      </c>
      <c r="Q113" s="55" t="e">
        <f>Q112+ATM_Conf!$C$5*(B112)/(Links!B$191*Links!Q$191)</f>
        <v>#DIV/0!</v>
      </c>
      <c r="R113" s="55" t="e">
        <f>R112+ATM_Conf!$C$5*(C112-B112)/(Links!C$191*Links!R$191)</f>
        <v>#DIV/0!</v>
      </c>
      <c r="S113" s="55" t="e">
        <f>S112+ATM_Conf!$C$5*(D112-C112)/(Links!D$191*Links!S$191)</f>
        <v>#DIV/0!</v>
      </c>
      <c r="T113" s="55" t="e">
        <f>T112+ATM_Conf!$C$5*(E112-D112)/(Links!E$191*Links!T$191)</f>
        <v>#DIV/0!</v>
      </c>
      <c r="U113" s="55" t="e">
        <f>U112+ATM_Conf!$C$5*(F112-E112)/(Links!F$191*Links!U$191)</f>
        <v>#DIV/0!</v>
      </c>
      <c r="V113" s="55" t="e">
        <f>V112+ATM_Conf!$C$5*(G112-F112)/(Links!G$191*Links!V$191)</f>
        <v>#DIV/0!</v>
      </c>
      <c r="W113" s="55" t="e">
        <f>W112+ATM_Conf!$C$5*(H112-G112)/(Links!H$191*Links!W$191)</f>
        <v>#DIV/0!</v>
      </c>
      <c r="X113" s="55" t="e">
        <f>X112+ATM_Conf!$C$5*(I112-H112)/(Links!I$191*Links!X$191)</f>
        <v>#DIV/0!</v>
      </c>
      <c r="Y113" s="55" t="e">
        <f>Y112+ATM_Conf!$C$5*(J112)/(Links!J$191*Links!Y$191)</f>
        <v>#DIV/0!</v>
      </c>
      <c r="Z113" s="55" t="e">
        <f>Z112+ATM_Conf!$C$5*(K112-J112)/(Links!K$191*Links!Z$191)</f>
        <v>#DIV/0!</v>
      </c>
      <c r="AA113" s="55" t="e">
        <f>AA112+ATM_Conf!$C$5*(L112-K112)/(Links!L$191*Links!AA$191)</f>
        <v>#DIV/0!</v>
      </c>
      <c r="AB113" s="55" t="e">
        <f>AB112+ATM_Conf!$C$5*(M112-L112)/(Links!M$191*Links!AB$191)</f>
        <v>#DIV/0!</v>
      </c>
      <c r="AC113" s="55" t="e">
        <f>AC112+ATM_Conf!$C$5*(N112-M112)/(Links!N$191*Links!AC$191)</f>
        <v>#DIV/0!</v>
      </c>
      <c r="AD113" s="55" t="e">
        <f>AD112+ATM_Conf!$C$5*(O112-N112)/(Links!O$191*Links!AD$191)</f>
        <v>#DIV/0!</v>
      </c>
      <c r="AE113" s="55" t="e">
        <f>AE112+ATM_Conf!$C$5*(P112-O112)/(Links!P$191*Links!AE$191)</f>
        <v>#DIV/0!</v>
      </c>
      <c r="AF113" s="45" t="e">
        <f>AF112+(ATM_Conf!$C$5/ATM_Conf!$C$8)*(Links!AU112*EXP((-(Links!Q112/Links!BJ112)^Links!BY112)/Links!BY112)-Links!AF112)-(ATM_Conf!$C$9*ATM_Conf!$C$5/(ATM_Conf!$C$8*Links!Q$191))*(Nodes!BO112-Links!Q112)/(Links!Q112/ATM_Conf!$C$10)</f>
        <v>#DIV/0!</v>
      </c>
      <c r="AG113" s="45" t="e">
        <f>AG112+(ATM_Conf!$C$5/ATM_Conf!$C$8)*(Links!AV112*EXP((-(Links!R112/Links!BK112)^Links!BZ112)/Links!BZ112)-Links!AG112)+(ATM_Conf!$C$5/Links!R$191)*Links!AG112*(Nodes!BB112-Links!AG112)-(ATM_Conf!$C$9*ATM_Conf!$C$5/(ATM_Conf!$C$8*Links!R$191))*(Nodes!BP112-Links!R112)/(Links!R112/ATM_Conf!$C$10)</f>
        <v>#DIV/0!</v>
      </c>
      <c r="AH113" s="45" t="e">
        <f>AH112+(ATM_Conf!$C$5/ATM_Conf!$C$8)*(Links!AW112*EXP((-(Links!S112/Links!BL112)^Links!CA112)/Links!CA112)-Links!AH112)+(ATM_Conf!$C$5/Links!S$191)*Links!AH112*(Nodes!BC112-Links!AH112)-(ATM_Conf!$C$9*ATM_Conf!$C$5/(ATM_Conf!$C$8*Links!S$191))*(Nodes!BQ112-Links!S112)/(Links!S112/ATM_Conf!$C$10)</f>
        <v>#DIV/0!</v>
      </c>
      <c r="AI113" s="45" t="e">
        <f>AI112+(ATM_Conf!$C$5/ATM_Conf!$C$8)*(Links!AX112*EXP((-(Links!T112/Links!BM112)^Links!CB112)/Links!CB112)-Links!AI112)+(ATM_Conf!$C$5/Links!T$191)*Links!AI112*(Nodes!BD112-Links!AI112)-(ATM_Conf!$C$9*ATM_Conf!$C$5/(ATM_Conf!$C$8*Links!T$191))*(Nodes!BR112-Links!T112)/(Links!T112/ATM_Conf!$C$10)</f>
        <v>#DIV/0!</v>
      </c>
      <c r="AJ113" s="45" t="e">
        <f>AJ112+(ATM_Conf!$C$5/ATM_Conf!$C$8)*(Links!AY112*EXP((-(Links!U112/Links!BN112)^Links!CC112)/Links!CC112)-Links!AJ112)+(ATM_Conf!$C$5/Links!U$191)*Links!AJ112*(Nodes!BE112-Links!AJ112)-(ATM_Conf!$C$9*ATM_Conf!$C$5/(ATM_Conf!$C$8*Links!U$191))*(Nodes!BS112-Links!U112)/(Links!U112/ATM_Conf!$C$10)</f>
        <v>#DIV/0!</v>
      </c>
      <c r="AK113" s="45" t="e">
        <f>AK112+(ATM_Conf!$C$5/ATM_Conf!$C$8)*(Links!AZ112*EXP((-(Links!V112/Links!BO112)^Links!CD112)/Links!CD112)-Links!AK112)+(ATM_Conf!$C$5/Links!V$191)*Links!AK112*(Nodes!BF112-Links!AK112)-(ATM_Conf!$C$9*ATM_Conf!$C$5/(ATM_Conf!$C$8*Links!V$191))*(Nodes!BT112-Links!V112)/(Links!V112/ATM_Conf!$C$10)</f>
        <v>#DIV/0!</v>
      </c>
      <c r="AL113" s="45" t="e">
        <f>AL112+(ATM_Conf!$C$5/ATM_Conf!$C$8)*(Links!BA112*EXP((-(Links!W112/Links!BP112)^Links!CE112)/Links!CE112)-Links!AL112)+(ATM_Conf!$C$5/Links!W$191)*Links!AL112*(Nodes!BG112-Links!AL112)-(ATM_Conf!$C$9*ATM_Conf!$C$5/(ATM_Conf!$C$8*Links!W$191))*(Nodes!BU112-Links!W112)/(Links!W112/ATM_Conf!$C$10)</f>
        <v>#DIV/0!</v>
      </c>
      <c r="AM113" s="45" t="e">
        <f>AM112+(ATM_Conf!$C$5/ATM_Conf!$C$8)*(Links!BB112*EXP((-(Links!X112/Links!BQ112)^Links!CF112)/Links!CF112)-Links!AM112)+(ATM_Conf!$C$5/Links!X$191)*Links!AM112*(Nodes!BH112-Links!AM112)</f>
        <v>#DIV/0!</v>
      </c>
      <c r="AN113" s="45" t="e">
        <f>AN112+(ATM_Conf!$C$5/ATM_Conf!$C$8)*(Links!BC112*EXP((-(Links!Y112/Links!BR112)^Links!CG112)/Links!CG112)-Links!AN112)-(ATM_Conf!$C$9*ATM_Conf!$C$5/(ATM_Conf!$C$8*Links!Y$191))*(Nodes!BV112-Links!Y112)/(Links!Y112/ATM_Conf!$C$10)</f>
        <v>#DIV/0!</v>
      </c>
      <c r="AO113" s="45" t="e">
        <f>AO112+(ATM_Conf!$C$5/ATM_Conf!$C$8)*(Links!BD112*EXP((-(Links!Z112/Links!BS112)^Links!CH112)/Links!CH112)-Links!AO112)+(ATM_Conf!$C$5/Links!Z$191)*Links!AO112*(Nodes!BI112-Links!AO112)-(ATM_Conf!$C$9*ATM_Conf!$C$5/(ATM_Conf!$C$8*Links!Z$191))*(Nodes!BW112-Links!Z112)/(Links!Z112/ATM_Conf!$C$10)</f>
        <v>#DIV/0!</v>
      </c>
      <c r="AP113" s="45" t="e">
        <f>AP112+(ATM_Conf!$C$5/ATM_Conf!$C$8)*(Links!BE112*EXP((-(Links!AA112/Links!BT112)^Links!CI112)/Links!CI112)-Links!AP112)+(ATM_Conf!$C$5/Links!AA$191)*Links!AP112*(Nodes!BJ112-Links!AP112)-(ATM_Conf!$C$9*ATM_Conf!$C$5/(ATM_Conf!$C$8*Links!AA$191))*(Nodes!BX112-Links!AA112)/(Links!AA112/ATM_Conf!$C$10)</f>
        <v>#DIV/0!</v>
      </c>
      <c r="AQ113" s="45" t="e">
        <f>AQ112+(ATM_Conf!$C$5/ATM_Conf!$C$8)*(Links!BF112*EXP((-(Links!AB112/Links!BU112)^Links!CJ112)/Links!CJ112)-Links!AQ112)+(ATM_Conf!$C$5/Links!AB$191)*Links!AQ112*(Nodes!BK112-Links!AQ112)-(ATM_Conf!$C$9*ATM_Conf!$C$5/(ATM_Conf!$C$8*Links!AB$191))*(Nodes!BY112-Links!AB112)/(Links!AB112/ATM_Conf!$C$10)</f>
        <v>#DIV/0!</v>
      </c>
      <c r="AR113" s="45" t="e">
        <f>AR112+(ATM_Conf!$C$5/ATM_Conf!$C$8)*(Links!BG112*EXP((-(Links!AC112/Links!BV112)^Links!CK112)/Links!CK112)-Links!AR112)+(ATM_Conf!$C$5/Links!AC$191)*Links!AR112*(Nodes!BL112-Links!AR112)-(ATM_Conf!$C$9*ATM_Conf!$C$5/(ATM_Conf!$C$8*Links!AC$191))*(Nodes!BZ112-Links!AC112)/(Links!AC112/ATM_Conf!$C$10)</f>
        <v>#DIV/0!</v>
      </c>
      <c r="AS113" s="45" t="e">
        <f>AS112+(ATM_Conf!$C$5/ATM_Conf!$C$8)*(Links!BH112*EXP((-(Links!AD112/Links!BW112)^Links!CL112)/Links!CL112)-Links!AS112)+(ATM_Conf!$C$5/Links!AD$191)*Links!AS112*(Nodes!BM112-Links!AS112)-(ATM_Conf!$C$9*ATM_Conf!$C$5/(ATM_Conf!$C$8*Links!AD$191))*(Nodes!CA112-Links!AD112)/(Links!AD112/ATM_Conf!$C$10)</f>
        <v>#DIV/0!</v>
      </c>
      <c r="AT113" s="45" t="e">
        <f>AT112+(ATM_Conf!$C$5/ATM_Conf!$C$8)*(Links!BI112*EXP((-(Links!AE112/Links!BX112)^Links!CM112)/Links!CM112)-Links!AT112)+(ATM_Conf!$C$5/Links!AE$191)*Links!AT112*(Nodes!BN112-Links!AT112)</f>
        <v>#DIV/0!</v>
      </c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45"/>
      <c r="BK113" s="45"/>
      <c r="BL113" s="45"/>
      <c r="BM113" s="45"/>
      <c r="BN113" s="45"/>
      <c r="BO113" s="45"/>
      <c r="BP113" s="45"/>
      <c r="BQ113" s="45"/>
      <c r="BR113" s="45"/>
      <c r="BS113" s="45"/>
      <c r="BT113" s="45"/>
      <c r="BU113" s="45"/>
      <c r="BV113" s="45"/>
      <c r="BW113" s="45"/>
      <c r="BX113" s="45"/>
      <c r="BY113" s="55"/>
      <c r="BZ113" s="55"/>
      <c r="CA113" s="55"/>
      <c r="CB113" s="55"/>
      <c r="CC113" s="55"/>
      <c r="CD113" s="55"/>
      <c r="CE113" s="55"/>
      <c r="CF113" s="55"/>
      <c r="CG113" s="55"/>
      <c r="CH113" s="55"/>
      <c r="CI113" s="55"/>
      <c r="CJ113" s="55"/>
      <c r="CK113" s="55"/>
      <c r="CL113" s="55"/>
      <c r="CM113" s="55"/>
      <c r="CN113" s="45">
        <f t="shared" ref="CN113:CN122" si="60">CN$111</f>
        <v>0</v>
      </c>
      <c r="CO113" s="45">
        <f t="shared" si="59"/>
        <v>0</v>
      </c>
      <c r="CP113" s="45">
        <f t="shared" si="59"/>
        <v>0</v>
      </c>
      <c r="CQ113" s="45">
        <f t="shared" si="59"/>
        <v>0</v>
      </c>
      <c r="CR113" s="45">
        <f t="shared" si="59"/>
        <v>0</v>
      </c>
      <c r="CS113" s="45">
        <f t="shared" si="59"/>
        <v>0</v>
      </c>
      <c r="CT113" s="45">
        <f t="shared" si="59"/>
        <v>0</v>
      </c>
      <c r="CU113" s="45">
        <f t="shared" si="59"/>
        <v>0</v>
      </c>
      <c r="CV113" s="45">
        <f t="shared" si="59"/>
        <v>0</v>
      </c>
      <c r="CW113" s="45">
        <f t="shared" si="59"/>
        <v>0</v>
      </c>
      <c r="CX113" s="45">
        <f t="shared" si="59"/>
        <v>0</v>
      </c>
      <c r="CY113" s="45">
        <f t="shared" si="59"/>
        <v>0</v>
      </c>
      <c r="CZ113" s="45">
        <f t="shared" si="59"/>
        <v>0</v>
      </c>
      <c r="DA113" s="45">
        <f t="shared" si="59"/>
        <v>0</v>
      </c>
      <c r="DB113" s="45">
        <f t="shared" si="59"/>
        <v>0</v>
      </c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</row>
    <row r="114" spans="1:121" ht="14.25" x14ac:dyDescent="0.15">
      <c r="A114" s="48">
        <v>112</v>
      </c>
      <c r="B114" s="45" t="e">
        <f t="shared" si="34"/>
        <v>#DIV/0!</v>
      </c>
      <c r="C114" s="45" t="e">
        <f t="shared" si="35"/>
        <v>#DIV/0!</v>
      </c>
      <c r="D114" s="45" t="e">
        <f t="shared" si="36"/>
        <v>#DIV/0!</v>
      </c>
      <c r="E114" s="45" t="e">
        <f t="shared" si="37"/>
        <v>#DIV/0!</v>
      </c>
      <c r="F114" s="45" t="e">
        <f t="shared" si="38"/>
        <v>#DIV/0!</v>
      </c>
      <c r="G114" s="45" t="e">
        <f t="shared" si="39"/>
        <v>#DIV/0!</v>
      </c>
      <c r="H114" s="45" t="e">
        <f t="shared" si="40"/>
        <v>#DIV/0!</v>
      </c>
      <c r="I114" s="45" t="e">
        <f t="shared" si="41"/>
        <v>#DIV/0!</v>
      </c>
      <c r="J114" s="45" t="e">
        <f t="shared" si="42"/>
        <v>#DIV/0!</v>
      </c>
      <c r="K114" s="45" t="e">
        <f t="shared" si="43"/>
        <v>#DIV/0!</v>
      </c>
      <c r="L114" s="45" t="e">
        <f t="shared" si="44"/>
        <v>#DIV/0!</v>
      </c>
      <c r="M114" s="45" t="e">
        <f t="shared" si="45"/>
        <v>#DIV/0!</v>
      </c>
      <c r="N114" s="45" t="e">
        <f t="shared" si="46"/>
        <v>#DIV/0!</v>
      </c>
      <c r="O114" s="45" t="e">
        <f t="shared" si="47"/>
        <v>#DIV/0!</v>
      </c>
      <c r="P114" s="45" t="e">
        <f t="shared" si="48"/>
        <v>#DIV/0!</v>
      </c>
      <c r="Q114" s="55" t="e">
        <f>Q113+ATM_Conf!$C$5*(B113)/(Links!B$191*Links!Q$191)</f>
        <v>#DIV/0!</v>
      </c>
      <c r="R114" s="55" t="e">
        <f>R113+ATM_Conf!$C$5*(C113-B113)/(Links!C$191*Links!R$191)</f>
        <v>#DIV/0!</v>
      </c>
      <c r="S114" s="55" t="e">
        <f>S113+ATM_Conf!$C$5*(D113-C113)/(Links!D$191*Links!S$191)</f>
        <v>#DIV/0!</v>
      </c>
      <c r="T114" s="55" t="e">
        <f>T113+ATM_Conf!$C$5*(E113-D113)/(Links!E$191*Links!T$191)</f>
        <v>#DIV/0!</v>
      </c>
      <c r="U114" s="55" t="e">
        <f>U113+ATM_Conf!$C$5*(F113-E113)/(Links!F$191*Links!U$191)</f>
        <v>#DIV/0!</v>
      </c>
      <c r="V114" s="55" t="e">
        <f>V113+ATM_Conf!$C$5*(G113-F113)/(Links!G$191*Links!V$191)</f>
        <v>#DIV/0!</v>
      </c>
      <c r="W114" s="55" t="e">
        <f>W113+ATM_Conf!$C$5*(H113-G113)/(Links!H$191*Links!W$191)</f>
        <v>#DIV/0!</v>
      </c>
      <c r="X114" s="55" t="e">
        <f>X113+ATM_Conf!$C$5*(I113-H113)/(Links!I$191*Links!X$191)</f>
        <v>#DIV/0!</v>
      </c>
      <c r="Y114" s="55" t="e">
        <f>Y113+ATM_Conf!$C$5*(J113)/(Links!J$191*Links!Y$191)</f>
        <v>#DIV/0!</v>
      </c>
      <c r="Z114" s="55" t="e">
        <f>Z113+ATM_Conf!$C$5*(K113-J113)/(Links!K$191*Links!Z$191)</f>
        <v>#DIV/0!</v>
      </c>
      <c r="AA114" s="55" t="e">
        <f>AA113+ATM_Conf!$C$5*(L113-K113)/(Links!L$191*Links!AA$191)</f>
        <v>#DIV/0!</v>
      </c>
      <c r="AB114" s="55" t="e">
        <f>AB113+ATM_Conf!$C$5*(M113-L113)/(Links!M$191*Links!AB$191)</f>
        <v>#DIV/0!</v>
      </c>
      <c r="AC114" s="55" t="e">
        <f>AC113+ATM_Conf!$C$5*(N113-M113)/(Links!N$191*Links!AC$191)</f>
        <v>#DIV/0!</v>
      </c>
      <c r="AD114" s="55" t="e">
        <f>AD113+ATM_Conf!$C$5*(O113-N113)/(Links!O$191*Links!AD$191)</f>
        <v>#DIV/0!</v>
      </c>
      <c r="AE114" s="55" t="e">
        <f>AE113+ATM_Conf!$C$5*(P113-O113)/(Links!P$191*Links!AE$191)</f>
        <v>#DIV/0!</v>
      </c>
      <c r="AF114" s="45" t="e">
        <f>AF113+(ATM_Conf!$C$5/ATM_Conf!$C$8)*(Links!AU113*EXP((-(Links!Q113/Links!BJ113)^Links!BY113)/Links!BY113)-Links!AF113)-(ATM_Conf!$C$9*ATM_Conf!$C$5/(ATM_Conf!$C$8*Links!Q$191))*(Nodes!BO113-Links!Q113)/(Links!Q113/ATM_Conf!$C$10)</f>
        <v>#DIV/0!</v>
      </c>
      <c r="AG114" s="45" t="e">
        <f>AG113+(ATM_Conf!$C$5/ATM_Conf!$C$8)*(Links!AV113*EXP((-(Links!R113/Links!BK113)^Links!BZ113)/Links!BZ113)-Links!AG113)+(ATM_Conf!$C$5/Links!R$191)*Links!AG113*(Nodes!BB113-Links!AG113)-(ATM_Conf!$C$9*ATM_Conf!$C$5/(ATM_Conf!$C$8*Links!R$191))*(Nodes!BP113-Links!R113)/(Links!R113/ATM_Conf!$C$10)</f>
        <v>#DIV/0!</v>
      </c>
      <c r="AH114" s="45" t="e">
        <f>AH113+(ATM_Conf!$C$5/ATM_Conf!$C$8)*(Links!AW113*EXP((-(Links!S113/Links!BL113)^Links!CA113)/Links!CA113)-Links!AH113)+(ATM_Conf!$C$5/Links!S$191)*Links!AH113*(Nodes!BC113-Links!AH113)-(ATM_Conf!$C$9*ATM_Conf!$C$5/(ATM_Conf!$C$8*Links!S$191))*(Nodes!BQ113-Links!S113)/(Links!S113/ATM_Conf!$C$10)</f>
        <v>#DIV/0!</v>
      </c>
      <c r="AI114" s="45" t="e">
        <f>AI113+(ATM_Conf!$C$5/ATM_Conf!$C$8)*(Links!AX113*EXP((-(Links!T113/Links!BM113)^Links!CB113)/Links!CB113)-Links!AI113)+(ATM_Conf!$C$5/Links!T$191)*Links!AI113*(Nodes!BD113-Links!AI113)-(ATM_Conf!$C$9*ATM_Conf!$C$5/(ATM_Conf!$C$8*Links!T$191))*(Nodes!BR113-Links!T113)/(Links!T113/ATM_Conf!$C$10)</f>
        <v>#DIV/0!</v>
      </c>
      <c r="AJ114" s="45" t="e">
        <f>AJ113+(ATM_Conf!$C$5/ATM_Conf!$C$8)*(Links!AY113*EXP((-(Links!U113/Links!BN113)^Links!CC113)/Links!CC113)-Links!AJ113)+(ATM_Conf!$C$5/Links!U$191)*Links!AJ113*(Nodes!BE113-Links!AJ113)-(ATM_Conf!$C$9*ATM_Conf!$C$5/(ATM_Conf!$C$8*Links!U$191))*(Nodes!BS113-Links!U113)/(Links!U113/ATM_Conf!$C$10)</f>
        <v>#DIV/0!</v>
      </c>
      <c r="AK114" s="45" t="e">
        <f>AK113+(ATM_Conf!$C$5/ATM_Conf!$C$8)*(Links!AZ113*EXP((-(Links!V113/Links!BO113)^Links!CD113)/Links!CD113)-Links!AK113)+(ATM_Conf!$C$5/Links!V$191)*Links!AK113*(Nodes!BF113-Links!AK113)-(ATM_Conf!$C$9*ATM_Conf!$C$5/(ATM_Conf!$C$8*Links!V$191))*(Nodes!BT113-Links!V113)/(Links!V113/ATM_Conf!$C$10)</f>
        <v>#DIV/0!</v>
      </c>
      <c r="AL114" s="45" t="e">
        <f>AL113+(ATM_Conf!$C$5/ATM_Conf!$C$8)*(Links!BA113*EXP((-(Links!W113/Links!BP113)^Links!CE113)/Links!CE113)-Links!AL113)+(ATM_Conf!$C$5/Links!W$191)*Links!AL113*(Nodes!BG113-Links!AL113)-(ATM_Conf!$C$9*ATM_Conf!$C$5/(ATM_Conf!$C$8*Links!W$191))*(Nodes!BU113-Links!W113)/(Links!W113/ATM_Conf!$C$10)</f>
        <v>#DIV/0!</v>
      </c>
      <c r="AM114" s="45" t="e">
        <f>AM113+(ATM_Conf!$C$5/ATM_Conf!$C$8)*(Links!BB113*EXP((-(Links!X113/Links!BQ113)^Links!CF113)/Links!CF113)-Links!AM113)+(ATM_Conf!$C$5/Links!X$191)*Links!AM113*(Nodes!BH113-Links!AM113)</f>
        <v>#DIV/0!</v>
      </c>
      <c r="AN114" s="45" t="e">
        <f>AN113+(ATM_Conf!$C$5/ATM_Conf!$C$8)*(Links!BC113*EXP((-(Links!Y113/Links!BR113)^Links!CG113)/Links!CG113)-Links!AN113)-(ATM_Conf!$C$9*ATM_Conf!$C$5/(ATM_Conf!$C$8*Links!Y$191))*(Nodes!BV113-Links!Y113)/(Links!Y113/ATM_Conf!$C$10)</f>
        <v>#DIV/0!</v>
      </c>
      <c r="AO114" s="45" t="e">
        <f>AO113+(ATM_Conf!$C$5/ATM_Conf!$C$8)*(Links!BD113*EXP((-(Links!Z113/Links!BS113)^Links!CH113)/Links!CH113)-Links!AO113)+(ATM_Conf!$C$5/Links!Z$191)*Links!AO113*(Nodes!BI113-Links!AO113)-(ATM_Conf!$C$9*ATM_Conf!$C$5/(ATM_Conf!$C$8*Links!Z$191))*(Nodes!BW113-Links!Z113)/(Links!Z113/ATM_Conf!$C$10)</f>
        <v>#DIV/0!</v>
      </c>
      <c r="AP114" s="45" t="e">
        <f>AP113+(ATM_Conf!$C$5/ATM_Conf!$C$8)*(Links!BE113*EXP((-(Links!AA113/Links!BT113)^Links!CI113)/Links!CI113)-Links!AP113)+(ATM_Conf!$C$5/Links!AA$191)*Links!AP113*(Nodes!BJ113-Links!AP113)-(ATM_Conf!$C$9*ATM_Conf!$C$5/(ATM_Conf!$C$8*Links!AA$191))*(Nodes!BX113-Links!AA113)/(Links!AA113/ATM_Conf!$C$10)</f>
        <v>#DIV/0!</v>
      </c>
      <c r="AQ114" s="45" t="e">
        <f>AQ113+(ATM_Conf!$C$5/ATM_Conf!$C$8)*(Links!BF113*EXP((-(Links!AB113/Links!BU113)^Links!CJ113)/Links!CJ113)-Links!AQ113)+(ATM_Conf!$C$5/Links!AB$191)*Links!AQ113*(Nodes!BK113-Links!AQ113)-(ATM_Conf!$C$9*ATM_Conf!$C$5/(ATM_Conf!$C$8*Links!AB$191))*(Nodes!BY113-Links!AB113)/(Links!AB113/ATM_Conf!$C$10)</f>
        <v>#DIV/0!</v>
      </c>
      <c r="AR114" s="45" t="e">
        <f>AR113+(ATM_Conf!$C$5/ATM_Conf!$C$8)*(Links!BG113*EXP((-(Links!AC113/Links!BV113)^Links!CK113)/Links!CK113)-Links!AR113)+(ATM_Conf!$C$5/Links!AC$191)*Links!AR113*(Nodes!BL113-Links!AR113)-(ATM_Conf!$C$9*ATM_Conf!$C$5/(ATM_Conf!$C$8*Links!AC$191))*(Nodes!BZ113-Links!AC113)/(Links!AC113/ATM_Conf!$C$10)</f>
        <v>#DIV/0!</v>
      </c>
      <c r="AS114" s="45" t="e">
        <f>AS113+(ATM_Conf!$C$5/ATM_Conf!$C$8)*(Links!BH113*EXP((-(Links!AD113/Links!BW113)^Links!CL113)/Links!CL113)-Links!AS113)+(ATM_Conf!$C$5/Links!AD$191)*Links!AS113*(Nodes!BM113-Links!AS113)-(ATM_Conf!$C$9*ATM_Conf!$C$5/(ATM_Conf!$C$8*Links!AD$191))*(Nodes!CA113-Links!AD113)/(Links!AD113/ATM_Conf!$C$10)</f>
        <v>#DIV/0!</v>
      </c>
      <c r="AT114" s="45" t="e">
        <f>AT113+(ATM_Conf!$C$5/ATM_Conf!$C$8)*(Links!BI113*EXP((-(Links!AE113/Links!BX113)^Links!CM113)/Links!CM113)-Links!AT113)+(ATM_Conf!$C$5/Links!AE$191)*Links!AT113*(Nodes!BN113-Links!AT113)</f>
        <v>#DIV/0!</v>
      </c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55"/>
      <c r="BZ114" s="55"/>
      <c r="CA114" s="55"/>
      <c r="CB114" s="55"/>
      <c r="CC114" s="55"/>
      <c r="CD114" s="55"/>
      <c r="CE114" s="55"/>
      <c r="CF114" s="55"/>
      <c r="CG114" s="55"/>
      <c r="CH114" s="55"/>
      <c r="CI114" s="55"/>
      <c r="CJ114" s="55"/>
      <c r="CK114" s="55"/>
      <c r="CL114" s="55"/>
      <c r="CM114" s="55"/>
      <c r="CN114" s="45">
        <f t="shared" si="60"/>
        <v>0</v>
      </c>
      <c r="CO114" s="45">
        <f t="shared" si="59"/>
        <v>0</v>
      </c>
      <c r="CP114" s="45">
        <f t="shared" si="59"/>
        <v>0</v>
      </c>
      <c r="CQ114" s="45">
        <f t="shared" si="59"/>
        <v>0</v>
      </c>
      <c r="CR114" s="45">
        <f t="shared" si="59"/>
        <v>0</v>
      </c>
      <c r="CS114" s="45">
        <f t="shared" si="59"/>
        <v>0</v>
      </c>
      <c r="CT114" s="45">
        <f t="shared" si="59"/>
        <v>0</v>
      </c>
      <c r="CU114" s="45">
        <f t="shared" si="59"/>
        <v>0</v>
      </c>
      <c r="CV114" s="45">
        <f t="shared" si="59"/>
        <v>0</v>
      </c>
      <c r="CW114" s="45">
        <f t="shared" si="59"/>
        <v>0</v>
      </c>
      <c r="CX114" s="45">
        <f t="shared" si="59"/>
        <v>0</v>
      </c>
      <c r="CY114" s="45">
        <f t="shared" si="59"/>
        <v>0</v>
      </c>
      <c r="CZ114" s="45">
        <f t="shared" si="59"/>
        <v>0</v>
      </c>
      <c r="DA114" s="45">
        <f t="shared" si="59"/>
        <v>0</v>
      </c>
      <c r="DB114" s="45">
        <f t="shared" si="59"/>
        <v>0</v>
      </c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</row>
    <row r="115" spans="1:121" ht="14.25" x14ac:dyDescent="0.15">
      <c r="A115" s="48">
        <v>113</v>
      </c>
      <c r="B115" s="45" t="e">
        <f t="shared" si="34"/>
        <v>#DIV/0!</v>
      </c>
      <c r="C115" s="45" t="e">
        <f t="shared" si="35"/>
        <v>#DIV/0!</v>
      </c>
      <c r="D115" s="45" t="e">
        <f t="shared" si="36"/>
        <v>#DIV/0!</v>
      </c>
      <c r="E115" s="45" t="e">
        <f t="shared" si="37"/>
        <v>#DIV/0!</v>
      </c>
      <c r="F115" s="45" t="e">
        <f t="shared" si="38"/>
        <v>#DIV/0!</v>
      </c>
      <c r="G115" s="45" t="e">
        <f t="shared" si="39"/>
        <v>#DIV/0!</v>
      </c>
      <c r="H115" s="45" t="e">
        <f t="shared" si="40"/>
        <v>#DIV/0!</v>
      </c>
      <c r="I115" s="45" t="e">
        <f t="shared" si="41"/>
        <v>#DIV/0!</v>
      </c>
      <c r="J115" s="45" t="e">
        <f t="shared" si="42"/>
        <v>#DIV/0!</v>
      </c>
      <c r="K115" s="45" t="e">
        <f t="shared" si="43"/>
        <v>#DIV/0!</v>
      </c>
      <c r="L115" s="45" t="e">
        <f t="shared" si="44"/>
        <v>#DIV/0!</v>
      </c>
      <c r="M115" s="45" t="e">
        <f t="shared" si="45"/>
        <v>#DIV/0!</v>
      </c>
      <c r="N115" s="45" t="e">
        <f t="shared" si="46"/>
        <v>#DIV/0!</v>
      </c>
      <c r="O115" s="45" t="e">
        <f t="shared" si="47"/>
        <v>#DIV/0!</v>
      </c>
      <c r="P115" s="45" t="e">
        <f t="shared" si="48"/>
        <v>#DIV/0!</v>
      </c>
      <c r="Q115" s="55" t="e">
        <f>Q114+ATM_Conf!$C$5*(B114)/(Links!B$191*Links!Q$191)</f>
        <v>#DIV/0!</v>
      </c>
      <c r="R115" s="55" t="e">
        <f>R114+ATM_Conf!$C$5*(C114-B114)/(Links!C$191*Links!R$191)</f>
        <v>#DIV/0!</v>
      </c>
      <c r="S115" s="55" t="e">
        <f>S114+ATM_Conf!$C$5*(D114-C114)/(Links!D$191*Links!S$191)</f>
        <v>#DIV/0!</v>
      </c>
      <c r="T115" s="55" t="e">
        <f>T114+ATM_Conf!$C$5*(E114-D114)/(Links!E$191*Links!T$191)</f>
        <v>#DIV/0!</v>
      </c>
      <c r="U115" s="55" t="e">
        <f>U114+ATM_Conf!$C$5*(F114-E114)/(Links!F$191*Links!U$191)</f>
        <v>#DIV/0!</v>
      </c>
      <c r="V115" s="55" t="e">
        <f>V114+ATM_Conf!$C$5*(G114-F114)/(Links!G$191*Links!V$191)</f>
        <v>#DIV/0!</v>
      </c>
      <c r="W115" s="55" t="e">
        <f>W114+ATM_Conf!$C$5*(H114-G114)/(Links!H$191*Links!W$191)</f>
        <v>#DIV/0!</v>
      </c>
      <c r="X115" s="55" t="e">
        <f>X114+ATM_Conf!$C$5*(I114-H114)/(Links!I$191*Links!X$191)</f>
        <v>#DIV/0!</v>
      </c>
      <c r="Y115" s="55" t="e">
        <f>Y114+ATM_Conf!$C$5*(J114)/(Links!J$191*Links!Y$191)</f>
        <v>#DIV/0!</v>
      </c>
      <c r="Z115" s="55" t="e">
        <f>Z114+ATM_Conf!$C$5*(K114-J114)/(Links!K$191*Links!Z$191)</f>
        <v>#DIV/0!</v>
      </c>
      <c r="AA115" s="55" t="e">
        <f>AA114+ATM_Conf!$C$5*(L114-K114)/(Links!L$191*Links!AA$191)</f>
        <v>#DIV/0!</v>
      </c>
      <c r="AB115" s="55" t="e">
        <f>AB114+ATM_Conf!$C$5*(M114-L114)/(Links!M$191*Links!AB$191)</f>
        <v>#DIV/0!</v>
      </c>
      <c r="AC115" s="55" t="e">
        <f>AC114+ATM_Conf!$C$5*(N114-M114)/(Links!N$191*Links!AC$191)</f>
        <v>#DIV/0!</v>
      </c>
      <c r="AD115" s="55" t="e">
        <f>AD114+ATM_Conf!$C$5*(O114-N114)/(Links!O$191*Links!AD$191)</f>
        <v>#DIV/0!</v>
      </c>
      <c r="AE115" s="55" t="e">
        <f>AE114+ATM_Conf!$C$5*(P114-O114)/(Links!P$191*Links!AE$191)</f>
        <v>#DIV/0!</v>
      </c>
      <c r="AF115" s="45" t="e">
        <f>AF114+(ATM_Conf!$C$5/ATM_Conf!$C$8)*(Links!AU114*EXP((-(Links!Q114/Links!BJ114)^Links!BY114)/Links!BY114)-Links!AF114)-(ATM_Conf!$C$9*ATM_Conf!$C$5/(ATM_Conf!$C$8*Links!Q$191))*(Nodes!BO114-Links!Q114)/(Links!Q114/ATM_Conf!$C$10)</f>
        <v>#DIV/0!</v>
      </c>
      <c r="AG115" s="45" t="e">
        <f>AG114+(ATM_Conf!$C$5/ATM_Conf!$C$8)*(Links!AV114*EXP((-(Links!R114/Links!BK114)^Links!BZ114)/Links!BZ114)-Links!AG114)+(ATM_Conf!$C$5/Links!R$191)*Links!AG114*(Nodes!BB114-Links!AG114)-(ATM_Conf!$C$9*ATM_Conf!$C$5/(ATM_Conf!$C$8*Links!R$191))*(Nodes!BP114-Links!R114)/(Links!R114/ATM_Conf!$C$10)</f>
        <v>#DIV/0!</v>
      </c>
      <c r="AH115" s="45" t="e">
        <f>AH114+(ATM_Conf!$C$5/ATM_Conf!$C$8)*(Links!AW114*EXP((-(Links!S114/Links!BL114)^Links!CA114)/Links!CA114)-Links!AH114)+(ATM_Conf!$C$5/Links!S$191)*Links!AH114*(Nodes!BC114-Links!AH114)-(ATM_Conf!$C$9*ATM_Conf!$C$5/(ATM_Conf!$C$8*Links!S$191))*(Nodes!BQ114-Links!S114)/(Links!S114/ATM_Conf!$C$10)</f>
        <v>#DIV/0!</v>
      </c>
      <c r="AI115" s="45" t="e">
        <f>AI114+(ATM_Conf!$C$5/ATM_Conf!$C$8)*(Links!AX114*EXP((-(Links!T114/Links!BM114)^Links!CB114)/Links!CB114)-Links!AI114)+(ATM_Conf!$C$5/Links!T$191)*Links!AI114*(Nodes!BD114-Links!AI114)-(ATM_Conf!$C$9*ATM_Conf!$C$5/(ATM_Conf!$C$8*Links!T$191))*(Nodes!BR114-Links!T114)/(Links!T114/ATM_Conf!$C$10)</f>
        <v>#DIV/0!</v>
      </c>
      <c r="AJ115" s="45" t="e">
        <f>AJ114+(ATM_Conf!$C$5/ATM_Conf!$C$8)*(Links!AY114*EXP((-(Links!U114/Links!BN114)^Links!CC114)/Links!CC114)-Links!AJ114)+(ATM_Conf!$C$5/Links!U$191)*Links!AJ114*(Nodes!BE114-Links!AJ114)-(ATM_Conf!$C$9*ATM_Conf!$C$5/(ATM_Conf!$C$8*Links!U$191))*(Nodes!BS114-Links!U114)/(Links!U114/ATM_Conf!$C$10)</f>
        <v>#DIV/0!</v>
      </c>
      <c r="AK115" s="45" t="e">
        <f>AK114+(ATM_Conf!$C$5/ATM_Conf!$C$8)*(Links!AZ114*EXP((-(Links!V114/Links!BO114)^Links!CD114)/Links!CD114)-Links!AK114)+(ATM_Conf!$C$5/Links!V$191)*Links!AK114*(Nodes!BF114-Links!AK114)-(ATM_Conf!$C$9*ATM_Conf!$C$5/(ATM_Conf!$C$8*Links!V$191))*(Nodes!BT114-Links!V114)/(Links!V114/ATM_Conf!$C$10)</f>
        <v>#DIV/0!</v>
      </c>
      <c r="AL115" s="45" t="e">
        <f>AL114+(ATM_Conf!$C$5/ATM_Conf!$C$8)*(Links!BA114*EXP((-(Links!W114/Links!BP114)^Links!CE114)/Links!CE114)-Links!AL114)+(ATM_Conf!$C$5/Links!W$191)*Links!AL114*(Nodes!BG114-Links!AL114)-(ATM_Conf!$C$9*ATM_Conf!$C$5/(ATM_Conf!$C$8*Links!W$191))*(Nodes!BU114-Links!W114)/(Links!W114/ATM_Conf!$C$10)</f>
        <v>#DIV/0!</v>
      </c>
      <c r="AM115" s="45" t="e">
        <f>AM114+(ATM_Conf!$C$5/ATM_Conf!$C$8)*(Links!BB114*EXP((-(Links!X114/Links!BQ114)^Links!CF114)/Links!CF114)-Links!AM114)+(ATM_Conf!$C$5/Links!X$191)*Links!AM114*(Nodes!BH114-Links!AM114)</f>
        <v>#DIV/0!</v>
      </c>
      <c r="AN115" s="45" t="e">
        <f>AN114+(ATM_Conf!$C$5/ATM_Conf!$C$8)*(Links!BC114*EXP((-(Links!Y114/Links!BR114)^Links!CG114)/Links!CG114)-Links!AN114)-(ATM_Conf!$C$9*ATM_Conf!$C$5/(ATM_Conf!$C$8*Links!Y$191))*(Nodes!BV114-Links!Y114)/(Links!Y114/ATM_Conf!$C$10)</f>
        <v>#DIV/0!</v>
      </c>
      <c r="AO115" s="45" t="e">
        <f>AO114+(ATM_Conf!$C$5/ATM_Conf!$C$8)*(Links!BD114*EXP((-(Links!Z114/Links!BS114)^Links!CH114)/Links!CH114)-Links!AO114)+(ATM_Conf!$C$5/Links!Z$191)*Links!AO114*(Nodes!BI114-Links!AO114)-(ATM_Conf!$C$9*ATM_Conf!$C$5/(ATM_Conf!$C$8*Links!Z$191))*(Nodes!BW114-Links!Z114)/(Links!Z114/ATM_Conf!$C$10)</f>
        <v>#DIV/0!</v>
      </c>
      <c r="AP115" s="45" t="e">
        <f>AP114+(ATM_Conf!$C$5/ATM_Conf!$C$8)*(Links!BE114*EXP((-(Links!AA114/Links!BT114)^Links!CI114)/Links!CI114)-Links!AP114)+(ATM_Conf!$C$5/Links!AA$191)*Links!AP114*(Nodes!BJ114-Links!AP114)-(ATM_Conf!$C$9*ATM_Conf!$C$5/(ATM_Conf!$C$8*Links!AA$191))*(Nodes!BX114-Links!AA114)/(Links!AA114/ATM_Conf!$C$10)</f>
        <v>#DIV/0!</v>
      </c>
      <c r="AQ115" s="45" t="e">
        <f>AQ114+(ATM_Conf!$C$5/ATM_Conf!$C$8)*(Links!BF114*EXP((-(Links!AB114/Links!BU114)^Links!CJ114)/Links!CJ114)-Links!AQ114)+(ATM_Conf!$C$5/Links!AB$191)*Links!AQ114*(Nodes!BK114-Links!AQ114)-(ATM_Conf!$C$9*ATM_Conf!$C$5/(ATM_Conf!$C$8*Links!AB$191))*(Nodes!BY114-Links!AB114)/(Links!AB114/ATM_Conf!$C$10)</f>
        <v>#DIV/0!</v>
      </c>
      <c r="AR115" s="45" t="e">
        <f>AR114+(ATM_Conf!$C$5/ATM_Conf!$C$8)*(Links!BG114*EXP((-(Links!AC114/Links!BV114)^Links!CK114)/Links!CK114)-Links!AR114)+(ATM_Conf!$C$5/Links!AC$191)*Links!AR114*(Nodes!BL114-Links!AR114)-(ATM_Conf!$C$9*ATM_Conf!$C$5/(ATM_Conf!$C$8*Links!AC$191))*(Nodes!BZ114-Links!AC114)/(Links!AC114/ATM_Conf!$C$10)</f>
        <v>#DIV/0!</v>
      </c>
      <c r="AS115" s="45" t="e">
        <f>AS114+(ATM_Conf!$C$5/ATM_Conf!$C$8)*(Links!BH114*EXP((-(Links!AD114/Links!BW114)^Links!CL114)/Links!CL114)-Links!AS114)+(ATM_Conf!$C$5/Links!AD$191)*Links!AS114*(Nodes!BM114-Links!AS114)-(ATM_Conf!$C$9*ATM_Conf!$C$5/(ATM_Conf!$C$8*Links!AD$191))*(Nodes!CA114-Links!AD114)/(Links!AD114/ATM_Conf!$C$10)</f>
        <v>#DIV/0!</v>
      </c>
      <c r="AT115" s="45" t="e">
        <f>AT114+(ATM_Conf!$C$5/ATM_Conf!$C$8)*(Links!BI114*EXP((-(Links!AE114/Links!BX114)^Links!CM114)/Links!CM114)-Links!AT114)+(ATM_Conf!$C$5/Links!AE$191)*Links!AT114*(Nodes!BN114-Links!AT114)</f>
        <v>#DIV/0!</v>
      </c>
      <c r="AU115" s="55"/>
      <c r="AV115" s="55"/>
      <c r="AW115" s="55"/>
      <c r="AX115" s="55"/>
      <c r="AY115" s="55"/>
      <c r="AZ115" s="55"/>
      <c r="BA115" s="55"/>
      <c r="BB115" s="55"/>
      <c r="BC115" s="55"/>
      <c r="BD115" s="55"/>
      <c r="BE115" s="55"/>
      <c r="BF115" s="55"/>
      <c r="BG115" s="55"/>
      <c r="BH115" s="55"/>
      <c r="BI115" s="55"/>
      <c r="BJ115" s="45"/>
      <c r="BK115" s="45"/>
      <c r="BL115" s="45"/>
      <c r="BM115" s="45"/>
      <c r="BN115" s="45"/>
      <c r="BO115" s="45"/>
      <c r="BP115" s="45"/>
      <c r="BQ115" s="45"/>
      <c r="BR115" s="45"/>
      <c r="BS115" s="45"/>
      <c r="BT115" s="45"/>
      <c r="BU115" s="45"/>
      <c r="BV115" s="45"/>
      <c r="BW115" s="45"/>
      <c r="BX115" s="45"/>
      <c r="BY115" s="55"/>
      <c r="BZ115" s="55"/>
      <c r="CA115" s="55"/>
      <c r="CB115" s="55"/>
      <c r="CC115" s="55"/>
      <c r="CD115" s="55"/>
      <c r="CE115" s="55"/>
      <c r="CF115" s="55"/>
      <c r="CG115" s="55"/>
      <c r="CH115" s="55"/>
      <c r="CI115" s="55"/>
      <c r="CJ115" s="55"/>
      <c r="CK115" s="55"/>
      <c r="CL115" s="55"/>
      <c r="CM115" s="55"/>
      <c r="CN115" s="45">
        <f t="shared" si="60"/>
        <v>0</v>
      </c>
      <c r="CO115" s="45">
        <f t="shared" si="59"/>
        <v>0</v>
      </c>
      <c r="CP115" s="45">
        <f t="shared" si="59"/>
        <v>0</v>
      </c>
      <c r="CQ115" s="45">
        <f t="shared" si="59"/>
        <v>0</v>
      </c>
      <c r="CR115" s="45">
        <f t="shared" si="59"/>
        <v>0</v>
      </c>
      <c r="CS115" s="45">
        <f t="shared" si="59"/>
        <v>0</v>
      </c>
      <c r="CT115" s="45">
        <f t="shared" si="59"/>
        <v>0</v>
      </c>
      <c r="CU115" s="45">
        <f t="shared" si="59"/>
        <v>0</v>
      </c>
      <c r="CV115" s="45">
        <f t="shared" si="59"/>
        <v>0</v>
      </c>
      <c r="CW115" s="45">
        <f t="shared" si="59"/>
        <v>0</v>
      </c>
      <c r="CX115" s="45">
        <f t="shared" si="59"/>
        <v>0</v>
      </c>
      <c r="CY115" s="45">
        <f t="shared" si="59"/>
        <v>0</v>
      </c>
      <c r="CZ115" s="45">
        <f t="shared" si="59"/>
        <v>0</v>
      </c>
      <c r="DA115" s="45">
        <f t="shared" si="59"/>
        <v>0</v>
      </c>
      <c r="DB115" s="45">
        <f t="shared" si="59"/>
        <v>0</v>
      </c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</row>
    <row r="116" spans="1:121" ht="14.25" x14ac:dyDescent="0.15">
      <c r="A116" s="48">
        <v>114</v>
      </c>
      <c r="B116" s="45" t="e">
        <f t="shared" si="34"/>
        <v>#DIV/0!</v>
      </c>
      <c r="C116" s="45" t="e">
        <f t="shared" si="35"/>
        <v>#DIV/0!</v>
      </c>
      <c r="D116" s="45" t="e">
        <f t="shared" si="36"/>
        <v>#DIV/0!</v>
      </c>
      <c r="E116" s="45" t="e">
        <f t="shared" si="37"/>
        <v>#DIV/0!</v>
      </c>
      <c r="F116" s="45" t="e">
        <f t="shared" si="38"/>
        <v>#DIV/0!</v>
      </c>
      <c r="G116" s="45" t="e">
        <f t="shared" si="39"/>
        <v>#DIV/0!</v>
      </c>
      <c r="H116" s="45" t="e">
        <f t="shared" si="40"/>
        <v>#DIV/0!</v>
      </c>
      <c r="I116" s="45" t="e">
        <f t="shared" si="41"/>
        <v>#DIV/0!</v>
      </c>
      <c r="J116" s="45" t="e">
        <f t="shared" si="42"/>
        <v>#DIV/0!</v>
      </c>
      <c r="K116" s="45" t="e">
        <f t="shared" si="43"/>
        <v>#DIV/0!</v>
      </c>
      <c r="L116" s="45" t="e">
        <f t="shared" si="44"/>
        <v>#DIV/0!</v>
      </c>
      <c r="M116" s="45" t="e">
        <f t="shared" si="45"/>
        <v>#DIV/0!</v>
      </c>
      <c r="N116" s="45" t="e">
        <f t="shared" si="46"/>
        <v>#DIV/0!</v>
      </c>
      <c r="O116" s="45" t="e">
        <f t="shared" si="47"/>
        <v>#DIV/0!</v>
      </c>
      <c r="P116" s="45" t="e">
        <f t="shared" si="48"/>
        <v>#DIV/0!</v>
      </c>
      <c r="Q116" s="55" t="e">
        <f>Q115+ATM_Conf!$C$5*(B115)/(Links!B$191*Links!Q$191)</f>
        <v>#DIV/0!</v>
      </c>
      <c r="R116" s="55" t="e">
        <f>R115+ATM_Conf!$C$5*(C115-B115)/(Links!C$191*Links!R$191)</f>
        <v>#DIV/0!</v>
      </c>
      <c r="S116" s="55" t="e">
        <f>S115+ATM_Conf!$C$5*(D115-C115)/(Links!D$191*Links!S$191)</f>
        <v>#DIV/0!</v>
      </c>
      <c r="T116" s="55" t="e">
        <f>T115+ATM_Conf!$C$5*(E115-D115)/(Links!E$191*Links!T$191)</f>
        <v>#DIV/0!</v>
      </c>
      <c r="U116" s="55" t="e">
        <f>U115+ATM_Conf!$C$5*(F115-E115)/(Links!F$191*Links!U$191)</f>
        <v>#DIV/0!</v>
      </c>
      <c r="V116" s="55" t="e">
        <f>V115+ATM_Conf!$C$5*(G115-F115)/(Links!G$191*Links!V$191)</f>
        <v>#DIV/0!</v>
      </c>
      <c r="W116" s="55" t="e">
        <f>W115+ATM_Conf!$C$5*(H115-G115)/(Links!H$191*Links!W$191)</f>
        <v>#DIV/0!</v>
      </c>
      <c r="X116" s="55" t="e">
        <f>X115+ATM_Conf!$C$5*(I115-H115)/(Links!I$191*Links!X$191)</f>
        <v>#DIV/0!</v>
      </c>
      <c r="Y116" s="55" t="e">
        <f>Y115+ATM_Conf!$C$5*(J115)/(Links!J$191*Links!Y$191)</f>
        <v>#DIV/0!</v>
      </c>
      <c r="Z116" s="55" t="e">
        <f>Z115+ATM_Conf!$C$5*(K115-J115)/(Links!K$191*Links!Z$191)</f>
        <v>#DIV/0!</v>
      </c>
      <c r="AA116" s="55" t="e">
        <f>AA115+ATM_Conf!$C$5*(L115-K115)/(Links!L$191*Links!AA$191)</f>
        <v>#DIV/0!</v>
      </c>
      <c r="AB116" s="55" t="e">
        <f>AB115+ATM_Conf!$C$5*(M115-L115)/(Links!M$191*Links!AB$191)</f>
        <v>#DIV/0!</v>
      </c>
      <c r="AC116" s="55" t="e">
        <f>AC115+ATM_Conf!$C$5*(N115-M115)/(Links!N$191*Links!AC$191)</f>
        <v>#DIV/0!</v>
      </c>
      <c r="AD116" s="55" t="e">
        <f>AD115+ATM_Conf!$C$5*(O115-N115)/(Links!O$191*Links!AD$191)</f>
        <v>#DIV/0!</v>
      </c>
      <c r="AE116" s="55" t="e">
        <f>AE115+ATM_Conf!$C$5*(P115-O115)/(Links!P$191*Links!AE$191)</f>
        <v>#DIV/0!</v>
      </c>
      <c r="AF116" s="45" t="e">
        <f>AF115+(ATM_Conf!$C$5/ATM_Conf!$C$8)*(Links!AU115*EXP((-(Links!Q115/Links!BJ115)^Links!BY115)/Links!BY115)-Links!AF115)-(ATM_Conf!$C$9*ATM_Conf!$C$5/(ATM_Conf!$C$8*Links!Q$191))*(Nodes!BO115-Links!Q115)/(Links!Q115/ATM_Conf!$C$10)</f>
        <v>#DIV/0!</v>
      </c>
      <c r="AG116" s="45" t="e">
        <f>AG115+(ATM_Conf!$C$5/ATM_Conf!$C$8)*(Links!AV115*EXP((-(Links!R115/Links!BK115)^Links!BZ115)/Links!BZ115)-Links!AG115)+(ATM_Conf!$C$5/Links!R$191)*Links!AG115*(Nodes!BB115-Links!AG115)-(ATM_Conf!$C$9*ATM_Conf!$C$5/(ATM_Conf!$C$8*Links!R$191))*(Nodes!BP115-Links!R115)/(Links!R115/ATM_Conf!$C$10)</f>
        <v>#DIV/0!</v>
      </c>
      <c r="AH116" s="45" t="e">
        <f>AH115+(ATM_Conf!$C$5/ATM_Conf!$C$8)*(Links!AW115*EXP((-(Links!S115/Links!BL115)^Links!CA115)/Links!CA115)-Links!AH115)+(ATM_Conf!$C$5/Links!S$191)*Links!AH115*(Nodes!BC115-Links!AH115)-(ATM_Conf!$C$9*ATM_Conf!$C$5/(ATM_Conf!$C$8*Links!S$191))*(Nodes!BQ115-Links!S115)/(Links!S115/ATM_Conf!$C$10)</f>
        <v>#DIV/0!</v>
      </c>
      <c r="AI116" s="45" t="e">
        <f>AI115+(ATM_Conf!$C$5/ATM_Conf!$C$8)*(Links!AX115*EXP((-(Links!T115/Links!BM115)^Links!CB115)/Links!CB115)-Links!AI115)+(ATM_Conf!$C$5/Links!T$191)*Links!AI115*(Nodes!BD115-Links!AI115)-(ATM_Conf!$C$9*ATM_Conf!$C$5/(ATM_Conf!$C$8*Links!T$191))*(Nodes!BR115-Links!T115)/(Links!T115/ATM_Conf!$C$10)</f>
        <v>#DIV/0!</v>
      </c>
      <c r="AJ116" s="45" t="e">
        <f>AJ115+(ATM_Conf!$C$5/ATM_Conf!$C$8)*(Links!AY115*EXP((-(Links!U115/Links!BN115)^Links!CC115)/Links!CC115)-Links!AJ115)+(ATM_Conf!$C$5/Links!U$191)*Links!AJ115*(Nodes!BE115-Links!AJ115)-(ATM_Conf!$C$9*ATM_Conf!$C$5/(ATM_Conf!$C$8*Links!U$191))*(Nodes!BS115-Links!U115)/(Links!U115/ATM_Conf!$C$10)</f>
        <v>#DIV/0!</v>
      </c>
      <c r="AK116" s="45" t="e">
        <f>AK115+(ATM_Conf!$C$5/ATM_Conf!$C$8)*(Links!AZ115*EXP((-(Links!V115/Links!BO115)^Links!CD115)/Links!CD115)-Links!AK115)+(ATM_Conf!$C$5/Links!V$191)*Links!AK115*(Nodes!BF115-Links!AK115)-(ATM_Conf!$C$9*ATM_Conf!$C$5/(ATM_Conf!$C$8*Links!V$191))*(Nodes!BT115-Links!V115)/(Links!V115/ATM_Conf!$C$10)</f>
        <v>#DIV/0!</v>
      </c>
      <c r="AL116" s="45" t="e">
        <f>AL115+(ATM_Conf!$C$5/ATM_Conf!$C$8)*(Links!BA115*EXP((-(Links!W115/Links!BP115)^Links!CE115)/Links!CE115)-Links!AL115)+(ATM_Conf!$C$5/Links!W$191)*Links!AL115*(Nodes!BG115-Links!AL115)-(ATM_Conf!$C$9*ATM_Conf!$C$5/(ATM_Conf!$C$8*Links!W$191))*(Nodes!BU115-Links!W115)/(Links!W115/ATM_Conf!$C$10)</f>
        <v>#DIV/0!</v>
      </c>
      <c r="AM116" s="45" t="e">
        <f>AM115+(ATM_Conf!$C$5/ATM_Conf!$C$8)*(Links!BB115*EXP((-(Links!X115/Links!BQ115)^Links!CF115)/Links!CF115)-Links!AM115)+(ATM_Conf!$C$5/Links!X$191)*Links!AM115*(Nodes!BH115-Links!AM115)</f>
        <v>#DIV/0!</v>
      </c>
      <c r="AN116" s="45" t="e">
        <f>AN115+(ATM_Conf!$C$5/ATM_Conf!$C$8)*(Links!BC115*EXP((-(Links!Y115/Links!BR115)^Links!CG115)/Links!CG115)-Links!AN115)-(ATM_Conf!$C$9*ATM_Conf!$C$5/(ATM_Conf!$C$8*Links!Y$191))*(Nodes!BV115-Links!Y115)/(Links!Y115/ATM_Conf!$C$10)</f>
        <v>#DIV/0!</v>
      </c>
      <c r="AO116" s="45" t="e">
        <f>AO115+(ATM_Conf!$C$5/ATM_Conf!$C$8)*(Links!BD115*EXP((-(Links!Z115/Links!BS115)^Links!CH115)/Links!CH115)-Links!AO115)+(ATM_Conf!$C$5/Links!Z$191)*Links!AO115*(Nodes!BI115-Links!AO115)-(ATM_Conf!$C$9*ATM_Conf!$C$5/(ATM_Conf!$C$8*Links!Z$191))*(Nodes!BW115-Links!Z115)/(Links!Z115/ATM_Conf!$C$10)</f>
        <v>#DIV/0!</v>
      </c>
      <c r="AP116" s="45" t="e">
        <f>AP115+(ATM_Conf!$C$5/ATM_Conf!$C$8)*(Links!BE115*EXP((-(Links!AA115/Links!BT115)^Links!CI115)/Links!CI115)-Links!AP115)+(ATM_Conf!$C$5/Links!AA$191)*Links!AP115*(Nodes!BJ115-Links!AP115)-(ATM_Conf!$C$9*ATM_Conf!$C$5/(ATM_Conf!$C$8*Links!AA$191))*(Nodes!BX115-Links!AA115)/(Links!AA115/ATM_Conf!$C$10)</f>
        <v>#DIV/0!</v>
      </c>
      <c r="AQ116" s="45" t="e">
        <f>AQ115+(ATM_Conf!$C$5/ATM_Conf!$C$8)*(Links!BF115*EXP((-(Links!AB115/Links!BU115)^Links!CJ115)/Links!CJ115)-Links!AQ115)+(ATM_Conf!$C$5/Links!AB$191)*Links!AQ115*(Nodes!BK115-Links!AQ115)-(ATM_Conf!$C$9*ATM_Conf!$C$5/(ATM_Conf!$C$8*Links!AB$191))*(Nodes!BY115-Links!AB115)/(Links!AB115/ATM_Conf!$C$10)</f>
        <v>#DIV/0!</v>
      </c>
      <c r="AR116" s="45" t="e">
        <f>AR115+(ATM_Conf!$C$5/ATM_Conf!$C$8)*(Links!BG115*EXP((-(Links!AC115/Links!BV115)^Links!CK115)/Links!CK115)-Links!AR115)+(ATM_Conf!$C$5/Links!AC$191)*Links!AR115*(Nodes!BL115-Links!AR115)-(ATM_Conf!$C$9*ATM_Conf!$C$5/(ATM_Conf!$C$8*Links!AC$191))*(Nodes!BZ115-Links!AC115)/(Links!AC115/ATM_Conf!$C$10)</f>
        <v>#DIV/0!</v>
      </c>
      <c r="AS116" s="45" t="e">
        <f>AS115+(ATM_Conf!$C$5/ATM_Conf!$C$8)*(Links!BH115*EXP((-(Links!AD115/Links!BW115)^Links!CL115)/Links!CL115)-Links!AS115)+(ATM_Conf!$C$5/Links!AD$191)*Links!AS115*(Nodes!BM115-Links!AS115)-(ATM_Conf!$C$9*ATM_Conf!$C$5/(ATM_Conf!$C$8*Links!AD$191))*(Nodes!CA115-Links!AD115)/(Links!AD115/ATM_Conf!$C$10)</f>
        <v>#DIV/0!</v>
      </c>
      <c r="AT116" s="45" t="e">
        <f>AT115+(ATM_Conf!$C$5/ATM_Conf!$C$8)*(Links!BI115*EXP((-(Links!AE115/Links!BX115)^Links!CM115)/Links!CM115)-Links!AT115)+(ATM_Conf!$C$5/Links!AE$191)*Links!AT115*(Nodes!BN115-Links!AT115)</f>
        <v>#DIV/0!</v>
      </c>
      <c r="AU116" s="55"/>
      <c r="AV116" s="55"/>
      <c r="AW116" s="55"/>
      <c r="AX116" s="55"/>
      <c r="AY116" s="55"/>
      <c r="AZ116" s="55"/>
      <c r="BA116" s="55"/>
      <c r="BB116" s="55"/>
      <c r="BC116" s="55"/>
      <c r="BD116" s="55"/>
      <c r="BE116" s="55"/>
      <c r="BF116" s="55"/>
      <c r="BG116" s="55"/>
      <c r="BH116" s="55"/>
      <c r="BI116" s="55"/>
      <c r="BJ116" s="45"/>
      <c r="BK116" s="45"/>
      <c r="BL116" s="45"/>
      <c r="BM116" s="45"/>
      <c r="BN116" s="45"/>
      <c r="BO116" s="45"/>
      <c r="BP116" s="45"/>
      <c r="BQ116" s="45"/>
      <c r="BR116" s="45"/>
      <c r="BS116" s="45"/>
      <c r="BT116" s="45"/>
      <c r="BU116" s="45"/>
      <c r="BV116" s="45"/>
      <c r="BW116" s="45"/>
      <c r="BX116" s="45"/>
      <c r="BY116" s="55"/>
      <c r="BZ116" s="55"/>
      <c r="CA116" s="55"/>
      <c r="CB116" s="55"/>
      <c r="CC116" s="55"/>
      <c r="CD116" s="55"/>
      <c r="CE116" s="55"/>
      <c r="CF116" s="55"/>
      <c r="CG116" s="55"/>
      <c r="CH116" s="55"/>
      <c r="CI116" s="55"/>
      <c r="CJ116" s="55"/>
      <c r="CK116" s="55"/>
      <c r="CL116" s="55"/>
      <c r="CM116" s="55"/>
      <c r="CN116" s="45">
        <f t="shared" si="60"/>
        <v>0</v>
      </c>
      <c r="CO116" s="45">
        <f t="shared" si="59"/>
        <v>0</v>
      </c>
      <c r="CP116" s="45">
        <f t="shared" si="59"/>
        <v>0</v>
      </c>
      <c r="CQ116" s="45">
        <f t="shared" si="59"/>
        <v>0</v>
      </c>
      <c r="CR116" s="45">
        <f t="shared" si="59"/>
        <v>0</v>
      </c>
      <c r="CS116" s="45">
        <f t="shared" si="59"/>
        <v>0</v>
      </c>
      <c r="CT116" s="45">
        <f t="shared" si="59"/>
        <v>0</v>
      </c>
      <c r="CU116" s="45">
        <f t="shared" si="59"/>
        <v>0</v>
      </c>
      <c r="CV116" s="45">
        <f t="shared" si="59"/>
        <v>0</v>
      </c>
      <c r="CW116" s="45">
        <f t="shared" si="59"/>
        <v>0</v>
      </c>
      <c r="CX116" s="45">
        <f t="shared" si="59"/>
        <v>0</v>
      </c>
      <c r="CY116" s="45">
        <f t="shared" si="59"/>
        <v>0</v>
      </c>
      <c r="CZ116" s="45">
        <f t="shared" si="59"/>
        <v>0</v>
      </c>
      <c r="DA116" s="45">
        <f t="shared" si="59"/>
        <v>0</v>
      </c>
      <c r="DB116" s="45">
        <f t="shared" si="59"/>
        <v>0</v>
      </c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</row>
    <row r="117" spans="1:121" ht="14.25" x14ac:dyDescent="0.15">
      <c r="A117" s="48">
        <v>115</v>
      </c>
      <c r="B117" s="45" t="e">
        <f t="shared" si="34"/>
        <v>#DIV/0!</v>
      </c>
      <c r="C117" s="45" t="e">
        <f t="shared" si="35"/>
        <v>#DIV/0!</v>
      </c>
      <c r="D117" s="45" t="e">
        <f t="shared" si="36"/>
        <v>#DIV/0!</v>
      </c>
      <c r="E117" s="45" t="e">
        <f t="shared" si="37"/>
        <v>#DIV/0!</v>
      </c>
      <c r="F117" s="45" t="e">
        <f t="shared" si="38"/>
        <v>#DIV/0!</v>
      </c>
      <c r="G117" s="45" t="e">
        <f t="shared" si="39"/>
        <v>#DIV/0!</v>
      </c>
      <c r="H117" s="45" t="e">
        <f t="shared" si="40"/>
        <v>#DIV/0!</v>
      </c>
      <c r="I117" s="45" t="e">
        <f t="shared" si="41"/>
        <v>#DIV/0!</v>
      </c>
      <c r="J117" s="45" t="e">
        <f t="shared" si="42"/>
        <v>#DIV/0!</v>
      </c>
      <c r="K117" s="45" t="e">
        <f t="shared" si="43"/>
        <v>#DIV/0!</v>
      </c>
      <c r="L117" s="45" t="e">
        <f t="shared" si="44"/>
        <v>#DIV/0!</v>
      </c>
      <c r="M117" s="45" t="e">
        <f t="shared" si="45"/>
        <v>#DIV/0!</v>
      </c>
      <c r="N117" s="45" t="e">
        <f t="shared" si="46"/>
        <v>#DIV/0!</v>
      </c>
      <c r="O117" s="45" t="e">
        <f t="shared" si="47"/>
        <v>#DIV/0!</v>
      </c>
      <c r="P117" s="45" t="e">
        <f t="shared" si="48"/>
        <v>#DIV/0!</v>
      </c>
      <c r="Q117" s="55" t="e">
        <f>Q116+ATM_Conf!$C$5*(B116)/(Links!B$191*Links!Q$191)</f>
        <v>#DIV/0!</v>
      </c>
      <c r="R117" s="55" t="e">
        <f>R116+ATM_Conf!$C$5*(C116-B116)/(Links!C$191*Links!R$191)</f>
        <v>#DIV/0!</v>
      </c>
      <c r="S117" s="55" t="e">
        <f>S116+ATM_Conf!$C$5*(D116-C116)/(Links!D$191*Links!S$191)</f>
        <v>#DIV/0!</v>
      </c>
      <c r="T117" s="55" t="e">
        <f>T116+ATM_Conf!$C$5*(E116-D116)/(Links!E$191*Links!T$191)</f>
        <v>#DIV/0!</v>
      </c>
      <c r="U117" s="55" t="e">
        <f>U116+ATM_Conf!$C$5*(F116-E116)/(Links!F$191*Links!U$191)</f>
        <v>#DIV/0!</v>
      </c>
      <c r="V117" s="55" t="e">
        <f>V116+ATM_Conf!$C$5*(G116-F116)/(Links!G$191*Links!V$191)</f>
        <v>#DIV/0!</v>
      </c>
      <c r="W117" s="55" t="e">
        <f>W116+ATM_Conf!$C$5*(H116-G116)/(Links!H$191*Links!W$191)</f>
        <v>#DIV/0!</v>
      </c>
      <c r="X117" s="55" t="e">
        <f>X116+ATM_Conf!$C$5*(I116-H116)/(Links!I$191*Links!X$191)</f>
        <v>#DIV/0!</v>
      </c>
      <c r="Y117" s="55" t="e">
        <f>Y116+ATM_Conf!$C$5*(J116)/(Links!J$191*Links!Y$191)</f>
        <v>#DIV/0!</v>
      </c>
      <c r="Z117" s="55" t="e">
        <f>Z116+ATM_Conf!$C$5*(K116-J116)/(Links!K$191*Links!Z$191)</f>
        <v>#DIV/0!</v>
      </c>
      <c r="AA117" s="55" t="e">
        <f>AA116+ATM_Conf!$C$5*(L116-K116)/(Links!L$191*Links!AA$191)</f>
        <v>#DIV/0!</v>
      </c>
      <c r="AB117" s="55" t="e">
        <f>AB116+ATM_Conf!$C$5*(M116-L116)/(Links!M$191*Links!AB$191)</f>
        <v>#DIV/0!</v>
      </c>
      <c r="AC117" s="55" t="e">
        <f>AC116+ATM_Conf!$C$5*(N116-M116)/(Links!N$191*Links!AC$191)</f>
        <v>#DIV/0!</v>
      </c>
      <c r="AD117" s="55" t="e">
        <f>AD116+ATM_Conf!$C$5*(O116-N116)/(Links!O$191*Links!AD$191)</f>
        <v>#DIV/0!</v>
      </c>
      <c r="AE117" s="55" t="e">
        <f>AE116+ATM_Conf!$C$5*(P116-O116)/(Links!P$191*Links!AE$191)</f>
        <v>#DIV/0!</v>
      </c>
      <c r="AF117" s="45" t="e">
        <f>AF116+(ATM_Conf!$C$5/ATM_Conf!$C$8)*(Links!AU116*EXP((-(Links!Q116/Links!BJ116)^Links!BY116)/Links!BY116)-Links!AF116)-(ATM_Conf!$C$9*ATM_Conf!$C$5/(ATM_Conf!$C$8*Links!Q$191))*(Nodes!BO116-Links!Q116)/(Links!Q116/ATM_Conf!$C$10)</f>
        <v>#DIV/0!</v>
      </c>
      <c r="AG117" s="45" t="e">
        <f>AG116+(ATM_Conf!$C$5/ATM_Conf!$C$8)*(Links!AV116*EXP((-(Links!R116/Links!BK116)^Links!BZ116)/Links!BZ116)-Links!AG116)+(ATM_Conf!$C$5/Links!R$191)*Links!AG116*(Nodes!BB116-Links!AG116)-(ATM_Conf!$C$9*ATM_Conf!$C$5/(ATM_Conf!$C$8*Links!R$191))*(Nodes!BP116-Links!R116)/(Links!R116/ATM_Conf!$C$10)</f>
        <v>#DIV/0!</v>
      </c>
      <c r="AH117" s="45" t="e">
        <f>AH116+(ATM_Conf!$C$5/ATM_Conf!$C$8)*(Links!AW116*EXP((-(Links!S116/Links!BL116)^Links!CA116)/Links!CA116)-Links!AH116)+(ATM_Conf!$C$5/Links!S$191)*Links!AH116*(Nodes!BC116-Links!AH116)-(ATM_Conf!$C$9*ATM_Conf!$C$5/(ATM_Conf!$C$8*Links!S$191))*(Nodes!BQ116-Links!S116)/(Links!S116/ATM_Conf!$C$10)</f>
        <v>#DIV/0!</v>
      </c>
      <c r="AI117" s="45" t="e">
        <f>AI116+(ATM_Conf!$C$5/ATM_Conf!$C$8)*(Links!AX116*EXP((-(Links!T116/Links!BM116)^Links!CB116)/Links!CB116)-Links!AI116)+(ATM_Conf!$C$5/Links!T$191)*Links!AI116*(Nodes!BD116-Links!AI116)-(ATM_Conf!$C$9*ATM_Conf!$C$5/(ATM_Conf!$C$8*Links!T$191))*(Nodes!BR116-Links!T116)/(Links!T116/ATM_Conf!$C$10)</f>
        <v>#DIV/0!</v>
      </c>
      <c r="AJ117" s="45" t="e">
        <f>AJ116+(ATM_Conf!$C$5/ATM_Conf!$C$8)*(Links!AY116*EXP((-(Links!U116/Links!BN116)^Links!CC116)/Links!CC116)-Links!AJ116)+(ATM_Conf!$C$5/Links!U$191)*Links!AJ116*(Nodes!BE116-Links!AJ116)-(ATM_Conf!$C$9*ATM_Conf!$C$5/(ATM_Conf!$C$8*Links!U$191))*(Nodes!BS116-Links!U116)/(Links!U116/ATM_Conf!$C$10)</f>
        <v>#DIV/0!</v>
      </c>
      <c r="AK117" s="45" t="e">
        <f>AK116+(ATM_Conf!$C$5/ATM_Conf!$C$8)*(Links!AZ116*EXP((-(Links!V116/Links!BO116)^Links!CD116)/Links!CD116)-Links!AK116)+(ATM_Conf!$C$5/Links!V$191)*Links!AK116*(Nodes!BF116-Links!AK116)-(ATM_Conf!$C$9*ATM_Conf!$C$5/(ATM_Conf!$C$8*Links!V$191))*(Nodes!BT116-Links!V116)/(Links!V116/ATM_Conf!$C$10)</f>
        <v>#DIV/0!</v>
      </c>
      <c r="AL117" s="45" t="e">
        <f>AL116+(ATM_Conf!$C$5/ATM_Conf!$C$8)*(Links!BA116*EXP((-(Links!W116/Links!BP116)^Links!CE116)/Links!CE116)-Links!AL116)+(ATM_Conf!$C$5/Links!W$191)*Links!AL116*(Nodes!BG116-Links!AL116)-(ATM_Conf!$C$9*ATM_Conf!$C$5/(ATM_Conf!$C$8*Links!W$191))*(Nodes!BU116-Links!W116)/(Links!W116/ATM_Conf!$C$10)</f>
        <v>#DIV/0!</v>
      </c>
      <c r="AM117" s="45" t="e">
        <f>AM116+(ATM_Conf!$C$5/ATM_Conf!$C$8)*(Links!BB116*EXP((-(Links!X116/Links!BQ116)^Links!CF116)/Links!CF116)-Links!AM116)+(ATM_Conf!$C$5/Links!X$191)*Links!AM116*(Nodes!BH116-Links!AM116)</f>
        <v>#DIV/0!</v>
      </c>
      <c r="AN117" s="45" t="e">
        <f>AN116+(ATM_Conf!$C$5/ATM_Conf!$C$8)*(Links!BC116*EXP((-(Links!Y116/Links!BR116)^Links!CG116)/Links!CG116)-Links!AN116)-(ATM_Conf!$C$9*ATM_Conf!$C$5/(ATM_Conf!$C$8*Links!Y$191))*(Nodes!BV116-Links!Y116)/(Links!Y116/ATM_Conf!$C$10)</f>
        <v>#DIV/0!</v>
      </c>
      <c r="AO117" s="45" t="e">
        <f>AO116+(ATM_Conf!$C$5/ATM_Conf!$C$8)*(Links!BD116*EXP((-(Links!Z116/Links!BS116)^Links!CH116)/Links!CH116)-Links!AO116)+(ATM_Conf!$C$5/Links!Z$191)*Links!AO116*(Nodes!BI116-Links!AO116)-(ATM_Conf!$C$9*ATM_Conf!$C$5/(ATM_Conf!$C$8*Links!Z$191))*(Nodes!BW116-Links!Z116)/(Links!Z116/ATM_Conf!$C$10)</f>
        <v>#DIV/0!</v>
      </c>
      <c r="AP117" s="45" t="e">
        <f>AP116+(ATM_Conf!$C$5/ATM_Conf!$C$8)*(Links!BE116*EXP((-(Links!AA116/Links!BT116)^Links!CI116)/Links!CI116)-Links!AP116)+(ATM_Conf!$C$5/Links!AA$191)*Links!AP116*(Nodes!BJ116-Links!AP116)-(ATM_Conf!$C$9*ATM_Conf!$C$5/(ATM_Conf!$C$8*Links!AA$191))*(Nodes!BX116-Links!AA116)/(Links!AA116/ATM_Conf!$C$10)</f>
        <v>#DIV/0!</v>
      </c>
      <c r="AQ117" s="45" t="e">
        <f>AQ116+(ATM_Conf!$C$5/ATM_Conf!$C$8)*(Links!BF116*EXP((-(Links!AB116/Links!BU116)^Links!CJ116)/Links!CJ116)-Links!AQ116)+(ATM_Conf!$C$5/Links!AB$191)*Links!AQ116*(Nodes!BK116-Links!AQ116)-(ATM_Conf!$C$9*ATM_Conf!$C$5/(ATM_Conf!$C$8*Links!AB$191))*(Nodes!BY116-Links!AB116)/(Links!AB116/ATM_Conf!$C$10)</f>
        <v>#DIV/0!</v>
      </c>
      <c r="AR117" s="45" t="e">
        <f>AR116+(ATM_Conf!$C$5/ATM_Conf!$C$8)*(Links!BG116*EXP((-(Links!AC116/Links!BV116)^Links!CK116)/Links!CK116)-Links!AR116)+(ATM_Conf!$C$5/Links!AC$191)*Links!AR116*(Nodes!BL116-Links!AR116)-(ATM_Conf!$C$9*ATM_Conf!$C$5/(ATM_Conf!$C$8*Links!AC$191))*(Nodes!BZ116-Links!AC116)/(Links!AC116/ATM_Conf!$C$10)</f>
        <v>#DIV/0!</v>
      </c>
      <c r="AS117" s="45" t="e">
        <f>AS116+(ATM_Conf!$C$5/ATM_Conf!$C$8)*(Links!BH116*EXP((-(Links!AD116/Links!BW116)^Links!CL116)/Links!CL116)-Links!AS116)+(ATM_Conf!$C$5/Links!AD$191)*Links!AS116*(Nodes!BM116-Links!AS116)-(ATM_Conf!$C$9*ATM_Conf!$C$5/(ATM_Conf!$C$8*Links!AD$191))*(Nodes!CA116-Links!AD116)/(Links!AD116/ATM_Conf!$C$10)</f>
        <v>#DIV/0!</v>
      </c>
      <c r="AT117" s="45" t="e">
        <f>AT116+(ATM_Conf!$C$5/ATM_Conf!$C$8)*(Links!BI116*EXP((-(Links!AE116/Links!BX116)^Links!CM116)/Links!CM116)-Links!AT116)+(ATM_Conf!$C$5/Links!AE$191)*Links!AT116*(Nodes!BN116-Links!AT116)</f>
        <v>#DIV/0!</v>
      </c>
      <c r="AU117" s="55"/>
      <c r="AV117" s="55"/>
      <c r="AW117" s="55"/>
      <c r="AX117" s="55"/>
      <c r="AY117" s="55"/>
      <c r="AZ117" s="55"/>
      <c r="BA117" s="55"/>
      <c r="BB117" s="55"/>
      <c r="BC117" s="55"/>
      <c r="BD117" s="55"/>
      <c r="BE117" s="55"/>
      <c r="BF117" s="55"/>
      <c r="BG117" s="55"/>
      <c r="BH117" s="55"/>
      <c r="BI117" s="5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55"/>
      <c r="BZ117" s="55"/>
      <c r="CA117" s="55"/>
      <c r="CB117" s="55"/>
      <c r="CC117" s="55"/>
      <c r="CD117" s="55"/>
      <c r="CE117" s="55"/>
      <c r="CF117" s="55"/>
      <c r="CG117" s="55"/>
      <c r="CH117" s="55"/>
      <c r="CI117" s="55"/>
      <c r="CJ117" s="55"/>
      <c r="CK117" s="55"/>
      <c r="CL117" s="55"/>
      <c r="CM117" s="55"/>
      <c r="CN117" s="45">
        <f t="shared" si="60"/>
        <v>0</v>
      </c>
      <c r="CO117" s="45">
        <f t="shared" si="59"/>
        <v>0</v>
      </c>
      <c r="CP117" s="45">
        <f t="shared" si="59"/>
        <v>0</v>
      </c>
      <c r="CQ117" s="45">
        <f t="shared" si="59"/>
        <v>0</v>
      </c>
      <c r="CR117" s="45">
        <f t="shared" si="59"/>
        <v>0</v>
      </c>
      <c r="CS117" s="45">
        <f t="shared" si="59"/>
        <v>0</v>
      </c>
      <c r="CT117" s="45">
        <f t="shared" si="59"/>
        <v>0</v>
      </c>
      <c r="CU117" s="45">
        <f t="shared" si="59"/>
        <v>0</v>
      </c>
      <c r="CV117" s="45">
        <f t="shared" si="59"/>
        <v>0</v>
      </c>
      <c r="CW117" s="45">
        <f t="shared" si="59"/>
        <v>0</v>
      </c>
      <c r="CX117" s="45">
        <f t="shared" si="59"/>
        <v>0</v>
      </c>
      <c r="CY117" s="45">
        <f t="shared" si="59"/>
        <v>0</v>
      </c>
      <c r="CZ117" s="45">
        <f t="shared" si="59"/>
        <v>0</v>
      </c>
      <c r="DA117" s="45">
        <f t="shared" si="59"/>
        <v>0</v>
      </c>
      <c r="DB117" s="45">
        <f t="shared" si="59"/>
        <v>0</v>
      </c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</row>
    <row r="118" spans="1:121" ht="14.25" x14ac:dyDescent="0.15">
      <c r="A118" s="48">
        <v>116</v>
      </c>
      <c r="B118" s="45" t="e">
        <f t="shared" si="34"/>
        <v>#DIV/0!</v>
      </c>
      <c r="C118" s="45" t="e">
        <f t="shared" si="35"/>
        <v>#DIV/0!</v>
      </c>
      <c r="D118" s="45" t="e">
        <f t="shared" si="36"/>
        <v>#DIV/0!</v>
      </c>
      <c r="E118" s="45" t="e">
        <f t="shared" si="37"/>
        <v>#DIV/0!</v>
      </c>
      <c r="F118" s="45" t="e">
        <f t="shared" si="38"/>
        <v>#DIV/0!</v>
      </c>
      <c r="G118" s="45" t="e">
        <f t="shared" si="39"/>
        <v>#DIV/0!</v>
      </c>
      <c r="H118" s="45" t="e">
        <f t="shared" si="40"/>
        <v>#DIV/0!</v>
      </c>
      <c r="I118" s="45" t="e">
        <f t="shared" si="41"/>
        <v>#DIV/0!</v>
      </c>
      <c r="J118" s="45" t="e">
        <f t="shared" si="42"/>
        <v>#DIV/0!</v>
      </c>
      <c r="K118" s="45" t="e">
        <f t="shared" si="43"/>
        <v>#DIV/0!</v>
      </c>
      <c r="L118" s="45" t="e">
        <f t="shared" si="44"/>
        <v>#DIV/0!</v>
      </c>
      <c r="M118" s="45" t="e">
        <f t="shared" si="45"/>
        <v>#DIV/0!</v>
      </c>
      <c r="N118" s="45" t="e">
        <f t="shared" si="46"/>
        <v>#DIV/0!</v>
      </c>
      <c r="O118" s="45" t="e">
        <f t="shared" si="47"/>
        <v>#DIV/0!</v>
      </c>
      <c r="P118" s="45" t="e">
        <f t="shared" si="48"/>
        <v>#DIV/0!</v>
      </c>
      <c r="Q118" s="55" t="e">
        <f>Q117+ATM_Conf!$C$5*(B117)/(Links!B$191*Links!Q$191)</f>
        <v>#DIV/0!</v>
      </c>
      <c r="R118" s="55" t="e">
        <f>R117+ATM_Conf!$C$5*(C117-B117)/(Links!C$191*Links!R$191)</f>
        <v>#DIV/0!</v>
      </c>
      <c r="S118" s="55" t="e">
        <f>S117+ATM_Conf!$C$5*(D117-C117)/(Links!D$191*Links!S$191)</f>
        <v>#DIV/0!</v>
      </c>
      <c r="T118" s="55" t="e">
        <f>T117+ATM_Conf!$C$5*(E117-D117)/(Links!E$191*Links!T$191)</f>
        <v>#DIV/0!</v>
      </c>
      <c r="U118" s="55" t="e">
        <f>U117+ATM_Conf!$C$5*(F117-E117)/(Links!F$191*Links!U$191)</f>
        <v>#DIV/0!</v>
      </c>
      <c r="V118" s="55" t="e">
        <f>V117+ATM_Conf!$C$5*(G117-F117)/(Links!G$191*Links!V$191)</f>
        <v>#DIV/0!</v>
      </c>
      <c r="W118" s="55" t="e">
        <f>W117+ATM_Conf!$C$5*(H117-G117)/(Links!H$191*Links!W$191)</f>
        <v>#DIV/0!</v>
      </c>
      <c r="X118" s="55" t="e">
        <f>X117+ATM_Conf!$C$5*(I117-H117)/(Links!I$191*Links!X$191)</f>
        <v>#DIV/0!</v>
      </c>
      <c r="Y118" s="55" t="e">
        <f>Y117+ATM_Conf!$C$5*(J117)/(Links!J$191*Links!Y$191)</f>
        <v>#DIV/0!</v>
      </c>
      <c r="Z118" s="55" t="e">
        <f>Z117+ATM_Conf!$C$5*(K117-J117)/(Links!K$191*Links!Z$191)</f>
        <v>#DIV/0!</v>
      </c>
      <c r="AA118" s="55" t="e">
        <f>AA117+ATM_Conf!$C$5*(L117-K117)/(Links!L$191*Links!AA$191)</f>
        <v>#DIV/0!</v>
      </c>
      <c r="AB118" s="55" t="e">
        <f>AB117+ATM_Conf!$C$5*(M117-L117)/(Links!M$191*Links!AB$191)</f>
        <v>#DIV/0!</v>
      </c>
      <c r="AC118" s="55" t="e">
        <f>AC117+ATM_Conf!$C$5*(N117-M117)/(Links!N$191*Links!AC$191)</f>
        <v>#DIV/0!</v>
      </c>
      <c r="AD118" s="55" t="e">
        <f>AD117+ATM_Conf!$C$5*(O117-N117)/(Links!O$191*Links!AD$191)</f>
        <v>#DIV/0!</v>
      </c>
      <c r="AE118" s="55" t="e">
        <f>AE117+ATM_Conf!$C$5*(P117-O117)/(Links!P$191*Links!AE$191)</f>
        <v>#DIV/0!</v>
      </c>
      <c r="AF118" s="45" t="e">
        <f>AF117+(ATM_Conf!$C$5/ATM_Conf!$C$8)*(Links!AU117*EXP((-(Links!Q117/Links!BJ117)^Links!BY117)/Links!BY117)-Links!AF117)-(ATM_Conf!$C$9*ATM_Conf!$C$5/(ATM_Conf!$C$8*Links!Q$191))*(Nodes!BO117-Links!Q117)/(Links!Q117/ATM_Conf!$C$10)</f>
        <v>#DIV/0!</v>
      </c>
      <c r="AG118" s="45" t="e">
        <f>AG117+(ATM_Conf!$C$5/ATM_Conf!$C$8)*(Links!AV117*EXP((-(Links!R117/Links!BK117)^Links!BZ117)/Links!BZ117)-Links!AG117)+(ATM_Conf!$C$5/Links!R$191)*Links!AG117*(Nodes!BB117-Links!AG117)-(ATM_Conf!$C$9*ATM_Conf!$C$5/(ATM_Conf!$C$8*Links!R$191))*(Nodes!BP117-Links!R117)/(Links!R117/ATM_Conf!$C$10)</f>
        <v>#DIV/0!</v>
      </c>
      <c r="AH118" s="45" t="e">
        <f>AH117+(ATM_Conf!$C$5/ATM_Conf!$C$8)*(Links!AW117*EXP((-(Links!S117/Links!BL117)^Links!CA117)/Links!CA117)-Links!AH117)+(ATM_Conf!$C$5/Links!S$191)*Links!AH117*(Nodes!BC117-Links!AH117)-(ATM_Conf!$C$9*ATM_Conf!$C$5/(ATM_Conf!$C$8*Links!S$191))*(Nodes!BQ117-Links!S117)/(Links!S117/ATM_Conf!$C$10)</f>
        <v>#DIV/0!</v>
      </c>
      <c r="AI118" s="45" t="e">
        <f>AI117+(ATM_Conf!$C$5/ATM_Conf!$C$8)*(Links!AX117*EXP((-(Links!T117/Links!BM117)^Links!CB117)/Links!CB117)-Links!AI117)+(ATM_Conf!$C$5/Links!T$191)*Links!AI117*(Nodes!BD117-Links!AI117)-(ATM_Conf!$C$9*ATM_Conf!$C$5/(ATM_Conf!$C$8*Links!T$191))*(Nodes!BR117-Links!T117)/(Links!T117/ATM_Conf!$C$10)</f>
        <v>#DIV/0!</v>
      </c>
      <c r="AJ118" s="45" t="e">
        <f>AJ117+(ATM_Conf!$C$5/ATM_Conf!$C$8)*(Links!AY117*EXP((-(Links!U117/Links!BN117)^Links!CC117)/Links!CC117)-Links!AJ117)+(ATM_Conf!$C$5/Links!U$191)*Links!AJ117*(Nodes!BE117-Links!AJ117)-(ATM_Conf!$C$9*ATM_Conf!$C$5/(ATM_Conf!$C$8*Links!U$191))*(Nodes!BS117-Links!U117)/(Links!U117/ATM_Conf!$C$10)</f>
        <v>#DIV/0!</v>
      </c>
      <c r="AK118" s="45" t="e">
        <f>AK117+(ATM_Conf!$C$5/ATM_Conf!$C$8)*(Links!AZ117*EXP((-(Links!V117/Links!BO117)^Links!CD117)/Links!CD117)-Links!AK117)+(ATM_Conf!$C$5/Links!V$191)*Links!AK117*(Nodes!BF117-Links!AK117)-(ATM_Conf!$C$9*ATM_Conf!$C$5/(ATM_Conf!$C$8*Links!V$191))*(Nodes!BT117-Links!V117)/(Links!V117/ATM_Conf!$C$10)</f>
        <v>#DIV/0!</v>
      </c>
      <c r="AL118" s="45" t="e">
        <f>AL117+(ATM_Conf!$C$5/ATM_Conf!$C$8)*(Links!BA117*EXP((-(Links!W117/Links!BP117)^Links!CE117)/Links!CE117)-Links!AL117)+(ATM_Conf!$C$5/Links!W$191)*Links!AL117*(Nodes!BG117-Links!AL117)-(ATM_Conf!$C$9*ATM_Conf!$C$5/(ATM_Conf!$C$8*Links!W$191))*(Nodes!BU117-Links!W117)/(Links!W117/ATM_Conf!$C$10)</f>
        <v>#DIV/0!</v>
      </c>
      <c r="AM118" s="45" t="e">
        <f>AM117+(ATM_Conf!$C$5/ATM_Conf!$C$8)*(Links!BB117*EXP((-(Links!X117/Links!BQ117)^Links!CF117)/Links!CF117)-Links!AM117)+(ATM_Conf!$C$5/Links!X$191)*Links!AM117*(Nodes!BH117-Links!AM117)</f>
        <v>#DIV/0!</v>
      </c>
      <c r="AN118" s="45" t="e">
        <f>AN117+(ATM_Conf!$C$5/ATM_Conf!$C$8)*(Links!BC117*EXP((-(Links!Y117/Links!BR117)^Links!CG117)/Links!CG117)-Links!AN117)-(ATM_Conf!$C$9*ATM_Conf!$C$5/(ATM_Conf!$C$8*Links!Y$191))*(Nodes!BV117-Links!Y117)/(Links!Y117/ATM_Conf!$C$10)</f>
        <v>#DIV/0!</v>
      </c>
      <c r="AO118" s="45" t="e">
        <f>AO117+(ATM_Conf!$C$5/ATM_Conf!$C$8)*(Links!BD117*EXP((-(Links!Z117/Links!BS117)^Links!CH117)/Links!CH117)-Links!AO117)+(ATM_Conf!$C$5/Links!Z$191)*Links!AO117*(Nodes!BI117-Links!AO117)-(ATM_Conf!$C$9*ATM_Conf!$C$5/(ATM_Conf!$C$8*Links!Z$191))*(Nodes!BW117-Links!Z117)/(Links!Z117/ATM_Conf!$C$10)</f>
        <v>#DIV/0!</v>
      </c>
      <c r="AP118" s="45" t="e">
        <f>AP117+(ATM_Conf!$C$5/ATM_Conf!$C$8)*(Links!BE117*EXP((-(Links!AA117/Links!BT117)^Links!CI117)/Links!CI117)-Links!AP117)+(ATM_Conf!$C$5/Links!AA$191)*Links!AP117*(Nodes!BJ117-Links!AP117)-(ATM_Conf!$C$9*ATM_Conf!$C$5/(ATM_Conf!$C$8*Links!AA$191))*(Nodes!BX117-Links!AA117)/(Links!AA117/ATM_Conf!$C$10)</f>
        <v>#DIV/0!</v>
      </c>
      <c r="AQ118" s="45" t="e">
        <f>AQ117+(ATM_Conf!$C$5/ATM_Conf!$C$8)*(Links!BF117*EXP((-(Links!AB117/Links!BU117)^Links!CJ117)/Links!CJ117)-Links!AQ117)+(ATM_Conf!$C$5/Links!AB$191)*Links!AQ117*(Nodes!BK117-Links!AQ117)-(ATM_Conf!$C$9*ATM_Conf!$C$5/(ATM_Conf!$C$8*Links!AB$191))*(Nodes!BY117-Links!AB117)/(Links!AB117/ATM_Conf!$C$10)</f>
        <v>#DIV/0!</v>
      </c>
      <c r="AR118" s="45" t="e">
        <f>AR117+(ATM_Conf!$C$5/ATM_Conf!$C$8)*(Links!BG117*EXP((-(Links!AC117/Links!BV117)^Links!CK117)/Links!CK117)-Links!AR117)+(ATM_Conf!$C$5/Links!AC$191)*Links!AR117*(Nodes!BL117-Links!AR117)-(ATM_Conf!$C$9*ATM_Conf!$C$5/(ATM_Conf!$C$8*Links!AC$191))*(Nodes!BZ117-Links!AC117)/(Links!AC117/ATM_Conf!$C$10)</f>
        <v>#DIV/0!</v>
      </c>
      <c r="AS118" s="45" t="e">
        <f>AS117+(ATM_Conf!$C$5/ATM_Conf!$C$8)*(Links!BH117*EXP((-(Links!AD117/Links!BW117)^Links!CL117)/Links!CL117)-Links!AS117)+(ATM_Conf!$C$5/Links!AD$191)*Links!AS117*(Nodes!BM117-Links!AS117)-(ATM_Conf!$C$9*ATM_Conf!$C$5/(ATM_Conf!$C$8*Links!AD$191))*(Nodes!CA117-Links!AD117)/(Links!AD117/ATM_Conf!$C$10)</f>
        <v>#DIV/0!</v>
      </c>
      <c r="AT118" s="45" t="e">
        <f>AT117+(ATM_Conf!$C$5/ATM_Conf!$C$8)*(Links!BI117*EXP((-(Links!AE117/Links!BX117)^Links!CM117)/Links!CM117)-Links!AT117)+(ATM_Conf!$C$5/Links!AE$191)*Links!AT117*(Nodes!BN117-Links!AT117)</f>
        <v>#DIV/0!</v>
      </c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  <c r="BJ118" s="45"/>
      <c r="BK118" s="45"/>
      <c r="BL118" s="45"/>
      <c r="BM118" s="45"/>
      <c r="BN118" s="45"/>
      <c r="BO118" s="45"/>
      <c r="BP118" s="45"/>
      <c r="BQ118" s="45"/>
      <c r="BR118" s="45"/>
      <c r="BS118" s="45"/>
      <c r="BT118" s="45"/>
      <c r="BU118" s="45"/>
      <c r="BV118" s="45"/>
      <c r="BW118" s="45"/>
      <c r="BX118" s="45"/>
      <c r="BY118" s="55"/>
      <c r="BZ118" s="55"/>
      <c r="CA118" s="55"/>
      <c r="CB118" s="55"/>
      <c r="CC118" s="55"/>
      <c r="CD118" s="55"/>
      <c r="CE118" s="55"/>
      <c r="CF118" s="55"/>
      <c r="CG118" s="55"/>
      <c r="CH118" s="55"/>
      <c r="CI118" s="55"/>
      <c r="CJ118" s="55"/>
      <c r="CK118" s="55"/>
      <c r="CL118" s="55"/>
      <c r="CM118" s="55"/>
      <c r="CN118" s="45">
        <f t="shared" si="60"/>
        <v>0</v>
      </c>
      <c r="CO118" s="45">
        <f t="shared" si="59"/>
        <v>0</v>
      </c>
      <c r="CP118" s="45">
        <f t="shared" si="59"/>
        <v>0</v>
      </c>
      <c r="CQ118" s="45">
        <f t="shared" si="59"/>
        <v>0</v>
      </c>
      <c r="CR118" s="45">
        <f t="shared" si="59"/>
        <v>0</v>
      </c>
      <c r="CS118" s="45">
        <f t="shared" si="59"/>
        <v>0</v>
      </c>
      <c r="CT118" s="45">
        <f t="shared" si="59"/>
        <v>0</v>
      </c>
      <c r="CU118" s="45">
        <f t="shared" si="59"/>
        <v>0</v>
      </c>
      <c r="CV118" s="45">
        <f t="shared" si="59"/>
        <v>0</v>
      </c>
      <c r="CW118" s="45">
        <f t="shared" si="59"/>
        <v>0</v>
      </c>
      <c r="CX118" s="45">
        <f t="shared" si="59"/>
        <v>0</v>
      </c>
      <c r="CY118" s="45">
        <f t="shared" si="59"/>
        <v>0</v>
      </c>
      <c r="CZ118" s="45">
        <f t="shared" si="59"/>
        <v>0</v>
      </c>
      <c r="DA118" s="45">
        <f t="shared" si="59"/>
        <v>0</v>
      </c>
      <c r="DB118" s="45">
        <f t="shared" si="59"/>
        <v>0</v>
      </c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</row>
    <row r="119" spans="1:121" ht="14.25" x14ac:dyDescent="0.15">
      <c r="A119" s="48">
        <v>117</v>
      </c>
      <c r="B119" s="45" t="e">
        <f t="shared" si="34"/>
        <v>#DIV/0!</v>
      </c>
      <c r="C119" s="45" t="e">
        <f t="shared" si="35"/>
        <v>#DIV/0!</v>
      </c>
      <c r="D119" s="45" t="e">
        <f t="shared" si="36"/>
        <v>#DIV/0!</v>
      </c>
      <c r="E119" s="45" t="e">
        <f t="shared" si="37"/>
        <v>#DIV/0!</v>
      </c>
      <c r="F119" s="45" t="e">
        <f t="shared" si="38"/>
        <v>#DIV/0!</v>
      </c>
      <c r="G119" s="45" t="e">
        <f t="shared" si="39"/>
        <v>#DIV/0!</v>
      </c>
      <c r="H119" s="45" t="e">
        <f t="shared" si="40"/>
        <v>#DIV/0!</v>
      </c>
      <c r="I119" s="45" t="e">
        <f t="shared" si="41"/>
        <v>#DIV/0!</v>
      </c>
      <c r="J119" s="45" t="e">
        <f t="shared" si="42"/>
        <v>#DIV/0!</v>
      </c>
      <c r="K119" s="45" t="e">
        <f t="shared" si="43"/>
        <v>#DIV/0!</v>
      </c>
      <c r="L119" s="45" t="e">
        <f t="shared" si="44"/>
        <v>#DIV/0!</v>
      </c>
      <c r="M119" s="45" t="e">
        <f t="shared" si="45"/>
        <v>#DIV/0!</v>
      </c>
      <c r="N119" s="45" t="e">
        <f t="shared" si="46"/>
        <v>#DIV/0!</v>
      </c>
      <c r="O119" s="45" t="e">
        <f t="shared" si="47"/>
        <v>#DIV/0!</v>
      </c>
      <c r="P119" s="45" t="e">
        <f t="shared" si="48"/>
        <v>#DIV/0!</v>
      </c>
      <c r="Q119" s="55" t="e">
        <f>Q118+ATM_Conf!$C$5*(B118)/(Links!B$191*Links!Q$191)</f>
        <v>#DIV/0!</v>
      </c>
      <c r="R119" s="55" t="e">
        <f>R118+ATM_Conf!$C$5*(C118-B118)/(Links!C$191*Links!R$191)</f>
        <v>#DIV/0!</v>
      </c>
      <c r="S119" s="55" t="e">
        <f>S118+ATM_Conf!$C$5*(D118-C118)/(Links!D$191*Links!S$191)</f>
        <v>#DIV/0!</v>
      </c>
      <c r="T119" s="55" t="e">
        <f>T118+ATM_Conf!$C$5*(E118-D118)/(Links!E$191*Links!T$191)</f>
        <v>#DIV/0!</v>
      </c>
      <c r="U119" s="55" t="e">
        <f>U118+ATM_Conf!$C$5*(F118-E118)/(Links!F$191*Links!U$191)</f>
        <v>#DIV/0!</v>
      </c>
      <c r="V119" s="55" t="e">
        <f>V118+ATM_Conf!$C$5*(G118-F118)/(Links!G$191*Links!V$191)</f>
        <v>#DIV/0!</v>
      </c>
      <c r="W119" s="55" t="e">
        <f>W118+ATM_Conf!$C$5*(H118-G118)/(Links!H$191*Links!W$191)</f>
        <v>#DIV/0!</v>
      </c>
      <c r="X119" s="55" t="e">
        <f>X118+ATM_Conf!$C$5*(I118-H118)/(Links!I$191*Links!X$191)</f>
        <v>#DIV/0!</v>
      </c>
      <c r="Y119" s="55" t="e">
        <f>Y118+ATM_Conf!$C$5*(J118)/(Links!J$191*Links!Y$191)</f>
        <v>#DIV/0!</v>
      </c>
      <c r="Z119" s="55" t="e">
        <f>Z118+ATM_Conf!$C$5*(K118-J118)/(Links!K$191*Links!Z$191)</f>
        <v>#DIV/0!</v>
      </c>
      <c r="AA119" s="55" t="e">
        <f>AA118+ATM_Conf!$C$5*(L118-K118)/(Links!L$191*Links!AA$191)</f>
        <v>#DIV/0!</v>
      </c>
      <c r="AB119" s="55" t="e">
        <f>AB118+ATM_Conf!$C$5*(M118-L118)/(Links!M$191*Links!AB$191)</f>
        <v>#DIV/0!</v>
      </c>
      <c r="AC119" s="55" t="e">
        <f>AC118+ATM_Conf!$C$5*(N118-M118)/(Links!N$191*Links!AC$191)</f>
        <v>#DIV/0!</v>
      </c>
      <c r="AD119" s="55" t="e">
        <f>AD118+ATM_Conf!$C$5*(O118-N118)/(Links!O$191*Links!AD$191)</f>
        <v>#DIV/0!</v>
      </c>
      <c r="AE119" s="55" t="e">
        <f>AE118+ATM_Conf!$C$5*(P118-O118)/(Links!P$191*Links!AE$191)</f>
        <v>#DIV/0!</v>
      </c>
      <c r="AF119" s="45" t="e">
        <f>AF118+(ATM_Conf!$C$5/ATM_Conf!$C$8)*(Links!AU118*EXP((-(Links!Q118/Links!BJ118)^Links!BY118)/Links!BY118)-Links!AF118)-(ATM_Conf!$C$9*ATM_Conf!$C$5/(ATM_Conf!$C$8*Links!Q$191))*(Nodes!BO118-Links!Q118)/(Links!Q118/ATM_Conf!$C$10)</f>
        <v>#DIV/0!</v>
      </c>
      <c r="AG119" s="45" t="e">
        <f>AG118+(ATM_Conf!$C$5/ATM_Conf!$C$8)*(Links!AV118*EXP((-(Links!R118/Links!BK118)^Links!BZ118)/Links!BZ118)-Links!AG118)+(ATM_Conf!$C$5/Links!R$191)*Links!AG118*(Nodes!BB118-Links!AG118)-(ATM_Conf!$C$9*ATM_Conf!$C$5/(ATM_Conf!$C$8*Links!R$191))*(Nodes!BP118-Links!R118)/(Links!R118/ATM_Conf!$C$10)</f>
        <v>#DIV/0!</v>
      </c>
      <c r="AH119" s="45" t="e">
        <f>AH118+(ATM_Conf!$C$5/ATM_Conf!$C$8)*(Links!AW118*EXP((-(Links!S118/Links!BL118)^Links!CA118)/Links!CA118)-Links!AH118)+(ATM_Conf!$C$5/Links!S$191)*Links!AH118*(Nodes!BC118-Links!AH118)-(ATM_Conf!$C$9*ATM_Conf!$C$5/(ATM_Conf!$C$8*Links!S$191))*(Nodes!BQ118-Links!S118)/(Links!S118/ATM_Conf!$C$10)</f>
        <v>#DIV/0!</v>
      </c>
      <c r="AI119" s="45" t="e">
        <f>AI118+(ATM_Conf!$C$5/ATM_Conf!$C$8)*(Links!AX118*EXP((-(Links!T118/Links!BM118)^Links!CB118)/Links!CB118)-Links!AI118)+(ATM_Conf!$C$5/Links!T$191)*Links!AI118*(Nodes!BD118-Links!AI118)-(ATM_Conf!$C$9*ATM_Conf!$C$5/(ATM_Conf!$C$8*Links!T$191))*(Nodes!BR118-Links!T118)/(Links!T118/ATM_Conf!$C$10)</f>
        <v>#DIV/0!</v>
      </c>
      <c r="AJ119" s="45" t="e">
        <f>AJ118+(ATM_Conf!$C$5/ATM_Conf!$C$8)*(Links!AY118*EXP((-(Links!U118/Links!BN118)^Links!CC118)/Links!CC118)-Links!AJ118)+(ATM_Conf!$C$5/Links!U$191)*Links!AJ118*(Nodes!BE118-Links!AJ118)-(ATM_Conf!$C$9*ATM_Conf!$C$5/(ATM_Conf!$C$8*Links!U$191))*(Nodes!BS118-Links!U118)/(Links!U118/ATM_Conf!$C$10)</f>
        <v>#DIV/0!</v>
      </c>
      <c r="AK119" s="45" t="e">
        <f>AK118+(ATM_Conf!$C$5/ATM_Conf!$C$8)*(Links!AZ118*EXP((-(Links!V118/Links!BO118)^Links!CD118)/Links!CD118)-Links!AK118)+(ATM_Conf!$C$5/Links!V$191)*Links!AK118*(Nodes!BF118-Links!AK118)-(ATM_Conf!$C$9*ATM_Conf!$C$5/(ATM_Conf!$C$8*Links!V$191))*(Nodes!BT118-Links!V118)/(Links!V118/ATM_Conf!$C$10)</f>
        <v>#DIV/0!</v>
      </c>
      <c r="AL119" s="45" t="e">
        <f>AL118+(ATM_Conf!$C$5/ATM_Conf!$C$8)*(Links!BA118*EXP((-(Links!W118/Links!BP118)^Links!CE118)/Links!CE118)-Links!AL118)+(ATM_Conf!$C$5/Links!W$191)*Links!AL118*(Nodes!BG118-Links!AL118)-(ATM_Conf!$C$9*ATM_Conf!$C$5/(ATM_Conf!$C$8*Links!W$191))*(Nodes!BU118-Links!W118)/(Links!W118/ATM_Conf!$C$10)</f>
        <v>#DIV/0!</v>
      </c>
      <c r="AM119" s="45" t="e">
        <f>AM118+(ATM_Conf!$C$5/ATM_Conf!$C$8)*(Links!BB118*EXP((-(Links!X118/Links!BQ118)^Links!CF118)/Links!CF118)-Links!AM118)+(ATM_Conf!$C$5/Links!X$191)*Links!AM118*(Nodes!BH118-Links!AM118)</f>
        <v>#DIV/0!</v>
      </c>
      <c r="AN119" s="45" t="e">
        <f>AN118+(ATM_Conf!$C$5/ATM_Conf!$C$8)*(Links!BC118*EXP((-(Links!Y118/Links!BR118)^Links!CG118)/Links!CG118)-Links!AN118)-(ATM_Conf!$C$9*ATM_Conf!$C$5/(ATM_Conf!$C$8*Links!Y$191))*(Nodes!BV118-Links!Y118)/(Links!Y118/ATM_Conf!$C$10)</f>
        <v>#DIV/0!</v>
      </c>
      <c r="AO119" s="45" t="e">
        <f>AO118+(ATM_Conf!$C$5/ATM_Conf!$C$8)*(Links!BD118*EXP((-(Links!Z118/Links!BS118)^Links!CH118)/Links!CH118)-Links!AO118)+(ATM_Conf!$C$5/Links!Z$191)*Links!AO118*(Nodes!BI118-Links!AO118)-(ATM_Conf!$C$9*ATM_Conf!$C$5/(ATM_Conf!$C$8*Links!Z$191))*(Nodes!BW118-Links!Z118)/(Links!Z118/ATM_Conf!$C$10)</f>
        <v>#DIV/0!</v>
      </c>
      <c r="AP119" s="45" t="e">
        <f>AP118+(ATM_Conf!$C$5/ATM_Conf!$C$8)*(Links!BE118*EXP((-(Links!AA118/Links!BT118)^Links!CI118)/Links!CI118)-Links!AP118)+(ATM_Conf!$C$5/Links!AA$191)*Links!AP118*(Nodes!BJ118-Links!AP118)-(ATM_Conf!$C$9*ATM_Conf!$C$5/(ATM_Conf!$C$8*Links!AA$191))*(Nodes!BX118-Links!AA118)/(Links!AA118/ATM_Conf!$C$10)</f>
        <v>#DIV/0!</v>
      </c>
      <c r="AQ119" s="45" t="e">
        <f>AQ118+(ATM_Conf!$C$5/ATM_Conf!$C$8)*(Links!BF118*EXP((-(Links!AB118/Links!BU118)^Links!CJ118)/Links!CJ118)-Links!AQ118)+(ATM_Conf!$C$5/Links!AB$191)*Links!AQ118*(Nodes!BK118-Links!AQ118)-(ATM_Conf!$C$9*ATM_Conf!$C$5/(ATM_Conf!$C$8*Links!AB$191))*(Nodes!BY118-Links!AB118)/(Links!AB118/ATM_Conf!$C$10)</f>
        <v>#DIV/0!</v>
      </c>
      <c r="AR119" s="45" t="e">
        <f>AR118+(ATM_Conf!$C$5/ATM_Conf!$C$8)*(Links!BG118*EXP((-(Links!AC118/Links!BV118)^Links!CK118)/Links!CK118)-Links!AR118)+(ATM_Conf!$C$5/Links!AC$191)*Links!AR118*(Nodes!BL118-Links!AR118)-(ATM_Conf!$C$9*ATM_Conf!$C$5/(ATM_Conf!$C$8*Links!AC$191))*(Nodes!BZ118-Links!AC118)/(Links!AC118/ATM_Conf!$C$10)</f>
        <v>#DIV/0!</v>
      </c>
      <c r="AS119" s="45" t="e">
        <f>AS118+(ATM_Conf!$C$5/ATM_Conf!$C$8)*(Links!BH118*EXP((-(Links!AD118/Links!BW118)^Links!CL118)/Links!CL118)-Links!AS118)+(ATM_Conf!$C$5/Links!AD$191)*Links!AS118*(Nodes!BM118-Links!AS118)-(ATM_Conf!$C$9*ATM_Conf!$C$5/(ATM_Conf!$C$8*Links!AD$191))*(Nodes!CA118-Links!AD118)/(Links!AD118/ATM_Conf!$C$10)</f>
        <v>#DIV/0!</v>
      </c>
      <c r="AT119" s="45" t="e">
        <f>AT118+(ATM_Conf!$C$5/ATM_Conf!$C$8)*(Links!BI118*EXP((-(Links!AE118/Links!BX118)^Links!CM118)/Links!CM118)-Links!AT118)+(ATM_Conf!$C$5/Links!AE$191)*Links!AT118*(Nodes!BN118-Links!AT118)</f>
        <v>#DIV/0!</v>
      </c>
      <c r="AU119" s="55"/>
      <c r="AV119" s="55"/>
      <c r="AW119" s="55"/>
      <c r="AX119" s="55"/>
      <c r="AY119" s="55"/>
      <c r="AZ119" s="55"/>
      <c r="BA119" s="55"/>
      <c r="BB119" s="55"/>
      <c r="BC119" s="55"/>
      <c r="BD119" s="55"/>
      <c r="BE119" s="55"/>
      <c r="BF119" s="55"/>
      <c r="BG119" s="55"/>
      <c r="BH119" s="55"/>
      <c r="BI119" s="55"/>
      <c r="BJ119" s="45"/>
      <c r="BK119" s="45"/>
      <c r="BL119" s="45"/>
      <c r="BM119" s="45"/>
      <c r="BN119" s="45"/>
      <c r="BO119" s="45"/>
      <c r="BP119" s="45"/>
      <c r="BQ119" s="45"/>
      <c r="BR119" s="45"/>
      <c r="BS119" s="45"/>
      <c r="BT119" s="45"/>
      <c r="BU119" s="45"/>
      <c r="BV119" s="45"/>
      <c r="BW119" s="45"/>
      <c r="BX119" s="45"/>
      <c r="BY119" s="55"/>
      <c r="BZ119" s="55"/>
      <c r="CA119" s="55"/>
      <c r="CB119" s="55"/>
      <c r="CC119" s="55"/>
      <c r="CD119" s="55"/>
      <c r="CE119" s="55"/>
      <c r="CF119" s="55"/>
      <c r="CG119" s="55"/>
      <c r="CH119" s="55"/>
      <c r="CI119" s="55"/>
      <c r="CJ119" s="55"/>
      <c r="CK119" s="55"/>
      <c r="CL119" s="55"/>
      <c r="CM119" s="55"/>
      <c r="CN119" s="45">
        <f t="shared" si="60"/>
        <v>0</v>
      </c>
      <c r="CO119" s="45">
        <f t="shared" si="59"/>
        <v>0</v>
      </c>
      <c r="CP119" s="45">
        <f t="shared" si="59"/>
        <v>0</v>
      </c>
      <c r="CQ119" s="45">
        <f t="shared" si="59"/>
        <v>0</v>
      </c>
      <c r="CR119" s="45">
        <f t="shared" si="59"/>
        <v>0</v>
      </c>
      <c r="CS119" s="45">
        <f t="shared" si="59"/>
        <v>0</v>
      </c>
      <c r="CT119" s="45">
        <f t="shared" si="59"/>
        <v>0</v>
      </c>
      <c r="CU119" s="45">
        <f t="shared" si="59"/>
        <v>0</v>
      </c>
      <c r="CV119" s="45">
        <f t="shared" si="59"/>
        <v>0</v>
      </c>
      <c r="CW119" s="45">
        <f t="shared" si="59"/>
        <v>0</v>
      </c>
      <c r="CX119" s="45">
        <f t="shared" si="59"/>
        <v>0</v>
      </c>
      <c r="CY119" s="45">
        <f t="shared" si="59"/>
        <v>0</v>
      </c>
      <c r="CZ119" s="45">
        <f t="shared" si="59"/>
        <v>0</v>
      </c>
      <c r="DA119" s="45">
        <f t="shared" si="59"/>
        <v>0</v>
      </c>
      <c r="DB119" s="45">
        <f t="shared" si="59"/>
        <v>0</v>
      </c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</row>
    <row r="120" spans="1:121" ht="14.25" x14ac:dyDescent="0.15">
      <c r="A120" s="48">
        <v>118</v>
      </c>
      <c r="B120" s="45" t="e">
        <f t="shared" si="34"/>
        <v>#DIV/0!</v>
      </c>
      <c r="C120" s="45" t="e">
        <f t="shared" si="35"/>
        <v>#DIV/0!</v>
      </c>
      <c r="D120" s="45" t="e">
        <f t="shared" si="36"/>
        <v>#DIV/0!</v>
      </c>
      <c r="E120" s="45" t="e">
        <f t="shared" si="37"/>
        <v>#DIV/0!</v>
      </c>
      <c r="F120" s="45" t="e">
        <f t="shared" si="38"/>
        <v>#DIV/0!</v>
      </c>
      <c r="G120" s="45" t="e">
        <f t="shared" si="39"/>
        <v>#DIV/0!</v>
      </c>
      <c r="H120" s="45" t="e">
        <f t="shared" si="40"/>
        <v>#DIV/0!</v>
      </c>
      <c r="I120" s="45" t="e">
        <f t="shared" si="41"/>
        <v>#DIV/0!</v>
      </c>
      <c r="J120" s="45" t="e">
        <f t="shared" si="42"/>
        <v>#DIV/0!</v>
      </c>
      <c r="K120" s="45" t="e">
        <f t="shared" si="43"/>
        <v>#DIV/0!</v>
      </c>
      <c r="L120" s="45" t="e">
        <f t="shared" si="44"/>
        <v>#DIV/0!</v>
      </c>
      <c r="M120" s="45" t="e">
        <f t="shared" si="45"/>
        <v>#DIV/0!</v>
      </c>
      <c r="N120" s="45" t="e">
        <f t="shared" si="46"/>
        <v>#DIV/0!</v>
      </c>
      <c r="O120" s="45" t="e">
        <f t="shared" si="47"/>
        <v>#DIV/0!</v>
      </c>
      <c r="P120" s="45" t="e">
        <f t="shared" si="48"/>
        <v>#DIV/0!</v>
      </c>
      <c r="Q120" s="55" t="e">
        <f>Q119+ATM_Conf!$C$5*(B119)/(Links!B$191*Links!Q$191)</f>
        <v>#DIV/0!</v>
      </c>
      <c r="R120" s="55" t="e">
        <f>R119+ATM_Conf!$C$5*(C119-B119)/(Links!C$191*Links!R$191)</f>
        <v>#DIV/0!</v>
      </c>
      <c r="S120" s="55" t="e">
        <f>S119+ATM_Conf!$C$5*(D119-C119)/(Links!D$191*Links!S$191)</f>
        <v>#DIV/0!</v>
      </c>
      <c r="T120" s="55" t="e">
        <f>T119+ATM_Conf!$C$5*(E119-D119)/(Links!E$191*Links!T$191)</f>
        <v>#DIV/0!</v>
      </c>
      <c r="U120" s="55" t="e">
        <f>U119+ATM_Conf!$C$5*(F119-E119)/(Links!F$191*Links!U$191)</f>
        <v>#DIV/0!</v>
      </c>
      <c r="V120" s="55" t="e">
        <f>V119+ATM_Conf!$C$5*(G119-F119)/(Links!G$191*Links!V$191)</f>
        <v>#DIV/0!</v>
      </c>
      <c r="W120" s="55" t="e">
        <f>W119+ATM_Conf!$C$5*(H119-G119)/(Links!H$191*Links!W$191)</f>
        <v>#DIV/0!</v>
      </c>
      <c r="X120" s="55" t="e">
        <f>X119+ATM_Conf!$C$5*(I119-H119)/(Links!I$191*Links!X$191)</f>
        <v>#DIV/0!</v>
      </c>
      <c r="Y120" s="55" t="e">
        <f>Y119+ATM_Conf!$C$5*(J119)/(Links!J$191*Links!Y$191)</f>
        <v>#DIV/0!</v>
      </c>
      <c r="Z120" s="55" t="e">
        <f>Z119+ATM_Conf!$C$5*(K119-J119)/(Links!K$191*Links!Z$191)</f>
        <v>#DIV/0!</v>
      </c>
      <c r="AA120" s="55" t="e">
        <f>AA119+ATM_Conf!$C$5*(L119-K119)/(Links!L$191*Links!AA$191)</f>
        <v>#DIV/0!</v>
      </c>
      <c r="AB120" s="55" t="e">
        <f>AB119+ATM_Conf!$C$5*(M119-L119)/(Links!M$191*Links!AB$191)</f>
        <v>#DIV/0!</v>
      </c>
      <c r="AC120" s="55" t="e">
        <f>AC119+ATM_Conf!$C$5*(N119-M119)/(Links!N$191*Links!AC$191)</f>
        <v>#DIV/0!</v>
      </c>
      <c r="AD120" s="55" t="e">
        <f>AD119+ATM_Conf!$C$5*(O119-N119)/(Links!O$191*Links!AD$191)</f>
        <v>#DIV/0!</v>
      </c>
      <c r="AE120" s="55" t="e">
        <f>AE119+ATM_Conf!$C$5*(P119-O119)/(Links!P$191*Links!AE$191)</f>
        <v>#DIV/0!</v>
      </c>
      <c r="AF120" s="45" t="e">
        <f>AF119+(ATM_Conf!$C$5/ATM_Conf!$C$8)*(Links!AU119*EXP((-(Links!Q119/Links!BJ119)^Links!BY119)/Links!BY119)-Links!AF119)-(ATM_Conf!$C$9*ATM_Conf!$C$5/(ATM_Conf!$C$8*Links!Q$191))*(Nodes!BO119-Links!Q119)/(Links!Q119/ATM_Conf!$C$10)</f>
        <v>#DIV/0!</v>
      </c>
      <c r="AG120" s="45" t="e">
        <f>AG119+(ATM_Conf!$C$5/ATM_Conf!$C$8)*(Links!AV119*EXP((-(Links!R119/Links!BK119)^Links!BZ119)/Links!BZ119)-Links!AG119)+(ATM_Conf!$C$5/Links!R$191)*Links!AG119*(Nodes!BB119-Links!AG119)-(ATM_Conf!$C$9*ATM_Conf!$C$5/(ATM_Conf!$C$8*Links!R$191))*(Nodes!BP119-Links!R119)/(Links!R119/ATM_Conf!$C$10)</f>
        <v>#DIV/0!</v>
      </c>
      <c r="AH120" s="45" t="e">
        <f>AH119+(ATM_Conf!$C$5/ATM_Conf!$C$8)*(Links!AW119*EXP((-(Links!S119/Links!BL119)^Links!CA119)/Links!CA119)-Links!AH119)+(ATM_Conf!$C$5/Links!S$191)*Links!AH119*(Nodes!BC119-Links!AH119)-(ATM_Conf!$C$9*ATM_Conf!$C$5/(ATM_Conf!$C$8*Links!S$191))*(Nodes!BQ119-Links!S119)/(Links!S119/ATM_Conf!$C$10)</f>
        <v>#DIV/0!</v>
      </c>
      <c r="AI120" s="45" t="e">
        <f>AI119+(ATM_Conf!$C$5/ATM_Conf!$C$8)*(Links!AX119*EXP((-(Links!T119/Links!BM119)^Links!CB119)/Links!CB119)-Links!AI119)+(ATM_Conf!$C$5/Links!T$191)*Links!AI119*(Nodes!BD119-Links!AI119)-(ATM_Conf!$C$9*ATM_Conf!$C$5/(ATM_Conf!$C$8*Links!T$191))*(Nodes!BR119-Links!T119)/(Links!T119/ATM_Conf!$C$10)</f>
        <v>#DIV/0!</v>
      </c>
      <c r="AJ120" s="45" t="e">
        <f>AJ119+(ATM_Conf!$C$5/ATM_Conf!$C$8)*(Links!AY119*EXP((-(Links!U119/Links!BN119)^Links!CC119)/Links!CC119)-Links!AJ119)+(ATM_Conf!$C$5/Links!U$191)*Links!AJ119*(Nodes!BE119-Links!AJ119)-(ATM_Conf!$C$9*ATM_Conf!$C$5/(ATM_Conf!$C$8*Links!U$191))*(Nodes!BS119-Links!U119)/(Links!U119/ATM_Conf!$C$10)</f>
        <v>#DIV/0!</v>
      </c>
      <c r="AK120" s="45" t="e">
        <f>AK119+(ATM_Conf!$C$5/ATM_Conf!$C$8)*(Links!AZ119*EXP((-(Links!V119/Links!BO119)^Links!CD119)/Links!CD119)-Links!AK119)+(ATM_Conf!$C$5/Links!V$191)*Links!AK119*(Nodes!BF119-Links!AK119)-(ATM_Conf!$C$9*ATM_Conf!$C$5/(ATM_Conf!$C$8*Links!V$191))*(Nodes!BT119-Links!V119)/(Links!V119/ATM_Conf!$C$10)</f>
        <v>#DIV/0!</v>
      </c>
      <c r="AL120" s="45" t="e">
        <f>AL119+(ATM_Conf!$C$5/ATM_Conf!$C$8)*(Links!BA119*EXP((-(Links!W119/Links!BP119)^Links!CE119)/Links!CE119)-Links!AL119)+(ATM_Conf!$C$5/Links!W$191)*Links!AL119*(Nodes!BG119-Links!AL119)-(ATM_Conf!$C$9*ATM_Conf!$C$5/(ATM_Conf!$C$8*Links!W$191))*(Nodes!BU119-Links!W119)/(Links!W119/ATM_Conf!$C$10)</f>
        <v>#DIV/0!</v>
      </c>
      <c r="AM120" s="45" t="e">
        <f>AM119+(ATM_Conf!$C$5/ATM_Conf!$C$8)*(Links!BB119*EXP((-(Links!X119/Links!BQ119)^Links!CF119)/Links!CF119)-Links!AM119)+(ATM_Conf!$C$5/Links!X$191)*Links!AM119*(Nodes!BH119-Links!AM119)</f>
        <v>#DIV/0!</v>
      </c>
      <c r="AN120" s="45" t="e">
        <f>AN119+(ATM_Conf!$C$5/ATM_Conf!$C$8)*(Links!BC119*EXP((-(Links!Y119/Links!BR119)^Links!CG119)/Links!CG119)-Links!AN119)-(ATM_Conf!$C$9*ATM_Conf!$C$5/(ATM_Conf!$C$8*Links!Y$191))*(Nodes!BV119-Links!Y119)/(Links!Y119/ATM_Conf!$C$10)</f>
        <v>#DIV/0!</v>
      </c>
      <c r="AO120" s="45" t="e">
        <f>AO119+(ATM_Conf!$C$5/ATM_Conf!$C$8)*(Links!BD119*EXP((-(Links!Z119/Links!BS119)^Links!CH119)/Links!CH119)-Links!AO119)+(ATM_Conf!$C$5/Links!Z$191)*Links!AO119*(Nodes!BI119-Links!AO119)-(ATM_Conf!$C$9*ATM_Conf!$C$5/(ATM_Conf!$C$8*Links!Z$191))*(Nodes!BW119-Links!Z119)/(Links!Z119/ATM_Conf!$C$10)</f>
        <v>#DIV/0!</v>
      </c>
      <c r="AP120" s="45" t="e">
        <f>AP119+(ATM_Conf!$C$5/ATM_Conf!$C$8)*(Links!BE119*EXP((-(Links!AA119/Links!BT119)^Links!CI119)/Links!CI119)-Links!AP119)+(ATM_Conf!$C$5/Links!AA$191)*Links!AP119*(Nodes!BJ119-Links!AP119)-(ATM_Conf!$C$9*ATM_Conf!$C$5/(ATM_Conf!$C$8*Links!AA$191))*(Nodes!BX119-Links!AA119)/(Links!AA119/ATM_Conf!$C$10)</f>
        <v>#DIV/0!</v>
      </c>
      <c r="AQ120" s="45" t="e">
        <f>AQ119+(ATM_Conf!$C$5/ATM_Conf!$C$8)*(Links!BF119*EXP((-(Links!AB119/Links!BU119)^Links!CJ119)/Links!CJ119)-Links!AQ119)+(ATM_Conf!$C$5/Links!AB$191)*Links!AQ119*(Nodes!BK119-Links!AQ119)-(ATM_Conf!$C$9*ATM_Conf!$C$5/(ATM_Conf!$C$8*Links!AB$191))*(Nodes!BY119-Links!AB119)/(Links!AB119/ATM_Conf!$C$10)</f>
        <v>#DIV/0!</v>
      </c>
      <c r="AR120" s="45" t="e">
        <f>AR119+(ATM_Conf!$C$5/ATM_Conf!$C$8)*(Links!BG119*EXP((-(Links!AC119/Links!BV119)^Links!CK119)/Links!CK119)-Links!AR119)+(ATM_Conf!$C$5/Links!AC$191)*Links!AR119*(Nodes!BL119-Links!AR119)-(ATM_Conf!$C$9*ATM_Conf!$C$5/(ATM_Conf!$C$8*Links!AC$191))*(Nodes!BZ119-Links!AC119)/(Links!AC119/ATM_Conf!$C$10)</f>
        <v>#DIV/0!</v>
      </c>
      <c r="AS120" s="45" t="e">
        <f>AS119+(ATM_Conf!$C$5/ATM_Conf!$C$8)*(Links!BH119*EXP((-(Links!AD119/Links!BW119)^Links!CL119)/Links!CL119)-Links!AS119)+(ATM_Conf!$C$5/Links!AD$191)*Links!AS119*(Nodes!BM119-Links!AS119)-(ATM_Conf!$C$9*ATM_Conf!$C$5/(ATM_Conf!$C$8*Links!AD$191))*(Nodes!CA119-Links!AD119)/(Links!AD119/ATM_Conf!$C$10)</f>
        <v>#DIV/0!</v>
      </c>
      <c r="AT120" s="45" t="e">
        <f>AT119+(ATM_Conf!$C$5/ATM_Conf!$C$8)*(Links!BI119*EXP((-(Links!AE119/Links!BX119)^Links!CM119)/Links!CM119)-Links!AT119)+(ATM_Conf!$C$5/Links!AE$191)*Links!AT119*(Nodes!BN119-Links!AT119)</f>
        <v>#DIV/0!</v>
      </c>
      <c r="AU120" s="55"/>
      <c r="AV120" s="55"/>
      <c r="AW120" s="55"/>
      <c r="AX120" s="55"/>
      <c r="AY120" s="55"/>
      <c r="AZ120" s="55"/>
      <c r="BA120" s="55"/>
      <c r="BB120" s="55"/>
      <c r="BC120" s="55"/>
      <c r="BD120" s="55"/>
      <c r="BE120" s="55"/>
      <c r="BF120" s="55"/>
      <c r="BG120" s="55"/>
      <c r="BH120" s="55"/>
      <c r="BI120" s="5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55"/>
      <c r="BZ120" s="55"/>
      <c r="CA120" s="55"/>
      <c r="CB120" s="55"/>
      <c r="CC120" s="55"/>
      <c r="CD120" s="55"/>
      <c r="CE120" s="55"/>
      <c r="CF120" s="55"/>
      <c r="CG120" s="55"/>
      <c r="CH120" s="55"/>
      <c r="CI120" s="55"/>
      <c r="CJ120" s="55"/>
      <c r="CK120" s="55"/>
      <c r="CL120" s="55"/>
      <c r="CM120" s="55"/>
      <c r="CN120" s="45">
        <f t="shared" si="60"/>
        <v>0</v>
      </c>
      <c r="CO120" s="45">
        <f t="shared" si="59"/>
        <v>0</v>
      </c>
      <c r="CP120" s="45">
        <f t="shared" si="59"/>
        <v>0</v>
      </c>
      <c r="CQ120" s="45">
        <f t="shared" si="59"/>
        <v>0</v>
      </c>
      <c r="CR120" s="45">
        <f t="shared" si="59"/>
        <v>0</v>
      </c>
      <c r="CS120" s="45">
        <f t="shared" si="59"/>
        <v>0</v>
      </c>
      <c r="CT120" s="45">
        <f t="shared" si="59"/>
        <v>0</v>
      </c>
      <c r="CU120" s="45">
        <f t="shared" si="59"/>
        <v>0</v>
      </c>
      <c r="CV120" s="45">
        <f t="shared" si="59"/>
        <v>0</v>
      </c>
      <c r="CW120" s="45">
        <f t="shared" si="59"/>
        <v>0</v>
      </c>
      <c r="CX120" s="45">
        <f t="shared" si="59"/>
        <v>0</v>
      </c>
      <c r="CY120" s="45">
        <f t="shared" si="59"/>
        <v>0</v>
      </c>
      <c r="CZ120" s="45">
        <f t="shared" si="59"/>
        <v>0</v>
      </c>
      <c r="DA120" s="45">
        <f t="shared" si="59"/>
        <v>0</v>
      </c>
      <c r="DB120" s="45">
        <f t="shared" si="59"/>
        <v>0</v>
      </c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</row>
    <row r="121" spans="1:121" ht="14.25" x14ac:dyDescent="0.15">
      <c r="A121" s="48">
        <v>119</v>
      </c>
      <c r="B121" s="45" t="e">
        <f t="shared" si="34"/>
        <v>#DIV/0!</v>
      </c>
      <c r="C121" s="45" t="e">
        <f t="shared" si="35"/>
        <v>#DIV/0!</v>
      </c>
      <c r="D121" s="45" t="e">
        <f t="shared" si="36"/>
        <v>#DIV/0!</v>
      </c>
      <c r="E121" s="45" t="e">
        <f t="shared" si="37"/>
        <v>#DIV/0!</v>
      </c>
      <c r="F121" s="45" t="e">
        <f t="shared" si="38"/>
        <v>#DIV/0!</v>
      </c>
      <c r="G121" s="45" t="e">
        <f t="shared" si="39"/>
        <v>#DIV/0!</v>
      </c>
      <c r="H121" s="45" t="e">
        <f t="shared" si="40"/>
        <v>#DIV/0!</v>
      </c>
      <c r="I121" s="45" t="e">
        <f t="shared" si="41"/>
        <v>#DIV/0!</v>
      </c>
      <c r="J121" s="45" t="e">
        <f t="shared" si="42"/>
        <v>#DIV/0!</v>
      </c>
      <c r="K121" s="45" t="e">
        <f t="shared" si="43"/>
        <v>#DIV/0!</v>
      </c>
      <c r="L121" s="45" t="e">
        <f t="shared" si="44"/>
        <v>#DIV/0!</v>
      </c>
      <c r="M121" s="45" t="e">
        <f t="shared" si="45"/>
        <v>#DIV/0!</v>
      </c>
      <c r="N121" s="45" t="e">
        <f t="shared" si="46"/>
        <v>#DIV/0!</v>
      </c>
      <c r="O121" s="45" t="e">
        <f t="shared" si="47"/>
        <v>#DIV/0!</v>
      </c>
      <c r="P121" s="45" t="e">
        <f t="shared" si="48"/>
        <v>#DIV/0!</v>
      </c>
      <c r="Q121" s="55" t="e">
        <f>Q120+ATM_Conf!$C$5*(B120)/(Links!B$191*Links!Q$191)</f>
        <v>#DIV/0!</v>
      </c>
      <c r="R121" s="55" t="e">
        <f>R120+ATM_Conf!$C$5*(C120-B120)/(Links!C$191*Links!R$191)</f>
        <v>#DIV/0!</v>
      </c>
      <c r="S121" s="55" t="e">
        <f>S120+ATM_Conf!$C$5*(D120-C120)/(Links!D$191*Links!S$191)</f>
        <v>#DIV/0!</v>
      </c>
      <c r="T121" s="55" t="e">
        <f>T120+ATM_Conf!$C$5*(E120-D120)/(Links!E$191*Links!T$191)</f>
        <v>#DIV/0!</v>
      </c>
      <c r="U121" s="55" t="e">
        <f>U120+ATM_Conf!$C$5*(F120-E120)/(Links!F$191*Links!U$191)</f>
        <v>#DIV/0!</v>
      </c>
      <c r="V121" s="55" t="e">
        <f>V120+ATM_Conf!$C$5*(G120-F120)/(Links!G$191*Links!V$191)</f>
        <v>#DIV/0!</v>
      </c>
      <c r="W121" s="55" t="e">
        <f>W120+ATM_Conf!$C$5*(H120-G120)/(Links!H$191*Links!W$191)</f>
        <v>#DIV/0!</v>
      </c>
      <c r="X121" s="55" t="e">
        <f>X120+ATM_Conf!$C$5*(I120-H120)/(Links!I$191*Links!X$191)</f>
        <v>#DIV/0!</v>
      </c>
      <c r="Y121" s="55" t="e">
        <f>Y120+ATM_Conf!$C$5*(J120)/(Links!J$191*Links!Y$191)</f>
        <v>#DIV/0!</v>
      </c>
      <c r="Z121" s="55" t="e">
        <f>Z120+ATM_Conf!$C$5*(K120-J120)/(Links!K$191*Links!Z$191)</f>
        <v>#DIV/0!</v>
      </c>
      <c r="AA121" s="55" t="e">
        <f>AA120+ATM_Conf!$C$5*(L120-K120)/(Links!L$191*Links!AA$191)</f>
        <v>#DIV/0!</v>
      </c>
      <c r="AB121" s="55" t="e">
        <f>AB120+ATM_Conf!$C$5*(M120-L120)/(Links!M$191*Links!AB$191)</f>
        <v>#DIV/0!</v>
      </c>
      <c r="AC121" s="55" t="e">
        <f>AC120+ATM_Conf!$C$5*(N120-M120)/(Links!N$191*Links!AC$191)</f>
        <v>#DIV/0!</v>
      </c>
      <c r="AD121" s="55" t="e">
        <f>AD120+ATM_Conf!$C$5*(O120-N120)/(Links!O$191*Links!AD$191)</f>
        <v>#DIV/0!</v>
      </c>
      <c r="AE121" s="55" t="e">
        <f>AE120+ATM_Conf!$C$5*(P120-O120)/(Links!P$191*Links!AE$191)</f>
        <v>#DIV/0!</v>
      </c>
      <c r="AF121" s="45" t="e">
        <f>AF120+(ATM_Conf!$C$5/ATM_Conf!$C$8)*(Links!AU120*EXP((-(Links!Q120/Links!BJ120)^Links!BY120)/Links!BY120)-Links!AF120)-(ATM_Conf!$C$9*ATM_Conf!$C$5/(ATM_Conf!$C$8*Links!Q$191))*(Nodes!BO120-Links!Q120)/(Links!Q120/ATM_Conf!$C$10)</f>
        <v>#DIV/0!</v>
      </c>
      <c r="AG121" s="45" t="e">
        <f>AG120+(ATM_Conf!$C$5/ATM_Conf!$C$8)*(Links!AV120*EXP((-(Links!R120/Links!BK120)^Links!BZ120)/Links!BZ120)-Links!AG120)+(ATM_Conf!$C$5/Links!R$191)*Links!AG120*(Nodes!BB120-Links!AG120)-(ATM_Conf!$C$9*ATM_Conf!$C$5/(ATM_Conf!$C$8*Links!R$191))*(Nodes!BP120-Links!R120)/(Links!R120/ATM_Conf!$C$10)</f>
        <v>#DIV/0!</v>
      </c>
      <c r="AH121" s="45" t="e">
        <f>AH120+(ATM_Conf!$C$5/ATM_Conf!$C$8)*(Links!AW120*EXP((-(Links!S120/Links!BL120)^Links!CA120)/Links!CA120)-Links!AH120)+(ATM_Conf!$C$5/Links!S$191)*Links!AH120*(Nodes!BC120-Links!AH120)-(ATM_Conf!$C$9*ATM_Conf!$C$5/(ATM_Conf!$C$8*Links!S$191))*(Nodes!BQ120-Links!S120)/(Links!S120/ATM_Conf!$C$10)</f>
        <v>#DIV/0!</v>
      </c>
      <c r="AI121" s="45" t="e">
        <f>AI120+(ATM_Conf!$C$5/ATM_Conf!$C$8)*(Links!AX120*EXP((-(Links!T120/Links!BM120)^Links!CB120)/Links!CB120)-Links!AI120)+(ATM_Conf!$C$5/Links!T$191)*Links!AI120*(Nodes!BD120-Links!AI120)-(ATM_Conf!$C$9*ATM_Conf!$C$5/(ATM_Conf!$C$8*Links!T$191))*(Nodes!BR120-Links!T120)/(Links!T120/ATM_Conf!$C$10)</f>
        <v>#DIV/0!</v>
      </c>
      <c r="AJ121" s="45" t="e">
        <f>AJ120+(ATM_Conf!$C$5/ATM_Conf!$C$8)*(Links!AY120*EXP((-(Links!U120/Links!BN120)^Links!CC120)/Links!CC120)-Links!AJ120)+(ATM_Conf!$C$5/Links!U$191)*Links!AJ120*(Nodes!BE120-Links!AJ120)-(ATM_Conf!$C$9*ATM_Conf!$C$5/(ATM_Conf!$C$8*Links!U$191))*(Nodes!BS120-Links!U120)/(Links!U120/ATM_Conf!$C$10)</f>
        <v>#DIV/0!</v>
      </c>
      <c r="AK121" s="45" t="e">
        <f>AK120+(ATM_Conf!$C$5/ATM_Conf!$C$8)*(Links!AZ120*EXP((-(Links!V120/Links!BO120)^Links!CD120)/Links!CD120)-Links!AK120)+(ATM_Conf!$C$5/Links!V$191)*Links!AK120*(Nodes!BF120-Links!AK120)-(ATM_Conf!$C$9*ATM_Conf!$C$5/(ATM_Conf!$C$8*Links!V$191))*(Nodes!BT120-Links!V120)/(Links!V120/ATM_Conf!$C$10)</f>
        <v>#DIV/0!</v>
      </c>
      <c r="AL121" s="45" t="e">
        <f>AL120+(ATM_Conf!$C$5/ATM_Conf!$C$8)*(Links!BA120*EXP((-(Links!W120/Links!BP120)^Links!CE120)/Links!CE120)-Links!AL120)+(ATM_Conf!$C$5/Links!W$191)*Links!AL120*(Nodes!BG120-Links!AL120)-(ATM_Conf!$C$9*ATM_Conf!$C$5/(ATM_Conf!$C$8*Links!W$191))*(Nodes!BU120-Links!W120)/(Links!W120/ATM_Conf!$C$10)</f>
        <v>#DIV/0!</v>
      </c>
      <c r="AM121" s="45" t="e">
        <f>AM120+(ATM_Conf!$C$5/ATM_Conf!$C$8)*(Links!BB120*EXP((-(Links!X120/Links!BQ120)^Links!CF120)/Links!CF120)-Links!AM120)+(ATM_Conf!$C$5/Links!X$191)*Links!AM120*(Nodes!BH120-Links!AM120)</f>
        <v>#DIV/0!</v>
      </c>
      <c r="AN121" s="45" t="e">
        <f>AN120+(ATM_Conf!$C$5/ATM_Conf!$C$8)*(Links!BC120*EXP((-(Links!Y120/Links!BR120)^Links!CG120)/Links!CG120)-Links!AN120)-(ATM_Conf!$C$9*ATM_Conf!$C$5/(ATM_Conf!$C$8*Links!Y$191))*(Nodes!BV120-Links!Y120)/(Links!Y120/ATM_Conf!$C$10)</f>
        <v>#DIV/0!</v>
      </c>
      <c r="AO121" s="45" t="e">
        <f>AO120+(ATM_Conf!$C$5/ATM_Conf!$C$8)*(Links!BD120*EXP((-(Links!Z120/Links!BS120)^Links!CH120)/Links!CH120)-Links!AO120)+(ATM_Conf!$C$5/Links!Z$191)*Links!AO120*(Nodes!BI120-Links!AO120)-(ATM_Conf!$C$9*ATM_Conf!$C$5/(ATM_Conf!$C$8*Links!Z$191))*(Nodes!BW120-Links!Z120)/(Links!Z120/ATM_Conf!$C$10)</f>
        <v>#DIV/0!</v>
      </c>
      <c r="AP121" s="45" t="e">
        <f>AP120+(ATM_Conf!$C$5/ATM_Conf!$C$8)*(Links!BE120*EXP((-(Links!AA120/Links!BT120)^Links!CI120)/Links!CI120)-Links!AP120)+(ATM_Conf!$C$5/Links!AA$191)*Links!AP120*(Nodes!BJ120-Links!AP120)-(ATM_Conf!$C$9*ATM_Conf!$C$5/(ATM_Conf!$C$8*Links!AA$191))*(Nodes!BX120-Links!AA120)/(Links!AA120/ATM_Conf!$C$10)</f>
        <v>#DIV/0!</v>
      </c>
      <c r="AQ121" s="45" t="e">
        <f>AQ120+(ATM_Conf!$C$5/ATM_Conf!$C$8)*(Links!BF120*EXP((-(Links!AB120/Links!BU120)^Links!CJ120)/Links!CJ120)-Links!AQ120)+(ATM_Conf!$C$5/Links!AB$191)*Links!AQ120*(Nodes!BK120-Links!AQ120)-(ATM_Conf!$C$9*ATM_Conf!$C$5/(ATM_Conf!$C$8*Links!AB$191))*(Nodes!BY120-Links!AB120)/(Links!AB120/ATM_Conf!$C$10)</f>
        <v>#DIV/0!</v>
      </c>
      <c r="AR121" s="45" t="e">
        <f>AR120+(ATM_Conf!$C$5/ATM_Conf!$C$8)*(Links!BG120*EXP((-(Links!AC120/Links!BV120)^Links!CK120)/Links!CK120)-Links!AR120)+(ATM_Conf!$C$5/Links!AC$191)*Links!AR120*(Nodes!BL120-Links!AR120)-(ATM_Conf!$C$9*ATM_Conf!$C$5/(ATM_Conf!$C$8*Links!AC$191))*(Nodes!BZ120-Links!AC120)/(Links!AC120/ATM_Conf!$C$10)</f>
        <v>#DIV/0!</v>
      </c>
      <c r="AS121" s="45" t="e">
        <f>AS120+(ATM_Conf!$C$5/ATM_Conf!$C$8)*(Links!BH120*EXP((-(Links!AD120/Links!BW120)^Links!CL120)/Links!CL120)-Links!AS120)+(ATM_Conf!$C$5/Links!AD$191)*Links!AS120*(Nodes!BM120-Links!AS120)-(ATM_Conf!$C$9*ATM_Conf!$C$5/(ATM_Conf!$C$8*Links!AD$191))*(Nodes!CA120-Links!AD120)/(Links!AD120/ATM_Conf!$C$10)</f>
        <v>#DIV/0!</v>
      </c>
      <c r="AT121" s="45" t="e">
        <f>AT120+(ATM_Conf!$C$5/ATM_Conf!$C$8)*(Links!BI120*EXP((-(Links!AE120/Links!BX120)^Links!CM120)/Links!CM120)-Links!AT120)+(ATM_Conf!$C$5/Links!AE$191)*Links!AT120*(Nodes!BN120-Links!AT120)</f>
        <v>#DIV/0!</v>
      </c>
      <c r="AU121" s="55"/>
      <c r="AV121" s="55"/>
      <c r="AW121" s="55"/>
      <c r="AX121" s="55"/>
      <c r="AY121" s="55"/>
      <c r="AZ121" s="55"/>
      <c r="BA121" s="55"/>
      <c r="BB121" s="55"/>
      <c r="BC121" s="55"/>
      <c r="BD121" s="55"/>
      <c r="BE121" s="55"/>
      <c r="BF121" s="55"/>
      <c r="BG121" s="55"/>
      <c r="BH121" s="55"/>
      <c r="BI121" s="5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55"/>
      <c r="BZ121" s="55"/>
      <c r="CA121" s="55"/>
      <c r="CB121" s="55"/>
      <c r="CC121" s="55"/>
      <c r="CD121" s="55"/>
      <c r="CE121" s="55"/>
      <c r="CF121" s="55"/>
      <c r="CG121" s="55"/>
      <c r="CH121" s="55"/>
      <c r="CI121" s="55"/>
      <c r="CJ121" s="55"/>
      <c r="CK121" s="55"/>
      <c r="CL121" s="55"/>
      <c r="CM121" s="55"/>
      <c r="CN121" s="45">
        <f t="shared" si="60"/>
        <v>0</v>
      </c>
      <c r="CO121" s="45">
        <f t="shared" si="59"/>
        <v>0</v>
      </c>
      <c r="CP121" s="45">
        <f t="shared" si="59"/>
        <v>0</v>
      </c>
      <c r="CQ121" s="45">
        <f t="shared" si="59"/>
        <v>0</v>
      </c>
      <c r="CR121" s="45">
        <f t="shared" si="59"/>
        <v>0</v>
      </c>
      <c r="CS121" s="45">
        <f t="shared" si="59"/>
        <v>0</v>
      </c>
      <c r="CT121" s="45">
        <f t="shared" si="59"/>
        <v>0</v>
      </c>
      <c r="CU121" s="45">
        <f t="shared" si="59"/>
        <v>0</v>
      </c>
      <c r="CV121" s="45">
        <f t="shared" si="59"/>
        <v>0</v>
      </c>
      <c r="CW121" s="45">
        <f t="shared" si="59"/>
        <v>0</v>
      </c>
      <c r="CX121" s="45">
        <f t="shared" si="59"/>
        <v>0</v>
      </c>
      <c r="CY121" s="45">
        <f t="shared" si="59"/>
        <v>0</v>
      </c>
      <c r="CZ121" s="45">
        <f t="shared" si="59"/>
        <v>0</v>
      </c>
      <c r="DA121" s="45">
        <f t="shared" si="59"/>
        <v>0</v>
      </c>
      <c r="DB121" s="45">
        <f t="shared" si="59"/>
        <v>0</v>
      </c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</row>
    <row r="122" spans="1:121" ht="14.25" x14ac:dyDescent="0.15">
      <c r="A122" s="48">
        <v>120</v>
      </c>
      <c r="B122" s="45" t="e">
        <f t="shared" si="34"/>
        <v>#DIV/0!</v>
      </c>
      <c r="C122" s="45" t="e">
        <f t="shared" si="35"/>
        <v>#DIV/0!</v>
      </c>
      <c r="D122" s="45" t="e">
        <f t="shared" si="36"/>
        <v>#DIV/0!</v>
      </c>
      <c r="E122" s="45" t="e">
        <f t="shared" si="37"/>
        <v>#DIV/0!</v>
      </c>
      <c r="F122" s="45" t="e">
        <f t="shared" si="38"/>
        <v>#DIV/0!</v>
      </c>
      <c r="G122" s="45" t="e">
        <f t="shared" si="39"/>
        <v>#DIV/0!</v>
      </c>
      <c r="H122" s="45" t="e">
        <f t="shared" si="40"/>
        <v>#DIV/0!</v>
      </c>
      <c r="I122" s="45" t="e">
        <f t="shared" si="41"/>
        <v>#DIV/0!</v>
      </c>
      <c r="J122" s="45" t="e">
        <f t="shared" si="42"/>
        <v>#DIV/0!</v>
      </c>
      <c r="K122" s="45" t="e">
        <f t="shared" si="43"/>
        <v>#DIV/0!</v>
      </c>
      <c r="L122" s="45" t="e">
        <f t="shared" si="44"/>
        <v>#DIV/0!</v>
      </c>
      <c r="M122" s="45" t="e">
        <f t="shared" si="45"/>
        <v>#DIV/0!</v>
      </c>
      <c r="N122" s="45" t="e">
        <f t="shared" si="46"/>
        <v>#DIV/0!</v>
      </c>
      <c r="O122" s="45" t="e">
        <f t="shared" si="47"/>
        <v>#DIV/0!</v>
      </c>
      <c r="P122" s="45" t="e">
        <f t="shared" si="48"/>
        <v>#DIV/0!</v>
      </c>
      <c r="Q122" s="55" t="e">
        <f>Q121+ATM_Conf!$C$5*(B121)/(Links!B$191*Links!Q$191)</f>
        <v>#DIV/0!</v>
      </c>
      <c r="R122" s="55" t="e">
        <f>R121+ATM_Conf!$C$5*(C121-B121)/(Links!C$191*Links!R$191)</f>
        <v>#DIV/0!</v>
      </c>
      <c r="S122" s="55" t="e">
        <f>S121+ATM_Conf!$C$5*(D121-C121)/(Links!D$191*Links!S$191)</f>
        <v>#DIV/0!</v>
      </c>
      <c r="T122" s="55" t="e">
        <f>T121+ATM_Conf!$C$5*(E121-D121)/(Links!E$191*Links!T$191)</f>
        <v>#DIV/0!</v>
      </c>
      <c r="U122" s="55" t="e">
        <f>U121+ATM_Conf!$C$5*(F121-E121)/(Links!F$191*Links!U$191)</f>
        <v>#DIV/0!</v>
      </c>
      <c r="V122" s="55" t="e">
        <f>V121+ATM_Conf!$C$5*(G121-F121)/(Links!G$191*Links!V$191)</f>
        <v>#DIV/0!</v>
      </c>
      <c r="W122" s="55" t="e">
        <f>W121+ATM_Conf!$C$5*(H121-G121)/(Links!H$191*Links!W$191)</f>
        <v>#DIV/0!</v>
      </c>
      <c r="X122" s="55" t="e">
        <f>X121+ATM_Conf!$C$5*(I121-H121)/(Links!I$191*Links!X$191)</f>
        <v>#DIV/0!</v>
      </c>
      <c r="Y122" s="55" t="e">
        <f>Y121+ATM_Conf!$C$5*(J121)/(Links!J$191*Links!Y$191)</f>
        <v>#DIV/0!</v>
      </c>
      <c r="Z122" s="55" t="e">
        <f>Z121+ATM_Conf!$C$5*(K121-J121)/(Links!K$191*Links!Z$191)</f>
        <v>#DIV/0!</v>
      </c>
      <c r="AA122" s="55" t="e">
        <f>AA121+ATM_Conf!$C$5*(L121-K121)/(Links!L$191*Links!AA$191)</f>
        <v>#DIV/0!</v>
      </c>
      <c r="AB122" s="55" t="e">
        <f>AB121+ATM_Conf!$C$5*(M121-L121)/(Links!M$191*Links!AB$191)</f>
        <v>#DIV/0!</v>
      </c>
      <c r="AC122" s="55" t="e">
        <f>AC121+ATM_Conf!$C$5*(N121-M121)/(Links!N$191*Links!AC$191)</f>
        <v>#DIV/0!</v>
      </c>
      <c r="AD122" s="55" t="e">
        <f>AD121+ATM_Conf!$C$5*(O121-N121)/(Links!O$191*Links!AD$191)</f>
        <v>#DIV/0!</v>
      </c>
      <c r="AE122" s="55" t="e">
        <f>AE121+ATM_Conf!$C$5*(P121-O121)/(Links!P$191*Links!AE$191)</f>
        <v>#DIV/0!</v>
      </c>
      <c r="AF122" s="45" t="e">
        <f>AF121+(ATM_Conf!$C$5/ATM_Conf!$C$8)*(Links!AU121*EXP((-(Links!Q121/Links!BJ121)^Links!BY121)/Links!BY121)-Links!AF121)-(ATM_Conf!$C$9*ATM_Conf!$C$5/(ATM_Conf!$C$8*Links!Q$191))*(Nodes!BO121-Links!Q121)/(Links!Q121/ATM_Conf!$C$10)</f>
        <v>#DIV/0!</v>
      </c>
      <c r="AG122" s="45" t="e">
        <f>AG121+(ATM_Conf!$C$5/ATM_Conf!$C$8)*(Links!AV121*EXP((-(Links!R121/Links!BK121)^Links!BZ121)/Links!BZ121)-Links!AG121)+(ATM_Conf!$C$5/Links!R$191)*Links!AG121*(Nodes!BB121-Links!AG121)-(ATM_Conf!$C$9*ATM_Conf!$C$5/(ATM_Conf!$C$8*Links!R$191))*(Nodes!BP121-Links!R121)/(Links!R121/ATM_Conf!$C$10)</f>
        <v>#DIV/0!</v>
      </c>
      <c r="AH122" s="45" t="e">
        <f>AH121+(ATM_Conf!$C$5/ATM_Conf!$C$8)*(Links!AW121*EXP((-(Links!S121/Links!BL121)^Links!CA121)/Links!CA121)-Links!AH121)+(ATM_Conf!$C$5/Links!S$191)*Links!AH121*(Nodes!BC121-Links!AH121)-(ATM_Conf!$C$9*ATM_Conf!$C$5/(ATM_Conf!$C$8*Links!S$191))*(Nodes!BQ121-Links!S121)/(Links!S121/ATM_Conf!$C$10)</f>
        <v>#DIV/0!</v>
      </c>
      <c r="AI122" s="45" t="e">
        <f>AI121+(ATM_Conf!$C$5/ATM_Conf!$C$8)*(Links!AX121*EXP((-(Links!T121/Links!BM121)^Links!CB121)/Links!CB121)-Links!AI121)+(ATM_Conf!$C$5/Links!T$191)*Links!AI121*(Nodes!BD121-Links!AI121)-(ATM_Conf!$C$9*ATM_Conf!$C$5/(ATM_Conf!$C$8*Links!T$191))*(Nodes!BR121-Links!T121)/(Links!T121/ATM_Conf!$C$10)</f>
        <v>#DIV/0!</v>
      </c>
      <c r="AJ122" s="45" t="e">
        <f>AJ121+(ATM_Conf!$C$5/ATM_Conf!$C$8)*(Links!AY121*EXP((-(Links!U121/Links!BN121)^Links!CC121)/Links!CC121)-Links!AJ121)+(ATM_Conf!$C$5/Links!U$191)*Links!AJ121*(Nodes!BE121-Links!AJ121)-(ATM_Conf!$C$9*ATM_Conf!$C$5/(ATM_Conf!$C$8*Links!U$191))*(Nodes!BS121-Links!U121)/(Links!U121/ATM_Conf!$C$10)</f>
        <v>#DIV/0!</v>
      </c>
      <c r="AK122" s="45" t="e">
        <f>AK121+(ATM_Conf!$C$5/ATM_Conf!$C$8)*(Links!AZ121*EXP((-(Links!V121/Links!BO121)^Links!CD121)/Links!CD121)-Links!AK121)+(ATM_Conf!$C$5/Links!V$191)*Links!AK121*(Nodes!BF121-Links!AK121)-(ATM_Conf!$C$9*ATM_Conf!$C$5/(ATM_Conf!$C$8*Links!V$191))*(Nodes!BT121-Links!V121)/(Links!V121/ATM_Conf!$C$10)</f>
        <v>#DIV/0!</v>
      </c>
      <c r="AL122" s="45" t="e">
        <f>AL121+(ATM_Conf!$C$5/ATM_Conf!$C$8)*(Links!BA121*EXP((-(Links!W121/Links!BP121)^Links!CE121)/Links!CE121)-Links!AL121)+(ATM_Conf!$C$5/Links!W$191)*Links!AL121*(Nodes!BG121-Links!AL121)-(ATM_Conf!$C$9*ATM_Conf!$C$5/(ATM_Conf!$C$8*Links!W$191))*(Nodes!BU121-Links!W121)/(Links!W121/ATM_Conf!$C$10)</f>
        <v>#DIV/0!</v>
      </c>
      <c r="AM122" s="45" t="e">
        <f>AM121+(ATM_Conf!$C$5/ATM_Conf!$C$8)*(Links!BB121*EXP((-(Links!X121/Links!BQ121)^Links!CF121)/Links!CF121)-Links!AM121)+(ATM_Conf!$C$5/Links!X$191)*Links!AM121*(Nodes!BH121-Links!AM121)</f>
        <v>#DIV/0!</v>
      </c>
      <c r="AN122" s="45" t="e">
        <f>AN121+(ATM_Conf!$C$5/ATM_Conf!$C$8)*(Links!BC121*EXP((-(Links!Y121/Links!BR121)^Links!CG121)/Links!CG121)-Links!AN121)-(ATM_Conf!$C$9*ATM_Conf!$C$5/(ATM_Conf!$C$8*Links!Y$191))*(Nodes!BV121-Links!Y121)/(Links!Y121/ATM_Conf!$C$10)</f>
        <v>#DIV/0!</v>
      </c>
      <c r="AO122" s="45" t="e">
        <f>AO121+(ATM_Conf!$C$5/ATM_Conf!$C$8)*(Links!BD121*EXP((-(Links!Z121/Links!BS121)^Links!CH121)/Links!CH121)-Links!AO121)+(ATM_Conf!$C$5/Links!Z$191)*Links!AO121*(Nodes!BI121-Links!AO121)-(ATM_Conf!$C$9*ATM_Conf!$C$5/(ATM_Conf!$C$8*Links!Z$191))*(Nodes!BW121-Links!Z121)/(Links!Z121/ATM_Conf!$C$10)</f>
        <v>#DIV/0!</v>
      </c>
      <c r="AP122" s="45" t="e">
        <f>AP121+(ATM_Conf!$C$5/ATM_Conf!$C$8)*(Links!BE121*EXP((-(Links!AA121/Links!BT121)^Links!CI121)/Links!CI121)-Links!AP121)+(ATM_Conf!$C$5/Links!AA$191)*Links!AP121*(Nodes!BJ121-Links!AP121)-(ATM_Conf!$C$9*ATM_Conf!$C$5/(ATM_Conf!$C$8*Links!AA$191))*(Nodes!BX121-Links!AA121)/(Links!AA121/ATM_Conf!$C$10)</f>
        <v>#DIV/0!</v>
      </c>
      <c r="AQ122" s="45" t="e">
        <f>AQ121+(ATM_Conf!$C$5/ATM_Conf!$C$8)*(Links!BF121*EXP((-(Links!AB121/Links!BU121)^Links!CJ121)/Links!CJ121)-Links!AQ121)+(ATM_Conf!$C$5/Links!AB$191)*Links!AQ121*(Nodes!BK121-Links!AQ121)-(ATM_Conf!$C$9*ATM_Conf!$C$5/(ATM_Conf!$C$8*Links!AB$191))*(Nodes!BY121-Links!AB121)/(Links!AB121/ATM_Conf!$C$10)</f>
        <v>#DIV/0!</v>
      </c>
      <c r="AR122" s="45" t="e">
        <f>AR121+(ATM_Conf!$C$5/ATM_Conf!$C$8)*(Links!BG121*EXP((-(Links!AC121/Links!BV121)^Links!CK121)/Links!CK121)-Links!AR121)+(ATM_Conf!$C$5/Links!AC$191)*Links!AR121*(Nodes!BL121-Links!AR121)-(ATM_Conf!$C$9*ATM_Conf!$C$5/(ATM_Conf!$C$8*Links!AC$191))*(Nodes!BZ121-Links!AC121)/(Links!AC121/ATM_Conf!$C$10)</f>
        <v>#DIV/0!</v>
      </c>
      <c r="AS122" s="45" t="e">
        <f>AS121+(ATM_Conf!$C$5/ATM_Conf!$C$8)*(Links!BH121*EXP((-(Links!AD121/Links!BW121)^Links!CL121)/Links!CL121)-Links!AS121)+(ATM_Conf!$C$5/Links!AD$191)*Links!AS121*(Nodes!BM121-Links!AS121)-(ATM_Conf!$C$9*ATM_Conf!$C$5/(ATM_Conf!$C$8*Links!AD$191))*(Nodes!CA121-Links!AD121)/(Links!AD121/ATM_Conf!$C$10)</f>
        <v>#DIV/0!</v>
      </c>
      <c r="AT122" s="45" t="e">
        <f>AT121+(ATM_Conf!$C$5/ATM_Conf!$C$8)*(Links!BI121*EXP((-(Links!AE121/Links!BX121)^Links!CM121)/Links!CM121)-Links!AT121)+(ATM_Conf!$C$5/Links!AE$191)*Links!AT121*(Nodes!BN121-Links!AT121)</f>
        <v>#DIV/0!</v>
      </c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55"/>
      <c r="BZ122" s="55"/>
      <c r="CA122" s="55"/>
      <c r="CB122" s="55"/>
      <c r="CC122" s="55"/>
      <c r="CD122" s="55"/>
      <c r="CE122" s="55"/>
      <c r="CF122" s="55"/>
      <c r="CG122" s="55"/>
      <c r="CH122" s="55"/>
      <c r="CI122" s="55"/>
      <c r="CJ122" s="55"/>
      <c r="CK122" s="55"/>
      <c r="CL122" s="55"/>
      <c r="CM122" s="55"/>
      <c r="CN122" s="45">
        <f t="shared" si="60"/>
        <v>0</v>
      </c>
      <c r="CO122" s="45">
        <f t="shared" si="59"/>
        <v>0</v>
      </c>
      <c r="CP122" s="45">
        <f t="shared" si="59"/>
        <v>0</v>
      </c>
      <c r="CQ122" s="45">
        <f t="shared" si="59"/>
        <v>0</v>
      </c>
      <c r="CR122" s="45">
        <f t="shared" si="59"/>
        <v>0</v>
      </c>
      <c r="CS122" s="45">
        <f t="shared" si="59"/>
        <v>0</v>
      </c>
      <c r="CT122" s="45">
        <f t="shared" si="59"/>
        <v>0</v>
      </c>
      <c r="CU122" s="45">
        <f t="shared" si="59"/>
        <v>0</v>
      </c>
      <c r="CV122" s="45">
        <f t="shared" si="59"/>
        <v>0</v>
      </c>
      <c r="CW122" s="45">
        <f t="shared" si="59"/>
        <v>0</v>
      </c>
      <c r="CX122" s="45">
        <f t="shared" si="59"/>
        <v>0</v>
      </c>
      <c r="CY122" s="45">
        <f t="shared" si="59"/>
        <v>0</v>
      </c>
      <c r="CZ122" s="45">
        <f t="shared" si="59"/>
        <v>0</v>
      </c>
      <c r="DA122" s="45">
        <f t="shared" si="59"/>
        <v>0</v>
      </c>
      <c r="DB122" s="45">
        <f t="shared" si="59"/>
        <v>0</v>
      </c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</row>
    <row r="123" spans="1:121" ht="14.25" x14ac:dyDescent="0.15">
      <c r="A123" s="48">
        <v>121</v>
      </c>
      <c r="B123" s="45" t="e">
        <f t="shared" si="34"/>
        <v>#DIV/0!</v>
      </c>
      <c r="C123" s="45" t="e">
        <f t="shared" si="35"/>
        <v>#DIV/0!</v>
      </c>
      <c r="D123" s="45" t="e">
        <f t="shared" si="36"/>
        <v>#DIV/0!</v>
      </c>
      <c r="E123" s="45" t="e">
        <f t="shared" si="37"/>
        <v>#DIV/0!</v>
      </c>
      <c r="F123" s="45" t="e">
        <f t="shared" si="38"/>
        <v>#DIV/0!</v>
      </c>
      <c r="G123" s="45" t="e">
        <f t="shared" si="39"/>
        <v>#DIV/0!</v>
      </c>
      <c r="H123" s="45" t="e">
        <f t="shared" si="40"/>
        <v>#DIV/0!</v>
      </c>
      <c r="I123" s="45" t="e">
        <f t="shared" si="41"/>
        <v>#DIV/0!</v>
      </c>
      <c r="J123" s="45" t="e">
        <f t="shared" si="42"/>
        <v>#DIV/0!</v>
      </c>
      <c r="K123" s="45" t="e">
        <f t="shared" si="43"/>
        <v>#DIV/0!</v>
      </c>
      <c r="L123" s="45" t="e">
        <f t="shared" si="44"/>
        <v>#DIV/0!</v>
      </c>
      <c r="M123" s="45" t="e">
        <f t="shared" si="45"/>
        <v>#DIV/0!</v>
      </c>
      <c r="N123" s="45" t="e">
        <f t="shared" si="46"/>
        <v>#DIV/0!</v>
      </c>
      <c r="O123" s="45" t="e">
        <f t="shared" si="47"/>
        <v>#DIV/0!</v>
      </c>
      <c r="P123" s="45" t="e">
        <f t="shared" si="48"/>
        <v>#DIV/0!</v>
      </c>
      <c r="Q123" s="55" t="e">
        <f>Q122+ATM_Conf!$C$5*(B122)/(Links!B$191*Links!Q$191)</f>
        <v>#DIV/0!</v>
      </c>
      <c r="R123" s="55" t="e">
        <f>R122+ATM_Conf!$C$5*(C122-B122)/(Links!C$191*Links!R$191)</f>
        <v>#DIV/0!</v>
      </c>
      <c r="S123" s="55" t="e">
        <f>S122+ATM_Conf!$C$5*(D122-C122)/(Links!D$191*Links!S$191)</f>
        <v>#DIV/0!</v>
      </c>
      <c r="T123" s="55" t="e">
        <f>T122+ATM_Conf!$C$5*(E122-D122)/(Links!E$191*Links!T$191)</f>
        <v>#DIV/0!</v>
      </c>
      <c r="U123" s="55" t="e">
        <f>U122+ATM_Conf!$C$5*(F122-E122)/(Links!F$191*Links!U$191)</f>
        <v>#DIV/0!</v>
      </c>
      <c r="V123" s="55" t="e">
        <f>V122+ATM_Conf!$C$5*(G122-F122)/(Links!G$191*Links!V$191)</f>
        <v>#DIV/0!</v>
      </c>
      <c r="W123" s="55" t="e">
        <f>W122+ATM_Conf!$C$5*(H122-G122)/(Links!H$191*Links!W$191)</f>
        <v>#DIV/0!</v>
      </c>
      <c r="X123" s="55" t="e">
        <f>X122+ATM_Conf!$C$5*(I122-H122)/(Links!I$191*Links!X$191)</f>
        <v>#DIV/0!</v>
      </c>
      <c r="Y123" s="55" t="e">
        <f>Y122+ATM_Conf!$C$5*(J122)/(Links!J$191*Links!Y$191)</f>
        <v>#DIV/0!</v>
      </c>
      <c r="Z123" s="55" t="e">
        <f>Z122+ATM_Conf!$C$5*(K122-J122)/(Links!K$191*Links!Z$191)</f>
        <v>#DIV/0!</v>
      </c>
      <c r="AA123" s="55" t="e">
        <f>AA122+ATM_Conf!$C$5*(L122-K122)/(Links!L$191*Links!AA$191)</f>
        <v>#DIV/0!</v>
      </c>
      <c r="AB123" s="55" t="e">
        <f>AB122+ATM_Conf!$C$5*(M122-L122)/(Links!M$191*Links!AB$191)</f>
        <v>#DIV/0!</v>
      </c>
      <c r="AC123" s="55" t="e">
        <f>AC122+ATM_Conf!$C$5*(N122-M122)/(Links!N$191*Links!AC$191)</f>
        <v>#DIV/0!</v>
      </c>
      <c r="AD123" s="55" t="e">
        <f>AD122+ATM_Conf!$C$5*(O122-N122)/(Links!O$191*Links!AD$191)</f>
        <v>#DIV/0!</v>
      </c>
      <c r="AE123" s="55" t="e">
        <f>AE122+ATM_Conf!$C$5*(P122-O122)/(Links!P$191*Links!AE$191)</f>
        <v>#DIV/0!</v>
      </c>
      <c r="AF123" s="45" t="e">
        <f>AF122+(ATM_Conf!$C$5/ATM_Conf!$C$8)*(Links!AU122*EXP((-(Links!Q122/Links!BJ122)^Links!BY122)/Links!BY122)-Links!AF122)-(ATM_Conf!$C$9*ATM_Conf!$C$5/(ATM_Conf!$C$8*Links!Q$191))*(Nodes!BO122-Links!Q122)/(Links!Q122/ATM_Conf!$C$10)</f>
        <v>#DIV/0!</v>
      </c>
      <c r="AG123" s="45" t="e">
        <f>AG122+(ATM_Conf!$C$5/ATM_Conf!$C$8)*(Links!AV122*EXP((-(Links!R122/Links!BK122)^Links!BZ122)/Links!BZ122)-Links!AG122)+(ATM_Conf!$C$5/Links!R$191)*Links!AG122*(Nodes!BB122-Links!AG122)-(ATM_Conf!$C$9*ATM_Conf!$C$5/(ATM_Conf!$C$8*Links!R$191))*(Nodes!BP122-Links!R122)/(Links!R122/ATM_Conf!$C$10)</f>
        <v>#DIV/0!</v>
      </c>
      <c r="AH123" s="45" t="e">
        <f>AH122+(ATM_Conf!$C$5/ATM_Conf!$C$8)*(Links!AW122*EXP((-(Links!S122/Links!BL122)^Links!CA122)/Links!CA122)-Links!AH122)+(ATM_Conf!$C$5/Links!S$191)*Links!AH122*(Nodes!BC122-Links!AH122)-(ATM_Conf!$C$9*ATM_Conf!$C$5/(ATM_Conf!$C$8*Links!S$191))*(Nodes!BQ122-Links!S122)/(Links!S122/ATM_Conf!$C$10)</f>
        <v>#DIV/0!</v>
      </c>
      <c r="AI123" s="45" t="e">
        <f>AI122+(ATM_Conf!$C$5/ATM_Conf!$C$8)*(Links!AX122*EXP((-(Links!T122/Links!BM122)^Links!CB122)/Links!CB122)-Links!AI122)+(ATM_Conf!$C$5/Links!T$191)*Links!AI122*(Nodes!BD122-Links!AI122)-(ATM_Conf!$C$9*ATM_Conf!$C$5/(ATM_Conf!$C$8*Links!T$191))*(Nodes!BR122-Links!T122)/(Links!T122/ATM_Conf!$C$10)</f>
        <v>#DIV/0!</v>
      </c>
      <c r="AJ123" s="45" t="e">
        <f>AJ122+(ATM_Conf!$C$5/ATM_Conf!$C$8)*(Links!AY122*EXP((-(Links!U122/Links!BN122)^Links!CC122)/Links!CC122)-Links!AJ122)+(ATM_Conf!$C$5/Links!U$191)*Links!AJ122*(Nodes!BE122-Links!AJ122)-(ATM_Conf!$C$9*ATM_Conf!$C$5/(ATM_Conf!$C$8*Links!U$191))*(Nodes!BS122-Links!U122)/(Links!U122/ATM_Conf!$C$10)</f>
        <v>#DIV/0!</v>
      </c>
      <c r="AK123" s="45" t="e">
        <f>AK122+(ATM_Conf!$C$5/ATM_Conf!$C$8)*(Links!AZ122*EXP((-(Links!V122/Links!BO122)^Links!CD122)/Links!CD122)-Links!AK122)+(ATM_Conf!$C$5/Links!V$191)*Links!AK122*(Nodes!BF122-Links!AK122)-(ATM_Conf!$C$9*ATM_Conf!$C$5/(ATM_Conf!$C$8*Links!V$191))*(Nodes!BT122-Links!V122)/(Links!V122/ATM_Conf!$C$10)</f>
        <v>#DIV/0!</v>
      </c>
      <c r="AL123" s="45" t="e">
        <f>AL122+(ATM_Conf!$C$5/ATM_Conf!$C$8)*(Links!BA122*EXP((-(Links!W122/Links!BP122)^Links!CE122)/Links!CE122)-Links!AL122)+(ATM_Conf!$C$5/Links!W$191)*Links!AL122*(Nodes!BG122-Links!AL122)-(ATM_Conf!$C$9*ATM_Conf!$C$5/(ATM_Conf!$C$8*Links!W$191))*(Nodes!BU122-Links!W122)/(Links!W122/ATM_Conf!$C$10)</f>
        <v>#DIV/0!</v>
      </c>
      <c r="AM123" s="45" t="e">
        <f>AM122+(ATM_Conf!$C$5/ATM_Conf!$C$8)*(Links!BB122*EXP((-(Links!X122/Links!BQ122)^Links!CF122)/Links!CF122)-Links!AM122)+(ATM_Conf!$C$5/Links!X$191)*Links!AM122*(Nodes!BH122-Links!AM122)</f>
        <v>#DIV/0!</v>
      </c>
      <c r="AN123" s="45" t="e">
        <f>AN122+(ATM_Conf!$C$5/ATM_Conf!$C$8)*(Links!BC122*EXP((-(Links!Y122/Links!BR122)^Links!CG122)/Links!CG122)-Links!AN122)-(ATM_Conf!$C$9*ATM_Conf!$C$5/(ATM_Conf!$C$8*Links!Y$191))*(Nodes!BV122-Links!Y122)/(Links!Y122/ATM_Conf!$C$10)</f>
        <v>#DIV/0!</v>
      </c>
      <c r="AO123" s="45" t="e">
        <f>AO122+(ATM_Conf!$C$5/ATM_Conf!$C$8)*(Links!BD122*EXP((-(Links!Z122/Links!BS122)^Links!CH122)/Links!CH122)-Links!AO122)+(ATM_Conf!$C$5/Links!Z$191)*Links!AO122*(Nodes!BI122-Links!AO122)-(ATM_Conf!$C$9*ATM_Conf!$C$5/(ATM_Conf!$C$8*Links!Z$191))*(Nodes!BW122-Links!Z122)/(Links!Z122/ATM_Conf!$C$10)</f>
        <v>#DIV/0!</v>
      </c>
      <c r="AP123" s="45" t="e">
        <f>AP122+(ATM_Conf!$C$5/ATM_Conf!$C$8)*(Links!BE122*EXP((-(Links!AA122/Links!BT122)^Links!CI122)/Links!CI122)-Links!AP122)+(ATM_Conf!$C$5/Links!AA$191)*Links!AP122*(Nodes!BJ122-Links!AP122)-(ATM_Conf!$C$9*ATM_Conf!$C$5/(ATM_Conf!$C$8*Links!AA$191))*(Nodes!BX122-Links!AA122)/(Links!AA122/ATM_Conf!$C$10)</f>
        <v>#DIV/0!</v>
      </c>
      <c r="AQ123" s="45" t="e">
        <f>AQ122+(ATM_Conf!$C$5/ATM_Conf!$C$8)*(Links!BF122*EXP((-(Links!AB122/Links!BU122)^Links!CJ122)/Links!CJ122)-Links!AQ122)+(ATM_Conf!$C$5/Links!AB$191)*Links!AQ122*(Nodes!BK122-Links!AQ122)-(ATM_Conf!$C$9*ATM_Conf!$C$5/(ATM_Conf!$C$8*Links!AB$191))*(Nodes!BY122-Links!AB122)/(Links!AB122/ATM_Conf!$C$10)</f>
        <v>#DIV/0!</v>
      </c>
      <c r="AR123" s="45" t="e">
        <f>AR122+(ATM_Conf!$C$5/ATM_Conf!$C$8)*(Links!BG122*EXP((-(Links!AC122/Links!BV122)^Links!CK122)/Links!CK122)-Links!AR122)+(ATM_Conf!$C$5/Links!AC$191)*Links!AR122*(Nodes!BL122-Links!AR122)-(ATM_Conf!$C$9*ATM_Conf!$C$5/(ATM_Conf!$C$8*Links!AC$191))*(Nodes!BZ122-Links!AC122)/(Links!AC122/ATM_Conf!$C$10)</f>
        <v>#DIV/0!</v>
      </c>
      <c r="AS123" s="45" t="e">
        <f>AS122+(ATM_Conf!$C$5/ATM_Conf!$C$8)*(Links!BH122*EXP((-(Links!AD122/Links!BW122)^Links!CL122)/Links!CL122)-Links!AS122)+(ATM_Conf!$C$5/Links!AD$191)*Links!AS122*(Nodes!BM122-Links!AS122)-(ATM_Conf!$C$9*ATM_Conf!$C$5/(ATM_Conf!$C$8*Links!AD$191))*(Nodes!CA122-Links!AD122)/(Links!AD122/ATM_Conf!$C$10)</f>
        <v>#DIV/0!</v>
      </c>
      <c r="AT123" s="45" t="e">
        <f>AT122+(ATM_Conf!$C$5/ATM_Conf!$C$8)*(Links!BI122*EXP((-(Links!AE122/Links!BX122)^Links!CM122)/Links!CM122)-Links!AT122)+(ATM_Conf!$C$5/Links!AE$191)*Links!AT122*(Nodes!BN122-Links!AT122)</f>
        <v>#DIV/0!</v>
      </c>
      <c r="AU123" s="55"/>
      <c r="AV123" s="55"/>
      <c r="AW123" s="55"/>
      <c r="AX123" s="55"/>
      <c r="AY123" s="55"/>
      <c r="AZ123" s="55"/>
      <c r="BA123" s="55"/>
      <c r="BB123" s="55"/>
      <c r="BC123" s="55"/>
      <c r="BD123" s="55"/>
      <c r="BE123" s="55"/>
      <c r="BF123" s="55"/>
      <c r="BG123" s="55"/>
      <c r="BH123" s="55"/>
      <c r="BI123" s="55"/>
      <c r="BJ123" s="45"/>
      <c r="BK123" s="45"/>
      <c r="BL123" s="45"/>
      <c r="BM123" s="45"/>
      <c r="BN123" s="45"/>
      <c r="BO123" s="45"/>
      <c r="BP123" s="45"/>
      <c r="BQ123" s="45"/>
      <c r="BR123" s="45"/>
      <c r="BS123" s="45"/>
      <c r="BT123" s="45"/>
      <c r="BU123" s="45"/>
      <c r="BV123" s="45"/>
      <c r="BW123" s="45"/>
      <c r="BX123" s="45"/>
      <c r="BY123" s="55"/>
      <c r="BZ123" s="55"/>
      <c r="CA123" s="55"/>
      <c r="CB123" s="55"/>
      <c r="CC123" s="55"/>
      <c r="CD123" s="55"/>
      <c r="CE123" s="55"/>
      <c r="CF123" s="55"/>
      <c r="CG123" s="55"/>
      <c r="CH123" s="55"/>
      <c r="CI123" s="55"/>
      <c r="CJ123" s="55"/>
      <c r="CK123" s="55"/>
      <c r="CL123" s="55"/>
      <c r="CM123" s="55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53">
        <f>(CN123-CN111)^2</f>
        <v>0</v>
      </c>
      <c r="DD123" s="53">
        <f t="shared" ref="DD123:DQ123" si="61">(CO123-CO111)^2</f>
        <v>0</v>
      </c>
      <c r="DE123" s="53">
        <f t="shared" si="61"/>
        <v>0</v>
      </c>
      <c r="DF123" s="53">
        <f t="shared" si="61"/>
        <v>0</v>
      </c>
      <c r="DG123" s="53">
        <f t="shared" si="61"/>
        <v>0</v>
      </c>
      <c r="DH123" s="53">
        <f t="shared" si="61"/>
        <v>0</v>
      </c>
      <c r="DI123" s="53">
        <f t="shared" si="61"/>
        <v>0</v>
      </c>
      <c r="DJ123" s="53">
        <f t="shared" si="61"/>
        <v>0</v>
      </c>
      <c r="DK123" s="53">
        <f t="shared" si="61"/>
        <v>0</v>
      </c>
      <c r="DL123" s="53">
        <f t="shared" si="61"/>
        <v>0</v>
      </c>
      <c r="DM123" s="53">
        <f t="shared" si="61"/>
        <v>0</v>
      </c>
      <c r="DN123" s="53">
        <f t="shared" si="61"/>
        <v>0</v>
      </c>
      <c r="DO123" s="53">
        <f t="shared" si="61"/>
        <v>0</v>
      </c>
      <c r="DP123" s="53">
        <f t="shared" si="61"/>
        <v>0</v>
      </c>
      <c r="DQ123" s="53">
        <f t="shared" si="61"/>
        <v>0</v>
      </c>
    </row>
    <row r="124" spans="1:121" ht="14.25" x14ac:dyDescent="0.15">
      <c r="A124" s="48">
        <v>122</v>
      </c>
      <c r="B124" s="45" t="e">
        <f t="shared" si="34"/>
        <v>#DIV/0!</v>
      </c>
      <c r="C124" s="45" t="e">
        <f t="shared" si="35"/>
        <v>#DIV/0!</v>
      </c>
      <c r="D124" s="45" t="e">
        <f t="shared" si="36"/>
        <v>#DIV/0!</v>
      </c>
      <c r="E124" s="45" t="e">
        <f t="shared" si="37"/>
        <v>#DIV/0!</v>
      </c>
      <c r="F124" s="45" t="e">
        <f t="shared" si="38"/>
        <v>#DIV/0!</v>
      </c>
      <c r="G124" s="45" t="e">
        <f t="shared" si="39"/>
        <v>#DIV/0!</v>
      </c>
      <c r="H124" s="45" t="e">
        <f t="shared" si="40"/>
        <v>#DIV/0!</v>
      </c>
      <c r="I124" s="45" t="e">
        <f t="shared" si="41"/>
        <v>#DIV/0!</v>
      </c>
      <c r="J124" s="45" t="e">
        <f t="shared" si="42"/>
        <v>#DIV/0!</v>
      </c>
      <c r="K124" s="45" t="e">
        <f t="shared" si="43"/>
        <v>#DIV/0!</v>
      </c>
      <c r="L124" s="45" t="e">
        <f t="shared" si="44"/>
        <v>#DIV/0!</v>
      </c>
      <c r="M124" s="45" t="e">
        <f t="shared" si="45"/>
        <v>#DIV/0!</v>
      </c>
      <c r="N124" s="45" t="e">
        <f t="shared" si="46"/>
        <v>#DIV/0!</v>
      </c>
      <c r="O124" s="45" t="e">
        <f t="shared" si="47"/>
        <v>#DIV/0!</v>
      </c>
      <c r="P124" s="45" t="e">
        <f t="shared" si="48"/>
        <v>#DIV/0!</v>
      </c>
      <c r="Q124" s="55" t="e">
        <f>Q123+ATM_Conf!$C$5*(B123)/(Links!B$191*Links!Q$191)</f>
        <v>#DIV/0!</v>
      </c>
      <c r="R124" s="55" t="e">
        <f>R123+ATM_Conf!$C$5*(C123-B123)/(Links!C$191*Links!R$191)</f>
        <v>#DIV/0!</v>
      </c>
      <c r="S124" s="55" t="e">
        <f>S123+ATM_Conf!$C$5*(D123-C123)/(Links!D$191*Links!S$191)</f>
        <v>#DIV/0!</v>
      </c>
      <c r="T124" s="55" t="e">
        <f>T123+ATM_Conf!$C$5*(E123-D123)/(Links!E$191*Links!T$191)</f>
        <v>#DIV/0!</v>
      </c>
      <c r="U124" s="55" t="e">
        <f>U123+ATM_Conf!$C$5*(F123-E123)/(Links!F$191*Links!U$191)</f>
        <v>#DIV/0!</v>
      </c>
      <c r="V124" s="55" t="e">
        <f>V123+ATM_Conf!$C$5*(G123-F123)/(Links!G$191*Links!V$191)</f>
        <v>#DIV/0!</v>
      </c>
      <c r="W124" s="55" t="e">
        <f>W123+ATM_Conf!$C$5*(H123-G123)/(Links!H$191*Links!W$191)</f>
        <v>#DIV/0!</v>
      </c>
      <c r="X124" s="55" t="e">
        <f>X123+ATM_Conf!$C$5*(I123-H123)/(Links!I$191*Links!X$191)</f>
        <v>#DIV/0!</v>
      </c>
      <c r="Y124" s="55" t="e">
        <f>Y123+ATM_Conf!$C$5*(J123)/(Links!J$191*Links!Y$191)</f>
        <v>#DIV/0!</v>
      </c>
      <c r="Z124" s="55" t="e">
        <f>Z123+ATM_Conf!$C$5*(K123-J123)/(Links!K$191*Links!Z$191)</f>
        <v>#DIV/0!</v>
      </c>
      <c r="AA124" s="55" t="e">
        <f>AA123+ATM_Conf!$C$5*(L123-K123)/(Links!L$191*Links!AA$191)</f>
        <v>#DIV/0!</v>
      </c>
      <c r="AB124" s="55" t="e">
        <f>AB123+ATM_Conf!$C$5*(M123-L123)/(Links!M$191*Links!AB$191)</f>
        <v>#DIV/0!</v>
      </c>
      <c r="AC124" s="55" t="e">
        <f>AC123+ATM_Conf!$C$5*(N123-M123)/(Links!N$191*Links!AC$191)</f>
        <v>#DIV/0!</v>
      </c>
      <c r="AD124" s="55" t="e">
        <f>AD123+ATM_Conf!$C$5*(O123-N123)/(Links!O$191*Links!AD$191)</f>
        <v>#DIV/0!</v>
      </c>
      <c r="AE124" s="55" t="e">
        <f>AE123+ATM_Conf!$C$5*(P123-O123)/(Links!P$191*Links!AE$191)</f>
        <v>#DIV/0!</v>
      </c>
      <c r="AF124" s="45" t="e">
        <f>AF123+(ATM_Conf!$C$5/ATM_Conf!$C$8)*(Links!AU123*EXP((-(Links!Q123/Links!BJ123)^Links!BY123)/Links!BY123)-Links!AF123)-(ATM_Conf!$C$9*ATM_Conf!$C$5/(ATM_Conf!$C$8*Links!Q$191))*(Nodes!BO123-Links!Q123)/(Links!Q123/ATM_Conf!$C$10)</f>
        <v>#DIV/0!</v>
      </c>
      <c r="AG124" s="45" t="e">
        <f>AG123+(ATM_Conf!$C$5/ATM_Conf!$C$8)*(Links!AV123*EXP((-(Links!R123/Links!BK123)^Links!BZ123)/Links!BZ123)-Links!AG123)+(ATM_Conf!$C$5/Links!R$191)*Links!AG123*(Nodes!BB123-Links!AG123)-(ATM_Conf!$C$9*ATM_Conf!$C$5/(ATM_Conf!$C$8*Links!R$191))*(Nodes!BP123-Links!R123)/(Links!R123/ATM_Conf!$C$10)</f>
        <v>#DIV/0!</v>
      </c>
      <c r="AH124" s="45" t="e">
        <f>AH123+(ATM_Conf!$C$5/ATM_Conf!$C$8)*(Links!AW123*EXP((-(Links!S123/Links!BL123)^Links!CA123)/Links!CA123)-Links!AH123)+(ATM_Conf!$C$5/Links!S$191)*Links!AH123*(Nodes!BC123-Links!AH123)-(ATM_Conf!$C$9*ATM_Conf!$C$5/(ATM_Conf!$C$8*Links!S$191))*(Nodes!BQ123-Links!S123)/(Links!S123/ATM_Conf!$C$10)</f>
        <v>#DIV/0!</v>
      </c>
      <c r="AI124" s="45" t="e">
        <f>AI123+(ATM_Conf!$C$5/ATM_Conf!$C$8)*(Links!AX123*EXP((-(Links!T123/Links!BM123)^Links!CB123)/Links!CB123)-Links!AI123)+(ATM_Conf!$C$5/Links!T$191)*Links!AI123*(Nodes!BD123-Links!AI123)-(ATM_Conf!$C$9*ATM_Conf!$C$5/(ATM_Conf!$C$8*Links!T$191))*(Nodes!BR123-Links!T123)/(Links!T123/ATM_Conf!$C$10)</f>
        <v>#DIV/0!</v>
      </c>
      <c r="AJ124" s="45" t="e">
        <f>AJ123+(ATM_Conf!$C$5/ATM_Conf!$C$8)*(Links!AY123*EXP((-(Links!U123/Links!BN123)^Links!CC123)/Links!CC123)-Links!AJ123)+(ATM_Conf!$C$5/Links!U$191)*Links!AJ123*(Nodes!BE123-Links!AJ123)-(ATM_Conf!$C$9*ATM_Conf!$C$5/(ATM_Conf!$C$8*Links!U$191))*(Nodes!BS123-Links!U123)/(Links!U123/ATM_Conf!$C$10)</f>
        <v>#DIV/0!</v>
      </c>
      <c r="AK124" s="45" t="e">
        <f>AK123+(ATM_Conf!$C$5/ATM_Conf!$C$8)*(Links!AZ123*EXP((-(Links!V123/Links!BO123)^Links!CD123)/Links!CD123)-Links!AK123)+(ATM_Conf!$C$5/Links!V$191)*Links!AK123*(Nodes!BF123-Links!AK123)-(ATM_Conf!$C$9*ATM_Conf!$C$5/(ATM_Conf!$C$8*Links!V$191))*(Nodes!BT123-Links!V123)/(Links!V123/ATM_Conf!$C$10)</f>
        <v>#DIV/0!</v>
      </c>
      <c r="AL124" s="45" t="e">
        <f>AL123+(ATM_Conf!$C$5/ATM_Conf!$C$8)*(Links!BA123*EXP((-(Links!W123/Links!BP123)^Links!CE123)/Links!CE123)-Links!AL123)+(ATM_Conf!$C$5/Links!W$191)*Links!AL123*(Nodes!BG123-Links!AL123)-(ATM_Conf!$C$9*ATM_Conf!$C$5/(ATM_Conf!$C$8*Links!W$191))*(Nodes!BU123-Links!W123)/(Links!W123/ATM_Conf!$C$10)</f>
        <v>#DIV/0!</v>
      </c>
      <c r="AM124" s="45" t="e">
        <f>AM123+(ATM_Conf!$C$5/ATM_Conf!$C$8)*(Links!BB123*EXP((-(Links!X123/Links!BQ123)^Links!CF123)/Links!CF123)-Links!AM123)+(ATM_Conf!$C$5/Links!X$191)*Links!AM123*(Nodes!BH123-Links!AM123)</f>
        <v>#DIV/0!</v>
      </c>
      <c r="AN124" s="45" t="e">
        <f>AN123+(ATM_Conf!$C$5/ATM_Conf!$C$8)*(Links!BC123*EXP((-(Links!Y123/Links!BR123)^Links!CG123)/Links!CG123)-Links!AN123)-(ATM_Conf!$C$9*ATM_Conf!$C$5/(ATM_Conf!$C$8*Links!Y$191))*(Nodes!BV123-Links!Y123)/(Links!Y123/ATM_Conf!$C$10)</f>
        <v>#DIV/0!</v>
      </c>
      <c r="AO124" s="45" t="e">
        <f>AO123+(ATM_Conf!$C$5/ATM_Conf!$C$8)*(Links!BD123*EXP((-(Links!Z123/Links!BS123)^Links!CH123)/Links!CH123)-Links!AO123)+(ATM_Conf!$C$5/Links!Z$191)*Links!AO123*(Nodes!BI123-Links!AO123)-(ATM_Conf!$C$9*ATM_Conf!$C$5/(ATM_Conf!$C$8*Links!Z$191))*(Nodes!BW123-Links!Z123)/(Links!Z123/ATM_Conf!$C$10)</f>
        <v>#DIV/0!</v>
      </c>
      <c r="AP124" s="45" t="e">
        <f>AP123+(ATM_Conf!$C$5/ATM_Conf!$C$8)*(Links!BE123*EXP((-(Links!AA123/Links!BT123)^Links!CI123)/Links!CI123)-Links!AP123)+(ATM_Conf!$C$5/Links!AA$191)*Links!AP123*(Nodes!BJ123-Links!AP123)-(ATM_Conf!$C$9*ATM_Conf!$C$5/(ATM_Conf!$C$8*Links!AA$191))*(Nodes!BX123-Links!AA123)/(Links!AA123/ATM_Conf!$C$10)</f>
        <v>#DIV/0!</v>
      </c>
      <c r="AQ124" s="45" t="e">
        <f>AQ123+(ATM_Conf!$C$5/ATM_Conf!$C$8)*(Links!BF123*EXP((-(Links!AB123/Links!BU123)^Links!CJ123)/Links!CJ123)-Links!AQ123)+(ATM_Conf!$C$5/Links!AB$191)*Links!AQ123*(Nodes!BK123-Links!AQ123)-(ATM_Conf!$C$9*ATM_Conf!$C$5/(ATM_Conf!$C$8*Links!AB$191))*(Nodes!BY123-Links!AB123)/(Links!AB123/ATM_Conf!$C$10)</f>
        <v>#DIV/0!</v>
      </c>
      <c r="AR124" s="45" t="e">
        <f>AR123+(ATM_Conf!$C$5/ATM_Conf!$C$8)*(Links!BG123*EXP((-(Links!AC123/Links!BV123)^Links!CK123)/Links!CK123)-Links!AR123)+(ATM_Conf!$C$5/Links!AC$191)*Links!AR123*(Nodes!BL123-Links!AR123)-(ATM_Conf!$C$9*ATM_Conf!$C$5/(ATM_Conf!$C$8*Links!AC$191))*(Nodes!BZ123-Links!AC123)/(Links!AC123/ATM_Conf!$C$10)</f>
        <v>#DIV/0!</v>
      </c>
      <c r="AS124" s="45" t="e">
        <f>AS123+(ATM_Conf!$C$5/ATM_Conf!$C$8)*(Links!BH123*EXP((-(Links!AD123/Links!BW123)^Links!CL123)/Links!CL123)-Links!AS123)+(ATM_Conf!$C$5/Links!AD$191)*Links!AS123*(Nodes!BM123-Links!AS123)-(ATM_Conf!$C$9*ATM_Conf!$C$5/(ATM_Conf!$C$8*Links!AD$191))*(Nodes!CA123-Links!AD123)/(Links!AD123/ATM_Conf!$C$10)</f>
        <v>#DIV/0!</v>
      </c>
      <c r="AT124" s="45" t="e">
        <f>AT123+(ATM_Conf!$C$5/ATM_Conf!$C$8)*(Links!BI123*EXP((-(Links!AE123/Links!BX123)^Links!CM123)/Links!CM123)-Links!AT123)+(ATM_Conf!$C$5/Links!AE$191)*Links!AT123*(Nodes!BN123-Links!AT123)</f>
        <v>#DIV/0!</v>
      </c>
      <c r="AU124" s="55"/>
      <c r="AV124" s="55"/>
      <c r="AW124" s="55"/>
      <c r="AX124" s="55"/>
      <c r="AY124" s="55"/>
      <c r="AZ124" s="55"/>
      <c r="BA124" s="55"/>
      <c r="BB124" s="55"/>
      <c r="BC124" s="55"/>
      <c r="BD124" s="55"/>
      <c r="BE124" s="55"/>
      <c r="BF124" s="55"/>
      <c r="BG124" s="55"/>
      <c r="BH124" s="55"/>
      <c r="BI124" s="55"/>
      <c r="BJ124" s="45"/>
      <c r="BK124" s="45"/>
      <c r="BL124" s="45"/>
      <c r="BM124" s="45"/>
      <c r="BN124" s="45"/>
      <c r="BO124" s="45"/>
      <c r="BP124" s="45"/>
      <c r="BQ124" s="45"/>
      <c r="BR124" s="45"/>
      <c r="BS124" s="45"/>
      <c r="BT124" s="45"/>
      <c r="BU124" s="45"/>
      <c r="BV124" s="45"/>
      <c r="BW124" s="45"/>
      <c r="BX124" s="45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45">
        <f>CN$123</f>
        <v>0</v>
      </c>
      <c r="CO124" s="45">
        <f t="shared" ref="CO124:DB124" si="62">CO$123</f>
        <v>0</v>
      </c>
      <c r="CP124" s="45">
        <f t="shared" si="62"/>
        <v>0</v>
      </c>
      <c r="CQ124" s="45">
        <f t="shared" si="62"/>
        <v>0</v>
      </c>
      <c r="CR124" s="45">
        <f t="shared" si="62"/>
        <v>0</v>
      </c>
      <c r="CS124" s="45">
        <f t="shared" si="62"/>
        <v>0</v>
      </c>
      <c r="CT124" s="45">
        <f t="shared" si="62"/>
        <v>0</v>
      </c>
      <c r="CU124" s="45">
        <f t="shared" si="62"/>
        <v>0</v>
      </c>
      <c r="CV124" s="45">
        <f t="shared" si="62"/>
        <v>0</v>
      </c>
      <c r="CW124" s="45">
        <f t="shared" si="62"/>
        <v>0</v>
      </c>
      <c r="CX124" s="45">
        <f t="shared" si="62"/>
        <v>0</v>
      </c>
      <c r="CY124" s="45">
        <f t="shared" si="62"/>
        <v>0</v>
      </c>
      <c r="CZ124" s="45">
        <f t="shared" si="62"/>
        <v>0</v>
      </c>
      <c r="DA124" s="45">
        <f t="shared" si="62"/>
        <v>0</v>
      </c>
      <c r="DB124" s="45">
        <f t="shared" si="62"/>
        <v>0</v>
      </c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</row>
    <row r="125" spans="1:121" ht="14.25" x14ac:dyDescent="0.15">
      <c r="A125" s="48">
        <v>123</v>
      </c>
      <c r="B125" s="45" t="e">
        <f t="shared" si="34"/>
        <v>#DIV/0!</v>
      </c>
      <c r="C125" s="45" t="e">
        <f t="shared" si="35"/>
        <v>#DIV/0!</v>
      </c>
      <c r="D125" s="45" t="e">
        <f t="shared" si="36"/>
        <v>#DIV/0!</v>
      </c>
      <c r="E125" s="45" t="e">
        <f t="shared" si="37"/>
        <v>#DIV/0!</v>
      </c>
      <c r="F125" s="45" t="e">
        <f t="shared" si="38"/>
        <v>#DIV/0!</v>
      </c>
      <c r="G125" s="45" t="e">
        <f t="shared" si="39"/>
        <v>#DIV/0!</v>
      </c>
      <c r="H125" s="45" t="e">
        <f t="shared" si="40"/>
        <v>#DIV/0!</v>
      </c>
      <c r="I125" s="45" t="e">
        <f t="shared" si="41"/>
        <v>#DIV/0!</v>
      </c>
      <c r="J125" s="45" t="e">
        <f t="shared" si="42"/>
        <v>#DIV/0!</v>
      </c>
      <c r="K125" s="45" t="e">
        <f t="shared" si="43"/>
        <v>#DIV/0!</v>
      </c>
      <c r="L125" s="45" t="e">
        <f t="shared" si="44"/>
        <v>#DIV/0!</v>
      </c>
      <c r="M125" s="45" t="e">
        <f t="shared" si="45"/>
        <v>#DIV/0!</v>
      </c>
      <c r="N125" s="45" t="e">
        <f t="shared" si="46"/>
        <v>#DIV/0!</v>
      </c>
      <c r="O125" s="45" t="e">
        <f t="shared" si="47"/>
        <v>#DIV/0!</v>
      </c>
      <c r="P125" s="45" t="e">
        <f t="shared" si="48"/>
        <v>#DIV/0!</v>
      </c>
      <c r="Q125" s="55" t="e">
        <f>Q124+ATM_Conf!$C$5*(B124)/(Links!B$191*Links!Q$191)</f>
        <v>#DIV/0!</v>
      </c>
      <c r="R125" s="55" t="e">
        <f>R124+ATM_Conf!$C$5*(C124-B124)/(Links!C$191*Links!R$191)</f>
        <v>#DIV/0!</v>
      </c>
      <c r="S125" s="55" t="e">
        <f>S124+ATM_Conf!$C$5*(D124-C124)/(Links!D$191*Links!S$191)</f>
        <v>#DIV/0!</v>
      </c>
      <c r="T125" s="55" t="e">
        <f>T124+ATM_Conf!$C$5*(E124-D124)/(Links!E$191*Links!T$191)</f>
        <v>#DIV/0!</v>
      </c>
      <c r="U125" s="55" t="e">
        <f>U124+ATM_Conf!$C$5*(F124-E124)/(Links!F$191*Links!U$191)</f>
        <v>#DIV/0!</v>
      </c>
      <c r="V125" s="55" t="e">
        <f>V124+ATM_Conf!$C$5*(G124-F124)/(Links!G$191*Links!V$191)</f>
        <v>#DIV/0!</v>
      </c>
      <c r="W125" s="55" t="e">
        <f>W124+ATM_Conf!$C$5*(H124-G124)/(Links!H$191*Links!W$191)</f>
        <v>#DIV/0!</v>
      </c>
      <c r="X125" s="55" t="e">
        <f>X124+ATM_Conf!$C$5*(I124-H124)/(Links!I$191*Links!X$191)</f>
        <v>#DIV/0!</v>
      </c>
      <c r="Y125" s="55" t="e">
        <f>Y124+ATM_Conf!$C$5*(J124)/(Links!J$191*Links!Y$191)</f>
        <v>#DIV/0!</v>
      </c>
      <c r="Z125" s="55" t="e">
        <f>Z124+ATM_Conf!$C$5*(K124-J124)/(Links!K$191*Links!Z$191)</f>
        <v>#DIV/0!</v>
      </c>
      <c r="AA125" s="55" t="e">
        <f>AA124+ATM_Conf!$C$5*(L124-K124)/(Links!L$191*Links!AA$191)</f>
        <v>#DIV/0!</v>
      </c>
      <c r="AB125" s="55" t="e">
        <f>AB124+ATM_Conf!$C$5*(M124-L124)/(Links!M$191*Links!AB$191)</f>
        <v>#DIV/0!</v>
      </c>
      <c r="AC125" s="55" t="e">
        <f>AC124+ATM_Conf!$C$5*(N124-M124)/(Links!N$191*Links!AC$191)</f>
        <v>#DIV/0!</v>
      </c>
      <c r="AD125" s="55" t="e">
        <f>AD124+ATM_Conf!$C$5*(O124-N124)/(Links!O$191*Links!AD$191)</f>
        <v>#DIV/0!</v>
      </c>
      <c r="AE125" s="55" t="e">
        <f>AE124+ATM_Conf!$C$5*(P124-O124)/(Links!P$191*Links!AE$191)</f>
        <v>#DIV/0!</v>
      </c>
      <c r="AF125" s="45" t="e">
        <f>AF124+(ATM_Conf!$C$5/ATM_Conf!$C$8)*(Links!AU124*EXP((-(Links!Q124/Links!BJ124)^Links!BY124)/Links!BY124)-Links!AF124)-(ATM_Conf!$C$9*ATM_Conf!$C$5/(ATM_Conf!$C$8*Links!Q$191))*(Nodes!BO124-Links!Q124)/(Links!Q124/ATM_Conf!$C$10)</f>
        <v>#DIV/0!</v>
      </c>
      <c r="AG125" s="45" t="e">
        <f>AG124+(ATM_Conf!$C$5/ATM_Conf!$C$8)*(Links!AV124*EXP((-(Links!R124/Links!BK124)^Links!BZ124)/Links!BZ124)-Links!AG124)+(ATM_Conf!$C$5/Links!R$191)*Links!AG124*(Nodes!BB124-Links!AG124)-(ATM_Conf!$C$9*ATM_Conf!$C$5/(ATM_Conf!$C$8*Links!R$191))*(Nodes!BP124-Links!R124)/(Links!R124/ATM_Conf!$C$10)</f>
        <v>#DIV/0!</v>
      </c>
      <c r="AH125" s="45" t="e">
        <f>AH124+(ATM_Conf!$C$5/ATM_Conf!$C$8)*(Links!AW124*EXP((-(Links!S124/Links!BL124)^Links!CA124)/Links!CA124)-Links!AH124)+(ATM_Conf!$C$5/Links!S$191)*Links!AH124*(Nodes!BC124-Links!AH124)-(ATM_Conf!$C$9*ATM_Conf!$C$5/(ATM_Conf!$C$8*Links!S$191))*(Nodes!BQ124-Links!S124)/(Links!S124/ATM_Conf!$C$10)</f>
        <v>#DIV/0!</v>
      </c>
      <c r="AI125" s="45" t="e">
        <f>AI124+(ATM_Conf!$C$5/ATM_Conf!$C$8)*(Links!AX124*EXP((-(Links!T124/Links!BM124)^Links!CB124)/Links!CB124)-Links!AI124)+(ATM_Conf!$C$5/Links!T$191)*Links!AI124*(Nodes!BD124-Links!AI124)-(ATM_Conf!$C$9*ATM_Conf!$C$5/(ATM_Conf!$C$8*Links!T$191))*(Nodes!BR124-Links!T124)/(Links!T124/ATM_Conf!$C$10)</f>
        <v>#DIV/0!</v>
      </c>
      <c r="AJ125" s="45" t="e">
        <f>AJ124+(ATM_Conf!$C$5/ATM_Conf!$C$8)*(Links!AY124*EXP((-(Links!U124/Links!BN124)^Links!CC124)/Links!CC124)-Links!AJ124)+(ATM_Conf!$C$5/Links!U$191)*Links!AJ124*(Nodes!BE124-Links!AJ124)-(ATM_Conf!$C$9*ATM_Conf!$C$5/(ATM_Conf!$C$8*Links!U$191))*(Nodes!BS124-Links!U124)/(Links!U124/ATM_Conf!$C$10)</f>
        <v>#DIV/0!</v>
      </c>
      <c r="AK125" s="45" t="e">
        <f>AK124+(ATM_Conf!$C$5/ATM_Conf!$C$8)*(Links!AZ124*EXP((-(Links!V124/Links!BO124)^Links!CD124)/Links!CD124)-Links!AK124)+(ATM_Conf!$C$5/Links!V$191)*Links!AK124*(Nodes!BF124-Links!AK124)-(ATM_Conf!$C$9*ATM_Conf!$C$5/(ATM_Conf!$C$8*Links!V$191))*(Nodes!BT124-Links!V124)/(Links!V124/ATM_Conf!$C$10)</f>
        <v>#DIV/0!</v>
      </c>
      <c r="AL125" s="45" t="e">
        <f>AL124+(ATM_Conf!$C$5/ATM_Conf!$C$8)*(Links!BA124*EXP((-(Links!W124/Links!BP124)^Links!CE124)/Links!CE124)-Links!AL124)+(ATM_Conf!$C$5/Links!W$191)*Links!AL124*(Nodes!BG124-Links!AL124)-(ATM_Conf!$C$9*ATM_Conf!$C$5/(ATM_Conf!$C$8*Links!W$191))*(Nodes!BU124-Links!W124)/(Links!W124/ATM_Conf!$C$10)</f>
        <v>#DIV/0!</v>
      </c>
      <c r="AM125" s="45" t="e">
        <f>AM124+(ATM_Conf!$C$5/ATM_Conf!$C$8)*(Links!BB124*EXP((-(Links!X124/Links!BQ124)^Links!CF124)/Links!CF124)-Links!AM124)+(ATM_Conf!$C$5/Links!X$191)*Links!AM124*(Nodes!BH124-Links!AM124)</f>
        <v>#DIV/0!</v>
      </c>
      <c r="AN125" s="45" t="e">
        <f>AN124+(ATM_Conf!$C$5/ATM_Conf!$C$8)*(Links!BC124*EXP((-(Links!Y124/Links!BR124)^Links!CG124)/Links!CG124)-Links!AN124)-(ATM_Conf!$C$9*ATM_Conf!$C$5/(ATM_Conf!$C$8*Links!Y$191))*(Nodes!BV124-Links!Y124)/(Links!Y124/ATM_Conf!$C$10)</f>
        <v>#DIV/0!</v>
      </c>
      <c r="AO125" s="45" t="e">
        <f>AO124+(ATM_Conf!$C$5/ATM_Conf!$C$8)*(Links!BD124*EXP((-(Links!Z124/Links!BS124)^Links!CH124)/Links!CH124)-Links!AO124)+(ATM_Conf!$C$5/Links!Z$191)*Links!AO124*(Nodes!BI124-Links!AO124)-(ATM_Conf!$C$9*ATM_Conf!$C$5/(ATM_Conf!$C$8*Links!Z$191))*(Nodes!BW124-Links!Z124)/(Links!Z124/ATM_Conf!$C$10)</f>
        <v>#DIV/0!</v>
      </c>
      <c r="AP125" s="45" t="e">
        <f>AP124+(ATM_Conf!$C$5/ATM_Conf!$C$8)*(Links!BE124*EXP((-(Links!AA124/Links!BT124)^Links!CI124)/Links!CI124)-Links!AP124)+(ATM_Conf!$C$5/Links!AA$191)*Links!AP124*(Nodes!BJ124-Links!AP124)-(ATM_Conf!$C$9*ATM_Conf!$C$5/(ATM_Conf!$C$8*Links!AA$191))*(Nodes!BX124-Links!AA124)/(Links!AA124/ATM_Conf!$C$10)</f>
        <v>#DIV/0!</v>
      </c>
      <c r="AQ125" s="45" t="e">
        <f>AQ124+(ATM_Conf!$C$5/ATM_Conf!$C$8)*(Links!BF124*EXP((-(Links!AB124/Links!BU124)^Links!CJ124)/Links!CJ124)-Links!AQ124)+(ATM_Conf!$C$5/Links!AB$191)*Links!AQ124*(Nodes!BK124-Links!AQ124)-(ATM_Conf!$C$9*ATM_Conf!$C$5/(ATM_Conf!$C$8*Links!AB$191))*(Nodes!BY124-Links!AB124)/(Links!AB124/ATM_Conf!$C$10)</f>
        <v>#DIV/0!</v>
      </c>
      <c r="AR125" s="45" t="e">
        <f>AR124+(ATM_Conf!$C$5/ATM_Conf!$C$8)*(Links!BG124*EXP((-(Links!AC124/Links!BV124)^Links!CK124)/Links!CK124)-Links!AR124)+(ATM_Conf!$C$5/Links!AC$191)*Links!AR124*(Nodes!BL124-Links!AR124)-(ATM_Conf!$C$9*ATM_Conf!$C$5/(ATM_Conf!$C$8*Links!AC$191))*(Nodes!BZ124-Links!AC124)/(Links!AC124/ATM_Conf!$C$10)</f>
        <v>#DIV/0!</v>
      </c>
      <c r="AS125" s="45" t="e">
        <f>AS124+(ATM_Conf!$C$5/ATM_Conf!$C$8)*(Links!BH124*EXP((-(Links!AD124/Links!BW124)^Links!CL124)/Links!CL124)-Links!AS124)+(ATM_Conf!$C$5/Links!AD$191)*Links!AS124*(Nodes!BM124-Links!AS124)-(ATM_Conf!$C$9*ATM_Conf!$C$5/(ATM_Conf!$C$8*Links!AD$191))*(Nodes!CA124-Links!AD124)/(Links!AD124/ATM_Conf!$C$10)</f>
        <v>#DIV/0!</v>
      </c>
      <c r="AT125" s="45" t="e">
        <f>AT124+(ATM_Conf!$C$5/ATM_Conf!$C$8)*(Links!BI124*EXP((-(Links!AE124/Links!BX124)^Links!CM124)/Links!CM124)-Links!AT124)+(ATM_Conf!$C$5/Links!AE$191)*Links!AT124*(Nodes!BN124-Links!AT124)</f>
        <v>#DIV/0!</v>
      </c>
      <c r="AU125" s="55"/>
      <c r="AV125" s="55"/>
      <c r="AW125" s="55"/>
      <c r="AX125" s="55"/>
      <c r="AY125" s="55"/>
      <c r="AZ125" s="55"/>
      <c r="BA125" s="55"/>
      <c r="BB125" s="55"/>
      <c r="BC125" s="55"/>
      <c r="BD125" s="55"/>
      <c r="BE125" s="55"/>
      <c r="BF125" s="55"/>
      <c r="BG125" s="55"/>
      <c r="BH125" s="55"/>
      <c r="BI125" s="55"/>
      <c r="BJ125" s="45"/>
      <c r="BK125" s="45"/>
      <c r="BL125" s="45"/>
      <c r="BM125" s="45"/>
      <c r="BN125" s="45"/>
      <c r="BO125" s="45"/>
      <c r="BP125" s="45"/>
      <c r="BQ125" s="45"/>
      <c r="BR125" s="45"/>
      <c r="BS125" s="45"/>
      <c r="BT125" s="45"/>
      <c r="BU125" s="45"/>
      <c r="BV125" s="45"/>
      <c r="BW125" s="45"/>
      <c r="BX125" s="45"/>
      <c r="BY125" s="55"/>
      <c r="BZ125" s="55"/>
      <c r="CA125" s="55"/>
      <c r="CB125" s="55"/>
      <c r="CC125" s="55"/>
      <c r="CD125" s="55"/>
      <c r="CE125" s="55"/>
      <c r="CF125" s="55"/>
      <c r="CG125" s="55"/>
      <c r="CH125" s="55"/>
      <c r="CI125" s="55"/>
      <c r="CJ125" s="55"/>
      <c r="CK125" s="55"/>
      <c r="CL125" s="55"/>
      <c r="CM125" s="55"/>
      <c r="CN125" s="45">
        <f t="shared" ref="CN125:DB134" si="63">CN$123</f>
        <v>0</v>
      </c>
      <c r="CO125" s="45">
        <f t="shared" si="63"/>
        <v>0</v>
      </c>
      <c r="CP125" s="45">
        <f t="shared" si="63"/>
        <v>0</v>
      </c>
      <c r="CQ125" s="45">
        <f t="shared" si="63"/>
        <v>0</v>
      </c>
      <c r="CR125" s="45">
        <f t="shared" si="63"/>
        <v>0</v>
      </c>
      <c r="CS125" s="45">
        <f t="shared" si="63"/>
        <v>0</v>
      </c>
      <c r="CT125" s="45">
        <f t="shared" si="63"/>
        <v>0</v>
      </c>
      <c r="CU125" s="45">
        <f t="shared" si="63"/>
        <v>0</v>
      </c>
      <c r="CV125" s="45">
        <f t="shared" si="63"/>
        <v>0</v>
      </c>
      <c r="CW125" s="45">
        <f t="shared" si="63"/>
        <v>0</v>
      </c>
      <c r="CX125" s="45">
        <f t="shared" si="63"/>
        <v>0</v>
      </c>
      <c r="CY125" s="45">
        <f t="shared" si="63"/>
        <v>0</v>
      </c>
      <c r="CZ125" s="45">
        <f t="shared" si="63"/>
        <v>0</v>
      </c>
      <c r="DA125" s="45">
        <f t="shared" si="63"/>
        <v>0</v>
      </c>
      <c r="DB125" s="45">
        <f t="shared" si="63"/>
        <v>0</v>
      </c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</row>
    <row r="126" spans="1:121" ht="14.25" x14ac:dyDescent="0.15">
      <c r="A126" s="48">
        <v>124</v>
      </c>
      <c r="B126" s="45" t="e">
        <f t="shared" si="34"/>
        <v>#DIV/0!</v>
      </c>
      <c r="C126" s="45" t="e">
        <f t="shared" si="35"/>
        <v>#DIV/0!</v>
      </c>
      <c r="D126" s="45" t="e">
        <f t="shared" si="36"/>
        <v>#DIV/0!</v>
      </c>
      <c r="E126" s="45" t="e">
        <f t="shared" si="37"/>
        <v>#DIV/0!</v>
      </c>
      <c r="F126" s="45" t="e">
        <f t="shared" si="38"/>
        <v>#DIV/0!</v>
      </c>
      <c r="G126" s="45" t="e">
        <f t="shared" si="39"/>
        <v>#DIV/0!</v>
      </c>
      <c r="H126" s="45" t="e">
        <f t="shared" si="40"/>
        <v>#DIV/0!</v>
      </c>
      <c r="I126" s="45" t="e">
        <f t="shared" si="41"/>
        <v>#DIV/0!</v>
      </c>
      <c r="J126" s="45" t="e">
        <f t="shared" si="42"/>
        <v>#DIV/0!</v>
      </c>
      <c r="K126" s="45" t="e">
        <f t="shared" si="43"/>
        <v>#DIV/0!</v>
      </c>
      <c r="L126" s="45" t="e">
        <f t="shared" si="44"/>
        <v>#DIV/0!</v>
      </c>
      <c r="M126" s="45" t="e">
        <f t="shared" si="45"/>
        <v>#DIV/0!</v>
      </c>
      <c r="N126" s="45" t="e">
        <f t="shared" si="46"/>
        <v>#DIV/0!</v>
      </c>
      <c r="O126" s="45" t="e">
        <f t="shared" si="47"/>
        <v>#DIV/0!</v>
      </c>
      <c r="P126" s="45" t="e">
        <f t="shared" si="48"/>
        <v>#DIV/0!</v>
      </c>
      <c r="Q126" s="55" t="e">
        <f>Q125+ATM_Conf!$C$5*(B125)/(Links!B$191*Links!Q$191)</f>
        <v>#DIV/0!</v>
      </c>
      <c r="R126" s="55" t="e">
        <f>R125+ATM_Conf!$C$5*(C125-B125)/(Links!C$191*Links!R$191)</f>
        <v>#DIV/0!</v>
      </c>
      <c r="S126" s="55" t="e">
        <f>S125+ATM_Conf!$C$5*(D125-C125)/(Links!D$191*Links!S$191)</f>
        <v>#DIV/0!</v>
      </c>
      <c r="T126" s="55" t="e">
        <f>T125+ATM_Conf!$C$5*(E125-D125)/(Links!E$191*Links!T$191)</f>
        <v>#DIV/0!</v>
      </c>
      <c r="U126" s="55" t="e">
        <f>U125+ATM_Conf!$C$5*(F125-E125)/(Links!F$191*Links!U$191)</f>
        <v>#DIV/0!</v>
      </c>
      <c r="V126" s="55" t="e">
        <f>V125+ATM_Conf!$C$5*(G125-F125)/(Links!G$191*Links!V$191)</f>
        <v>#DIV/0!</v>
      </c>
      <c r="W126" s="55" t="e">
        <f>W125+ATM_Conf!$C$5*(H125-G125)/(Links!H$191*Links!W$191)</f>
        <v>#DIV/0!</v>
      </c>
      <c r="X126" s="55" t="e">
        <f>X125+ATM_Conf!$C$5*(I125-H125)/(Links!I$191*Links!X$191)</f>
        <v>#DIV/0!</v>
      </c>
      <c r="Y126" s="55" t="e">
        <f>Y125+ATM_Conf!$C$5*(J125)/(Links!J$191*Links!Y$191)</f>
        <v>#DIV/0!</v>
      </c>
      <c r="Z126" s="55" t="e">
        <f>Z125+ATM_Conf!$C$5*(K125-J125)/(Links!K$191*Links!Z$191)</f>
        <v>#DIV/0!</v>
      </c>
      <c r="AA126" s="55" t="e">
        <f>AA125+ATM_Conf!$C$5*(L125-K125)/(Links!L$191*Links!AA$191)</f>
        <v>#DIV/0!</v>
      </c>
      <c r="AB126" s="55" t="e">
        <f>AB125+ATM_Conf!$C$5*(M125-L125)/(Links!M$191*Links!AB$191)</f>
        <v>#DIV/0!</v>
      </c>
      <c r="AC126" s="55" t="e">
        <f>AC125+ATM_Conf!$C$5*(N125-M125)/(Links!N$191*Links!AC$191)</f>
        <v>#DIV/0!</v>
      </c>
      <c r="AD126" s="55" t="e">
        <f>AD125+ATM_Conf!$C$5*(O125-N125)/(Links!O$191*Links!AD$191)</f>
        <v>#DIV/0!</v>
      </c>
      <c r="AE126" s="55" t="e">
        <f>AE125+ATM_Conf!$C$5*(P125-O125)/(Links!P$191*Links!AE$191)</f>
        <v>#DIV/0!</v>
      </c>
      <c r="AF126" s="45" t="e">
        <f>AF125+(ATM_Conf!$C$5/ATM_Conf!$C$8)*(Links!AU125*EXP((-(Links!Q125/Links!BJ125)^Links!BY125)/Links!BY125)-Links!AF125)-(ATM_Conf!$C$9*ATM_Conf!$C$5/(ATM_Conf!$C$8*Links!Q$191))*(Nodes!BO125-Links!Q125)/(Links!Q125/ATM_Conf!$C$10)</f>
        <v>#DIV/0!</v>
      </c>
      <c r="AG126" s="45" t="e">
        <f>AG125+(ATM_Conf!$C$5/ATM_Conf!$C$8)*(Links!AV125*EXP((-(Links!R125/Links!BK125)^Links!BZ125)/Links!BZ125)-Links!AG125)+(ATM_Conf!$C$5/Links!R$191)*Links!AG125*(Nodes!BB125-Links!AG125)-(ATM_Conf!$C$9*ATM_Conf!$C$5/(ATM_Conf!$C$8*Links!R$191))*(Nodes!BP125-Links!R125)/(Links!R125/ATM_Conf!$C$10)</f>
        <v>#DIV/0!</v>
      </c>
      <c r="AH126" s="45" t="e">
        <f>AH125+(ATM_Conf!$C$5/ATM_Conf!$C$8)*(Links!AW125*EXP((-(Links!S125/Links!BL125)^Links!CA125)/Links!CA125)-Links!AH125)+(ATM_Conf!$C$5/Links!S$191)*Links!AH125*(Nodes!BC125-Links!AH125)-(ATM_Conf!$C$9*ATM_Conf!$C$5/(ATM_Conf!$C$8*Links!S$191))*(Nodes!BQ125-Links!S125)/(Links!S125/ATM_Conf!$C$10)</f>
        <v>#DIV/0!</v>
      </c>
      <c r="AI126" s="45" t="e">
        <f>AI125+(ATM_Conf!$C$5/ATM_Conf!$C$8)*(Links!AX125*EXP((-(Links!T125/Links!BM125)^Links!CB125)/Links!CB125)-Links!AI125)+(ATM_Conf!$C$5/Links!T$191)*Links!AI125*(Nodes!BD125-Links!AI125)-(ATM_Conf!$C$9*ATM_Conf!$C$5/(ATM_Conf!$C$8*Links!T$191))*(Nodes!BR125-Links!T125)/(Links!T125/ATM_Conf!$C$10)</f>
        <v>#DIV/0!</v>
      </c>
      <c r="AJ126" s="45" t="e">
        <f>AJ125+(ATM_Conf!$C$5/ATM_Conf!$C$8)*(Links!AY125*EXP((-(Links!U125/Links!BN125)^Links!CC125)/Links!CC125)-Links!AJ125)+(ATM_Conf!$C$5/Links!U$191)*Links!AJ125*(Nodes!BE125-Links!AJ125)-(ATM_Conf!$C$9*ATM_Conf!$C$5/(ATM_Conf!$C$8*Links!U$191))*(Nodes!BS125-Links!U125)/(Links!U125/ATM_Conf!$C$10)</f>
        <v>#DIV/0!</v>
      </c>
      <c r="AK126" s="45" t="e">
        <f>AK125+(ATM_Conf!$C$5/ATM_Conf!$C$8)*(Links!AZ125*EXP((-(Links!V125/Links!BO125)^Links!CD125)/Links!CD125)-Links!AK125)+(ATM_Conf!$C$5/Links!V$191)*Links!AK125*(Nodes!BF125-Links!AK125)-(ATM_Conf!$C$9*ATM_Conf!$C$5/(ATM_Conf!$C$8*Links!V$191))*(Nodes!BT125-Links!V125)/(Links!V125/ATM_Conf!$C$10)</f>
        <v>#DIV/0!</v>
      </c>
      <c r="AL126" s="45" t="e">
        <f>AL125+(ATM_Conf!$C$5/ATM_Conf!$C$8)*(Links!BA125*EXP((-(Links!W125/Links!BP125)^Links!CE125)/Links!CE125)-Links!AL125)+(ATM_Conf!$C$5/Links!W$191)*Links!AL125*(Nodes!BG125-Links!AL125)-(ATM_Conf!$C$9*ATM_Conf!$C$5/(ATM_Conf!$C$8*Links!W$191))*(Nodes!BU125-Links!W125)/(Links!W125/ATM_Conf!$C$10)</f>
        <v>#DIV/0!</v>
      </c>
      <c r="AM126" s="45" t="e">
        <f>AM125+(ATM_Conf!$C$5/ATM_Conf!$C$8)*(Links!BB125*EXP((-(Links!X125/Links!BQ125)^Links!CF125)/Links!CF125)-Links!AM125)+(ATM_Conf!$C$5/Links!X$191)*Links!AM125*(Nodes!BH125-Links!AM125)</f>
        <v>#DIV/0!</v>
      </c>
      <c r="AN126" s="45" t="e">
        <f>AN125+(ATM_Conf!$C$5/ATM_Conf!$C$8)*(Links!BC125*EXP((-(Links!Y125/Links!BR125)^Links!CG125)/Links!CG125)-Links!AN125)-(ATM_Conf!$C$9*ATM_Conf!$C$5/(ATM_Conf!$C$8*Links!Y$191))*(Nodes!BV125-Links!Y125)/(Links!Y125/ATM_Conf!$C$10)</f>
        <v>#DIV/0!</v>
      </c>
      <c r="AO126" s="45" t="e">
        <f>AO125+(ATM_Conf!$C$5/ATM_Conf!$C$8)*(Links!BD125*EXP((-(Links!Z125/Links!BS125)^Links!CH125)/Links!CH125)-Links!AO125)+(ATM_Conf!$C$5/Links!Z$191)*Links!AO125*(Nodes!BI125-Links!AO125)-(ATM_Conf!$C$9*ATM_Conf!$C$5/(ATM_Conf!$C$8*Links!Z$191))*(Nodes!BW125-Links!Z125)/(Links!Z125/ATM_Conf!$C$10)</f>
        <v>#DIV/0!</v>
      </c>
      <c r="AP126" s="45" t="e">
        <f>AP125+(ATM_Conf!$C$5/ATM_Conf!$C$8)*(Links!BE125*EXP((-(Links!AA125/Links!BT125)^Links!CI125)/Links!CI125)-Links!AP125)+(ATM_Conf!$C$5/Links!AA$191)*Links!AP125*(Nodes!BJ125-Links!AP125)-(ATM_Conf!$C$9*ATM_Conf!$C$5/(ATM_Conf!$C$8*Links!AA$191))*(Nodes!BX125-Links!AA125)/(Links!AA125/ATM_Conf!$C$10)</f>
        <v>#DIV/0!</v>
      </c>
      <c r="AQ126" s="45" t="e">
        <f>AQ125+(ATM_Conf!$C$5/ATM_Conf!$C$8)*(Links!BF125*EXP((-(Links!AB125/Links!BU125)^Links!CJ125)/Links!CJ125)-Links!AQ125)+(ATM_Conf!$C$5/Links!AB$191)*Links!AQ125*(Nodes!BK125-Links!AQ125)-(ATM_Conf!$C$9*ATM_Conf!$C$5/(ATM_Conf!$C$8*Links!AB$191))*(Nodes!BY125-Links!AB125)/(Links!AB125/ATM_Conf!$C$10)</f>
        <v>#DIV/0!</v>
      </c>
      <c r="AR126" s="45" t="e">
        <f>AR125+(ATM_Conf!$C$5/ATM_Conf!$C$8)*(Links!BG125*EXP((-(Links!AC125/Links!BV125)^Links!CK125)/Links!CK125)-Links!AR125)+(ATM_Conf!$C$5/Links!AC$191)*Links!AR125*(Nodes!BL125-Links!AR125)-(ATM_Conf!$C$9*ATM_Conf!$C$5/(ATM_Conf!$C$8*Links!AC$191))*(Nodes!BZ125-Links!AC125)/(Links!AC125/ATM_Conf!$C$10)</f>
        <v>#DIV/0!</v>
      </c>
      <c r="AS126" s="45" t="e">
        <f>AS125+(ATM_Conf!$C$5/ATM_Conf!$C$8)*(Links!BH125*EXP((-(Links!AD125/Links!BW125)^Links!CL125)/Links!CL125)-Links!AS125)+(ATM_Conf!$C$5/Links!AD$191)*Links!AS125*(Nodes!BM125-Links!AS125)-(ATM_Conf!$C$9*ATM_Conf!$C$5/(ATM_Conf!$C$8*Links!AD$191))*(Nodes!CA125-Links!AD125)/(Links!AD125/ATM_Conf!$C$10)</f>
        <v>#DIV/0!</v>
      </c>
      <c r="AT126" s="45" t="e">
        <f>AT125+(ATM_Conf!$C$5/ATM_Conf!$C$8)*(Links!BI125*EXP((-(Links!AE125/Links!BX125)^Links!CM125)/Links!CM125)-Links!AT125)+(ATM_Conf!$C$5/Links!AE$191)*Links!AT125*(Nodes!BN125-Links!AT125)</f>
        <v>#DIV/0!</v>
      </c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45"/>
      <c r="BK126" s="45"/>
      <c r="BL126" s="45"/>
      <c r="BM126" s="45"/>
      <c r="BN126" s="45"/>
      <c r="BO126" s="45"/>
      <c r="BP126" s="45"/>
      <c r="BQ126" s="45"/>
      <c r="BR126" s="45"/>
      <c r="BS126" s="45"/>
      <c r="BT126" s="45"/>
      <c r="BU126" s="45"/>
      <c r="BV126" s="45"/>
      <c r="BW126" s="45"/>
      <c r="BX126" s="4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45">
        <f t="shared" si="63"/>
        <v>0</v>
      </c>
      <c r="CO126" s="45">
        <f t="shared" si="63"/>
        <v>0</v>
      </c>
      <c r="CP126" s="45">
        <f t="shared" si="63"/>
        <v>0</v>
      </c>
      <c r="CQ126" s="45">
        <f t="shared" si="63"/>
        <v>0</v>
      </c>
      <c r="CR126" s="45">
        <f t="shared" si="63"/>
        <v>0</v>
      </c>
      <c r="CS126" s="45">
        <f t="shared" si="63"/>
        <v>0</v>
      </c>
      <c r="CT126" s="45">
        <f t="shared" si="63"/>
        <v>0</v>
      </c>
      <c r="CU126" s="45">
        <f t="shared" si="63"/>
        <v>0</v>
      </c>
      <c r="CV126" s="45">
        <f t="shared" si="63"/>
        <v>0</v>
      </c>
      <c r="CW126" s="45">
        <f t="shared" si="63"/>
        <v>0</v>
      </c>
      <c r="CX126" s="45">
        <f t="shared" si="63"/>
        <v>0</v>
      </c>
      <c r="CY126" s="45">
        <f t="shared" si="63"/>
        <v>0</v>
      </c>
      <c r="CZ126" s="45">
        <f t="shared" si="63"/>
        <v>0</v>
      </c>
      <c r="DA126" s="45">
        <f t="shared" si="63"/>
        <v>0</v>
      </c>
      <c r="DB126" s="45">
        <f t="shared" si="63"/>
        <v>0</v>
      </c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</row>
    <row r="127" spans="1:121" ht="14.25" x14ac:dyDescent="0.15">
      <c r="A127" s="48">
        <v>125</v>
      </c>
      <c r="B127" s="45" t="e">
        <f t="shared" si="34"/>
        <v>#DIV/0!</v>
      </c>
      <c r="C127" s="45" t="e">
        <f t="shared" si="35"/>
        <v>#DIV/0!</v>
      </c>
      <c r="D127" s="45" t="e">
        <f t="shared" si="36"/>
        <v>#DIV/0!</v>
      </c>
      <c r="E127" s="45" t="e">
        <f t="shared" si="37"/>
        <v>#DIV/0!</v>
      </c>
      <c r="F127" s="45" t="e">
        <f t="shared" si="38"/>
        <v>#DIV/0!</v>
      </c>
      <c r="G127" s="45" t="e">
        <f t="shared" si="39"/>
        <v>#DIV/0!</v>
      </c>
      <c r="H127" s="45" t="e">
        <f t="shared" si="40"/>
        <v>#DIV/0!</v>
      </c>
      <c r="I127" s="45" t="e">
        <f t="shared" si="41"/>
        <v>#DIV/0!</v>
      </c>
      <c r="J127" s="45" t="e">
        <f t="shared" si="42"/>
        <v>#DIV/0!</v>
      </c>
      <c r="K127" s="45" t="e">
        <f t="shared" si="43"/>
        <v>#DIV/0!</v>
      </c>
      <c r="L127" s="45" t="e">
        <f t="shared" si="44"/>
        <v>#DIV/0!</v>
      </c>
      <c r="M127" s="45" t="e">
        <f t="shared" si="45"/>
        <v>#DIV/0!</v>
      </c>
      <c r="N127" s="45" t="e">
        <f t="shared" si="46"/>
        <v>#DIV/0!</v>
      </c>
      <c r="O127" s="45" t="e">
        <f t="shared" si="47"/>
        <v>#DIV/0!</v>
      </c>
      <c r="P127" s="45" t="e">
        <f t="shared" si="48"/>
        <v>#DIV/0!</v>
      </c>
      <c r="Q127" s="55" t="e">
        <f>Q126+ATM_Conf!$C$5*(B126)/(Links!B$191*Links!Q$191)</f>
        <v>#DIV/0!</v>
      </c>
      <c r="R127" s="55" t="e">
        <f>R126+ATM_Conf!$C$5*(C126-B126)/(Links!C$191*Links!R$191)</f>
        <v>#DIV/0!</v>
      </c>
      <c r="S127" s="55" t="e">
        <f>S126+ATM_Conf!$C$5*(D126-C126)/(Links!D$191*Links!S$191)</f>
        <v>#DIV/0!</v>
      </c>
      <c r="T127" s="55" t="e">
        <f>T126+ATM_Conf!$C$5*(E126-D126)/(Links!E$191*Links!T$191)</f>
        <v>#DIV/0!</v>
      </c>
      <c r="U127" s="55" t="e">
        <f>U126+ATM_Conf!$C$5*(F126-E126)/(Links!F$191*Links!U$191)</f>
        <v>#DIV/0!</v>
      </c>
      <c r="V127" s="55" t="e">
        <f>V126+ATM_Conf!$C$5*(G126-F126)/(Links!G$191*Links!V$191)</f>
        <v>#DIV/0!</v>
      </c>
      <c r="W127" s="55" t="e">
        <f>W126+ATM_Conf!$C$5*(H126-G126)/(Links!H$191*Links!W$191)</f>
        <v>#DIV/0!</v>
      </c>
      <c r="X127" s="55" t="e">
        <f>X126+ATM_Conf!$C$5*(I126-H126)/(Links!I$191*Links!X$191)</f>
        <v>#DIV/0!</v>
      </c>
      <c r="Y127" s="55" t="e">
        <f>Y126+ATM_Conf!$C$5*(J126)/(Links!J$191*Links!Y$191)</f>
        <v>#DIV/0!</v>
      </c>
      <c r="Z127" s="55" t="e">
        <f>Z126+ATM_Conf!$C$5*(K126-J126)/(Links!K$191*Links!Z$191)</f>
        <v>#DIV/0!</v>
      </c>
      <c r="AA127" s="55" t="e">
        <f>AA126+ATM_Conf!$C$5*(L126-K126)/(Links!L$191*Links!AA$191)</f>
        <v>#DIV/0!</v>
      </c>
      <c r="AB127" s="55" t="e">
        <f>AB126+ATM_Conf!$C$5*(M126-L126)/(Links!M$191*Links!AB$191)</f>
        <v>#DIV/0!</v>
      </c>
      <c r="AC127" s="55" t="e">
        <f>AC126+ATM_Conf!$C$5*(N126-M126)/(Links!N$191*Links!AC$191)</f>
        <v>#DIV/0!</v>
      </c>
      <c r="AD127" s="55" t="e">
        <f>AD126+ATM_Conf!$C$5*(O126-N126)/(Links!O$191*Links!AD$191)</f>
        <v>#DIV/0!</v>
      </c>
      <c r="AE127" s="55" t="e">
        <f>AE126+ATM_Conf!$C$5*(P126-O126)/(Links!P$191*Links!AE$191)</f>
        <v>#DIV/0!</v>
      </c>
      <c r="AF127" s="45" t="e">
        <f>AF126+(ATM_Conf!$C$5/ATM_Conf!$C$8)*(Links!AU126*EXP((-(Links!Q126/Links!BJ126)^Links!BY126)/Links!BY126)-Links!AF126)-(ATM_Conf!$C$9*ATM_Conf!$C$5/(ATM_Conf!$C$8*Links!Q$191))*(Nodes!BO126-Links!Q126)/(Links!Q126/ATM_Conf!$C$10)</f>
        <v>#DIV/0!</v>
      </c>
      <c r="AG127" s="45" t="e">
        <f>AG126+(ATM_Conf!$C$5/ATM_Conf!$C$8)*(Links!AV126*EXP((-(Links!R126/Links!BK126)^Links!BZ126)/Links!BZ126)-Links!AG126)+(ATM_Conf!$C$5/Links!R$191)*Links!AG126*(Nodes!BB126-Links!AG126)-(ATM_Conf!$C$9*ATM_Conf!$C$5/(ATM_Conf!$C$8*Links!R$191))*(Nodes!BP126-Links!R126)/(Links!R126/ATM_Conf!$C$10)</f>
        <v>#DIV/0!</v>
      </c>
      <c r="AH127" s="45" t="e">
        <f>AH126+(ATM_Conf!$C$5/ATM_Conf!$C$8)*(Links!AW126*EXP((-(Links!S126/Links!BL126)^Links!CA126)/Links!CA126)-Links!AH126)+(ATM_Conf!$C$5/Links!S$191)*Links!AH126*(Nodes!BC126-Links!AH126)-(ATM_Conf!$C$9*ATM_Conf!$C$5/(ATM_Conf!$C$8*Links!S$191))*(Nodes!BQ126-Links!S126)/(Links!S126/ATM_Conf!$C$10)</f>
        <v>#DIV/0!</v>
      </c>
      <c r="AI127" s="45" t="e">
        <f>AI126+(ATM_Conf!$C$5/ATM_Conf!$C$8)*(Links!AX126*EXP((-(Links!T126/Links!BM126)^Links!CB126)/Links!CB126)-Links!AI126)+(ATM_Conf!$C$5/Links!T$191)*Links!AI126*(Nodes!BD126-Links!AI126)-(ATM_Conf!$C$9*ATM_Conf!$C$5/(ATM_Conf!$C$8*Links!T$191))*(Nodes!BR126-Links!T126)/(Links!T126/ATM_Conf!$C$10)</f>
        <v>#DIV/0!</v>
      </c>
      <c r="AJ127" s="45" t="e">
        <f>AJ126+(ATM_Conf!$C$5/ATM_Conf!$C$8)*(Links!AY126*EXP((-(Links!U126/Links!BN126)^Links!CC126)/Links!CC126)-Links!AJ126)+(ATM_Conf!$C$5/Links!U$191)*Links!AJ126*(Nodes!BE126-Links!AJ126)-(ATM_Conf!$C$9*ATM_Conf!$C$5/(ATM_Conf!$C$8*Links!U$191))*(Nodes!BS126-Links!U126)/(Links!U126/ATM_Conf!$C$10)</f>
        <v>#DIV/0!</v>
      </c>
      <c r="AK127" s="45" t="e">
        <f>AK126+(ATM_Conf!$C$5/ATM_Conf!$C$8)*(Links!AZ126*EXP((-(Links!V126/Links!BO126)^Links!CD126)/Links!CD126)-Links!AK126)+(ATM_Conf!$C$5/Links!V$191)*Links!AK126*(Nodes!BF126-Links!AK126)-(ATM_Conf!$C$9*ATM_Conf!$C$5/(ATM_Conf!$C$8*Links!V$191))*(Nodes!BT126-Links!V126)/(Links!V126/ATM_Conf!$C$10)</f>
        <v>#DIV/0!</v>
      </c>
      <c r="AL127" s="45" t="e">
        <f>AL126+(ATM_Conf!$C$5/ATM_Conf!$C$8)*(Links!BA126*EXP((-(Links!W126/Links!BP126)^Links!CE126)/Links!CE126)-Links!AL126)+(ATM_Conf!$C$5/Links!W$191)*Links!AL126*(Nodes!BG126-Links!AL126)-(ATM_Conf!$C$9*ATM_Conf!$C$5/(ATM_Conf!$C$8*Links!W$191))*(Nodes!BU126-Links!W126)/(Links!W126/ATM_Conf!$C$10)</f>
        <v>#DIV/0!</v>
      </c>
      <c r="AM127" s="45" t="e">
        <f>AM126+(ATM_Conf!$C$5/ATM_Conf!$C$8)*(Links!BB126*EXP((-(Links!X126/Links!BQ126)^Links!CF126)/Links!CF126)-Links!AM126)+(ATM_Conf!$C$5/Links!X$191)*Links!AM126*(Nodes!BH126-Links!AM126)</f>
        <v>#DIV/0!</v>
      </c>
      <c r="AN127" s="45" t="e">
        <f>AN126+(ATM_Conf!$C$5/ATM_Conf!$C$8)*(Links!BC126*EXP((-(Links!Y126/Links!BR126)^Links!CG126)/Links!CG126)-Links!AN126)-(ATM_Conf!$C$9*ATM_Conf!$C$5/(ATM_Conf!$C$8*Links!Y$191))*(Nodes!BV126-Links!Y126)/(Links!Y126/ATM_Conf!$C$10)</f>
        <v>#DIV/0!</v>
      </c>
      <c r="AO127" s="45" t="e">
        <f>AO126+(ATM_Conf!$C$5/ATM_Conf!$C$8)*(Links!BD126*EXP((-(Links!Z126/Links!BS126)^Links!CH126)/Links!CH126)-Links!AO126)+(ATM_Conf!$C$5/Links!Z$191)*Links!AO126*(Nodes!BI126-Links!AO126)-(ATM_Conf!$C$9*ATM_Conf!$C$5/(ATM_Conf!$C$8*Links!Z$191))*(Nodes!BW126-Links!Z126)/(Links!Z126/ATM_Conf!$C$10)</f>
        <v>#DIV/0!</v>
      </c>
      <c r="AP127" s="45" t="e">
        <f>AP126+(ATM_Conf!$C$5/ATM_Conf!$C$8)*(Links!BE126*EXP((-(Links!AA126/Links!BT126)^Links!CI126)/Links!CI126)-Links!AP126)+(ATM_Conf!$C$5/Links!AA$191)*Links!AP126*(Nodes!BJ126-Links!AP126)-(ATM_Conf!$C$9*ATM_Conf!$C$5/(ATM_Conf!$C$8*Links!AA$191))*(Nodes!BX126-Links!AA126)/(Links!AA126/ATM_Conf!$C$10)</f>
        <v>#DIV/0!</v>
      </c>
      <c r="AQ127" s="45" t="e">
        <f>AQ126+(ATM_Conf!$C$5/ATM_Conf!$C$8)*(Links!BF126*EXP((-(Links!AB126/Links!BU126)^Links!CJ126)/Links!CJ126)-Links!AQ126)+(ATM_Conf!$C$5/Links!AB$191)*Links!AQ126*(Nodes!BK126-Links!AQ126)-(ATM_Conf!$C$9*ATM_Conf!$C$5/(ATM_Conf!$C$8*Links!AB$191))*(Nodes!BY126-Links!AB126)/(Links!AB126/ATM_Conf!$C$10)</f>
        <v>#DIV/0!</v>
      </c>
      <c r="AR127" s="45" t="e">
        <f>AR126+(ATM_Conf!$C$5/ATM_Conf!$C$8)*(Links!BG126*EXP((-(Links!AC126/Links!BV126)^Links!CK126)/Links!CK126)-Links!AR126)+(ATM_Conf!$C$5/Links!AC$191)*Links!AR126*(Nodes!BL126-Links!AR126)-(ATM_Conf!$C$9*ATM_Conf!$C$5/(ATM_Conf!$C$8*Links!AC$191))*(Nodes!BZ126-Links!AC126)/(Links!AC126/ATM_Conf!$C$10)</f>
        <v>#DIV/0!</v>
      </c>
      <c r="AS127" s="45" t="e">
        <f>AS126+(ATM_Conf!$C$5/ATM_Conf!$C$8)*(Links!BH126*EXP((-(Links!AD126/Links!BW126)^Links!CL126)/Links!CL126)-Links!AS126)+(ATM_Conf!$C$5/Links!AD$191)*Links!AS126*(Nodes!BM126-Links!AS126)-(ATM_Conf!$C$9*ATM_Conf!$C$5/(ATM_Conf!$C$8*Links!AD$191))*(Nodes!CA126-Links!AD126)/(Links!AD126/ATM_Conf!$C$10)</f>
        <v>#DIV/0!</v>
      </c>
      <c r="AT127" s="45" t="e">
        <f>AT126+(ATM_Conf!$C$5/ATM_Conf!$C$8)*(Links!BI126*EXP((-(Links!AE126/Links!BX126)^Links!CM126)/Links!CM126)-Links!AT126)+(ATM_Conf!$C$5/Links!AE$191)*Links!AT126*(Nodes!BN126-Links!AT126)</f>
        <v>#DIV/0!</v>
      </c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45">
        <f t="shared" si="63"/>
        <v>0</v>
      </c>
      <c r="CO127" s="45">
        <f t="shared" si="63"/>
        <v>0</v>
      </c>
      <c r="CP127" s="45">
        <f t="shared" si="63"/>
        <v>0</v>
      </c>
      <c r="CQ127" s="45">
        <f t="shared" si="63"/>
        <v>0</v>
      </c>
      <c r="CR127" s="45">
        <f t="shared" si="63"/>
        <v>0</v>
      </c>
      <c r="CS127" s="45">
        <f t="shared" si="63"/>
        <v>0</v>
      </c>
      <c r="CT127" s="45">
        <f t="shared" si="63"/>
        <v>0</v>
      </c>
      <c r="CU127" s="45">
        <f t="shared" si="63"/>
        <v>0</v>
      </c>
      <c r="CV127" s="45">
        <f t="shared" si="63"/>
        <v>0</v>
      </c>
      <c r="CW127" s="45">
        <f t="shared" si="63"/>
        <v>0</v>
      </c>
      <c r="CX127" s="45">
        <f t="shared" si="63"/>
        <v>0</v>
      </c>
      <c r="CY127" s="45">
        <f t="shared" si="63"/>
        <v>0</v>
      </c>
      <c r="CZ127" s="45">
        <f t="shared" si="63"/>
        <v>0</v>
      </c>
      <c r="DA127" s="45">
        <f t="shared" si="63"/>
        <v>0</v>
      </c>
      <c r="DB127" s="45">
        <f t="shared" si="63"/>
        <v>0</v>
      </c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</row>
    <row r="128" spans="1:121" ht="14.25" x14ac:dyDescent="0.15">
      <c r="A128" s="48">
        <v>126</v>
      </c>
      <c r="B128" s="45" t="e">
        <f t="shared" si="34"/>
        <v>#DIV/0!</v>
      </c>
      <c r="C128" s="45" t="e">
        <f t="shared" si="35"/>
        <v>#DIV/0!</v>
      </c>
      <c r="D128" s="45" t="e">
        <f t="shared" si="36"/>
        <v>#DIV/0!</v>
      </c>
      <c r="E128" s="45" t="e">
        <f t="shared" si="37"/>
        <v>#DIV/0!</v>
      </c>
      <c r="F128" s="45" t="e">
        <f t="shared" si="38"/>
        <v>#DIV/0!</v>
      </c>
      <c r="G128" s="45" t="e">
        <f t="shared" si="39"/>
        <v>#DIV/0!</v>
      </c>
      <c r="H128" s="45" t="e">
        <f t="shared" si="40"/>
        <v>#DIV/0!</v>
      </c>
      <c r="I128" s="45" t="e">
        <f t="shared" si="41"/>
        <v>#DIV/0!</v>
      </c>
      <c r="J128" s="45" t="e">
        <f t="shared" si="42"/>
        <v>#DIV/0!</v>
      </c>
      <c r="K128" s="45" t="e">
        <f t="shared" si="43"/>
        <v>#DIV/0!</v>
      </c>
      <c r="L128" s="45" t="e">
        <f t="shared" si="44"/>
        <v>#DIV/0!</v>
      </c>
      <c r="M128" s="45" t="e">
        <f t="shared" si="45"/>
        <v>#DIV/0!</v>
      </c>
      <c r="N128" s="45" t="e">
        <f t="shared" si="46"/>
        <v>#DIV/0!</v>
      </c>
      <c r="O128" s="45" t="e">
        <f t="shared" si="47"/>
        <v>#DIV/0!</v>
      </c>
      <c r="P128" s="45" t="e">
        <f t="shared" si="48"/>
        <v>#DIV/0!</v>
      </c>
      <c r="Q128" s="55" t="e">
        <f>Q127+ATM_Conf!$C$5*(B127)/(Links!B$191*Links!Q$191)</f>
        <v>#DIV/0!</v>
      </c>
      <c r="R128" s="55" t="e">
        <f>R127+ATM_Conf!$C$5*(C127-B127)/(Links!C$191*Links!R$191)</f>
        <v>#DIV/0!</v>
      </c>
      <c r="S128" s="55" t="e">
        <f>S127+ATM_Conf!$C$5*(D127-C127)/(Links!D$191*Links!S$191)</f>
        <v>#DIV/0!</v>
      </c>
      <c r="T128" s="55" t="e">
        <f>T127+ATM_Conf!$C$5*(E127-D127)/(Links!E$191*Links!T$191)</f>
        <v>#DIV/0!</v>
      </c>
      <c r="U128" s="55" t="e">
        <f>U127+ATM_Conf!$C$5*(F127-E127)/(Links!F$191*Links!U$191)</f>
        <v>#DIV/0!</v>
      </c>
      <c r="V128" s="55" t="e">
        <f>V127+ATM_Conf!$C$5*(G127-F127)/(Links!G$191*Links!V$191)</f>
        <v>#DIV/0!</v>
      </c>
      <c r="W128" s="55" t="e">
        <f>W127+ATM_Conf!$C$5*(H127-G127)/(Links!H$191*Links!W$191)</f>
        <v>#DIV/0!</v>
      </c>
      <c r="X128" s="55" t="e">
        <f>X127+ATM_Conf!$C$5*(I127-H127)/(Links!I$191*Links!X$191)</f>
        <v>#DIV/0!</v>
      </c>
      <c r="Y128" s="55" t="e">
        <f>Y127+ATM_Conf!$C$5*(J127)/(Links!J$191*Links!Y$191)</f>
        <v>#DIV/0!</v>
      </c>
      <c r="Z128" s="55" t="e">
        <f>Z127+ATM_Conf!$C$5*(K127-J127)/(Links!K$191*Links!Z$191)</f>
        <v>#DIV/0!</v>
      </c>
      <c r="AA128" s="55" t="e">
        <f>AA127+ATM_Conf!$C$5*(L127-K127)/(Links!L$191*Links!AA$191)</f>
        <v>#DIV/0!</v>
      </c>
      <c r="AB128" s="55" t="e">
        <f>AB127+ATM_Conf!$C$5*(M127-L127)/(Links!M$191*Links!AB$191)</f>
        <v>#DIV/0!</v>
      </c>
      <c r="AC128" s="55" t="e">
        <f>AC127+ATM_Conf!$C$5*(N127-M127)/(Links!N$191*Links!AC$191)</f>
        <v>#DIV/0!</v>
      </c>
      <c r="AD128" s="55" t="e">
        <f>AD127+ATM_Conf!$C$5*(O127-N127)/(Links!O$191*Links!AD$191)</f>
        <v>#DIV/0!</v>
      </c>
      <c r="AE128" s="55" t="e">
        <f>AE127+ATM_Conf!$C$5*(P127-O127)/(Links!P$191*Links!AE$191)</f>
        <v>#DIV/0!</v>
      </c>
      <c r="AF128" s="45" t="e">
        <f>AF127+(ATM_Conf!$C$5/ATM_Conf!$C$8)*(Links!AU127*EXP((-(Links!Q127/Links!BJ127)^Links!BY127)/Links!BY127)-Links!AF127)-(ATM_Conf!$C$9*ATM_Conf!$C$5/(ATM_Conf!$C$8*Links!Q$191))*(Nodes!BO127-Links!Q127)/(Links!Q127/ATM_Conf!$C$10)</f>
        <v>#DIV/0!</v>
      </c>
      <c r="AG128" s="45" t="e">
        <f>AG127+(ATM_Conf!$C$5/ATM_Conf!$C$8)*(Links!AV127*EXP((-(Links!R127/Links!BK127)^Links!BZ127)/Links!BZ127)-Links!AG127)+(ATM_Conf!$C$5/Links!R$191)*Links!AG127*(Nodes!BB127-Links!AG127)-(ATM_Conf!$C$9*ATM_Conf!$C$5/(ATM_Conf!$C$8*Links!R$191))*(Nodes!BP127-Links!R127)/(Links!R127/ATM_Conf!$C$10)</f>
        <v>#DIV/0!</v>
      </c>
      <c r="AH128" s="45" t="e">
        <f>AH127+(ATM_Conf!$C$5/ATM_Conf!$C$8)*(Links!AW127*EXP((-(Links!S127/Links!BL127)^Links!CA127)/Links!CA127)-Links!AH127)+(ATM_Conf!$C$5/Links!S$191)*Links!AH127*(Nodes!BC127-Links!AH127)-(ATM_Conf!$C$9*ATM_Conf!$C$5/(ATM_Conf!$C$8*Links!S$191))*(Nodes!BQ127-Links!S127)/(Links!S127/ATM_Conf!$C$10)</f>
        <v>#DIV/0!</v>
      </c>
      <c r="AI128" s="45" t="e">
        <f>AI127+(ATM_Conf!$C$5/ATM_Conf!$C$8)*(Links!AX127*EXP((-(Links!T127/Links!BM127)^Links!CB127)/Links!CB127)-Links!AI127)+(ATM_Conf!$C$5/Links!T$191)*Links!AI127*(Nodes!BD127-Links!AI127)-(ATM_Conf!$C$9*ATM_Conf!$C$5/(ATM_Conf!$C$8*Links!T$191))*(Nodes!BR127-Links!T127)/(Links!T127/ATM_Conf!$C$10)</f>
        <v>#DIV/0!</v>
      </c>
      <c r="AJ128" s="45" t="e">
        <f>AJ127+(ATM_Conf!$C$5/ATM_Conf!$C$8)*(Links!AY127*EXP((-(Links!U127/Links!BN127)^Links!CC127)/Links!CC127)-Links!AJ127)+(ATM_Conf!$C$5/Links!U$191)*Links!AJ127*(Nodes!BE127-Links!AJ127)-(ATM_Conf!$C$9*ATM_Conf!$C$5/(ATM_Conf!$C$8*Links!U$191))*(Nodes!BS127-Links!U127)/(Links!U127/ATM_Conf!$C$10)</f>
        <v>#DIV/0!</v>
      </c>
      <c r="AK128" s="45" t="e">
        <f>AK127+(ATM_Conf!$C$5/ATM_Conf!$C$8)*(Links!AZ127*EXP((-(Links!V127/Links!BO127)^Links!CD127)/Links!CD127)-Links!AK127)+(ATM_Conf!$C$5/Links!V$191)*Links!AK127*(Nodes!BF127-Links!AK127)-(ATM_Conf!$C$9*ATM_Conf!$C$5/(ATM_Conf!$C$8*Links!V$191))*(Nodes!BT127-Links!V127)/(Links!V127/ATM_Conf!$C$10)</f>
        <v>#DIV/0!</v>
      </c>
      <c r="AL128" s="45" t="e">
        <f>AL127+(ATM_Conf!$C$5/ATM_Conf!$C$8)*(Links!BA127*EXP((-(Links!W127/Links!BP127)^Links!CE127)/Links!CE127)-Links!AL127)+(ATM_Conf!$C$5/Links!W$191)*Links!AL127*(Nodes!BG127-Links!AL127)-(ATM_Conf!$C$9*ATM_Conf!$C$5/(ATM_Conf!$C$8*Links!W$191))*(Nodes!BU127-Links!W127)/(Links!W127/ATM_Conf!$C$10)</f>
        <v>#DIV/0!</v>
      </c>
      <c r="AM128" s="45" t="e">
        <f>AM127+(ATM_Conf!$C$5/ATM_Conf!$C$8)*(Links!BB127*EXP((-(Links!X127/Links!BQ127)^Links!CF127)/Links!CF127)-Links!AM127)+(ATM_Conf!$C$5/Links!X$191)*Links!AM127*(Nodes!BH127-Links!AM127)</f>
        <v>#DIV/0!</v>
      </c>
      <c r="AN128" s="45" t="e">
        <f>AN127+(ATM_Conf!$C$5/ATM_Conf!$C$8)*(Links!BC127*EXP((-(Links!Y127/Links!BR127)^Links!CG127)/Links!CG127)-Links!AN127)-(ATM_Conf!$C$9*ATM_Conf!$C$5/(ATM_Conf!$C$8*Links!Y$191))*(Nodes!BV127-Links!Y127)/(Links!Y127/ATM_Conf!$C$10)</f>
        <v>#DIV/0!</v>
      </c>
      <c r="AO128" s="45" t="e">
        <f>AO127+(ATM_Conf!$C$5/ATM_Conf!$C$8)*(Links!BD127*EXP((-(Links!Z127/Links!BS127)^Links!CH127)/Links!CH127)-Links!AO127)+(ATM_Conf!$C$5/Links!Z$191)*Links!AO127*(Nodes!BI127-Links!AO127)-(ATM_Conf!$C$9*ATM_Conf!$C$5/(ATM_Conf!$C$8*Links!Z$191))*(Nodes!BW127-Links!Z127)/(Links!Z127/ATM_Conf!$C$10)</f>
        <v>#DIV/0!</v>
      </c>
      <c r="AP128" s="45" t="e">
        <f>AP127+(ATM_Conf!$C$5/ATM_Conf!$C$8)*(Links!BE127*EXP((-(Links!AA127/Links!BT127)^Links!CI127)/Links!CI127)-Links!AP127)+(ATM_Conf!$C$5/Links!AA$191)*Links!AP127*(Nodes!BJ127-Links!AP127)-(ATM_Conf!$C$9*ATM_Conf!$C$5/(ATM_Conf!$C$8*Links!AA$191))*(Nodes!BX127-Links!AA127)/(Links!AA127/ATM_Conf!$C$10)</f>
        <v>#DIV/0!</v>
      </c>
      <c r="AQ128" s="45" t="e">
        <f>AQ127+(ATM_Conf!$C$5/ATM_Conf!$C$8)*(Links!BF127*EXP((-(Links!AB127/Links!BU127)^Links!CJ127)/Links!CJ127)-Links!AQ127)+(ATM_Conf!$C$5/Links!AB$191)*Links!AQ127*(Nodes!BK127-Links!AQ127)-(ATM_Conf!$C$9*ATM_Conf!$C$5/(ATM_Conf!$C$8*Links!AB$191))*(Nodes!BY127-Links!AB127)/(Links!AB127/ATM_Conf!$C$10)</f>
        <v>#DIV/0!</v>
      </c>
      <c r="AR128" s="45" t="e">
        <f>AR127+(ATM_Conf!$C$5/ATM_Conf!$C$8)*(Links!BG127*EXP((-(Links!AC127/Links!BV127)^Links!CK127)/Links!CK127)-Links!AR127)+(ATM_Conf!$C$5/Links!AC$191)*Links!AR127*(Nodes!BL127-Links!AR127)-(ATM_Conf!$C$9*ATM_Conf!$C$5/(ATM_Conf!$C$8*Links!AC$191))*(Nodes!BZ127-Links!AC127)/(Links!AC127/ATM_Conf!$C$10)</f>
        <v>#DIV/0!</v>
      </c>
      <c r="AS128" s="45" t="e">
        <f>AS127+(ATM_Conf!$C$5/ATM_Conf!$C$8)*(Links!BH127*EXP((-(Links!AD127/Links!BW127)^Links!CL127)/Links!CL127)-Links!AS127)+(ATM_Conf!$C$5/Links!AD$191)*Links!AS127*(Nodes!BM127-Links!AS127)-(ATM_Conf!$C$9*ATM_Conf!$C$5/(ATM_Conf!$C$8*Links!AD$191))*(Nodes!CA127-Links!AD127)/(Links!AD127/ATM_Conf!$C$10)</f>
        <v>#DIV/0!</v>
      </c>
      <c r="AT128" s="45" t="e">
        <f>AT127+(ATM_Conf!$C$5/ATM_Conf!$C$8)*(Links!BI127*EXP((-(Links!AE127/Links!BX127)^Links!CM127)/Links!CM127)-Links!AT127)+(ATM_Conf!$C$5/Links!AE$191)*Links!AT127*(Nodes!BN127-Links!AT127)</f>
        <v>#DIV/0!</v>
      </c>
      <c r="AU128" s="55"/>
      <c r="AV128" s="55"/>
      <c r="AW128" s="55"/>
      <c r="AX128" s="55"/>
      <c r="AY128" s="55"/>
      <c r="AZ128" s="55"/>
      <c r="BA128" s="55"/>
      <c r="BB128" s="55"/>
      <c r="BC128" s="55"/>
      <c r="BD128" s="55"/>
      <c r="BE128" s="55"/>
      <c r="BF128" s="55"/>
      <c r="BG128" s="55"/>
      <c r="BH128" s="55"/>
      <c r="BI128" s="55"/>
      <c r="BJ128" s="45"/>
      <c r="BK128" s="45"/>
      <c r="BL128" s="45"/>
      <c r="BM128" s="45"/>
      <c r="BN128" s="45"/>
      <c r="BO128" s="45"/>
      <c r="BP128" s="45"/>
      <c r="BQ128" s="45"/>
      <c r="BR128" s="45"/>
      <c r="BS128" s="45"/>
      <c r="BT128" s="45"/>
      <c r="BU128" s="45"/>
      <c r="BV128" s="45"/>
      <c r="BW128" s="45"/>
      <c r="BX128" s="45"/>
      <c r="BY128" s="55"/>
      <c r="BZ128" s="55"/>
      <c r="CA128" s="55"/>
      <c r="CB128" s="55"/>
      <c r="CC128" s="55"/>
      <c r="CD128" s="55"/>
      <c r="CE128" s="55"/>
      <c r="CF128" s="55"/>
      <c r="CG128" s="55"/>
      <c r="CH128" s="55"/>
      <c r="CI128" s="55"/>
      <c r="CJ128" s="55"/>
      <c r="CK128" s="55"/>
      <c r="CL128" s="55"/>
      <c r="CM128" s="55"/>
      <c r="CN128" s="45">
        <f t="shared" si="63"/>
        <v>0</v>
      </c>
      <c r="CO128" s="45">
        <f t="shared" si="63"/>
        <v>0</v>
      </c>
      <c r="CP128" s="45">
        <f t="shared" si="63"/>
        <v>0</v>
      </c>
      <c r="CQ128" s="45">
        <f t="shared" si="63"/>
        <v>0</v>
      </c>
      <c r="CR128" s="45">
        <f t="shared" si="63"/>
        <v>0</v>
      </c>
      <c r="CS128" s="45">
        <f t="shared" si="63"/>
        <v>0</v>
      </c>
      <c r="CT128" s="45">
        <f t="shared" si="63"/>
        <v>0</v>
      </c>
      <c r="CU128" s="45">
        <f t="shared" si="63"/>
        <v>0</v>
      </c>
      <c r="CV128" s="45">
        <f t="shared" si="63"/>
        <v>0</v>
      </c>
      <c r="CW128" s="45">
        <f t="shared" si="63"/>
        <v>0</v>
      </c>
      <c r="CX128" s="45">
        <f t="shared" si="63"/>
        <v>0</v>
      </c>
      <c r="CY128" s="45">
        <f t="shared" si="63"/>
        <v>0</v>
      </c>
      <c r="CZ128" s="45">
        <f t="shared" si="63"/>
        <v>0</v>
      </c>
      <c r="DA128" s="45">
        <f t="shared" si="63"/>
        <v>0</v>
      </c>
      <c r="DB128" s="45">
        <f t="shared" si="63"/>
        <v>0</v>
      </c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</row>
    <row r="129" spans="1:121" ht="14.25" x14ac:dyDescent="0.15">
      <c r="A129" s="48">
        <v>127</v>
      </c>
      <c r="B129" s="45" t="e">
        <f t="shared" si="34"/>
        <v>#DIV/0!</v>
      </c>
      <c r="C129" s="45" t="e">
        <f t="shared" si="35"/>
        <v>#DIV/0!</v>
      </c>
      <c r="D129" s="45" t="e">
        <f t="shared" si="36"/>
        <v>#DIV/0!</v>
      </c>
      <c r="E129" s="45" t="e">
        <f t="shared" si="37"/>
        <v>#DIV/0!</v>
      </c>
      <c r="F129" s="45" t="e">
        <f t="shared" si="38"/>
        <v>#DIV/0!</v>
      </c>
      <c r="G129" s="45" t="e">
        <f t="shared" si="39"/>
        <v>#DIV/0!</v>
      </c>
      <c r="H129" s="45" t="e">
        <f t="shared" si="40"/>
        <v>#DIV/0!</v>
      </c>
      <c r="I129" s="45" t="e">
        <f t="shared" si="41"/>
        <v>#DIV/0!</v>
      </c>
      <c r="J129" s="45" t="e">
        <f t="shared" si="42"/>
        <v>#DIV/0!</v>
      </c>
      <c r="K129" s="45" t="e">
        <f t="shared" si="43"/>
        <v>#DIV/0!</v>
      </c>
      <c r="L129" s="45" t="e">
        <f t="shared" si="44"/>
        <v>#DIV/0!</v>
      </c>
      <c r="M129" s="45" t="e">
        <f t="shared" si="45"/>
        <v>#DIV/0!</v>
      </c>
      <c r="N129" s="45" t="e">
        <f t="shared" si="46"/>
        <v>#DIV/0!</v>
      </c>
      <c r="O129" s="45" t="e">
        <f t="shared" si="47"/>
        <v>#DIV/0!</v>
      </c>
      <c r="P129" s="45" t="e">
        <f t="shared" si="48"/>
        <v>#DIV/0!</v>
      </c>
      <c r="Q129" s="55" t="e">
        <f>Q128+ATM_Conf!$C$5*(B128)/(Links!B$191*Links!Q$191)</f>
        <v>#DIV/0!</v>
      </c>
      <c r="R129" s="55" t="e">
        <f>R128+ATM_Conf!$C$5*(C128-B128)/(Links!C$191*Links!R$191)</f>
        <v>#DIV/0!</v>
      </c>
      <c r="S129" s="55" t="e">
        <f>S128+ATM_Conf!$C$5*(D128-C128)/(Links!D$191*Links!S$191)</f>
        <v>#DIV/0!</v>
      </c>
      <c r="T129" s="55" t="e">
        <f>T128+ATM_Conf!$C$5*(E128-D128)/(Links!E$191*Links!T$191)</f>
        <v>#DIV/0!</v>
      </c>
      <c r="U129" s="55" t="e">
        <f>U128+ATM_Conf!$C$5*(F128-E128)/(Links!F$191*Links!U$191)</f>
        <v>#DIV/0!</v>
      </c>
      <c r="V129" s="55" t="e">
        <f>V128+ATM_Conf!$C$5*(G128-F128)/(Links!G$191*Links!V$191)</f>
        <v>#DIV/0!</v>
      </c>
      <c r="W129" s="55" t="e">
        <f>W128+ATM_Conf!$C$5*(H128-G128)/(Links!H$191*Links!W$191)</f>
        <v>#DIV/0!</v>
      </c>
      <c r="X129" s="55" t="e">
        <f>X128+ATM_Conf!$C$5*(I128-H128)/(Links!I$191*Links!X$191)</f>
        <v>#DIV/0!</v>
      </c>
      <c r="Y129" s="55" t="e">
        <f>Y128+ATM_Conf!$C$5*(J128)/(Links!J$191*Links!Y$191)</f>
        <v>#DIV/0!</v>
      </c>
      <c r="Z129" s="55" t="e">
        <f>Z128+ATM_Conf!$C$5*(K128-J128)/(Links!K$191*Links!Z$191)</f>
        <v>#DIV/0!</v>
      </c>
      <c r="AA129" s="55" t="e">
        <f>AA128+ATM_Conf!$C$5*(L128-K128)/(Links!L$191*Links!AA$191)</f>
        <v>#DIV/0!</v>
      </c>
      <c r="AB129" s="55" t="e">
        <f>AB128+ATM_Conf!$C$5*(M128-L128)/(Links!M$191*Links!AB$191)</f>
        <v>#DIV/0!</v>
      </c>
      <c r="AC129" s="55" t="e">
        <f>AC128+ATM_Conf!$C$5*(N128-M128)/(Links!N$191*Links!AC$191)</f>
        <v>#DIV/0!</v>
      </c>
      <c r="AD129" s="55" t="e">
        <f>AD128+ATM_Conf!$C$5*(O128-N128)/(Links!O$191*Links!AD$191)</f>
        <v>#DIV/0!</v>
      </c>
      <c r="AE129" s="55" t="e">
        <f>AE128+ATM_Conf!$C$5*(P128-O128)/(Links!P$191*Links!AE$191)</f>
        <v>#DIV/0!</v>
      </c>
      <c r="AF129" s="45" t="e">
        <f>AF128+(ATM_Conf!$C$5/ATM_Conf!$C$8)*(Links!AU128*EXP((-(Links!Q128/Links!BJ128)^Links!BY128)/Links!BY128)-Links!AF128)-(ATM_Conf!$C$9*ATM_Conf!$C$5/(ATM_Conf!$C$8*Links!Q$191))*(Nodes!BO128-Links!Q128)/(Links!Q128/ATM_Conf!$C$10)</f>
        <v>#DIV/0!</v>
      </c>
      <c r="AG129" s="45" t="e">
        <f>AG128+(ATM_Conf!$C$5/ATM_Conf!$C$8)*(Links!AV128*EXP((-(Links!R128/Links!BK128)^Links!BZ128)/Links!BZ128)-Links!AG128)+(ATM_Conf!$C$5/Links!R$191)*Links!AG128*(Nodes!BB128-Links!AG128)-(ATM_Conf!$C$9*ATM_Conf!$C$5/(ATM_Conf!$C$8*Links!R$191))*(Nodes!BP128-Links!R128)/(Links!R128/ATM_Conf!$C$10)</f>
        <v>#DIV/0!</v>
      </c>
      <c r="AH129" s="45" t="e">
        <f>AH128+(ATM_Conf!$C$5/ATM_Conf!$C$8)*(Links!AW128*EXP((-(Links!S128/Links!BL128)^Links!CA128)/Links!CA128)-Links!AH128)+(ATM_Conf!$C$5/Links!S$191)*Links!AH128*(Nodes!BC128-Links!AH128)-(ATM_Conf!$C$9*ATM_Conf!$C$5/(ATM_Conf!$C$8*Links!S$191))*(Nodes!BQ128-Links!S128)/(Links!S128/ATM_Conf!$C$10)</f>
        <v>#DIV/0!</v>
      </c>
      <c r="AI129" s="45" t="e">
        <f>AI128+(ATM_Conf!$C$5/ATM_Conf!$C$8)*(Links!AX128*EXP((-(Links!T128/Links!BM128)^Links!CB128)/Links!CB128)-Links!AI128)+(ATM_Conf!$C$5/Links!T$191)*Links!AI128*(Nodes!BD128-Links!AI128)-(ATM_Conf!$C$9*ATM_Conf!$C$5/(ATM_Conf!$C$8*Links!T$191))*(Nodes!BR128-Links!T128)/(Links!T128/ATM_Conf!$C$10)</f>
        <v>#DIV/0!</v>
      </c>
      <c r="AJ129" s="45" t="e">
        <f>AJ128+(ATM_Conf!$C$5/ATM_Conf!$C$8)*(Links!AY128*EXP((-(Links!U128/Links!BN128)^Links!CC128)/Links!CC128)-Links!AJ128)+(ATM_Conf!$C$5/Links!U$191)*Links!AJ128*(Nodes!BE128-Links!AJ128)-(ATM_Conf!$C$9*ATM_Conf!$C$5/(ATM_Conf!$C$8*Links!U$191))*(Nodes!BS128-Links!U128)/(Links!U128/ATM_Conf!$C$10)</f>
        <v>#DIV/0!</v>
      </c>
      <c r="AK129" s="45" t="e">
        <f>AK128+(ATM_Conf!$C$5/ATM_Conf!$C$8)*(Links!AZ128*EXP((-(Links!V128/Links!BO128)^Links!CD128)/Links!CD128)-Links!AK128)+(ATM_Conf!$C$5/Links!V$191)*Links!AK128*(Nodes!BF128-Links!AK128)-(ATM_Conf!$C$9*ATM_Conf!$C$5/(ATM_Conf!$C$8*Links!V$191))*(Nodes!BT128-Links!V128)/(Links!V128/ATM_Conf!$C$10)</f>
        <v>#DIV/0!</v>
      </c>
      <c r="AL129" s="45" t="e">
        <f>AL128+(ATM_Conf!$C$5/ATM_Conf!$C$8)*(Links!BA128*EXP((-(Links!W128/Links!BP128)^Links!CE128)/Links!CE128)-Links!AL128)+(ATM_Conf!$C$5/Links!W$191)*Links!AL128*(Nodes!BG128-Links!AL128)-(ATM_Conf!$C$9*ATM_Conf!$C$5/(ATM_Conf!$C$8*Links!W$191))*(Nodes!BU128-Links!W128)/(Links!W128/ATM_Conf!$C$10)</f>
        <v>#DIV/0!</v>
      </c>
      <c r="AM129" s="45" t="e">
        <f>AM128+(ATM_Conf!$C$5/ATM_Conf!$C$8)*(Links!BB128*EXP((-(Links!X128/Links!BQ128)^Links!CF128)/Links!CF128)-Links!AM128)+(ATM_Conf!$C$5/Links!X$191)*Links!AM128*(Nodes!BH128-Links!AM128)</f>
        <v>#DIV/0!</v>
      </c>
      <c r="AN129" s="45" t="e">
        <f>AN128+(ATM_Conf!$C$5/ATM_Conf!$C$8)*(Links!BC128*EXP((-(Links!Y128/Links!BR128)^Links!CG128)/Links!CG128)-Links!AN128)-(ATM_Conf!$C$9*ATM_Conf!$C$5/(ATM_Conf!$C$8*Links!Y$191))*(Nodes!BV128-Links!Y128)/(Links!Y128/ATM_Conf!$C$10)</f>
        <v>#DIV/0!</v>
      </c>
      <c r="AO129" s="45" t="e">
        <f>AO128+(ATM_Conf!$C$5/ATM_Conf!$C$8)*(Links!BD128*EXP((-(Links!Z128/Links!BS128)^Links!CH128)/Links!CH128)-Links!AO128)+(ATM_Conf!$C$5/Links!Z$191)*Links!AO128*(Nodes!BI128-Links!AO128)-(ATM_Conf!$C$9*ATM_Conf!$C$5/(ATM_Conf!$C$8*Links!Z$191))*(Nodes!BW128-Links!Z128)/(Links!Z128/ATM_Conf!$C$10)</f>
        <v>#DIV/0!</v>
      </c>
      <c r="AP129" s="45" t="e">
        <f>AP128+(ATM_Conf!$C$5/ATM_Conf!$C$8)*(Links!BE128*EXP((-(Links!AA128/Links!BT128)^Links!CI128)/Links!CI128)-Links!AP128)+(ATM_Conf!$C$5/Links!AA$191)*Links!AP128*(Nodes!BJ128-Links!AP128)-(ATM_Conf!$C$9*ATM_Conf!$C$5/(ATM_Conf!$C$8*Links!AA$191))*(Nodes!BX128-Links!AA128)/(Links!AA128/ATM_Conf!$C$10)</f>
        <v>#DIV/0!</v>
      </c>
      <c r="AQ129" s="45" t="e">
        <f>AQ128+(ATM_Conf!$C$5/ATM_Conf!$C$8)*(Links!BF128*EXP((-(Links!AB128/Links!BU128)^Links!CJ128)/Links!CJ128)-Links!AQ128)+(ATM_Conf!$C$5/Links!AB$191)*Links!AQ128*(Nodes!BK128-Links!AQ128)-(ATM_Conf!$C$9*ATM_Conf!$C$5/(ATM_Conf!$C$8*Links!AB$191))*(Nodes!BY128-Links!AB128)/(Links!AB128/ATM_Conf!$C$10)</f>
        <v>#DIV/0!</v>
      </c>
      <c r="AR129" s="45" t="e">
        <f>AR128+(ATM_Conf!$C$5/ATM_Conf!$C$8)*(Links!BG128*EXP((-(Links!AC128/Links!BV128)^Links!CK128)/Links!CK128)-Links!AR128)+(ATM_Conf!$C$5/Links!AC$191)*Links!AR128*(Nodes!BL128-Links!AR128)-(ATM_Conf!$C$9*ATM_Conf!$C$5/(ATM_Conf!$C$8*Links!AC$191))*(Nodes!BZ128-Links!AC128)/(Links!AC128/ATM_Conf!$C$10)</f>
        <v>#DIV/0!</v>
      </c>
      <c r="AS129" s="45" t="e">
        <f>AS128+(ATM_Conf!$C$5/ATM_Conf!$C$8)*(Links!BH128*EXP((-(Links!AD128/Links!BW128)^Links!CL128)/Links!CL128)-Links!AS128)+(ATM_Conf!$C$5/Links!AD$191)*Links!AS128*(Nodes!BM128-Links!AS128)-(ATM_Conf!$C$9*ATM_Conf!$C$5/(ATM_Conf!$C$8*Links!AD$191))*(Nodes!CA128-Links!AD128)/(Links!AD128/ATM_Conf!$C$10)</f>
        <v>#DIV/0!</v>
      </c>
      <c r="AT129" s="45" t="e">
        <f>AT128+(ATM_Conf!$C$5/ATM_Conf!$C$8)*(Links!BI128*EXP((-(Links!AE128/Links!BX128)^Links!CM128)/Links!CM128)-Links!AT128)+(ATM_Conf!$C$5/Links!AE$191)*Links!AT128*(Nodes!BN128-Links!AT128)</f>
        <v>#DIV/0!</v>
      </c>
      <c r="AU129" s="55"/>
      <c r="AV129" s="55"/>
      <c r="AW129" s="55"/>
      <c r="AX129" s="55"/>
      <c r="AY129" s="55"/>
      <c r="AZ129" s="55"/>
      <c r="BA129" s="55"/>
      <c r="BB129" s="55"/>
      <c r="BC129" s="55"/>
      <c r="BD129" s="55"/>
      <c r="BE129" s="55"/>
      <c r="BF129" s="55"/>
      <c r="BG129" s="55"/>
      <c r="BH129" s="55"/>
      <c r="BI129" s="5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W129" s="45"/>
      <c r="BX129" s="45"/>
      <c r="BY129" s="55"/>
      <c r="BZ129" s="55"/>
      <c r="CA129" s="55"/>
      <c r="CB129" s="55"/>
      <c r="CC129" s="55"/>
      <c r="CD129" s="55"/>
      <c r="CE129" s="55"/>
      <c r="CF129" s="55"/>
      <c r="CG129" s="55"/>
      <c r="CH129" s="55"/>
      <c r="CI129" s="55"/>
      <c r="CJ129" s="55"/>
      <c r="CK129" s="55"/>
      <c r="CL129" s="55"/>
      <c r="CM129" s="55"/>
      <c r="CN129" s="45">
        <f t="shared" si="63"/>
        <v>0</v>
      </c>
      <c r="CO129" s="45">
        <f t="shared" si="63"/>
        <v>0</v>
      </c>
      <c r="CP129" s="45">
        <f t="shared" si="63"/>
        <v>0</v>
      </c>
      <c r="CQ129" s="45">
        <f t="shared" si="63"/>
        <v>0</v>
      </c>
      <c r="CR129" s="45">
        <f t="shared" si="63"/>
        <v>0</v>
      </c>
      <c r="CS129" s="45">
        <f t="shared" si="63"/>
        <v>0</v>
      </c>
      <c r="CT129" s="45">
        <f t="shared" si="63"/>
        <v>0</v>
      </c>
      <c r="CU129" s="45">
        <f t="shared" si="63"/>
        <v>0</v>
      </c>
      <c r="CV129" s="45">
        <f t="shared" si="63"/>
        <v>0</v>
      </c>
      <c r="CW129" s="45">
        <f t="shared" si="63"/>
        <v>0</v>
      </c>
      <c r="CX129" s="45">
        <f t="shared" si="63"/>
        <v>0</v>
      </c>
      <c r="CY129" s="45">
        <f t="shared" si="63"/>
        <v>0</v>
      </c>
      <c r="CZ129" s="45">
        <f t="shared" si="63"/>
        <v>0</v>
      </c>
      <c r="DA129" s="45">
        <f t="shared" si="63"/>
        <v>0</v>
      </c>
      <c r="DB129" s="45">
        <f t="shared" si="63"/>
        <v>0</v>
      </c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</row>
    <row r="130" spans="1:121" ht="14.25" x14ac:dyDescent="0.15">
      <c r="A130" s="48">
        <v>128</v>
      </c>
      <c r="B130" s="45" t="e">
        <f t="shared" si="34"/>
        <v>#DIV/0!</v>
      </c>
      <c r="C130" s="45" t="e">
        <f t="shared" si="35"/>
        <v>#DIV/0!</v>
      </c>
      <c r="D130" s="45" t="e">
        <f t="shared" si="36"/>
        <v>#DIV/0!</v>
      </c>
      <c r="E130" s="45" t="e">
        <f t="shared" si="37"/>
        <v>#DIV/0!</v>
      </c>
      <c r="F130" s="45" t="e">
        <f t="shared" si="38"/>
        <v>#DIV/0!</v>
      </c>
      <c r="G130" s="45" t="e">
        <f t="shared" si="39"/>
        <v>#DIV/0!</v>
      </c>
      <c r="H130" s="45" t="e">
        <f t="shared" si="40"/>
        <v>#DIV/0!</v>
      </c>
      <c r="I130" s="45" t="e">
        <f t="shared" si="41"/>
        <v>#DIV/0!</v>
      </c>
      <c r="J130" s="45" t="e">
        <f t="shared" si="42"/>
        <v>#DIV/0!</v>
      </c>
      <c r="K130" s="45" t="e">
        <f t="shared" si="43"/>
        <v>#DIV/0!</v>
      </c>
      <c r="L130" s="45" t="e">
        <f t="shared" si="44"/>
        <v>#DIV/0!</v>
      </c>
      <c r="M130" s="45" t="e">
        <f t="shared" si="45"/>
        <v>#DIV/0!</v>
      </c>
      <c r="N130" s="45" t="e">
        <f t="shared" si="46"/>
        <v>#DIV/0!</v>
      </c>
      <c r="O130" s="45" t="e">
        <f t="shared" si="47"/>
        <v>#DIV/0!</v>
      </c>
      <c r="P130" s="45" t="e">
        <f t="shared" si="48"/>
        <v>#DIV/0!</v>
      </c>
      <c r="Q130" s="55" t="e">
        <f>Q129+ATM_Conf!$C$5*(B129)/(Links!B$191*Links!Q$191)</f>
        <v>#DIV/0!</v>
      </c>
      <c r="R130" s="55" t="e">
        <f>R129+ATM_Conf!$C$5*(C129-B129)/(Links!C$191*Links!R$191)</f>
        <v>#DIV/0!</v>
      </c>
      <c r="S130" s="55" t="e">
        <f>S129+ATM_Conf!$C$5*(D129-C129)/(Links!D$191*Links!S$191)</f>
        <v>#DIV/0!</v>
      </c>
      <c r="T130" s="55" t="e">
        <f>T129+ATM_Conf!$C$5*(E129-D129)/(Links!E$191*Links!T$191)</f>
        <v>#DIV/0!</v>
      </c>
      <c r="U130" s="55" t="e">
        <f>U129+ATM_Conf!$C$5*(F129-E129)/(Links!F$191*Links!U$191)</f>
        <v>#DIV/0!</v>
      </c>
      <c r="V130" s="55" t="e">
        <f>V129+ATM_Conf!$C$5*(G129-F129)/(Links!G$191*Links!V$191)</f>
        <v>#DIV/0!</v>
      </c>
      <c r="W130" s="55" t="e">
        <f>W129+ATM_Conf!$C$5*(H129-G129)/(Links!H$191*Links!W$191)</f>
        <v>#DIV/0!</v>
      </c>
      <c r="X130" s="55" t="e">
        <f>X129+ATM_Conf!$C$5*(I129-H129)/(Links!I$191*Links!X$191)</f>
        <v>#DIV/0!</v>
      </c>
      <c r="Y130" s="55" t="e">
        <f>Y129+ATM_Conf!$C$5*(J129)/(Links!J$191*Links!Y$191)</f>
        <v>#DIV/0!</v>
      </c>
      <c r="Z130" s="55" t="e">
        <f>Z129+ATM_Conf!$C$5*(K129-J129)/(Links!K$191*Links!Z$191)</f>
        <v>#DIV/0!</v>
      </c>
      <c r="AA130" s="55" t="e">
        <f>AA129+ATM_Conf!$C$5*(L129-K129)/(Links!L$191*Links!AA$191)</f>
        <v>#DIV/0!</v>
      </c>
      <c r="AB130" s="55" t="e">
        <f>AB129+ATM_Conf!$C$5*(M129-L129)/(Links!M$191*Links!AB$191)</f>
        <v>#DIV/0!</v>
      </c>
      <c r="AC130" s="55" t="e">
        <f>AC129+ATM_Conf!$C$5*(N129-M129)/(Links!N$191*Links!AC$191)</f>
        <v>#DIV/0!</v>
      </c>
      <c r="AD130" s="55" t="e">
        <f>AD129+ATM_Conf!$C$5*(O129-N129)/(Links!O$191*Links!AD$191)</f>
        <v>#DIV/0!</v>
      </c>
      <c r="AE130" s="55" t="e">
        <f>AE129+ATM_Conf!$C$5*(P129-O129)/(Links!P$191*Links!AE$191)</f>
        <v>#DIV/0!</v>
      </c>
      <c r="AF130" s="45" t="e">
        <f>AF129+(ATM_Conf!$C$5/ATM_Conf!$C$8)*(Links!AU129*EXP((-(Links!Q129/Links!BJ129)^Links!BY129)/Links!BY129)-Links!AF129)-(ATM_Conf!$C$9*ATM_Conf!$C$5/(ATM_Conf!$C$8*Links!Q$191))*(Nodes!BO129-Links!Q129)/(Links!Q129/ATM_Conf!$C$10)</f>
        <v>#DIV/0!</v>
      </c>
      <c r="AG130" s="45" t="e">
        <f>AG129+(ATM_Conf!$C$5/ATM_Conf!$C$8)*(Links!AV129*EXP((-(Links!R129/Links!BK129)^Links!BZ129)/Links!BZ129)-Links!AG129)+(ATM_Conf!$C$5/Links!R$191)*Links!AG129*(Nodes!BB129-Links!AG129)-(ATM_Conf!$C$9*ATM_Conf!$C$5/(ATM_Conf!$C$8*Links!R$191))*(Nodes!BP129-Links!R129)/(Links!R129/ATM_Conf!$C$10)</f>
        <v>#DIV/0!</v>
      </c>
      <c r="AH130" s="45" t="e">
        <f>AH129+(ATM_Conf!$C$5/ATM_Conf!$C$8)*(Links!AW129*EXP((-(Links!S129/Links!BL129)^Links!CA129)/Links!CA129)-Links!AH129)+(ATM_Conf!$C$5/Links!S$191)*Links!AH129*(Nodes!BC129-Links!AH129)-(ATM_Conf!$C$9*ATM_Conf!$C$5/(ATM_Conf!$C$8*Links!S$191))*(Nodes!BQ129-Links!S129)/(Links!S129/ATM_Conf!$C$10)</f>
        <v>#DIV/0!</v>
      </c>
      <c r="AI130" s="45" t="e">
        <f>AI129+(ATM_Conf!$C$5/ATM_Conf!$C$8)*(Links!AX129*EXP((-(Links!T129/Links!BM129)^Links!CB129)/Links!CB129)-Links!AI129)+(ATM_Conf!$C$5/Links!T$191)*Links!AI129*(Nodes!BD129-Links!AI129)-(ATM_Conf!$C$9*ATM_Conf!$C$5/(ATM_Conf!$C$8*Links!T$191))*(Nodes!BR129-Links!T129)/(Links!T129/ATM_Conf!$C$10)</f>
        <v>#DIV/0!</v>
      </c>
      <c r="AJ130" s="45" t="e">
        <f>AJ129+(ATM_Conf!$C$5/ATM_Conf!$C$8)*(Links!AY129*EXP((-(Links!U129/Links!BN129)^Links!CC129)/Links!CC129)-Links!AJ129)+(ATM_Conf!$C$5/Links!U$191)*Links!AJ129*(Nodes!BE129-Links!AJ129)-(ATM_Conf!$C$9*ATM_Conf!$C$5/(ATM_Conf!$C$8*Links!U$191))*(Nodes!BS129-Links!U129)/(Links!U129/ATM_Conf!$C$10)</f>
        <v>#DIV/0!</v>
      </c>
      <c r="AK130" s="45" t="e">
        <f>AK129+(ATM_Conf!$C$5/ATM_Conf!$C$8)*(Links!AZ129*EXP((-(Links!V129/Links!BO129)^Links!CD129)/Links!CD129)-Links!AK129)+(ATM_Conf!$C$5/Links!V$191)*Links!AK129*(Nodes!BF129-Links!AK129)-(ATM_Conf!$C$9*ATM_Conf!$C$5/(ATM_Conf!$C$8*Links!V$191))*(Nodes!BT129-Links!V129)/(Links!V129/ATM_Conf!$C$10)</f>
        <v>#DIV/0!</v>
      </c>
      <c r="AL130" s="45" t="e">
        <f>AL129+(ATM_Conf!$C$5/ATM_Conf!$C$8)*(Links!BA129*EXP((-(Links!W129/Links!BP129)^Links!CE129)/Links!CE129)-Links!AL129)+(ATM_Conf!$C$5/Links!W$191)*Links!AL129*(Nodes!BG129-Links!AL129)-(ATM_Conf!$C$9*ATM_Conf!$C$5/(ATM_Conf!$C$8*Links!W$191))*(Nodes!BU129-Links!W129)/(Links!W129/ATM_Conf!$C$10)</f>
        <v>#DIV/0!</v>
      </c>
      <c r="AM130" s="45" t="e">
        <f>AM129+(ATM_Conf!$C$5/ATM_Conf!$C$8)*(Links!BB129*EXP((-(Links!X129/Links!BQ129)^Links!CF129)/Links!CF129)-Links!AM129)+(ATM_Conf!$C$5/Links!X$191)*Links!AM129*(Nodes!BH129-Links!AM129)</f>
        <v>#DIV/0!</v>
      </c>
      <c r="AN130" s="45" t="e">
        <f>AN129+(ATM_Conf!$C$5/ATM_Conf!$C$8)*(Links!BC129*EXP((-(Links!Y129/Links!BR129)^Links!CG129)/Links!CG129)-Links!AN129)-(ATM_Conf!$C$9*ATM_Conf!$C$5/(ATM_Conf!$C$8*Links!Y$191))*(Nodes!BV129-Links!Y129)/(Links!Y129/ATM_Conf!$C$10)</f>
        <v>#DIV/0!</v>
      </c>
      <c r="AO130" s="45" t="e">
        <f>AO129+(ATM_Conf!$C$5/ATM_Conf!$C$8)*(Links!BD129*EXP((-(Links!Z129/Links!BS129)^Links!CH129)/Links!CH129)-Links!AO129)+(ATM_Conf!$C$5/Links!Z$191)*Links!AO129*(Nodes!BI129-Links!AO129)-(ATM_Conf!$C$9*ATM_Conf!$C$5/(ATM_Conf!$C$8*Links!Z$191))*(Nodes!BW129-Links!Z129)/(Links!Z129/ATM_Conf!$C$10)</f>
        <v>#DIV/0!</v>
      </c>
      <c r="AP130" s="45" t="e">
        <f>AP129+(ATM_Conf!$C$5/ATM_Conf!$C$8)*(Links!BE129*EXP((-(Links!AA129/Links!BT129)^Links!CI129)/Links!CI129)-Links!AP129)+(ATM_Conf!$C$5/Links!AA$191)*Links!AP129*(Nodes!BJ129-Links!AP129)-(ATM_Conf!$C$9*ATM_Conf!$C$5/(ATM_Conf!$C$8*Links!AA$191))*(Nodes!BX129-Links!AA129)/(Links!AA129/ATM_Conf!$C$10)</f>
        <v>#DIV/0!</v>
      </c>
      <c r="AQ130" s="45" t="e">
        <f>AQ129+(ATM_Conf!$C$5/ATM_Conf!$C$8)*(Links!BF129*EXP((-(Links!AB129/Links!BU129)^Links!CJ129)/Links!CJ129)-Links!AQ129)+(ATM_Conf!$C$5/Links!AB$191)*Links!AQ129*(Nodes!BK129-Links!AQ129)-(ATM_Conf!$C$9*ATM_Conf!$C$5/(ATM_Conf!$C$8*Links!AB$191))*(Nodes!BY129-Links!AB129)/(Links!AB129/ATM_Conf!$C$10)</f>
        <v>#DIV/0!</v>
      </c>
      <c r="AR130" s="45" t="e">
        <f>AR129+(ATM_Conf!$C$5/ATM_Conf!$C$8)*(Links!BG129*EXP((-(Links!AC129/Links!BV129)^Links!CK129)/Links!CK129)-Links!AR129)+(ATM_Conf!$C$5/Links!AC$191)*Links!AR129*(Nodes!BL129-Links!AR129)-(ATM_Conf!$C$9*ATM_Conf!$C$5/(ATM_Conf!$C$8*Links!AC$191))*(Nodes!BZ129-Links!AC129)/(Links!AC129/ATM_Conf!$C$10)</f>
        <v>#DIV/0!</v>
      </c>
      <c r="AS130" s="45" t="e">
        <f>AS129+(ATM_Conf!$C$5/ATM_Conf!$C$8)*(Links!BH129*EXP((-(Links!AD129/Links!BW129)^Links!CL129)/Links!CL129)-Links!AS129)+(ATM_Conf!$C$5/Links!AD$191)*Links!AS129*(Nodes!BM129-Links!AS129)-(ATM_Conf!$C$9*ATM_Conf!$C$5/(ATM_Conf!$C$8*Links!AD$191))*(Nodes!CA129-Links!AD129)/(Links!AD129/ATM_Conf!$C$10)</f>
        <v>#DIV/0!</v>
      </c>
      <c r="AT130" s="45" t="e">
        <f>AT129+(ATM_Conf!$C$5/ATM_Conf!$C$8)*(Links!BI129*EXP((-(Links!AE129/Links!BX129)^Links!CM129)/Links!CM129)-Links!AT129)+(ATM_Conf!$C$5/Links!AE$191)*Links!AT129*(Nodes!BN129-Links!AT129)</f>
        <v>#DIV/0!</v>
      </c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45"/>
      <c r="BK130" s="45"/>
      <c r="BL130" s="45"/>
      <c r="BM130" s="45"/>
      <c r="BN130" s="45"/>
      <c r="BO130" s="45"/>
      <c r="BP130" s="45"/>
      <c r="BQ130" s="45"/>
      <c r="BR130" s="45"/>
      <c r="BS130" s="45"/>
      <c r="BT130" s="45"/>
      <c r="BU130" s="45"/>
      <c r="BV130" s="45"/>
      <c r="BW130" s="45"/>
      <c r="BX130" s="45"/>
      <c r="BY130" s="55"/>
      <c r="BZ130" s="55"/>
      <c r="CA130" s="55"/>
      <c r="CB130" s="55"/>
      <c r="CC130" s="55"/>
      <c r="CD130" s="55"/>
      <c r="CE130" s="55"/>
      <c r="CF130" s="55"/>
      <c r="CG130" s="55"/>
      <c r="CH130" s="55"/>
      <c r="CI130" s="55"/>
      <c r="CJ130" s="55"/>
      <c r="CK130" s="55"/>
      <c r="CL130" s="55"/>
      <c r="CM130" s="55"/>
      <c r="CN130" s="45">
        <f t="shared" si="63"/>
        <v>0</v>
      </c>
      <c r="CO130" s="45">
        <f t="shared" si="63"/>
        <v>0</v>
      </c>
      <c r="CP130" s="45">
        <f t="shared" si="63"/>
        <v>0</v>
      </c>
      <c r="CQ130" s="45">
        <f t="shared" si="63"/>
        <v>0</v>
      </c>
      <c r="CR130" s="45">
        <f t="shared" si="63"/>
        <v>0</v>
      </c>
      <c r="CS130" s="45">
        <f t="shared" si="63"/>
        <v>0</v>
      </c>
      <c r="CT130" s="45">
        <f t="shared" si="63"/>
        <v>0</v>
      </c>
      <c r="CU130" s="45">
        <f t="shared" si="63"/>
        <v>0</v>
      </c>
      <c r="CV130" s="45">
        <f t="shared" si="63"/>
        <v>0</v>
      </c>
      <c r="CW130" s="45">
        <f t="shared" si="63"/>
        <v>0</v>
      </c>
      <c r="CX130" s="45">
        <f t="shared" si="63"/>
        <v>0</v>
      </c>
      <c r="CY130" s="45">
        <f t="shared" si="63"/>
        <v>0</v>
      </c>
      <c r="CZ130" s="45">
        <f t="shared" si="63"/>
        <v>0</v>
      </c>
      <c r="DA130" s="45">
        <f t="shared" si="63"/>
        <v>0</v>
      </c>
      <c r="DB130" s="45">
        <f t="shared" si="63"/>
        <v>0</v>
      </c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</row>
    <row r="131" spans="1:121" ht="14.25" x14ac:dyDescent="0.15">
      <c r="A131" s="48">
        <v>129</v>
      </c>
      <c r="B131" s="45" t="e">
        <f t="shared" si="34"/>
        <v>#DIV/0!</v>
      </c>
      <c r="C131" s="45" t="e">
        <f t="shared" si="35"/>
        <v>#DIV/0!</v>
      </c>
      <c r="D131" s="45" t="e">
        <f t="shared" si="36"/>
        <v>#DIV/0!</v>
      </c>
      <c r="E131" s="45" t="e">
        <f t="shared" si="37"/>
        <v>#DIV/0!</v>
      </c>
      <c r="F131" s="45" t="e">
        <f t="shared" si="38"/>
        <v>#DIV/0!</v>
      </c>
      <c r="G131" s="45" t="e">
        <f t="shared" si="39"/>
        <v>#DIV/0!</v>
      </c>
      <c r="H131" s="45" t="e">
        <f t="shared" si="40"/>
        <v>#DIV/0!</v>
      </c>
      <c r="I131" s="45" t="e">
        <f t="shared" si="41"/>
        <v>#DIV/0!</v>
      </c>
      <c r="J131" s="45" t="e">
        <f t="shared" si="42"/>
        <v>#DIV/0!</v>
      </c>
      <c r="K131" s="45" t="e">
        <f t="shared" si="43"/>
        <v>#DIV/0!</v>
      </c>
      <c r="L131" s="45" t="e">
        <f t="shared" si="44"/>
        <v>#DIV/0!</v>
      </c>
      <c r="M131" s="45" t="e">
        <f t="shared" si="45"/>
        <v>#DIV/0!</v>
      </c>
      <c r="N131" s="45" t="e">
        <f t="shared" si="46"/>
        <v>#DIV/0!</v>
      </c>
      <c r="O131" s="45" t="e">
        <f t="shared" si="47"/>
        <v>#DIV/0!</v>
      </c>
      <c r="P131" s="45" t="e">
        <f t="shared" si="48"/>
        <v>#DIV/0!</v>
      </c>
      <c r="Q131" s="55" t="e">
        <f>Q130+ATM_Conf!$C$5*(B130)/(Links!B$191*Links!Q$191)</f>
        <v>#DIV/0!</v>
      </c>
      <c r="R131" s="55" t="e">
        <f>R130+ATM_Conf!$C$5*(C130-B130)/(Links!C$191*Links!R$191)</f>
        <v>#DIV/0!</v>
      </c>
      <c r="S131" s="55" t="e">
        <f>S130+ATM_Conf!$C$5*(D130-C130)/(Links!D$191*Links!S$191)</f>
        <v>#DIV/0!</v>
      </c>
      <c r="T131" s="55" t="e">
        <f>T130+ATM_Conf!$C$5*(E130-D130)/(Links!E$191*Links!T$191)</f>
        <v>#DIV/0!</v>
      </c>
      <c r="U131" s="55" t="e">
        <f>U130+ATM_Conf!$C$5*(F130-E130)/(Links!F$191*Links!U$191)</f>
        <v>#DIV/0!</v>
      </c>
      <c r="V131" s="55" t="e">
        <f>V130+ATM_Conf!$C$5*(G130-F130)/(Links!G$191*Links!V$191)</f>
        <v>#DIV/0!</v>
      </c>
      <c r="W131" s="55" t="e">
        <f>W130+ATM_Conf!$C$5*(H130-G130)/(Links!H$191*Links!W$191)</f>
        <v>#DIV/0!</v>
      </c>
      <c r="X131" s="55" t="e">
        <f>X130+ATM_Conf!$C$5*(I130-H130)/(Links!I$191*Links!X$191)</f>
        <v>#DIV/0!</v>
      </c>
      <c r="Y131" s="55" t="e">
        <f>Y130+ATM_Conf!$C$5*(J130)/(Links!J$191*Links!Y$191)</f>
        <v>#DIV/0!</v>
      </c>
      <c r="Z131" s="55" t="e">
        <f>Z130+ATM_Conf!$C$5*(K130-J130)/(Links!K$191*Links!Z$191)</f>
        <v>#DIV/0!</v>
      </c>
      <c r="AA131" s="55" t="e">
        <f>AA130+ATM_Conf!$C$5*(L130-K130)/(Links!L$191*Links!AA$191)</f>
        <v>#DIV/0!</v>
      </c>
      <c r="AB131" s="55" t="e">
        <f>AB130+ATM_Conf!$C$5*(M130-L130)/(Links!M$191*Links!AB$191)</f>
        <v>#DIV/0!</v>
      </c>
      <c r="AC131" s="55" t="e">
        <f>AC130+ATM_Conf!$C$5*(N130-M130)/(Links!N$191*Links!AC$191)</f>
        <v>#DIV/0!</v>
      </c>
      <c r="AD131" s="55" t="e">
        <f>AD130+ATM_Conf!$C$5*(O130-N130)/(Links!O$191*Links!AD$191)</f>
        <v>#DIV/0!</v>
      </c>
      <c r="AE131" s="55" t="e">
        <f>AE130+ATM_Conf!$C$5*(P130-O130)/(Links!P$191*Links!AE$191)</f>
        <v>#DIV/0!</v>
      </c>
      <c r="AF131" s="45" t="e">
        <f>AF130+(ATM_Conf!$C$5/ATM_Conf!$C$8)*(Links!AU130*EXP((-(Links!Q130/Links!BJ130)^Links!BY130)/Links!BY130)-Links!AF130)-(ATM_Conf!$C$9*ATM_Conf!$C$5/(ATM_Conf!$C$8*Links!Q$191))*(Nodes!BO130-Links!Q130)/(Links!Q130/ATM_Conf!$C$10)</f>
        <v>#DIV/0!</v>
      </c>
      <c r="AG131" s="45" t="e">
        <f>AG130+(ATM_Conf!$C$5/ATM_Conf!$C$8)*(Links!AV130*EXP((-(Links!R130/Links!BK130)^Links!BZ130)/Links!BZ130)-Links!AG130)+(ATM_Conf!$C$5/Links!R$191)*Links!AG130*(Nodes!BB130-Links!AG130)-(ATM_Conf!$C$9*ATM_Conf!$C$5/(ATM_Conf!$C$8*Links!R$191))*(Nodes!BP130-Links!R130)/(Links!R130/ATM_Conf!$C$10)</f>
        <v>#DIV/0!</v>
      </c>
      <c r="AH131" s="45" t="e">
        <f>AH130+(ATM_Conf!$C$5/ATM_Conf!$C$8)*(Links!AW130*EXP((-(Links!S130/Links!BL130)^Links!CA130)/Links!CA130)-Links!AH130)+(ATM_Conf!$C$5/Links!S$191)*Links!AH130*(Nodes!BC130-Links!AH130)-(ATM_Conf!$C$9*ATM_Conf!$C$5/(ATM_Conf!$C$8*Links!S$191))*(Nodes!BQ130-Links!S130)/(Links!S130/ATM_Conf!$C$10)</f>
        <v>#DIV/0!</v>
      </c>
      <c r="AI131" s="45" t="e">
        <f>AI130+(ATM_Conf!$C$5/ATM_Conf!$C$8)*(Links!AX130*EXP((-(Links!T130/Links!BM130)^Links!CB130)/Links!CB130)-Links!AI130)+(ATM_Conf!$C$5/Links!T$191)*Links!AI130*(Nodes!BD130-Links!AI130)-(ATM_Conf!$C$9*ATM_Conf!$C$5/(ATM_Conf!$C$8*Links!T$191))*(Nodes!BR130-Links!T130)/(Links!T130/ATM_Conf!$C$10)</f>
        <v>#DIV/0!</v>
      </c>
      <c r="AJ131" s="45" t="e">
        <f>AJ130+(ATM_Conf!$C$5/ATM_Conf!$C$8)*(Links!AY130*EXP((-(Links!U130/Links!BN130)^Links!CC130)/Links!CC130)-Links!AJ130)+(ATM_Conf!$C$5/Links!U$191)*Links!AJ130*(Nodes!BE130-Links!AJ130)-(ATM_Conf!$C$9*ATM_Conf!$C$5/(ATM_Conf!$C$8*Links!U$191))*(Nodes!BS130-Links!U130)/(Links!U130/ATM_Conf!$C$10)</f>
        <v>#DIV/0!</v>
      </c>
      <c r="AK131" s="45" t="e">
        <f>AK130+(ATM_Conf!$C$5/ATM_Conf!$C$8)*(Links!AZ130*EXP((-(Links!V130/Links!BO130)^Links!CD130)/Links!CD130)-Links!AK130)+(ATM_Conf!$C$5/Links!V$191)*Links!AK130*(Nodes!BF130-Links!AK130)-(ATM_Conf!$C$9*ATM_Conf!$C$5/(ATM_Conf!$C$8*Links!V$191))*(Nodes!BT130-Links!V130)/(Links!V130/ATM_Conf!$C$10)</f>
        <v>#DIV/0!</v>
      </c>
      <c r="AL131" s="45" t="e">
        <f>AL130+(ATM_Conf!$C$5/ATM_Conf!$C$8)*(Links!BA130*EXP((-(Links!W130/Links!BP130)^Links!CE130)/Links!CE130)-Links!AL130)+(ATM_Conf!$C$5/Links!W$191)*Links!AL130*(Nodes!BG130-Links!AL130)-(ATM_Conf!$C$9*ATM_Conf!$C$5/(ATM_Conf!$C$8*Links!W$191))*(Nodes!BU130-Links!W130)/(Links!W130/ATM_Conf!$C$10)</f>
        <v>#DIV/0!</v>
      </c>
      <c r="AM131" s="45" t="e">
        <f>AM130+(ATM_Conf!$C$5/ATM_Conf!$C$8)*(Links!BB130*EXP((-(Links!X130/Links!BQ130)^Links!CF130)/Links!CF130)-Links!AM130)+(ATM_Conf!$C$5/Links!X$191)*Links!AM130*(Nodes!BH130-Links!AM130)</f>
        <v>#DIV/0!</v>
      </c>
      <c r="AN131" s="45" t="e">
        <f>AN130+(ATM_Conf!$C$5/ATM_Conf!$C$8)*(Links!BC130*EXP((-(Links!Y130/Links!BR130)^Links!CG130)/Links!CG130)-Links!AN130)-(ATM_Conf!$C$9*ATM_Conf!$C$5/(ATM_Conf!$C$8*Links!Y$191))*(Nodes!BV130-Links!Y130)/(Links!Y130/ATM_Conf!$C$10)</f>
        <v>#DIV/0!</v>
      </c>
      <c r="AO131" s="45" t="e">
        <f>AO130+(ATM_Conf!$C$5/ATM_Conf!$C$8)*(Links!BD130*EXP((-(Links!Z130/Links!BS130)^Links!CH130)/Links!CH130)-Links!AO130)+(ATM_Conf!$C$5/Links!Z$191)*Links!AO130*(Nodes!BI130-Links!AO130)-(ATM_Conf!$C$9*ATM_Conf!$C$5/(ATM_Conf!$C$8*Links!Z$191))*(Nodes!BW130-Links!Z130)/(Links!Z130/ATM_Conf!$C$10)</f>
        <v>#DIV/0!</v>
      </c>
      <c r="AP131" s="45" t="e">
        <f>AP130+(ATM_Conf!$C$5/ATM_Conf!$C$8)*(Links!BE130*EXP((-(Links!AA130/Links!BT130)^Links!CI130)/Links!CI130)-Links!AP130)+(ATM_Conf!$C$5/Links!AA$191)*Links!AP130*(Nodes!BJ130-Links!AP130)-(ATM_Conf!$C$9*ATM_Conf!$C$5/(ATM_Conf!$C$8*Links!AA$191))*(Nodes!BX130-Links!AA130)/(Links!AA130/ATM_Conf!$C$10)</f>
        <v>#DIV/0!</v>
      </c>
      <c r="AQ131" s="45" t="e">
        <f>AQ130+(ATM_Conf!$C$5/ATM_Conf!$C$8)*(Links!BF130*EXP((-(Links!AB130/Links!BU130)^Links!CJ130)/Links!CJ130)-Links!AQ130)+(ATM_Conf!$C$5/Links!AB$191)*Links!AQ130*(Nodes!BK130-Links!AQ130)-(ATM_Conf!$C$9*ATM_Conf!$C$5/(ATM_Conf!$C$8*Links!AB$191))*(Nodes!BY130-Links!AB130)/(Links!AB130/ATM_Conf!$C$10)</f>
        <v>#DIV/0!</v>
      </c>
      <c r="AR131" s="45" t="e">
        <f>AR130+(ATM_Conf!$C$5/ATM_Conf!$C$8)*(Links!BG130*EXP((-(Links!AC130/Links!BV130)^Links!CK130)/Links!CK130)-Links!AR130)+(ATM_Conf!$C$5/Links!AC$191)*Links!AR130*(Nodes!BL130-Links!AR130)-(ATM_Conf!$C$9*ATM_Conf!$C$5/(ATM_Conf!$C$8*Links!AC$191))*(Nodes!BZ130-Links!AC130)/(Links!AC130/ATM_Conf!$C$10)</f>
        <v>#DIV/0!</v>
      </c>
      <c r="AS131" s="45" t="e">
        <f>AS130+(ATM_Conf!$C$5/ATM_Conf!$C$8)*(Links!BH130*EXP((-(Links!AD130/Links!BW130)^Links!CL130)/Links!CL130)-Links!AS130)+(ATM_Conf!$C$5/Links!AD$191)*Links!AS130*(Nodes!BM130-Links!AS130)-(ATM_Conf!$C$9*ATM_Conf!$C$5/(ATM_Conf!$C$8*Links!AD$191))*(Nodes!CA130-Links!AD130)/(Links!AD130/ATM_Conf!$C$10)</f>
        <v>#DIV/0!</v>
      </c>
      <c r="AT131" s="45" t="e">
        <f>AT130+(ATM_Conf!$C$5/ATM_Conf!$C$8)*(Links!BI130*EXP((-(Links!AE130/Links!BX130)^Links!CM130)/Links!CM130)-Links!AT130)+(ATM_Conf!$C$5/Links!AE$191)*Links!AT130*(Nodes!BN130-Links!AT130)</f>
        <v>#DIV/0!</v>
      </c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45"/>
      <c r="BK131" s="45"/>
      <c r="BL131" s="45"/>
      <c r="BM131" s="45"/>
      <c r="BN131" s="45"/>
      <c r="BO131" s="45"/>
      <c r="BP131" s="45"/>
      <c r="BQ131" s="45"/>
      <c r="BR131" s="45"/>
      <c r="BS131" s="45"/>
      <c r="BT131" s="45"/>
      <c r="BU131" s="45"/>
      <c r="BV131" s="45"/>
      <c r="BW131" s="45"/>
      <c r="BX131" s="45"/>
      <c r="BY131" s="55"/>
      <c r="BZ131" s="55"/>
      <c r="CA131" s="55"/>
      <c r="CB131" s="55"/>
      <c r="CC131" s="55"/>
      <c r="CD131" s="55"/>
      <c r="CE131" s="55"/>
      <c r="CF131" s="55"/>
      <c r="CG131" s="55"/>
      <c r="CH131" s="55"/>
      <c r="CI131" s="55"/>
      <c r="CJ131" s="55"/>
      <c r="CK131" s="55"/>
      <c r="CL131" s="55"/>
      <c r="CM131" s="55"/>
      <c r="CN131" s="45">
        <f t="shared" si="63"/>
        <v>0</v>
      </c>
      <c r="CO131" s="45">
        <f t="shared" si="63"/>
        <v>0</v>
      </c>
      <c r="CP131" s="45">
        <f t="shared" si="63"/>
        <v>0</v>
      </c>
      <c r="CQ131" s="45">
        <f t="shared" si="63"/>
        <v>0</v>
      </c>
      <c r="CR131" s="45">
        <f t="shared" si="63"/>
        <v>0</v>
      </c>
      <c r="CS131" s="45">
        <f t="shared" si="63"/>
        <v>0</v>
      </c>
      <c r="CT131" s="45">
        <f t="shared" si="63"/>
        <v>0</v>
      </c>
      <c r="CU131" s="45">
        <f t="shared" si="63"/>
        <v>0</v>
      </c>
      <c r="CV131" s="45">
        <f t="shared" si="63"/>
        <v>0</v>
      </c>
      <c r="CW131" s="45">
        <f t="shared" si="63"/>
        <v>0</v>
      </c>
      <c r="CX131" s="45">
        <f t="shared" si="63"/>
        <v>0</v>
      </c>
      <c r="CY131" s="45">
        <f t="shared" si="63"/>
        <v>0</v>
      </c>
      <c r="CZ131" s="45">
        <f t="shared" si="63"/>
        <v>0</v>
      </c>
      <c r="DA131" s="45">
        <f t="shared" si="63"/>
        <v>0</v>
      </c>
      <c r="DB131" s="45">
        <f t="shared" si="63"/>
        <v>0</v>
      </c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</row>
    <row r="132" spans="1:121" ht="14.25" x14ac:dyDescent="0.15">
      <c r="A132" s="48">
        <v>130</v>
      </c>
      <c r="B132" s="45" t="e">
        <f t="shared" ref="B132:B182" si="64">Q132*AF132*B$191</f>
        <v>#DIV/0!</v>
      </c>
      <c r="C132" s="45" t="e">
        <f t="shared" ref="C132:C182" si="65">R132*AG132*C$191</f>
        <v>#DIV/0!</v>
      </c>
      <c r="D132" s="45" t="e">
        <f t="shared" ref="D132:D182" si="66">S132*AH132*D$191</f>
        <v>#DIV/0!</v>
      </c>
      <c r="E132" s="45" t="e">
        <f t="shared" ref="E132:E182" si="67">T132*AI132*E$191</f>
        <v>#DIV/0!</v>
      </c>
      <c r="F132" s="45" t="e">
        <f t="shared" ref="F132:F182" si="68">U132*AJ132*F$191</f>
        <v>#DIV/0!</v>
      </c>
      <c r="G132" s="45" t="e">
        <f t="shared" ref="G132:G182" si="69">V132*AK132*G$191</f>
        <v>#DIV/0!</v>
      </c>
      <c r="H132" s="45" t="e">
        <f t="shared" ref="H132:H182" si="70">W132*AL132*H$191</f>
        <v>#DIV/0!</v>
      </c>
      <c r="I132" s="45" t="e">
        <f t="shared" ref="I132:I182" si="71">X132*AM132*I$191</f>
        <v>#DIV/0!</v>
      </c>
      <c r="J132" s="45" t="e">
        <f t="shared" ref="J132:J182" si="72">Y132*AN132*J$191</f>
        <v>#DIV/0!</v>
      </c>
      <c r="K132" s="45" t="e">
        <f t="shared" ref="K132:K182" si="73">Z132*AO132*K$191</f>
        <v>#DIV/0!</v>
      </c>
      <c r="L132" s="45" t="e">
        <f t="shared" ref="L132:L182" si="74">AA132*AP132*L$191</f>
        <v>#DIV/0!</v>
      </c>
      <c r="M132" s="45" t="e">
        <f t="shared" ref="M132:M182" si="75">AB132*AQ132*M$191</f>
        <v>#DIV/0!</v>
      </c>
      <c r="N132" s="45" t="e">
        <f t="shared" ref="N132:N182" si="76">AC132*AR132*N$191</f>
        <v>#DIV/0!</v>
      </c>
      <c r="O132" s="45" t="e">
        <f t="shared" ref="O132:O182" si="77">AD132*AS132*O$191</f>
        <v>#DIV/0!</v>
      </c>
      <c r="P132" s="45" t="e">
        <f t="shared" ref="P132:P182" si="78">AE132*AT132*P$191</f>
        <v>#DIV/0!</v>
      </c>
      <c r="Q132" s="55" t="e">
        <f>Q131+ATM_Conf!$C$5*(B131)/(Links!B$191*Links!Q$191)</f>
        <v>#DIV/0!</v>
      </c>
      <c r="R132" s="55" t="e">
        <f>R131+ATM_Conf!$C$5*(C131-B131)/(Links!C$191*Links!R$191)</f>
        <v>#DIV/0!</v>
      </c>
      <c r="S132" s="55" t="e">
        <f>S131+ATM_Conf!$C$5*(D131-C131)/(Links!D$191*Links!S$191)</f>
        <v>#DIV/0!</v>
      </c>
      <c r="T132" s="55" t="e">
        <f>T131+ATM_Conf!$C$5*(E131-D131)/(Links!E$191*Links!T$191)</f>
        <v>#DIV/0!</v>
      </c>
      <c r="U132" s="55" t="e">
        <f>U131+ATM_Conf!$C$5*(F131-E131)/(Links!F$191*Links!U$191)</f>
        <v>#DIV/0!</v>
      </c>
      <c r="V132" s="55" t="e">
        <f>V131+ATM_Conf!$C$5*(G131-F131)/(Links!G$191*Links!V$191)</f>
        <v>#DIV/0!</v>
      </c>
      <c r="W132" s="55" t="e">
        <f>W131+ATM_Conf!$C$5*(H131-G131)/(Links!H$191*Links!W$191)</f>
        <v>#DIV/0!</v>
      </c>
      <c r="X132" s="55" t="e">
        <f>X131+ATM_Conf!$C$5*(I131-H131)/(Links!I$191*Links!X$191)</f>
        <v>#DIV/0!</v>
      </c>
      <c r="Y132" s="55" t="e">
        <f>Y131+ATM_Conf!$C$5*(J131)/(Links!J$191*Links!Y$191)</f>
        <v>#DIV/0!</v>
      </c>
      <c r="Z132" s="55" t="e">
        <f>Z131+ATM_Conf!$C$5*(K131-J131)/(Links!K$191*Links!Z$191)</f>
        <v>#DIV/0!</v>
      </c>
      <c r="AA132" s="55" t="e">
        <f>AA131+ATM_Conf!$C$5*(L131-K131)/(Links!L$191*Links!AA$191)</f>
        <v>#DIV/0!</v>
      </c>
      <c r="AB132" s="55" t="e">
        <f>AB131+ATM_Conf!$C$5*(M131-L131)/(Links!M$191*Links!AB$191)</f>
        <v>#DIV/0!</v>
      </c>
      <c r="AC132" s="55" t="e">
        <f>AC131+ATM_Conf!$C$5*(N131-M131)/(Links!N$191*Links!AC$191)</f>
        <v>#DIV/0!</v>
      </c>
      <c r="AD132" s="55" t="e">
        <f>AD131+ATM_Conf!$C$5*(O131-N131)/(Links!O$191*Links!AD$191)</f>
        <v>#DIV/0!</v>
      </c>
      <c r="AE132" s="55" t="e">
        <f>AE131+ATM_Conf!$C$5*(P131-O131)/(Links!P$191*Links!AE$191)</f>
        <v>#DIV/0!</v>
      </c>
      <c r="AF132" s="45" t="e">
        <f>AF131+(ATM_Conf!$C$5/ATM_Conf!$C$8)*(Links!AU131*EXP((-(Links!Q131/Links!BJ131)^Links!BY131)/Links!BY131)-Links!AF131)-(ATM_Conf!$C$9*ATM_Conf!$C$5/(ATM_Conf!$C$8*Links!Q$191))*(Nodes!BO131-Links!Q131)/(Links!Q131/ATM_Conf!$C$10)</f>
        <v>#DIV/0!</v>
      </c>
      <c r="AG132" s="45" t="e">
        <f>AG131+(ATM_Conf!$C$5/ATM_Conf!$C$8)*(Links!AV131*EXP((-(Links!R131/Links!BK131)^Links!BZ131)/Links!BZ131)-Links!AG131)+(ATM_Conf!$C$5/Links!R$191)*Links!AG131*(Nodes!BB131-Links!AG131)-(ATM_Conf!$C$9*ATM_Conf!$C$5/(ATM_Conf!$C$8*Links!R$191))*(Nodes!BP131-Links!R131)/(Links!R131/ATM_Conf!$C$10)</f>
        <v>#DIV/0!</v>
      </c>
      <c r="AH132" s="45" t="e">
        <f>AH131+(ATM_Conf!$C$5/ATM_Conf!$C$8)*(Links!AW131*EXP((-(Links!S131/Links!BL131)^Links!CA131)/Links!CA131)-Links!AH131)+(ATM_Conf!$C$5/Links!S$191)*Links!AH131*(Nodes!BC131-Links!AH131)-(ATM_Conf!$C$9*ATM_Conf!$C$5/(ATM_Conf!$C$8*Links!S$191))*(Nodes!BQ131-Links!S131)/(Links!S131/ATM_Conf!$C$10)</f>
        <v>#DIV/0!</v>
      </c>
      <c r="AI132" s="45" t="e">
        <f>AI131+(ATM_Conf!$C$5/ATM_Conf!$C$8)*(Links!AX131*EXP((-(Links!T131/Links!BM131)^Links!CB131)/Links!CB131)-Links!AI131)+(ATM_Conf!$C$5/Links!T$191)*Links!AI131*(Nodes!BD131-Links!AI131)-(ATM_Conf!$C$9*ATM_Conf!$C$5/(ATM_Conf!$C$8*Links!T$191))*(Nodes!BR131-Links!T131)/(Links!T131/ATM_Conf!$C$10)</f>
        <v>#DIV/0!</v>
      </c>
      <c r="AJ132" s="45" t="e">
        <f>AJ131+(ATM_Conf!$C$5/ATM_Conf!$C$8)*(Links!AY131*EXP((-(Links!U131/Links!BN131)^Links!CC131)/Links!CC131)-Links!AJ131)+(ATM_Conf!$C$5/Links!U$191)*Links!AJ131*(Nodes!BE131-Links!AJ131)-(ATM_Conf!$C$9*ATM_Conf!$C$5/(ATM_Conf!$C$8*Links!U$191))*(Nodes!BS131-Links!U131)/(Links!U131/ATM_Conf!$C$10)</f>
        <v>#DIV/0!</v>
      </c>
      <c r="AK132" s="45" t="e">
        <f>AK131+(ATM_Conf!$C$5/ATM_Conf!$C$8)*(Links!AZ131*EXP((-(Links!V131/Links!BO131)^Links!CD131)/Links!CD131)-Links!AK131)+(ATM_Conf!$C$5/Links!V$191)*Links!AK131*(Nodes!BF131-Links!AK131)-(ATM_Conf!$C$9*ATM_Conf!$C$5/(ATM_Conf!$C$8*Links!V$191))*(Nodes!BT131-Links!V131)/(Links!V131/ATM_Conf!$C$10)</f>
        <v>#DIV/0!</v>
      </c>
      <c r="AL132" s="45" t="e">
        <f>AL131+(ATM_Conf!$C$5/ATM_Conf!$C$8)*(Links!BA131*EXP((-(Links!W131/Links!BP131)^Links!CE131)/Links!CE131)-Links!AL131)+(ATM_Conf!$C$5/Links!W$191)*Links!AL131*(Nodes!BG131-Links!AL131)-(ATM_Conf!$C$9*ATM_Conf!$C$5/(ATM_Conf!$C$8*Links!W$191))*(Nodes!BU131-Links!W131)/(Links!W131/ATM_Conf!$C$10)</f>
        <v>#DIV/0!</v>
      </c>
      <c r="AM132" s="45" t="e">
        <f>AM131+(ATM_Conf!$C$5/ATM_Conf!$C$8)*(Links!BB131*EXP((-(Links!X131/Links!BQ131)^Links!CF131)/Links!CF131)-Links!AM131)+(ATM_Conf!$C$5/Links!X$191)*Links!AM131*(Nodes!BH131-Links!AM131)</f>
        <v>#DIV/0!</v>
      </c>
      <c r="AN132" s="45" t="e">
        <f>AN131+(ATM_Conf!$C$5/ATM_Conf!$C$8)*(Links!BC131*EXP((-(Links!Y131/Links!BR131)^Links!CG131)/Links!CG131)-Links!AN131)-(ATM_Conf!$C$9*ATM_Conf!$C$5/(ATM_Conf!$C$8*Links!Y$191))*(Nodes!BV131-Links!Y131)/(Links!Y131/ATM_Conf!$C$10)</f>
        <v>#DIV/0!</v>
      </c>
      <c r="AO132" s="45" t="e">
        <f>AO131+(ATM_Conf!$C$5/ATM_Conf!$C$8)*(Links!BD131*EXP((-(Links!Z131/Links!BS131)^Links!CH131)/Links!CH131)-Links!AO131)+(ATM_Conf!$C$5/Links!Z$191)*Links!AO131*(Nodes!BI131-Links!AO131)-(ATM_Conf!$C$9*ATM_Conf!$C$5/(ATM_Conf!$C$8*Links!Z$191))*(Nodes!BW131-Links!Z131)/(Links!Z131/ATM_Conf!$C$10)</f>
        <v>#DIV/0!</v>
      </c>
      <c r="AP132" s="45" t="e">
        <f>AP131+(ATM_Conf!$C$5/ATM_Conf!$C$8)*(Links!BE131*EXP((-(Links!AA131/Links!BT131)^Links!CI131)/Links!CI131)-Links!AP131)+(ATM_Conf!$C$5/Links!AA$191)*Links!AP131*(Nodes!BJ131-Links!AP131)-(ATM_Conf!$C$9*ATM_Conf!$C$5/(ATM_Conf!$C$8*Links!AA$191))*(Nodes!BX131-Links!AA131)/(Links!AA131/ATM_Conf!$C$10)</f>
        <v>#DIV/0!</v>
      </c>
      <c r="AQ132" s="45" t="e">
        <f>AQ131+(ATM_Conf!$C$5/ATM_Conf!$C$8)*(Links!BF131*EXP((-(Links!AB131/Links!BU131)^Links!CJ131)/Links!CJ131)-Links!AQ131)+(ATM_Conf!$C$5/Links!AB$191)*Links!AQ131*(Nodes!BK131-Links!AQ131)-(ATM_Conf!$C$9*ATM_Conf!$C$5/(ATM_Conf!$C$8*Links!AB$191))*(Nodes!BY131-Links!AB131)/(Links!AB131/ATM_Conf!$C$10)</f>
        <v>#DIV/0!</v>
      </c>
      <c r="AR132" s="45" t="e">
        <f>AR131+(ATM_Conf!$C$5/ATM_Conf!$C$8)*(Links!BG131*EXP((-(Links!AC131/Links!BV131)^Links!CK131)/Links!CK131)-Links!AR131)+(ATM_Conf!$C$5/Links!AC$191)*Links!AR131*(Nodes!BL131-Links!AR131)-(ATM_Conf!$C$9*ATM_Conf!$C$5/(ATM_Conf!$C$8*Links!AC$191))*(Nodes!BZ131-Links!AC131)/(Links!AC131/ATM_Conf!$C$10)</f>
        <v>#DIV/0!</v>
      </c>
      <c r="AS132" s="45" t="e">
        <f>AS131+(ATM_Conf!$C$5/ATM_Conf!$C$8)*(Links!BH131*EXP((-(Links!AD131/Links!BW131)^Links!CL131)/Links!CL131)-Links!AS131)+(ATM_Conf!$C$5/Links!AD$191)*Links!AS131*(Nodes!BM131-Links!AS131)-(ATM_Conf!$C$9*ATM_Conf!$C$5/(ATM_Conf!$C$8*Links!AD$191))*(Nodes!CA131-Links!AD131)/(Links!AD131/ATM_Conf!$C$10)</f>
        <v>#DIV/0!</v>
      </c>
      <c r="AT132" s="45" t="e">
        <f>AT131+(ATM_Conf!$C$5/ATM_Conf!$C$8)*(Links!BI131*EXP((-(Links!AE131/Links!BX131)^Links!CM131)/Links!CM131)-Links!AT131)+(ATM_Conf!$C$5/Links!AE$191)*Links!AT131*(Nodes!BN131-Links!AT131)</f>
        <v>#DIV/0!</v>
      </c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45"/>
      <c r="BK132" s="45"/>
      <c r="BL132" s="45"/>
      <c r="BM132" s="45"/>
      <c r="BN132" s="45"/>
      <c r="BO132" s="45"/>
      <c r="BP132" s="45"/>
      <c r="BQ132" s="45"/>
      <c r="BR132" s="45"/>
      <c r="BS132" s="45"/>
      <c r="BT132" s="45"/>
      <c r="BU132" s="45"/>
      <c r="BV132" s="45"/>
      <c r="BW132" s="45"/>
      <c r="BX132" s="4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45">
        <f t="shared" si="63"/>
        <v>0</v>
      </c>
      <c r="CO132" s="45">
        <f t="shared" si="63"/>
        <v>0</v>
      </c>
      <c r="CP132" s="45">
        <f t="shared" si="63"/>
        <v>0</v>
      </c>
      <c r="CQ132" s="45">
        <f t="shared" si="63"/>
        <v>0</v>
      </c>
      <c r="CR132" s="45">
        <f t="shared" si="63"/>
        <v>0</v>
      </c>
      <c r="CS132" s="45">
        <f t="shared" si="63"/>
        <v>0</v>
      </c>
      <c r="CT132" s="45">
        <f t="shared" si="63"/>
        <v>0</v>
      </c>
      <c r="CU132" s="45">
        <f t="shared" si="63"/>
        <v>0</v>
      </c>
      <c r="CV132" s="45">
        <f t="shared" si="63"/>
        <v>0</v>
      </c>
      <c r="CW132" s="45">
        <f t="shared" si="63"/>
        <v>0</v>
      </c>
      <c r="CX132" s="45">
        <f t="shared" si="63"/>
        <v>0</v>
      </c>
      <c r="CY132" s="45">
        <f t="shared" si="63"/>
        <v>0</v>
      </c>
      <c r="CZ132" s="45">
        <f t="shared" si="63"/>
        <v>0</v>
      </c>
      <c r="DA132" s="45">
        <f t="shared" si="63"/>
        <v>0</v>
      </c>
      <c r="DB132" s="45">
        <f t="shared" si="63"/>
        <v>0</v>
      </c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</row>
    <row r="133" spans="1:121" ht="14.25" x14ac:dyDescent="0.15">
      <c r="A133" s="48">
        <v>131</v>
      </c>
      <c r="B133" s="45" t="e">
        <f t="shared" si="64"/>
        <v>#DIV/0!</v>
      </c>
      <c r="C133" s="45" t="e">
        <f t="shared" si="65"/>
        <v>#DIV/0!</v>
      </c>
      <c r="D133" s="45" t="e">
        <f t="shared" si="66"/>
        <v>#DIV/0!</v>
      </c>
      <c r="E133" s="45" t="e">
        <f t="shared" si="67"/>
        <v>#DIV/0!</v>
      </c>
      <c r="F133" s="45" t="e">
        <f t="shared" si="68"/>
        <v>#DIV/0!</v>
      </c>
      <c r="G133" s="45" t="e">
        <f t="shared" si="69"/>
        <v>#DIV/0!</v>
      </c>
      <c r="H133" s="45" t="e">
        <f t="shared" si="70"/>
        <v>#DIV/0!</v>
      </c>
      <c r="I133" s="45" t="e">
        <f t="shared" si="71"/>
        <v>#DIV/0!</v>
      </c>
      <c r="J133" s="45" t="e">
        <f t="shared" si="72"/>
        <v>#DIV/0!</v>
      </c>
      <c r="K133" s="45" t="e">
        <f t="shared" si="73"/>
        <v>#DIV/0!</v>
      </c>
      <c r="L133" s="45" t="e">
        <f t="shared" si="74"/>
        <v>#DIV/0!</v>
      </c>
      <c r="M133" s="45" t="e">
        <f t="shared" si="75"/>
        <v>#DIV/0!</v>
      </c>
      <c r="N133" s="45" t="e">
        <f t="shared" si="76"/>
        <v>#DIV/0!</v>
      </c>
      <c r="O133" s="45" t="e">
        <f t="shared" si="77"/>
        <v>#DIV/0!</v>
      </c>
      <c r="P133" s="45" t="e">
        <f t="shared" si="78"/>
        <v>#DIV/0!</v>
      </c>
      <c r="Q133" s="55" t="e">
        <f>Q132+ATM_Conf!$C$5*(B132)/(Links!B$191*Links!Q$191)</f>
        <v>#DIV/0!</v>
      </c>
      <c r="R133" s="55" t="e">
        <f>R132+ATM_Conf!$C$5*(C132-B132)/(Links!C$191*Links!R$191)</f>
        <v>#DIV/0!</v>
      </c>
      <c r="S133" s="55" t="e">
        <f>S132+ATM_Conf!$C$5*(D132-C132)/(Links!D$191*Links!S$191)</f>
        <v>#DIV/0!</v>
      </c>
      <c r="T133" s="55" t="e">
        <f>T132+ATM_Conf!$C$5*(E132-D132)/(Links!E$191*Links!T$191)</f>
        <v>#DIV/0!</v>
      </c>
      <c r="U133" s="55" t="e">
        <f>U132+ATM_Conf!$C$5*(F132-E132)/(Links!F$191*Links!U$191)</f>
        <v>#DIV/0!</v>
      </c>
      <c r="V133" s="55" t="e">
        <f>V132+ATM_Conf!$C$5*(G132-F132)/(Links!G$191*Links!V$191)</f>
        <v>#DIV/0!</v>
      </c>
      <c r="W133" s="55" t="e">
        <f>W132+ATM_Conf!$C$5*(H132-G132)/(Links!H$191*Links!W$191)</f>
        <v>#DIV/0!</v>
      </c>
      <c r="X133" s="55" t="e">
        <f>X132+ATM_Conf!$C$5*(I132-H132)/(Links!I$191*Links!X$191)</f>
        <v>#DIV/0!</v>
      </c>
      <c r="Y133" s="55" t="e">
        <f>Y132+ATM_Conf!$C$5*(J132)/(Links!J$191*Links!Y$191)</f>
        <v>#DIV/0!</v>
      </c>
      <c r="Z133" s="55" t="e">
        <f>Z132+ATM_Conf!$C$5*(K132-J132)/(Links!K$191*Links!Z$191)</f>
        <v>#DIV/0!</v>
      </c>
      <c r="AA133" s="55" t="e">
        <f>AA132+ATM_Conf!$C$5*(L132-K132)/(Links!L$191*Links!AA$191)</f>
        <v>#DIV/0!</v>
      </c>
      <c r="AB133" s="55" t="e">
        <f>AB132+ATM_Conf!$C$5*(M132-L132)/(Links!M$191*Links!AB$191)</f>
        <v>#DIV/0!</v>
      </c>
      <c r="AC133" s="55" t="e">
        <f>AC132+ATM_Conf!$C$5*(N132-M132)/(Links!N$191*Links!AC$191)</f>
        <v>#DIV/0!</v>
      </c>
      <c r="AD133" s="55" t="e">
        <f>AD132+ATM_Conf!$C$5*(O132-N132)/(Links!O$191*Links!AD$191)</f>
        <v>#DIV/0!</v>
      </c>
      <c r="AE133" s="55" t="e">
        <f>AE132+ATM_Conf!$C$5*(P132-O132)/(Links!P$191*Links!AE$191)</f>
        <v>#DIV/0!</v>
      </c>
      <c r="AF133" s="45" t="e">
        <f>AF132+(ATM_Conf!$C$5/ATM_Conf!$C$8)*(Links!AU132*EXP((-(Links!Q132/Links!BJ132)^Links!BY132)/Links!BY132)-Links!AF132)-(ATM_Conf!$C$9*ATM_Conf!$C$5/(ATM_Conf!$C$8*Links!Q$191))*(Nodes!BO132-Links!Q132)/(Links!Q132/ATM_Conf!$C$10)</f>
        <v>#DIV/0!</v>
      </c>
      <c r="AG133" s="45" t="e">
        <f>AG132+(ATM_Conf!$C$5/ATM_Conf!$C$8)*(Links!AV132*EXP((-(Links!R132/Links!BK132)^Links!BZ132)/Links!BZ132)-Links!AG132)+(ATM_Conf!$C$5/Links!R$191)*Links!AG132*(Nodes!BB132-Links!AG132)-(ATM_Conf!$C$9*ATM_Conf!$C$5/(ATM_Conf!$C$8*Links!R$191))*(Nodes!BP132-Links!R132)/(Links!R132/ATM_Conf!$C$10)</f>
        <v>#DIV/0!</v>
      </c>
      <c r="AH133" s="45" t="e">
        <f>AH132+(ATM_Conf!$C$5/ATM_Conf!$C$8)*(Links!AW132*EXP((-(Links!S132/Links!BL132)^Links!CA132)/Links!CA132)-Links!AH132)+(ATM_Conf!$C$5/Links!S$191)*Links!AH132*(Nodes!BC132-Links!AH132)-(ATM_Conf!$C$9*ATM_Conf!$C$5/(ATM_Conf!$C$8*Links!S$191))*(Nodes!BQ132-Links!S132)/(Links!S132/ATM_Conf!$C$10)</f>
        <v>#DIV/0!</v>
      </c>
      <c r="AI133" s="45" t="e">
        <f>AI132+(ATM_Conf!$C$5/ATM_Conf!$C$8)*(Links!AX132*EXP((-(Links!T132/Links!BM132)^Links!CB132)/Links!CB132)-Links!AI132)+(ATM_Conf!$C$5/Links!T$191)*Links!AI132*(Nodes!BD132-Links!AI132)-(ATM_Conf!$C$9*ATM_Conf!$C$5/(ATM_Conf!$C$8*Links!T$191))*(Nodes!BR132-Links!T132)/(Links!T132/ATM_Conf!$C$10)</f>
        <v>#DIV/0!</v>
      </c>
      <c r="AJ133" s="45" t="e">
        <f>AJ132+(ATM_Conf!$C$5/ATM_Conf!$C$8)*(Links!AY132*EXP((-(Links!U132/Links!BN132)^Links!CC132)/Links!CC132)-Links!AJ132)+(ATM_Conf!$C$5/Links!U$191)*Links!AJ132*(Nodes!BE132-Links!AJ132)-(ATM_Conf!$C$9*ATM_Conf!$C$5/(ATM_Conf!$C$8*Links!U$191))*(Nodes!BS132-Links!U132)/(Links!U132/ATM_Conf!$C$10)</f>
        <v>#DIV/0!</v>
      </c>
      <c r="AK133" s="45" t="e">
        <f>AK132+(ATM_Conf!$C$5/ATM_Conf!$C$8)*(Links!AZ132*EXP((-(Links!V132/Links!BO132)^Links!CD132)/Links!CD132)-Links!AK132)+(ATM_Conf!$C$5/Links!V$191)*Links!AK132*(Nodes!BF132-Links!AK132)-(ATM_Conf!$C$9*ATM_Conf!$C$5/(ATM_Conf!$C$8*Links!V$191))*(Nodes!BT132-Links!V132)/(Links!V132/ATM_Conf!$C$10)</f>
        <v>#DIV/0!</v>
      </c>
      <c r="AL133" s="45" t="e">
        <f>AL132+(ATM_Conf!$C$5/ATM_Conf!$C$8)*(Links!BA132*EXP((-(Links!W132/Links!BP132)^Links!CE132)/Links!CE132)-Links!AL132)+(ATM_Conf!$C$5/Links!W$191)*Links!AL132*(Nodes!BG132-Links!AL132)-(ATM_Conf!$C$9*ATM_Conf!$C$5/(ATM_Conf!$C$8*Links!W$191))*(Nodes!BU132-Links!W132)/(Links!W132/ATM_Conf!$C$10)</f>
        <v>#DIV/0!</v>
      </c>
      <c r="AM133" s="45" t="e">
        <f>AM132+(ATM_Conf!$C$5/ATM_Conf!$C$8)*(Links!BB132*EXP((-(Links!X132/Links!BQ132)^Links!CF132)/Links!CF132)-Links!AM132)+(ATM_Conf!$C$5/Links!X$191)*Links!AM132*(Nodes!BH132-Links!AM132)</f>
        <v>#DIV/0!</v>
      </c>
      <c r="AN133" s="45" t="e">
        <f>AN132+(ATM_Conf!$C$5/ATM_Conf!$C$8)*(Links!BC132*EXP((-(Links!Y132/Links!BR132)^Links!CG132)/Links!CG132)-Links!AN132)-(ATM_Conf!$C$9*ATM_Conf!$C$5/(ATM_Conf!$C$8*Links!Y$191))*(Nodes!BV132-Links!Y132)/(Links!Y132/ATM_Conf!$C$10)</f>
        <v>#DIV/0!</v>
      </c>
      <c r="AO133" s="45" t="e">
        <f>AO132+(ATM_Conf!$C$5/ATM_Conf!$C$8)*(Links!BD132*EXP((-(Links!Z132/Links!BS132)^Links!CH132)/Links!CH132)-Links!AO132)+(ATM_Conf!$C$5/Links!Z$191)*Links!AO132*(Nodes!BI132-Links!AO132)-(ATM_Conf!$C$9*ATM_Conf!$C$5/(ATM_Conf!$C$8*Links!Z$191))*(Nodes!BW132-Links!Z132)/(Links!Z132/ATM_Conf!$C$10)</f>
        <v>#DIV/0!</v>
      </c>
      <c r="AP133" s="45" t="e">
        <f>AP132+(ATM_Conf!$C$5/ATM_Conf!$C$8)*(Links!BE132*EXP((-(Links!AA132/Links!BT132)^Links!CI132)/Links!CI132)-Links!AP132)+(ATM_Conf!$C$5/Links!AA$191)*Links!AP132*(Nodes!BJ132-Links!AP132)-(ATM_Conf!$C$9*ATM_Conf!$C$5/(ATM_Conf!$C$8*Links!AA$191))*(Nodes!BX132-Links!AA132)/(Links!AA132/ATM_Conf!$C$10)</f>
        <v>#DIV/0!</v>
      </c>
      <c r="AQ133" s="45" t="e">
        <f>AQ132+(ATM_Conf!$C$5/ATM_Conf!$C$8)*(Links!BF132*EXP((-(Links!AB132/Links!BU132)^Links!CJ132)/Links!CJ132)-Links!AQ132)+(ATM_Conf!$C$5/Links!AB$191)*Links!AQ132*(Nodes!BK132-Links!AQ132)-(ATM_Conf!$C$9*ATM_Conf!$C$5/(ATM_Conf!$C$8*Links!AB$191))*(Nodes!BY132-Links!AB132)/(Links!AB132/ATM_Conf!$C$10)</f>
        <v>#DIV/0!</v>
      </c>
      <c r="AR133" s="45" t="e">
        <f>AR132+(ATM_Conf!$C$5/ATM_Conf!$C$8)*(Links!BG132*EXP((-(Links!AC132/Links!BV132)^Links!CK132)/Links!CK132)-Links!AR132)+(ATM_Conf!$C$5/Links!AC$191)*Links!AR132*(Nodes!BL132-Links!AR132)-(ATM_Conf!$C$9*ATM_Conf!$C$5/(ATM_Conf!$C$8*Links!AC$191))*(Nodes!BZ132-Links!AC132)/(Links!AC132/ATM_Conf!$C$10)</f>
        <v>#DIV/0!</v>
      </c>
      <c r="AS133" s="45" t="e">
        <f>AS132+(ATM_Conf!$C$5/ATM_Conf!$C$8)*(Links!BH132*EXP((-(Links!AD132/Links!BW132)^Links!CL132)/Links!CL132)-Links!AS132)+(ATM_Conf!$C$5/Links!AD$191)*Links!AS132*(Nodes!BM132-Links!AS132)-(ATM_Conf!$C$9*ATM_Conf!$C$5/(ATM_Conf!$C$8*Links!AD$191))*(Nodes!CA132-Links!AD132)/(Links!AD132/ATM_Conf!$C$10)</f>
        <v>#DIV/0!</v>
      </c>
      <c r="AT133" s="45" t="e">
        <f>AT132+(ATM_Conf!$C$5/ATM_Conf!$C$8)*(Links!BI132*EXP((-(Links!AE132/Links!BX132)^Links!CM132)/Links!CM132)-Links!AT132)+(ATM_Conf!$C$5/Links!AE$191)*Links!AT132*(Nodes!BN132-Links!AT132)</f>
        <v>#DIV/0!</v>
      </c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45"/>
      <c r="BK133" s="45"/>
      <c r="BL133" s="45"/>
      <c r="BM133" s="45"/>
      <c r="BN133" s="45"/>
      <c r="BO133" s="45"/>
      <c r="BP133" s="45"/>
      <c r="BQ133" s="45"/>
      <c r="BR133" s="45"/>
      <c r="BS133" s="45"/>
      <c r="BT133" s="45"/>
      <c r="BU133" s="45"/>
      <c r="BV133" s="45"/>
      <c r="BW133" s="45"/>
      <c r="BX133" s="4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45">
        <f t="shared" si="63"/>
        <v>0</v>
      </c>
      <c r="CO133" s="45">
        <f t="shared" si="63"/>
        <v>0</v>
      </c>
      <c r="CP133" s="45">
        <f t="shared" si="63"/>
        <v>0</v>
      </c>
      <c r="CQ133" s="45">
        <f t="shared" si="63"/>
        <v>0</v>
      </c>
      <c r="CR133" s="45">
        <f t="shared" si="63"/>
        <v>0</v>
      </c>
      <c r="CS133" s="45">
        <f t="shared" si="63"/>
        <v>0</v>
      </c>
      <c r="CT133" s="45">
        <f t="shared" si="63"/>
        <v>0</v>
      </c>
      <c r="CU133" s="45">
        <f t="shared" si="63"/>
        <v>0</v>
      </c>
      <c r="CV133" s="45">
        <f t="shared" si="63"/>
        <v>0</v>
      </c>
      <c r="CW133" s="45">
        <f t="shared" si="63"/>
        <v>0</v>
      </c>
      <c r="CX133" s="45">
        <f t="shared" si="63"/>
        <v>0</v>
      </c>
      <c r="CY133" s="45">
        <f t="shared" si="63"/>
        <v>0</v>
      </c>
      <c r="CZ133" s="45">
        <f t="shared" si="63"/>
        <v>0</v>
      </c>
      <c r="DA133" s="45">
        <f t="shared" si="63"/>
        <v>0</v>
      </c>
      <c r="DB133" s="45">
        <f t="shared" si="63"/>
        <v>0</v>
      </c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</row>
    <row r="134" spans="1:121" ht="14.25" x14ac:dyDescent="0.15">
      <c r="A134" s="48">
        <v>132</v>
      </c>
      <c r="B134" s="45" t="e">
        <f t="shared" si="64"/>
        <v>#DIV/0!</v>
      </c>
      <c r="C134" s="45" t="e">
        <f t="shared" si="65"/>
        <v>#DIV/0!</v>
      </c>
      <c r="D134" s="45" t="e">
        <f t="shared" si="66"/>
        <v>#DIV/0!</v>
      </c>
      <c r="E134" s="45" t="e">
        <f t="shared" si="67"/>
        <v>#DIV/0!</v>
      </c>
      <c r="F134" s="45" t="e">
        <f t="shared" si="68"/>
        <v>#DIV/0!</v>
      </c>
      <c r="G134" s="45" t="e">
        <f t="shared" si="69"/>
        <v>#DIV/0!</v>
      </c>
      <c r="H134" s="45" t="e">
        <f t="shared" si="70"/>
        <v>#DIV/0!</v>
      </c>
      <c r="I134" s="45" t="e">
        <f t="shared" si="71"/>
        <v>#DIV/0!</v>
      </c>
      <c r="J134" s="45" t="e">
        <f t="shared" si="72"/>
        <v>#DIV/0!</v>
      </c>
      <c r="K134" s="45" t="e">
        <f t="shared" si="73"/>
        <v>#DIV/0!</v>
      </c>
      <c r="L134" s="45" t="e">
        <f t="shared" si="74"/>
        <v>#DIV/0!</v>
      </c>
      <c r="M134" s="45" t="e">
        <f t="shared" si="75"/>
        <v>#DIV/0!</v>
      </c>
      <c r="N134" s="45" t="e">
        <f t="shared" si="76"/>
        <v>#DIV/0!</v>
      </c>
      <c r="O134" s="45" t="e">
        <f t="shared" si="77"/>
        <v>#DIV/0!</v>
      </c>
      <c r="P134" s="45" t="e">
        <f t="shared" si="78"/>
        <v>#DIV/0!</v>
      </c>
      <c r="Q134" s="55" t="e">
        <f>Q133+ATM_Conf!$C$5*(B133)/(Links!B$191*Links!Q$191)</f>
        <v>#DIV/0!</v>
      </c>
      <c r="R134" s="55" t="e">
        <f>R133+ATM_Conf!$C$5*(C133-B133)/(Links!C$191*Links!R$191)</f>
        <v>#DIV/0!</v>
      </c>
      <c r="S134" s="55" t="e">
        <f>S133+ATM_Conf!$C$5*(D133-C133)/(Links!D$191*Links!S$191)</f>
        <v>#DIV/0!</v>
      </c>
      <c r="T134" s="55" t="e">
        <f>T133+ATM_Conf!$C$5*(E133-D133)/(Links!E$191*Links!T$191)</f>
        <v>#DIV/0!</v>
      </c>
      <c r="U134" s="55" t="e">
        <f>U133+ATM_Conf!$C$5*(F133-E133)/(Links!F$191*Links!U$191)</f>
        <v>#DIV/0!</v>
      </c>
      <c r="V134" s="55" t="e">
        <f>V133+ATM_Conf!$C$5*(G133-F133)/(Links!G$191*Links!V$191)</f>
        <v>#DIV/0!</v>
      </c>
      <c r="W134" s="55" t="e">
        <f>W133+ATM_Conf!$C$5*(H133-G133)/(Links!H$191*Links!W$191)</f>
        <v>#DIV/0!</v>
      </c>
      <c r="X134" s="55" t="e">
        <f>X133+ATM_Conf!$C$5*(I133-H133)/(Links!I$191*Links!X$191)</f>
        <v>#DIV/0!</v>
      </c>
      <c r="Y134" s="55" t="e">
        <f>Y133+ATM_Conf!$C$5*(J133)/(Links!J$191*Links!Y$191)</f>
        <v>#DIV/0!</v>
      </c>
      <c r="Z134" s="55" t="e">
        <f>Z133+ATM_Conf!$C$5*(K133-J133)/(Links!K$191*Links!Z$191)</f>
        <v>#DIV/0!</v>
      </c>
      <c r="AA134" s="55" t="e">
        <f>AA133+ATM_Conf!$C$5*(L133-K133)/(Links!L$191*Links!AA$191)</f>
        <v>#DIV/0!</v>
      </c>
      <c r="AB134" s="55" t="e">
        <f>AB133+ATM_Conf!$C$5*(M133-L133)/(Links!M$191*Links!AB$191)</f>
        <v>#DIV/0!</v>
      </c>
      <c r="AC134" s="55" t="e">
        <f>AC133+ATM_Conf!$C$5*(N133-M133)/(Links!N$191*Links!AC$191)</f>
        <v>#DIV/0!</v>
      </c>
      <c r="AD134" s="55" t="e">
        <f>AD133+ATM_Conf!$C$5*(O133-N133)/(Links!O$191*Links!AD$191)</f>
        <v>#DIV/0!</v>
      </c>
      <c r="AE134" s="55" t="e">
        <f>AE133+ATM_Conf!$C$5*(P133-O133)/(Links!P$191*Links!AE$191)</f>
        <v>#DIV/0!</v>
      </c>
      <c r="AF134" s="45" t="e">
        <f>AF133+(ATM_Conf!$C$5/ATM_Conf!$C$8)*(Links!AU133*EXP((-(Links!Q133/Links!BJ133)^Links!BY133)/Links!BY133)-Links!AF133)-(ATM_Conf!$C$9*ATM_Conf!$C$5/(ATM_Conf!$C$8*Links!Q$191))*(Nodes!BO133-Links!Q133)/(Links!Q133/ATM_Conf!$C$10)</f>
        <v>#DIV/0!</v>
      </c>
      <c r="AG134" s="45" t="e">
        <f>AG133+(ATM_Conf!$C$5/ATM_Conf!$C$8)*(Links!AV133*EXP((-(Links!R133/Links!BK133)^Links!BZ133)/Links!BZ133)-Links!AG133)+(ATM_Conf!$C$5/Links!R$191)*Links!AG133*(Nodes!BB133-Links!AG133)-(ATM_Conf!$C$9*ATM_Conf!$C$5/(ATM_Conf!$C$8*Links!R$191))*(Nodes!BP133-Links!R133)/(Links!R133/ATM_Conf!$C$10)</f>
        <v>#DIV/0!</v>
      </c>
      <c r="AH134" s="45" t="e">
        <f>AH133+(ATM_Conf!$C$5/ATM_Conf!$C$8)*(Links!AW133*EXP((-(Links!S133/Links!BL133)^Links!CA133)/Links!CA133)-Links!AH133)+(ATM_Conf!$C$5/Links!S$191)*Links!AH133*(Nodes!BC133-Links!AH133)-(ATM_Conf!$C$9*ATM_Conf!$C$5/(ATM_Conf!$C$8*Links!S$191))*(Nodes!BQ133-Links!S133)/(Links!S133/ATM_Conf!$C$10)</f>
        <v>#DIV/0!</v>
      </c>
      <c r="AI134" s="45" t="e">
        <f>AI133+(ATM_Conf!$C$5/ATM_Conf!$C$8)*(Links!AX133*EXP((-(Links!T133/Links!BM133)^Links!CB133)/Links!CB133)-Links!AI133)+(ATM_Conf!$C$5/Links!T$191)*Links!AI133*(Nodes!BD133-Links!AI133)-(ATM_Conf!$C$9*ATM_Conf!$C$5/(ATM_Conf!$C$8*Links!T$191))*(Nodes!BR133-Links!T133)/(Links!T133/ATM_Conf!$C$10)</f>
        <v>#DIV/0!</v>
      </c>
      <c r="AJ134" s="45" t="e">
        <f>AJ133+(ATM_Conf!$C$5/ATM_Conf!$C$8)*(Links!AY133*EXP((-(Links!U133/Links!BN133)^Links!CC133)/Links!CC133)-Links!AJ133)+(ATM_Conf!$C$5/Links!U$191)*Links!AJ133*(Nodes!BE133-Links!AJ133)-(ATM_Conf!$C$9*ATM_Conf!$C$5/(ATM_Conf!$C$8*Links!U$191))*(Nodes!BS133-Links!U133)/(Links!U133/ATM_Conf!$C$10)</f>
        <v>#DIV/0!</v>
      </c>
      <c r="AK134" s="45" t="e">
        <f>AK133+(ATM_Conf!$C$5/ATM_Conf!$C$8)*(Links!AZ133*EXP((-(Links!V133/Links!BO133)^Links!CD133)/Links!CD133)-Links!AK133)+(ATM_Conf!$C$5/Links!V$191)*Links!AK133*(Nodes!BF133-Links!AK133)-(ATM_Conf!$C$9*ATM_Conf!$C$5/(ATM_Conf!$C$8*Links!V$191))*(Nodes!BT133-Links!V133)/(Links!V133/ATM_Conf!$C$10)</f>
        <v>#DIV/0!</v>
      </c>
      <c r="AL134" s="45" t="e">
        <f>AL133+(ATM_Conf!$C$5/ATM_Conf!$C$8)*(Links!BA133*EXP((-(Links!W133/Links!BP133)^Links!CE133)/Links!CE133)-Links!AL133)+(ATM_Conf!$C$5/Links!W$191)*Links!AL133*(Nodes!BG133-Links!AL133)-(ATM_Conf!$C$9*ATM_Conf!$C$5/(ATM_Conf!$C$8*Links!W$191))*(Nodes!BU133-Links!W133)/(Links!W133/ATM_Conf!$C$10)</f>
        <v>#DIV/0!</v>
      </c>
      <c r="AM134" s="45" t="e">
        <f>AM133+(ATM_Conf!$C$5/ATM_Conf!$C$8)*(Links!BB133*EXP((-(Links!X133/Links!BQ133)^Links!CF133)/Links!CF133)-Links!AM133)+(ATM_Conf!$C$5/Links!X$191)*Links!AM133*(Nodes!BH133-Links!AM133)</f>
        <v>#DIV/0!</v>
      </c>
      <c r="AN134" s="45" t="e">
        <f>AN133+(ATM_Conf!$C$5/ATM_Conf!$C$8)*(Links!BC133*EXP((-(Links!Y133/Links!BR133)^Links!CG133)/Links!CG133)-Links!AN133)-(ATM_Conf!$C$9*ATM_Conf!$C$5/(ATM_Conf!$C$8*Links!Y$191))*(Nodes!BV133-Links!Y133)/(Links!Y133/ATM_Conf!$C$10)</f>
        <v>#DIV/0!</v>
      </c>
      <c r="AO134" s="45" t="e">
        <f>AO133+(ATM_Conf!$C$5/ATM_Conf!$C$8)*(Links!BD133*EXP((-(Links!Z133/Links!BS133)^Links!CH133)/Links!CH133)-Links!AO133)+(ATM_Conf!$C$5/Links!Z$191)*Links!AO133*(Nodes!BI133-Links!AO133)-(ATM_Conf!$C$9*ATM_Conf!$C$5/(ATM_Conf!$C$8*Links!Z$191))*(Nodes!BW133-Links!Z133)/(Links!Z133/ATM_Conf!$C$10)</f>
        <v>#DIV/0!</v>
      </c>
      <c r="AP134" s="45" t="e">
        <f>AP133+(ATM_Conf!$C$5/ATM_Conf!$C$8)*(Links!BE133*EXP((-(Links!AA133/Links!BT133)^Links!CI133)/Links!CI133)-Links!AP133)+(ATM_Conf!$C$5/Links!AA$191)*Links!AP133*(Nodes!BJ133-Links!AP133)-(ATM_Conf!$C$9*ATM_Conf!$C$5/(ATM_Conf!$C$8*Links!AA$191))*(Nodes!BX133-Links!AA133)/(Links!AA133/ATM_Conf!$C$10)</f>
        <v>#DIV/0!</v>
      </c>
      <c r="AQ134" s="45" t="e">
        <f>AQ133+(ATM_Conf!$C$5/ATM_Conf!$C$8)*(Links!BF133*EXP((-(Links!AB133/Links!BU133)^Links!CJ133)/Links!CJ133)-Links!AQ133)+(ATM_Conf!$C$5/Links!AB$191)*Links!AQ133*(Nodes!BK133-Links!AQ133)-(ATM_Conf!$C$9*ATM_Conf!$C$5/(ATM_Conf!$C$8*Links!AB$191))*(Nodes!BY133-Links!AB133)/(Links!AB133/ATM_Conf!$C$10)</f>
        <v>#DIV/0!</v>
      </c>
      <c r="AR134" s="45" t="e">
        <f>AR133+(ATM_Conf!$C$5/ATM_Conf!$C$8)*(Links!BG133*EXP((-(Links!AC133/Links!BV133)^Links!CK133)/Links!CK133)-Links!AR133)+(ATM_Conf!$C$5/Links!AC$191)*Links!AR133*(Nodes!BL133-Links!AR133)-(ATM_Conf!$C$9*ATM_Conf!$C$5/(ATM_Conf!$C$8*Links!AC$191))*(Nodes!BZ133-Links!AC133)/(Links!AC133/ATM_Conf!$C$10)</f>
        <v>#DIV/0!</v>
      </c>
      <c r="AS134" s="45" t="e">
        <f>AS133+(ATM_Conf!$C$5/ATM_Conf!$C$8)*(Links!BH133*EXP((-(Links!AD133/Links!BW133)^Links!CL133)/Links!CL133)-Links!AS133)+(ATM_Conf!$C$5/Links!AD$191)*Links!AS133*(Nodes!BM133-Links!AS133)-(ATM_Conf!$C$9*ATM_Conf!$C$5/(ATM_Conf!$C$8*Links!AD$191))*(Nodes!CA133-Links!AD133)/(Links!AD133/ATM_Conf!$C$10)</f>
        <v>#DIV/0!</v>
      </c>
      <c r="AT134" s="45" t="e">
        <f>AT133+(ATM_Conf!$C$5/ATM_Conf!$C$8)*(Links!BI133*EXP((-(Links!AE133/Links!BX133)^Links!CM133)/Links!CM133)-Links!AT133)+(ATM_Conf!$C$5/Links!AE$191)*Links!AT133*(Nodes!BN133-Links!AT133)</f>
        <v>#DIV/0!</v>
      </c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  <c r="BJ134" s="45"/>
      <c r="BK134" s="45"/>
      <c r="BL134" s="45"/>
      <c r="BM134" s="45"/>
      <c r="BN134" s="45"/>
      <c r="BO134" s="45"/>
      <c r="BP134" s="45"/>
      <c r="BQ134" s="45"/>
      <c r="BR134" s="45"/>
      <c r="BS134" s="45"/>
      <c r="BT134" s="45"/>
      <c r="BU134" s="45"/>
      <c r="BV134" s="45"/>
      <c r="BW134" s="45"/>
      <c r="BX134" s="45"/>
      <c r="BY134" s="55"/>
      <c r="BZ134" s="55"/>
      <c r="CA134" s="55"/>
      <c r="CB134" s="55"/>
      <c r="CC134" s="55"/>
      <c r="CD134" s="55"/>
      <c r="CE134" s="55"/>
      <c r="CF134" s="55"/>
      <c r="CG134" s="55"/>
      <c r="CH134" s="55"/>
      <c r="CI134" s="55"/>
      <c r="CJ134" s="55"/>
      <c r="CK134" s="55"/>
      <c r="CL134" s="55"/>
      <c r="CM134" s="55"/>
      <c r="CN134" s="45">
        <f t="shared" si="63"/>
        <v>0</v>
      </c>
      <c r="CO134" s="45">
        <f t="shared" si="63"/>
        <v>0</v>
      </c>
      <c r="CP134" s="45">
        <f t="shared" si="63"/>
        <v>0</v>
      </c>
      <c r="CQ134" s="45">
        <f t="shared" si="63"/>
        <v>0</v>
      </c>
      <c r="CR134" s="45">
        <f t="shared" si="63"/>
        <v>0</v>
      </c>
      <c r="CS134" s="45">
        <f t="shared" si="63"/>
        <v>0</v>
      </c>
      <c r="CT134" s="45">
        <f t="shared" si="63"/>
        <v>0</v>
      </c>
      <c r="CU134" s="45">
        <f t="shared" si="63"/>
        <v>0</v>
      </c>
      <c r="CV134" s="45">
        <f t="shared" si="63"/>
        <v>0</v>
      </c>
      <c r="CW134" s="45">
        <f t="shared" si="63"/>
        <v>0</v>
      </c>
      <c r="CX134" s="45">
        <f t="shared" si="63"/>
        <v>0</v>
      </c>
      <c r="CY134" s="45">
        <f t="shared" si="63"/>
        <v>0</v>
      </c>
      <c r="CZ134" s="45">
        <f t="shared" si="63"/>
        <v>0</v>
      </c>
      <c r="DA134" s="45">
        <f t="shared" si="63"/>
        <v>0</v>
      </c>
      <c r="DB134" s="45">
        <f t="shared" si="63"/>
        <v>0</v>
      </c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</row>
    <row r="135" spans="1:121" ht="14.25" x14ac:dyDescent="0.15">
      <c r="A135" s="48">
        <v>133</v>
      </c>
      <c r="B135" s="45" t="e">
        <f t="shared" si="64"/>
        <v>#DIV/0!</v>
      </c>
      <c r="C135" s="45" t="e">
        <f t="shared" si="65"/>
        <v>#DIV/0!</v>
      </c>
      <c r="D135" s="45" t="e">
        <f t="shared" si="66"/>
        <v>#DIV/0!</v>
      </c>
      <c r="E135" s="45" t="e">
        <f t="shared" si="67"/>
        <v>#DIV/0!</v>
      </c>
      <c r="F135" s="45" t="e">
        <f t="shared" si="68"/>
        <v>#DIV/0!</v>
      </c>
      <c r="G135" s="45" t="e">
        <f t="shared" si="69"/>
        <v>#DIV/0!</v>
      </c>
      <c r="H135" s="45" t="e">
        <f t="shared" si="70"/>
        <v>#DIV/0!</v>
      </c>
      <c r="I135" s="45" t="e">
        <f t="shared" si="71"/>
        <v>#DIV/0!</v>
      </c>
      <c r="J135" s="45" t="e">
        <f t="shared" si="72"/>
        <v>#DIV/0!</v>
      </c>
      <c r="K135" s="45" t="e">
        <f t="shared" si="73"/>
        <v>#DIV/0!</v>
      </c>
      <c r="L135" s="45" t="e">
        <f t="shared" si="74"/>
        <v>#DIV/0!</v>
      </c>
      <c r="M135" s="45" t="e">
        <f t="shared" si="75"/>
        <v>#DIV/0!</v>
      </c>
      <c r="N135" s="45" t="e">
        <f t="shared" si="76"/>
        <v>#DIV/0!</v>
      </c>
      <c r="O135" s="45" t="e">
        <f t="shared" si="77"/>
        <v>#DIV/0!</v>
      </c>
      <c r="P135" s="45" t="e">
        <f t="shared" si="78"/>
        <v>#DIV/0!</v>
      </c>
      <c r="Q135" s="55" t="e">
        <f>Q134+ATM_Conf!$C$5*(B134)/(Links!B$191*Links!Q$191)</f>
        <v>#DIV/0!</v>
      </c>
      <c r="R135" s="55" t="e">
        <f>R134+ATM_Conf!$C$5*(C134-B134)/(Links!C$191*Links!R$191)</f>
        <v>#DIV/0!</v>
      </c>
      <c r="S135" s="55" t="e">
        <f>S134+ATM_Conf!$C$5*(D134-C134)/(Links!D$191*Links!S$191)</f>
        <v>#DIV/0!</v>
      </c>
      <c r="T135" s="55" t="e">
        <f>T134+ATM_Conf!$C$5*(E134-D134)/(Links!E$191*Links!T$191)</f>
        <v>#DIV/0!</v>
      </c>
      <c r="U135" s="55" t="e">
        <f>U134+ATM_Conf!$C$5*(F134-E134)/(Links!F$191*Links!U$191)</f>
        <v>#DIV/0!</v>
      </c>
      <c r="V135" s="55" t="e">
        <f>V134+ATM_Conf!$C$5*(G134-F134)/(Links!G$191*Links!V$191)</f>
        <v>#DIV/0!</v>
      </c>
      <c r="W135" s="55" t="e">
        <f>W134+ATM_Conf!$C$5*(H134-G134)/(Links!H$191*Links!W$191)</f>
        <v>#DIV/0!</v>
      </c>
      <c r="X135" s="55" t="e">
        <f>X134+ATM_Conf!$C$5*(I134-H134)/(Links!I$191*Links!X$191)</f>
        <v>#DIV/0!</v>
      </c>
      <c r="Y135" s="55" t="e">
        <f>Y134+ATM_Conf!$C$5*(J134)/(Links!J$191*Links!Y$191)</f>
        <v>#DIV/0!</v>
      </c>
      <c r="Z135" s="55" t="e">
        <f>Z134+ATM_Conf!$C$5*(K134-J134)/(Links!K$191*Links!Z$191)</f>
        <v>#DIV/0!</v>
      </c>
      <c r="AA135" s="55" t="e">
        <f>AA134+ATM_Conf!$C$5*(L134-K134)/(Links!L$191*Links!AA$191)</f>
        <v>#DIV/0!</v>
      </c>
      <c r="AB135" s="55" t="e">
        <f>AB134+ATM_Conf!$C$5*(M134-L134)/(Links!M$191*Links!AB$191)</f>
        <v>#DIV/0!</v>
      </c>
      <c r="AC135" s="55" t="e">
        <f>AC134+ATM_Conf!$C$5*(N134-M134)/(Links!N$191*Links!AC$191)</f>
        <v>#DIV/0!</v>
      </c>
      <c r="AD135" s="55" t="e">
        <f>AD134+ATM_Conf!$C$5*(O134-N134)/(Links!O$191*Links!AD$191)</f>
        <v>#DIV/0!</v>
      </c>
      <c r="AE135" s="55" t="e">
        <f>AE134+ATM_Conf!$C$5*(P134-O134)/(Links!P$191*Links!AE$191)</f>
        <v>#DIV/0!</v>
      </c>
      <c r="AF135" s="45" t="e">
        <f>AF134+(ATM_Conf!$C$5/ATM_Conf!$C$8)*(Links!AU134*EXP((-(Links!Q134/Links!BJ134)^Links!BY134)/Links!BY134)-Links!AF134)-(ATM_Conf!$C$9*ATM_Conf!$C$5/(ATM_Conf!$C$8*Links!Q$191))*(Nodes!BO134-Links!Q134)/(Links!Q134/ATM_Conf!$C$10)</f>
        <v>#DIV/0!</v>
      </c>
      <c r="AG135" s="45" t="e">
        <f>AG134+(ATM_Conf!$C$5/ATM_Conf!$C$8)*(Links!AV134*EXP((-(Links!R134/Links!BK134)^Links!BZ134)/Links!BZ134)-Links!AG134)+(ATM_Conf!$C$5/Links!R$191)*Links!AG134*(Nodes!BB134-Links!AG134)-(ATM_Conf!$C$9*ATM_Conf!$C$5/(ATM_Conf!$C$8*Links!R$191))*(Nodes!BP134-Links!R134)/(Links!R134/ATM_Conf!$C$10)</f>
        <v>#DIV/0!</v>
      </c>
      <c r="AH135" s="45" t="e">
        <f>AH134+(ATM_Conf!$C$5/ATM_Conf!$C$8)*(Links!AW134*EXP((-(Links!S134/Links!BL134)^Links!CA134)/Links!CA134)-Links!AH134)+(ATM_Conf!$C$5/Links!S$191)*Links!AH134*(Nodes!BC134-Links!AH134)-(ATM_Conf!$C$9*ATM_Conf!$C$5/(ATM_Conf!$C$8*Links!S$191))*(Nodes!BQ134-Links!S134)/(Links!S134/ATM_Conf!$C$10)</f>
        <v>#DIV/0!</v>
      </c>
      <c r="AI135" s="45" t="e">
        <f>AI134+(ATM_Conf!$C$5/ATM_Conf!$C$8)*(Links!AX134*EXP((-(Links!T134/Links!BM134)^Links!CB134)/Links!CB134)-Links!AI134)+(ATM_Conf!$C$5/Links!T$191)*Links!AI134*(Nodes!BD134-Links!AI134)-(ATM_Conf!$C$9*ATM_Conf!$C$5/(ATM_Conf!$C$8*Links!T$191))*(Nodes!BR134-Links!T134)/(Links!T134/ATM_Conf!$C$10)</f>
        <v>#DIV/0!</v>
      </c>
      <c r="AJ135" s="45" t="e">
        <f>AJ134+(ATM_Conf!$C$5/ATM_Conf!$C$8)*(Links!AY134*EXP((-(Links!U134/Links!BN134)^Links!CC134)/Links!CC134)-Links!AJ134)+(ATM_Conf!$C$5/Links!U$191)*Links!AJ134*(Nodes!BE134-Links!AJ134)-(ATM_Conf!$C$9*ATM_Conf!$C$5/(ATM_Conf!$C$8*Links!U$191))*(Nodes!BS134-Links!U134)/(Links!U134/ATM_Conf!$C$10)</f>
        <v>#DIV/0!</v>
      </c>
      <c r="AK135" s="45" t="e">
        <f>AK134+(ATM_Conf!$C$5/ATM_Conf!$C$8)*(Links!AZ134*EXP((-(Links!V134/Links!BO134)^Links!CD134)/Links!CD134)-Links!AK134)+(ATM_Conf!$C$5/Links!V$191)*Links!AK134*(Nodes!BF134-Links!AK134)-(ATM_Conf!$C$9*ATM_Conf!$C$5/(ATM_Conf!$C$8*Links!V$191))*(Nodes!BT134-Links!V134)/(Links!V134/ATM_Conf!$C$10)</f>
        <v>#DIV/0!</v>
      </c>
      <c r="AL135" s="45" t="e">
        <f>AL134+(ATM_Conf!$C$5/ATM_Conf!$C$8)*(Links!BA134*EXP((-(Links!W134/Links!BP134)^Links!CE134)/Links!CE134)-Links!AL134)+(ATM_Conf!$C$5/Links!W$191)*Links!AL134*(Nodes!BG134-Links!AL134)-(ATM_Conf!$C$9*ATM_Conf!$C$5/(ATM_Conf!$C$8*Links!W$191))*(Nodes!BU134-Links!W134)/(Links!W134/ATM_Conf!$C$10)</f>
        <v>#DIV/0!</v>
      </c>
      <c r="AM135" s="45" t="e">
        <f>AM134+(ATM_Conf!$C$5/ATM_Conf!$C$8)*(Links!BB134*EXP((-(Links!X134/Links!BQ134)^Links!CF134)/Links!CF134)-Links!AM134)+(ATM_Conf!$C$5/Links!X$191)*Links!AM134*(Nodes!BH134-Links!AM134)</f>
        <v>#DIV/0!</v>
      </c>
      <c r="AN135" s="45" t="e">
        <f>AN134+(ATM_Conf!$C$5/ATM_Conf!$C$8)*(Links!BC134*EXP((-(Links!Y134/Links!BR134)^Links!CG134)/Links!CG134)-Links!AN134)-(ATM_Conf!$C$9*ATM_Conf!$C$5/(ATM_Conf!$C$8*Links!Y$191))*(Nodes!BV134-Links!Y134)/(Links!Y134/ATM_Conf!$C$10)</f>
        <v>#DIV/0!</v>
      </c>
      <c r="AO135" s="45" t="e">
        <f>AO134+(ATM_Conf!$C$5/ATM_Conf!$C$8)*(Links!BD134*EXP((-(Links!Z134/Links!BS134)^Links!CH134)/Links!CH134)-Links!AO134)+(ATM_Conf!$C$5/Links!Z$191)*Links!AO134*(Nodes!BI134-Links!AO134)-(ATM_Conf!$C$9*ATM_Conf!$C$5/(ATM_Conf!$C$8*Links!Z$191))*(Nodes!BW134-Links!Z134)/(Links!Z134/ATM_Conf!$C$10)</f>
        <v>#DIV/0!</v>
      </c>
      <c r="AP135" s="45" t="e">
        <f>AP134+(ATM_Conf!$C$5/ATM_Conf!$C$8)*(Links!BE134*EXP((-(Links!AA134/Links!BT134)^Links!CI134)/Links!CI134)-Links!AP134)+(ATM_Conf!$C$5/Links!AA$191)*Links!AP134*(Nodes!BJ134-Links!AP134)-(ATM_Conf!$C$9*ATM_Conf!$C$5/(ATM_Conf!$C$8*Links!AA$191))*(Nodes!BX134-Links!AA134)/(Links!AA134/ATM_Conf!$C$10)</f>
        <v>#DIV/0!</v>
      </c>
      <c r="AQ135" s="45" t="e">
        <f>AQ134+(ATM_Conf!$C$5/ATM_Conf!$C$8)*(Links!BF134*EXP((-(Links!AB134/Links!BU134)^Links!CJ134)/Links!CJ134)-Links!AQ134)+(ATM_Conf!$C$5/Links!AB$191)*Links!AQ134*(Nodes!BK134-Links!AQ134)-(ATM_Conf!$C$9*ATM_Conf!$C$5/(ATM_Conf!$C$8*Links!AB$191))*(Nodes!BY134-Links!AB134)/(Links!AB134/ATM_Conf!$C$10)</f>
        <v>#DIV/0!</v>
      </c>
      <c r="AR135" s="45" t="e">
        <f>AR134+(ATM_Conf!$C$5/ATM_Conf!$C$8)*(Links!BG134*EXP((-(Links!AC134/Links!BV134)^Links!CK134)/Links!CK134)-Links!AR134)+(ATM_Conf!$C$5/Links!AC$191)*Links!AR134*(Nodes!BL134-Links!AR134)-(ATM_Conf!$C$9*ATM_Conf!$C$5/(ATM_Conf!$C$8*Links!AC$191))*(Nodes!BZ134-Links!AC134)/(Links!AC134/ATM_Conf!$C$10)</f>
        <v>#DIV/0!</v>
      </c>
      <c r="AS135" s="45" t="e">
        <f>AS134+(ATM_Conf!$C$5/ATM_Conf!$C$8)*(Links!BH134*EXP((-(Links!AD134/Links!BW134)^Links!CL134)/Links!CL134)-Links!AS134)+(ATM_Conf!$C$5/Links!AD$191)*Links!AS134*(Nodes!BM134-Links!AS134)-(ATM_Conf!$C$9*ATM_Conf!$C$5/(ATM_Conf!$C$8*Links!AD$191))*(Nodes!CA134-Links!AD134)/(Links!AD134/ATM_Conf!$C$10)</f>
        <v>#DIV/0!</v>
      </c>
      <c r="AT135" s="45" t="e">
        <f>AT134+(ATM_Conf!$C$5/ATM_Conf!$C$8)*(Links!BI134*EXP((-(Links!AE134/Links!BX134)^Links!CM134)/Links!CM134)-Links!AT134)+(ATM_Conf!$C$5/Links!AE$191)*Links!AT134*(Nodes!BN134-Links!AT134)</f>
        <v>#DIV/0!</v>
      </c>
      <c r="AU135" s="55"/>
      <c r="AV135" s="55"/>
      <c r="AW135" s="55"/>
      <c r="AX135" s="55"/>
      <c r="AY135" s="55"/>
      <c r="AZ135" s="55"/>
      <c r="BA135" s="55"/>
      <c r="BB135" s="55"/>
      <c r="BC135" s="55"/>
      <c r="BD135" s="55"/>
      <c r="BE135" s="55"/>
      <c r="BF135" s="55"/>
      <c r="BG135" s="55"/>
      <c r="BH135" s="55"/>
      <c r="BI135" s="55"/>
      <c r="BJ135" s="45"/>
      <c r="BK135" s="45"/>
      <c r="BL135" s="45"/>
      <c r="BM135" s="45"/>
      <c r="BN135" s="45"/>
      <c r="BO135" s="45"/>
      <c r="BP135" s="45"/>
      <c r="BQ135" s="45"/>
      <c r="BR135" s="45"/>
      <c r="BS135" s="45"/>
      <c r="BT135" s="45"/>
      <c r="BU135" s="45"/>
      <c r="BV135" s="45"/>
      <c r="BW135" s="45"/>
      <c r="BX135" s="45"/>
      <c r="BY135" s="55"/>
      <c r="BZ135" s="55"/>
      <c r="CA135" s="55"/>
      <c r="CB135" s="55"/>
      <c r="CC135" s="55"/>
      <c r="CD135" s="55"/>
      <c r="CE135" s="55"/>
      <c r="CF135" s="55"/>
      <c r="CG135" s="55"/>
      <c r="CH135" s="55"/>
      <c r="CI135" s="55"/>
      <c r="CJ135" s="55"/>
      <c r="CK135" s="55"/>
      <c r="CL135" s="55"/>
      <c r="CM135" s="55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53">
        <f>(CN135-CN123)^2</f>
        <v>0</v>
      </c>
      <c r="DD135" s="53">
        <f t="shared" ref="DD135:DQ135" si="79">(CO135-CO123)^2</f>
        <v>0</v>
      </c>
      <c r="DE135" s="53">
        <f t="shared" si="79"/>
        <v>0</v>
      </c>
      <c r="DF135" s="53">
        <f t="shared" si="79"/>
        <v>0</v>
      </c>
      <c r="DG135" s="53">
        <f t="shared" si="79"/>
        <v>0</v>
      </c>
      <c r="DH135" s="53">
        <f t="shared" si="79"/>
        <v>0</v>
      </c>
      <c r="DI135" s="53">
        <f t="shared" si="79"/>
        <v>0</v>
      </c>
      <c r="DJ135" s="53">
        <f t="shared" si="79"/>
        <v>0</v>
      </c>
      <c r="DK135" s="53">
        <f t="shared" si="79"/>
        <v>0</v>
      </c>
      <c r="DL135" s="53">
        <f t="shared" si="79"/>
        <v>0</v>
      </c>
      <c r="DM135" s="53">
        <f t="shared" si="79"/>
        <v>0</v>
      </c>
      <c r="DN135" s="53">
        <f t="shared" si="79"/>
        <v>0</v>
      </c>
      <c r="DO135" s="53">
        <f t="shared" si="79"/>
        <v>0</v>
      </c>
      <c r="DP135" s="53">
        <f t="shared" si="79"/>
        <v>0</v>
      </c>
      <c r="DQ135" s="53">
        <f t="shared" si="79"/>
        <v>0</v>
      </c>
    </row>
    <row r="136" spans="1:121" ht="14.25" x14ac:dyDescent="0.15">
      <c r="A136" s="48">
        <v>134</v>
      </c>
      <c r="B136" s="45" t="e">
        <f t="shared" si="64"/>
        <v>#DIV/0!</v>
      </c>
      <c r="C136" s="45" t="e">
        <f t="shared" si="65"/>
        <v>#DIV/0!</v>
      </c>
      <c r="D136" s="45" t="e">
        <f t="shared" si="66"/>
        <v>#DIV/0!</v>
      </c>
      <c r="E136" s="45" t="e">
        <f t="shared" si="67"/>
        <v>#DIV/0!</v>
      </c>
      <c r="F136" s="45" t="e">
        <f t="shared" si="68"/>
        <v>#DIV/0!</v>
      </c>
      <c r="G136" s="45" t="e">
        <f t="shared" si="69"/>
        <v>#DIV/0!</v>
      </c>
      <c r="H136" s="45" t="e">
        <f t="shared" si="70"/>
        <v>#DIV/0!</v>
      </c>
      <c r="I136" s="45" t="e">
        <f t="shared" si="71"/>
        <v>#DIV/0!</v>
      </c>
      <c r="J136" s="45" t="e">
        <f t="shared" si="72"/>
        <v>#DIV/0!</v>
      </c>
      <c r="K136" s="45" t="e">
        <f t="shared" si="73"/>
        <v>#DIV/0!</v>
      </c>
      <c r="L136" s="45" t="e">
        <f t="shared" si="74"/>
        <v>#DIV/0!</v>
      </c>
      <c r="M136" s="45" t="e">
        <f t="shared" si="75"/>
        <v>#DIV/0!</v>
      </c>
      <c r="N136" s="45" t="e">
        <f t="shared" si="76"/>
        <v>#DIV/0!</v>
      </c>
      <c r="O136" s="45" t="e">
        <f t="shared" si="77"/>
        <v>#DIV/0!</v>
      </c>
      <c r="P136" s="45" t="e">
        <f t="shared" si="78"/>
        <v>#DIV/0!</v>
      </c>
      <c r="Q136" s="55" t="e">
        <f>Q135+ATM_Conf!$C$5*(B135)/(Links!B$191*Links!Q$191)</f>
        <v>#DIV/0!</v>
      </c>
      <c r="R136" s="55" t="e">
        <f>R135+ATM_Conf!$C$5*(C135-B135)/(Links!C$191*Links!R$191)</f>
        <v>#DIV/0!</v>
      </c>
      <c r="S136" s="55" t="e">
        <f>S135+ATM_Conf!$C$5*(D135-C135)/(Links!D$191*Links!S$191)</f>
        <v>#DIV/0!</v>
      </c>
      <c r="T136" s="55" t="e">
        <f>T135+ATM_Conf!$C$5*(E135-D135)/(Links!E$191*Links!T$191)</f>
        <v>#DIV/0!</v>
      </c>
      <c r="U136" s="55" t="e">
        <f>U135+ATM_Conf!$C$5*(F135-E135)/(Links!F$191*Links!U$191)</f>
        <v>#DIV/0!</v>
      </c>
      <c r="V136" s="55" t="e">
        <f>V135+ATM_Conf!$C$5*(G135-F135)/(Links!G$191*Links!V$191)</f>
        <v>#DIV/0!</v>
      </c>
      <c r="W136" s="55" t="e">
        <f>W135+ATM_Conf!$C$5*(H135-G135)/(Links!H$191*Links!W$191)</f>
        <v>#DIV/0!</v>
      </c>
      <c r="X136" s="55" t="e">
        <f>X135+ATM_Conf!$C$5*(I135-H135)/(Links!I$191*Links!X$191)</f>
        <v>#DIV/0!</v>
      </c>
      <c r="Y136" s="55" t="e">
        <f>Y135+ATM_Conf!$C$5*(J135)/(Links!J$191*Links!Y$191)</f>
        <v>#DIV/0!</v>
      </c>
      <c r="Z136" s="55" t="e">
        <f>Z135+ATM_Conf!$C$5*(K135-J135)/(Links!K$191*Links!Z$191)</f>
        <v>#DIV/0!</v>
      </c>
      <c r="AA136" s="55" t="e">
        <f>AA135+ATM_Conf!$C$5*(L135-K135)/(Links!L$191*Links!AA$191)</f>
        <v>#DIV/0!</v>
      </c>
      <c r="AB136" s="55" t="e">
        <f>AB135+ATM_Conf!$C$5*(M135-L135)/(Links!M$191*Links!AB$191)</f>
        <v>#DIV/0!</v>
      </c>
      <c r="AC136" s="55" t="e">
        <f>AC135+ATM_Conf!$C$5*(N135-M135)/(Links!N$191*Links!AC$191)</f>
        <v>#DIV/0!</v>
      </c>
      <c r="AD136" s="55" t="e">
        <f>AD135+ATM_Conf!$C$5*(O135-N135)/(Links!O$191*Links!AD$191)</f>
        <v>#DIV/0!</v>
      </c>
      <c r="AE136" s="55" t="e">
        <f>AE135+ATM_Conf!$C$5*(P135-O135)/(Links!P$191*Links!AE$191)</f>
        <v>#DIV/0!</v>
      </c>
      <c r="AF136" s="45" t="e">
        <f>AF135+(ATM_Conf!$C$5/ATM_Conf!$C$8)*(Links!AU135*EXP((-(Links!Q135/Links!BJ135)^Links!BY135)/Links!BY135)-Links!AF135)-(ATM_Conf!$C$9*ATM_Conf!$C$5/(ATM_Conf!$C$8*Links!Q$191))*(Nodes!BO135-Links!Q135)/(Links!Q135/ATM_Conf!$C$10)</f>
        <v>#DIV/0!</v>
      </c>
      <c r="AG136" s="45" t="e">
        <f>AG135+(ATM_Conf!$C$5/ATM_Conf!$C$8)*(Links!AV135*EXP((-(Links!R135/Links!BK135)^Links!BZ135)/Links!BZ135)-Links!AG135)+(ATM_Conf!$C$5/Links!R$191)*Links!AG135*(Nodes!BB135-Links!AG135)-(ATM_Conf!$C$9*ATM_Conf!$C$5/(ATM_Conf!$C$8*Links!R$191))*(Nodes!BP135-Links!R135)/(Links!R135/ATM_Conf!$C$10)</f>
        <v>#DIV/0!</v>
      </c>
      <c r="AH136" s="45" t="e">
        <f>AH135+(ATM_Conf!$C$5/ATM_Conf!$C$8)*(Links!AW135*EXP((-(Links!S135/Links!BL135)^Links!CA135)/Links!CA135)-Links!AH135)+(ATM_Conf!$C$5/Links!S$191)*Links!AH135*(Nodes!BC135-Links!AH135)-(ATM_Conf!$C$9*ATM_Conf!$C$5/(ATM_Conf!$C$8*Links!S$191))*(Nodes!BQ135-Links!S135)/(Links!S135/ATM_Conf!$C$10)</f>
        <v>#DIV/0!</v>
      </c>
      <c r="AI136" s="45" t="e">
        <f>AI135+(ATM_Conf!$C$5/ATM_Conf!$C$8)*(Links!AX135*EXP((-(Links!T135/Links!BM135)^Links!CB135)/Links!CB135)-Links!AI135)+(ATM_Conf!$C$5/Links!T$191)*Links!AI135*(Nodes!BD135-Links!AI135)-(ATM_Conf!$C$9*ATM_Conf!$C$5/(ATM_Conf!$C$8*Links!T$191))*(Nodes!BR135-Links!T135)/(Links!T135/ATM_Conf!$C$10)</f>
        <v>#DIV/0!</v>
      </c>
      <c r="AJ136" s="45" t="e">
        <f>AJ135+(ATM_Conf!$C$5/ATM_Conf!$C$8)*(Links!AY135*EXP((-(Links!U135/Links!BN135)^Links!CC135)/Links!CC135)-Links!AJ135)+(ATM_Conf!$C$5/Links!U$191)*Links!AJ135*(Nodes!BE135-Links!AJ135)-(ATM_Conf!$C$9*ATM_Conf!$C$5/(ATM_Conf!$C$8*Links!U$191))*(Nodes!BS135-Links!U135)/(Links!U135/ATM_Conf!$C$10)</f>
        <v>#DIV/0!</v>
      </c>
      <c r="AK136" s="45" t="e">
        <f>AK135+(ATM_Conf!$C$5/ATM_Conf!$C$8)*(Links!AZ135*EXP((-(Links!V135/Links!BO135)^Links!CD135)/Links!CD135)-Links!AK135)+(ATM_Conf!$C$5/Links!V$191)*Links!AK135*(Nodes!BF135-Links!AK135)-(ATM_Conf!$C$9*ATM_Conf!$C$5/(ATM_Conf!$C$8*Links!V$191))*(Nodes!BT135-Links!V135)/(Links!V135/ATM_Conf!$C$10)</f>
        <v>#DIV/0!</v>
      </c>
      <c r="AL136" s="45" t="e">
        <f>AL135+(ATM_Conf!$C$5/ATM_Conf!$C$8)*(Links!BA135*EXP((-(Links!W135/Links!BP135)^Links!CE135)/Links!CE135)-Links!AL135)+(ATM_Conf!$C$5/Links!W$191)*Links!AL135*(Nodes!BG135-Links!AL135)-(ATM_Conf!$C$9*ATM_Conf!$C$5/(ATM_Conf!$C$8*Links!W$191))*(Nodes!BU135-Links!W135)/(Links!W135/ATM_Conf!$C$10)</f>
        <v>#DIV/0!</v>
      </c>
      <c r="AM136" s="45" t="e">
        <f>AM135+(ATM_Conf!$C$5/ATM_Conf!$C$8)*(Links!BB135*EXP((-(Links!X135/Links!BQ135)^Links!CF135)/Links!CF135)-Links!AM135)+(ATM_Conf!$C$5/Links!X$191)*Links!AM135*(Nodes!BH135-Links!AM135)</f>
        <v>#DIV/0!</v>
      </c>
      <c r="AN136" s="45" t="e">
        <f>AN135+(ATM_Conf!$C$5/ATM_Conf!$C$8)*(Links!BC135*EXP((-(Links!Y135/Links!BR135)^Links!CG135)/Links!CG135)-Links!AN135)-(ATM_Conf!$C$9*ATM_Conf!$C$5/(ATM_Conf!$C$8*Links!Y$191))*(Nodes!BV135-Links!Y135)/(Links!Y135/ATM_Conf!$C$10)</f>
        <v>#DIV/0!</v>
      </c>
      <c r="AO136" s="45" t="e">
        <f>AO135+(ATM_Conf!$C$5/ATM_Conf!$C$8)*(Links!BD135*EXP((-(Links!Z135/Links!BS135)^Links!CH135)/Links!CH135)-Links!AO135)+(ATM_Conf!$C$5/Links!Z$191)*Links!AO135*(Nodes!BI135-Links!AO135)-(ATM_Conf!$C$9*ATM_Conf!$C$5/(ATM_Conf!$C$8*Links!Z$191))*(Nodes!BW135-Links!Z135)/(Links!Z135/ATM_Conf!$C$10)</f>
        <v>#DIV/0!</v>
      </c>
      <c r="AP136" s="45" t="e">
        <f>AP135+(ATM_Conf!$C$5/ATM_Conf!$C$8)*(Links!BE135*EXP((-(Links!AA135/Links!BT135)^Links!CI135)/Links!CI135)-Links!AP135)+(ATM_Conf!$C$5/Links!AA$191)*Links!AP135*(Nodes!BJ135-Links!AP135)-(ATM_Conf!$C$9*ATM_Conf!$C$5/(ATM_Conf!$C$8*Links!AA$191))*(Nodes!BX135-Links!AA135)/(Links!AA135/ATM_Conf!$C$10)</f>
        <v>#DIV/0!</v>
      </c>
      <c r="AQ136" s="45" t="e">
        <f>AQ135+(ATM_Conf!$C$5/ATM_Conf!$C$8)*(Links!BF135*EXP((-(Links!AB135/Links!BU135)^Links!CJ135)/Links!CJ135)-Links!AQ135)+(ATM_Conf!$C$5/Links!AB$191)*Links!AQ135*(Nodes!BK135-Links!AQ135)-(ATM_Conf!$C$9*ATM_Conf!$C$5/(ATM_Conf!$C$8*Links!AB$191))*(Nodes!BY135-Links!AB135)/(Links!AB135/ATM_Conf!$C$10)</f>
        <v>#DIV/0!</v>
      </c>
      <c r="AR136" s="45" t="e">
        <f>AR135+(ATM_Conf!$C$5/ATM_Conf!$C$8)*(Links!BG135*EXP((-(Links!AC135/Links!BV135)^Links!CK135)/Links!CK135)-Links!AR135)+(ATM_Conf!$C$5/Links!AC$191)*Links!AR135*(Nodes!BL135-Links!AR135)-(ATM_Conf!$C$9*ATM_Conf!$C$5/(ATM_Conf!$C$8*Links!AC$191))*(Nodes!BZ135-Links!AC135)/(Links!AC135/ATM_Conf!$C$10)</f>
        <v>#DIV/0!</v>
      </c>
      <c r="AS136" s="45" t="e">
        <f>AS135+(ATM_Conf!$C$5/ATM_Conf!$C$8)*(Links!BH135*EXP((-(Links!AD135/Links!BW135)^Links!CL135)/Links!CL135)-Links!AS135)+(ATM_Conf!$C$5/Links!AD$191)*Links!AS135*(Nodes!BM135-Links!AS135)-(ATM_Conf!$C$9*ATM_Conf!$C$5/(ATM_Conf!$C$8*Links!AD$191))*(Nodes!CA135-Links!AD135)/(Links!AD135/ATM_Conf!$C$10)</f>
        <v>#DIV/0!</v>
      </c>
      <c r="AT136" s="45" t="e">
        <f>AT135+(ATM_Conf!$C$5/ATM_Conf!$C$8)*(Links!BI135*EXP((-(Links!AE135/Links!BX135)^Links!CM135)/Links!CM135)-Links!AT135)+(ATM_Conf!$C$5/Links!AE$191)*Links!AT135*(Nodes!BN135-Links!AT135)</f>
        <v>#DIV/0!</v>
      </c>
      <c r="AU136" s="55"/>
      <c r="AV136" s="55"/>
      <c r="AW136" s="55"/>
      <c r="AX136" s="55"/>
      <c r="AY136" s="55"/>
      <c r="AZ136" s="55"/>
      <c r="BA136" s="55"/>
      <c r="BB136" s="55"/>
      <c r="BC136" s="55"/>
      <c r="BD136" s="55"/>
      <c r="BE136" s="55"/>
      <c r="BF136" s="55"/>
      <c r="BG136" s="55"/>
      <c r="BH136" s="55"/>
      <c r="BI136" s="55"/>
      <c r="BJ136" s="45"/>
      <c r="BK136" s="45"/>
      <c r="BL136" s="45"/>
      <c r="BM136" s="45"/>
      <c r="BN136" s="45"/>
      <c r="BO136" s="45"/>
      <c r="BP136" s="45"/>
      <c r="BQ136" s="45"/>
      <c r="BR136" s="45"/>
      <c r="BS136" s="45"/>
      <c r="BT136" s="45"/>
      <c r="BU136" s="45"/>
      <c r="BV136" s="45"/>
      <c r="BW136" s="45"/>
      <c r="BX136" s="45"/>
      <c r="BY136" s="55"/>
      <c r="BZ136" s="55"/>
      <c r="CA136" s="55"/>
      <c r="CB136" s="55"/>
      <c r="CC136" s="55"/>
      <c r="CD136" s="55"/>
      <c r="CE136" s="55"/>
      <c r="CF136" s="55"/>
      <c r="CG136" s="55"/>
      <c r="CH136" s="55"/>
      <c r="CI136" s="55"/>
      <c r="CJ136" s="55"/>
      <c r="CK136" s="55"/>
      <c r="CL136" s="55"/>
      <c r="CM136" s="55"/>
      <c r="CN136" s="45">
        <f>CN$135</f>
        <v>0</v>
      </c>
      <c r="CO136" s="45">
        <f t="shared" ref="CO136:DB136" si="80">CO$135</f>
        <v>0</v>
      </c>
      <c r="CP136" s="45">
        <f t="shared" si="80"/>
        <v>0</v>
      </c>
      <c r="CQ136" s="45">
        <f t="shared" si="80"/>
        <v>0</v>
      </c>
      <c r="CR136" s="45">
        <f t="shared" si="80"/>
        <v>0</v>
      </c>
      <c r="CS136" s="45">
        <f t="shared" si="80"/>
        <v>0</v>
      </c>
      <c r="CT136" s="45">
        <f t="shared" si="80"/>
        <v>0</v>
      </c>
      <c r="CU136" s="45">
        <f t="shared" si="80"/>
        <v>0</v>
      </c>
      <c r="CV136" s="45">
        <f t="shared" si="80"/>
        <v>0</v>
      </c>
      <c r="CW136" s="45">
        <f t="shared" si="80"/>
        <v>0</v>
      </c>
      <c r="CX136" s="45">
        <f t="shared" si="80"/>
        <v>0</v>
      </c>
      <c r="CY136" s="45">
        <f t="shared" si="80"/>
        <v>0</v>
      </c>
      <c r="CZ136" s="45">
        <f t="shared" si="80"/>
        <v>0</v>
      </c>
      <c r="DA136" s="45">
        <f t="shared" si="80"/>
        <v>0</v>
      </c>
      <c r="DB136" s="45">
        <f t="shared" si="80"/>
        <v>0</v>
      </c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</row>
    <row r="137" spans="1:121" ht="14.25" x14ac:dyDescent="0.15">
      <c r="A137" s="48">
        <v>135</v>
      </c>
      <c r="B137" s="45" t="e">
        <f t="shared" si="64"/>
        <v>#DIV/0!</v>
      </c>
      <c r="C137" s="45" t="e">
        <f t="shared" si="65"/>
        <v>#DIV/0!</v>
      </c>
      <c r="D137" s="45" t="e">
        <f t="shared" si="66"/>
        <v>#DIV/0!</v>
      </c>
      <c r="E137" s="45" t="e">
        <f t="shared" si="67"/>
        <v>#DIV/0!</v>
      </c>
      <c r="F137" s="45" t="e">
        <f t="shared" si="68"/>
        <v>#DIV/0!</v>
      </c>
      <c r="G137" s="45" t="e">
        <f t="shared" si="69"/>
        <v>#DIV/0!</v>
      </c>
      <c r="H137" s="45" t="e">
        <f t="shared" si="70"/>
        <v>#DIV/0!</v>
      </c>
      <c r="I137" s="45" t="e">
        <f t="shared" si="71"/>
        <v>#DIV/0!</v>
      </c>
      <c r="J137" s="45" t="e">
        <f t="shared" si="72"/>
        <v>#DIV/0!</v>
      </c>
      <c r="K137" s="45" t="e">
        <f t="shared" si="73"/>
        <v>#DIV/0!</v>
      </c>
      <c r="L137" s="45" t="e">
        <f t="shared" si="74"/>
        <v>#DIV/0!</v>
      </c>
      <c r="M137" s="45" t="e">
        <f t="shared" si="75"/>
        <v>#DIV/0!</v>
      </c>
      <c r="N137" s="45" t="e">
        <f t="shared" si="76"/>
        <v>#DIV/0!</v>
      </c>
      <c r="O137" s="45" t="e">
        <f t="shared" si="77"/>
        <v>#DIV/0!</v>
      </c>
      <c r="P137" s="45" t="e">
        <f t="shared" si="78"/>
        <v>#DIV/0!</v>
      </c>
      <c r="Q137" s="55" t="e">
        <f>Q136+ATM_Conf!$C$5*(B136)/(Links!B$191*Links!Q$191)</f>
        <v>#DIV/0!</v>
      </c>
      <c r="R137" s="55" t="e">
        <f>R136+ATM_Conf!$C$5*(C136-B136)/(Links!C$191*Links!R$191)</f>
        <v>#DIV/0!</v>
      </c>
      <c r="S137" s="55" t="e">
        <f>S136+ATM_Conf!$C$5*(D136-C136)/(Links!D$191*Links!S$191)</f>
        <v>#DIV/0!</v>
      </c>
      <c r="T137" s="55" t="e">
        <f>T136+ATM_Conf!$C$5*(E136-D136)/(Links!E$191*Links!T$191)</f>
        <v>#DIV/0!</v>
      </c>
      <c r="U137" s="55" t="e">
        <f>U136+ATM_Conf!$C$5*(F136-E136)/(Links!F$191*Links!U$191)</f>
        <v>#DIV/0!</v>
      </c>
      <c r="V137" s="55" t="e">
        <f>V136+ATM_Conf!$C$5*(G136-F136)/(Links!G$191*Links!V$191)</f>
        <v>#DIV/0!</v>
      </c>
      <c r="W137" s="55" t="e">
        <f>W136+ATM_Conf!$C$5*(H136-G136)/(Links!H$191*Links!W$191)</f>
        <v>#DIV/0!</v>
      </c>
      <c r="X137" s="55" t="e">
        <f>X136+ATM_Conf!$C$5*(I136-H136)/(Links!I$191*Links!X$191)</f>
        <v>#DIV/0!</v>
      </c>
      <c r="Y137" s="55" t="e">
        <f>Y136+ATM_Conf!$C$5*(J136)/(Links!J$191*Links!Y$191)</f>
        <v>#DIV/0!</v>
      </c>
      <c r="Z137" s="55" t="e">
        <f>Z136+ATM_Conf!$C$5*(K136-J136)/(Links!K$191*Links!Z$191)</f>
        <v>#DIV/0!</v>
      </c>
      <c r="AA137" s="55" t="e">
        <f>AA136+ATM_Conf!$C$5*(L136-K136)/(Links!L$191*Links!AA$191)</f>
        <v>#DIV/0!</v>
      </c>
      <c r="AB137" s="55" t="e">
        <f>AB136+ATM_Conf!$C$5*(M136-L136)/(Links!M$191*Links!AB$191)</f>
        <v>#DIV/0!</v>
      </c>
      <c r="AC137" s="55" t="e">
        <f>AC136+ATM_Conf!$C$5*(N136-M136)/(Links!N$191*Links!AC$191)</f>
        <v>#DIV/0!</v>
      </c>
      <c r="AD137" s="55" t="e">
        <f>AD136+ATM_Conf!$C$5*(O136-N136)/(Links!O$191*Links!AD$191)</f>
        <v>#DIV/0!</v>
      </c>
      <c r="AE137" s="55" t="e">
        <f>AE136+ATM_Conf!$C$5*(P136-O136)/(Links!P$191*Links!AE$191)</f>
        <v>#DIV/0!</v>
      </c>
      <c r="AF137" s="45" t="e">
        <f>AF136+(ATM_Conf!$C$5/ATM_Conf!$C$8)*(Links!AU136*EXP((-(Links!Q136/Links!BJ136)^Links!BY136)/Links!BY136)-Links!AF136)-(ATM_Conf!$C$9*ATM_Conf!$C$5/(ATM_Conf!$C$8*Links!Q$191))*(Nodes!BO136-Links!Q136)/(Links!Q136/ATM_Conf!$C$10)</f>
        <v>#DIV/0!</v>
      </c>
      <c r="AG137" s="45" t="e">
        <f>AG136+(ATM_Conf!$C$5/ATM_Conf!$C$8)*(Links!AV136*EXP((-(Links!R136/Links!BK136)^Links!BZ136)/Links!BZ136)-Links!AG136)+(ATM_Conf!$C$5/Links!R$191)*Links!AG136*(Nodes!BB136-Links!AG136)-(ATM_Conf!$C$9*ATM_Conf!$C$5/(ATM_Conf!$C$8*Links!R$191))*(Nodes!BP136-Links!R136)/(Links!R136/ATM_Conf!$C$10)</f>
        <v>#DIV/0!</v>
      </c>
      <c r="AH137" s="45" t="e">
        <f>AH136+(ATM_Conf!$C$5/ATM_Conf!$C$8)*(Links!AW136*EXP((-(Links!S136/Links!BL136)^Links!CA136)/Links!CA136)-Links!AH136)+(ATM_Conf!$C$5/Links!S$191)*Links!AH136*(Nodes!BC136-Links!AH136)-(ATM_Conf!$C$9*ATM_Conf!$C$5/(ATM_Conf!$C$8*Links!S$191))*(Nodes!BQ136-Links!S136)/(Links!S136/ATM_Conf!$C$10)</f>
        <v>#DIV/0!</v>
      </c>
      <c r="AI137" s="45" t="e">
        <f>AI136+(ATM_Conf!$C$5/ATM_Conf!$C$8)*(Links!AX136*EXP((-(Links!T136/Links!BM136)^Links!CB136)/Links!CB136)-Links!AI136)+(ATM_Conf!$C$5/Links!T$191)*Links!AI136*(Nodes!BD136-Links!AI136)-(ATM_Conf!$C$9*ATM_Conf!$C$5/(ATM_Conf!$C$8*Links!T$191))*(Nodes!BR136-Links!T136)/(Links!T136/ATM_Conf!$C$10)</f>
        <v>#DIV/0!</v>
      </c>
      <c r="AJ137" s="45" t="e">
        <f>AJ136+(ATM_Conf!$C$5/ATM_Conf!$C$8)*(Links!AY136*EXP((-(Links!U136/Links!BN136)^Links!CC136)/Links!CC136)-Links!AJ136)+(ATM_Conf!$C$5/Links!U$191)*Links!AJ136*(Nodes!BE136-Links!AJ136)-(ATM_Conf!$C$9*ATM_Conf!$C$5/(ATM_Conf!$C$8*Links!U$191))*(Nodes!BS136-Links!U136)/(Links!U136/ATM_Conf!$C$10)</f>
        <v>#DIV/0!</v>
      </c>
      <c r="AK137" s="45" t="e">
        <f>AK136+(ATM_Conf!$C$5/ATM_Conf!$C$8)*(Links!AZ136*EXP((-(Links!V136/Links!BO136)^Links!CD136)/Links!CD136)-Links!AK136)+(ATM_Conf!$C$5/Links!V$191)*Links!AK136*(Nodes!BF136-Links!AK136)-(ATM_Conf!$C$9*ATM_Conf!$C$5/(ATM_Conf!$C$8*Links!V$191))*(Nodes!BT136-Links!V136)/(Links!V136/ATM_Conf!$C$10)</f>
        <v>#DIV/0!</v>
      </c>
      <c r="AL137" s="45" t="e">
        <f>AL136+(ATM_Conf!$C$5/ATM_Conf!$C$8)*(Links!BA136*EXP((-(Links!W136/Links!BP136)^Links!CE136)/Links!CE136)-Links!AL136)+(ATM_Conf!$C$5/Links!W$191)*Links!AL136*(Nodes!BG136-Links!AL136)-(ATM_Conf!$C$9*ATM_Conf!$C$5/(ATM_Conf!$C$8*Links!W$191))*(Nodes!BU136-Links!W136)/(Links!W136/ATM_Conf!$C$10)</f>
        <v>#DIV/0!</v>
      </c>
      <c r="AM137" s="45" t="e">
        <f>AM136+(ATM_Conf!$C$5/ATM_Conf!$C$8)*(Links!BB136*EXP((-(Links!X136/Links!BQ136)^Links!CF136)/Links!CF136)-Links!AM136)+(ATM_Conf!$C$5/Links!X$191)*Links!AM136*(Nodes!BH136-Links!AM136)</f>
        <v>#DIV/0!</v>
      </c>
      <c r="AN137" s="45" t="e">
        <f>AN136+(ATM_Conf!$C$5/ATM_Conf!$C$8)*(Links!BC136*EXP((-(Links!Y136/Links!BR136)^Links!CG136)/Links!CG136)-Links!AN136)-(ATM_Conf!$C$9*ATM_Conf!$C$5/(ATM_Conf!$C$8*Links!Y$191))*(Nodes!BV136-Links!Y136)/(Links!Y136/ATM_Conf!$C$10)</f>
        <v>#DIV/0!</v>
      </c>
      <c r="AO137" s="45" t="e">
        <f>AO136+(ATM_Conf!$C$5/ATM_Conf!$C$8)*(Links!BD136*EXP((-(Links!Z136/Links!BS136)^Links!CH136)/Links!CH136)-Links!AO136)+(ATM_Conf!$C$5/Links!Z$191)*Links!AO136*(Nodes!BI136-Links!AO136)-(ATM_Conf!$C$9*ATM_Conf!$C$5/(ATM_Conf!$C$8*Links!Z$191))*(Nodes!BW136-Links!Z136)/(Links!Z136/ATM_Conf!$C$10)</f>
        <v>#DIV/0!</v>
      </c>
      <c r="AP137" s="45" t="e">
        <f>AP136+(ATM_Conf!$C$5/ATM_Conf!$C$8)*(Links!BE136*EXP((-(Links!AA136/Links!BT136)^Links!CI136)/Links!CI136)-Links!AP136)+(ATM_Conf!$C$5/Links!AA$191)*Links!AP136*(Nodes!BJ136-Links!AP136)-(ATM_Conf!$C$9*ATM_Conf!$C$5/(ATM_Conf!$C$8*Links!AA$191))*(Nodes!BX136-Links!AA136)/(Links!AA136/ATM_Conf!$C$10)</f>
        <v>#DIV/0!</v>
      </c>
      <c r="AQ137" s="45" t="e">
        <f>AQ136+(ATM_Conf!$C$5/ATM_Conf!$C$8)*(Links!BF136*EXP((-(Links!AB136/Links!BU136)^Links!CJ136)/Links!CJ136)-Links!AQ136)+(ATM_Conf!$C$5/Links!AB$191)*Links!AQ136*(Nodes!BK136-Links!AQ136)-(ATM_Conf!$C$9*ATM_Conf!$C$5/(ATM_Conf!$C$8*Links!AB$191))*(Nodes!BY136-Links!AB136)/(Links!AB136/ATM_Conf!$C$10)</f>
        <v>#DIV/0!</v>
      </c>
      <c r="AR137" s="45" t="e">
        <f>AR136+(ATM_Conf!$C$5/ATM_Conf!$C$8)*(Links!BG136*EXP((-(Links!AC136/Links!BV136)^Links!CK136)/Links!CK136)-Links!AR136)+(ATM_Conf!$C$5/Links!AC$191)*Links!AR136*(Nodes!BL136-Links!AR136)-(ATM_Conf!$C$9*ATM_Conf!$C$5/(ATM_Conf!$C$8*Links!AC$191))*(Nodes!BZ136-Links!AC136)/(Links!AC136/ATM_Conf!$C$10)</f>
        <v>#DIV/0!</v>
      </c>
      <c r="AS137" s="45" t="e">
        <f>AS136+(ATM_Conf!$C$5/ATM_Conf!$C$8)*(Links!BH136*EXP((-(Links!AD136/Links!BW136)^Links!CL136)/Links!CL136)-Links!AS136)+(ATM_Conf!$C$5/Links!AD$191)*Links!AS136*(Nodes!BM136-Links!AS136)-(ATM_Conf!$C$9*ATM_Conf!$C$5/(ATM_Conf!$C$8*Links!AD$191))*(Nodes!CA136-Links!AD136)/(Links!AD136/ATM_Conf!$C$10)</f>
        <v>#DIV/0!</v>
      </c>
      <c r="AT137" s="45" t="e">
        <f>AT136+(ATM_Conf!$C$5/ATM_Conf!$C$8)*(Links!BI136*EXP((-(Links!AE136/Links!BX136)^Links!CM136)/Links!CM136)-Links!AT136)+(ATM_Conf!$C$5/Links!AE$191)*Links!AT136*(Nodes!BN136-Links!AT136)</f>
        <v>#DIV/0!</v>
      </c>
      <c r="AU137" s="55"/>
      <c r="AV137" s="55"/>
      <c r="AW137" s="55"/>
      <c r="AX137" s="55"/>
      <c r="AY137" s="55"/>
      <c r="AZ137" s="55"/>
      <c r="BA137" s="55"/>
      <c r="BB137" s="55"/>
      <c r="BC137" s="55"/>
      <c r="BD137" s="55"/>
      <c r="BE137" s="55"/>
      <c r="BF137" s="55"/>
      <c r="BG137" s="55"/>
      <c r="BH137" s="55"/>
      <c r="BI137" s="5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55"/>
      <c r="BZ137" s="55"/>
      <c r="CA137" s="55"/>
      <c r="CB137" s="55"/>
      <c r="CC137" s="55"/>
      <c r="CD137" s="55"/>
      <c r="CE137" s="55"/>
      <c r="CF137" s="55"/>
      <c r="CG137" s="55"/>
      <c r="CH137" s="55"/>
      <c r="CI137" s="55"/>
      <c r="CJ137" s="55"/>
      <c r="CK137" s="55"/>
      <c r="CL137" s="55"/>
      <c r="CM137" s="55"/>
      <c r="CN137" s="45">
        <f t="shared" ref="CN137:DB146" si="81">CN$135</f>
        <v>0</v>
      </c>
      <c r="CO137" s="45">
        <f t="shared" si="81"/>
        <v>0</v>
      </c>
      <c r="CP137" s="45">
        <f t="shared" si="81"/>
        <v>0</v>
      </c>
      <c r="CQ137" s="45">
        <f t="shared" si="81"/>
        <v>0</v>
      </c>
      <c r="CR137" s="45">
        <f t="shared" si="81"/>
        <v>0</v>
      </c>
      <c r="CS137" s="45">
        <f t="shared" si="81"/>
        <v>0</v>
      </c>
      <c r="CT137" s="45">
        <f t="shared" si="81"/>
        <v>0</v>
      </c>
      <c r="CU137" s="45">
        <f t="shared" si="81"/>
        <v>0</v>
      </c>
      <c r="CV137" s="45">
        <f t="shared" si="81"/>
        <v>0</v>
      </c>
      <c r="CW137" s="45">
        <f t="shared" si="81"/>
        <v>0</v>
      </c>
      <c r="CX137" s="45">
        <f t="shared" si="81"/>
        <v>0</v>
      </c>
      <c r="CY137" s="45">
        <f t="shared" si="81"/>
        <v>0</v>
      </c>
      <c r="CZ137" s="45">
        <f t="shared" si="81"/>
        <v>0</v>
      </c>
      <c r="DA137" s="45">
        <f t="shared" si="81"/>
        <v>0</v>
      </c>
      <c r="DB137" s="45">
        <f t="shared" si="81"/>
        <v>0</v>
      </c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</row>
    <row r="138" spans="1:121" ht="14.25" x14ac:dyDescent="0.15">
      <c r="A138" s="48">
        <v>136</v>
      </c>
      <c r="B138" s="45" t="e">
        <f t="shared" si="64"/>
        <v>#DIV/0!</v>
      </c>
      <c r="C138" s="45" t="e">
        <f t="shared" si="65"/>
        <v>#DIV/0!</v>
      </c>
      <c r="D138" s="45" t="e">
        <f t="shared" si="66"/>
        <v>#DIV/0!</v>
      </c>
      <c r="E138" s="45" t="e">
        <f t="shared" si="67"/>
        <v>#DIV/0!</v>
      </c>
      <c r="F138" s="45" t="e">
        <f t="shared" si="68"/>
        <v>#DIV/0!</v>
      </c>
      <c r="G138" s="45" t="e">
        <f t="shared" si="69"/>
        <v>#DIV/0!</v>
      </c>
      <c r="H138" s="45" t="e">
        <f t="shared" si="70"/>
        <v>#DIV/0!</v>
      </c>
      <c r="I138" s="45" t="e">
        <f t="shared" si="71"/>
        <v>#DIV/0!</v>
      </c>
      <c r="J138" s="45" t="e">
        <f t="shared" si="72"/>
        <v>#DIV/0!</v>
      </c>
      <c r="K138" s="45" t="e">
        <f t="shared" si="73"/>
        <v>#DIV/0!</v>
      </c>
      <c r="L138" s="45" t="e">
        <f t="shared" si="74"/>
        <v>#DIV/0!</v>
      </c>
      <c r="M138" s="45" t="e">
        <f t="shared" si="75"/>
        <v>#DIV/0!</v>
      </c>
      <c r="N138" s="45" t="e">
        <f t="shared" si="76"/>
        <v>#DIV/0!</v>
      </c>
      <c r="O138" s="45" t="e">
        <f t="shared" si="77"/>
        <v>#DIV/0!</v>
      </c>
      <c r="P138" s="45" t="e">
        <f t="shared" si="78"/>
        <v>#DIV/0!</v>
      </c>
      <c r="Q138" s="55" t="e">
        <f>Q137+ATM_Conf!$C$5*(B137)/(Links!B$191*Links!Q$191)</f>
        <v>#DIV/0!</v>
      </c>
      <c r="R138" s="55" t="e">
        <f>R137+ATM_Conf!$C$5*(C137-B137)/(Links!C$191*Links!R$191)</f>
        <v>#DIV/0!</v>
      </c>
      <c r="S138" s="55" t="e">
        <f>S137+ATM_Conf!$C$5*(D137-C137)/(Links!D$191*Links!S$191)</f>
        <v>#DIV/0!</v>
      </c>
      <c r="T138" s="55" t="e">
        <f>T137+ATM_Conf!$C$5*(E137-D137)/(Links!E$191*Links!T$191)</f>
        <v>#DIV/0!</v>
      </c>
      <c r="U138" s="55" t="e">
        <f>U137+ATM_Conf!$C$5*(F137-E137)/(Links!F$191*Links!U$191)</f>
        <v>#DIV/0!</v>
      </c>
      <c r="V138" s="55" t="e">
        <f>V137+ATM_Conf!$C$5*(G137-F137)/(Links!G$191*Links!V$191)</f>
        <v>#DIV/0!</v>
      </c>
      <c r="W138" s="55" t="e">
        <f>W137+ATM_Conf!$C$5*(H137-G137)/(Links!H$191*Links!W$191)</f>
        <v>#DIV/0!</v>
      </c>
      <c r="X138" s="55" t="e">
        <f>X137+ATM_Conf!$C$5*(I137-H137)/(Links!I$191*Links!X$191)</f>
        <v>#DIV/0!</v>
      </c>
      <c r="Y138" s="55" t="e">
        <f>Y137+ATM_Conf!$C$5*(J137)/(Links!J$191*Links!Y$191)</f>
        <v>#DIV/0!</v>
      </c>
      <c r="Z138" s="55" t="e">
        <f>Z137+ATM_Conf!$C$5*(K137-J137)/(Links!K$191*Links!Z$191)</f>
        <v>#DIV/0!</v>
      </c>
      <c r="AA138" s="55" t="e">
        <f>AA137+ATM_Conf!$C$5*(L137-K137)/(Links!L$191*Links!AA$191)</f>
        <v>#DIV/0!</v>
      </c>
      <c r="AB138" s="55" t="e">
        <f>AB137+ATM_Conf!$C$5*(M137-L137)/(Links!M$191*Links!AB$191)</f>
        <v>#DIV/0!</v>
      </c>
      <c r="AC138" s="55" t="e">
        <f>AC137+ATM_Conf!$C$5*(N137-M137)/(Links!N$191*Links!AC$191)</f>
        <v>#DIV/0!</v>
      </c>
      <c r="AD138" s="55" t="e">
        <f>AD137+ATM_Conf!$C$5*(O137-N137)/(Links!O$191*Links!AD$191)</f>
        <v>#DIV/0!</v>
      </c>
      <c r="AE138" s="55" t="e">
        <f>AE137+ATM_Conf!$C$5*(P137-O137)/(Links!P$191*Links!AE$191)</f>
        <v>#DIV/0!</v>
      </c>
      <c r="AF138" s="45" t="e">
        <f>AF137+(ATM_Conf!$C$5/ATM_Conf!$C$8)*(Links!AU137*EXP((-(Links!Q137/Links!BJ137)^Links!BY137)/Links!BY137)-Links!AF137)-(ATM_Conf!$C$9*ATM_Conf!$C$5/(ATM_Conf!$C$8*Links!Q$191))*(Nodes!BO137-Links!Q137)/(Links!Q137/ATM_Conf!$C$10)</f>
        <v>#DIV/0!</v>
      </c>
      <c r="AG138" s="45" t="e">
        <f>AG137+(ATM_Conf!$C$5/ATM_Conf!$C$8)*(Links!AV137*EXP((-(Links!R137/Links!BK137)^Links!BZ137)/Links!BZ137)-Links!AG137)+(ATM_Conf!$C$5/Links!R$191)*Links!AG137*(Nodes!BB137-Links!AG137)-(ATM_Conf!$C$9*ATM_Conf!$C$5/(ATM_Conf!$C$8*Links!R$191))*(Nodes!BP137-Links!R137)/(Links!R137/ATM_Conf!$C$10)</f>
        <v>#DIV/0!</v>
      </c>
      <c r="AH138" s="45" t="e">
        <f>AH137+(ATM_Conf!$C$5/ATM_Conf!$C$8)*(Links!AW137*EXP((-(Links!S137/Links!BL137)^Links!CA137)/Links!CA137)-Links!AH137)+(ATM_Conf!$C$5/Links!S$191)*Links!AH137*(Nodes!BC137-Links!AH137)-(ATM_Conf!$C$9*ATM_Conf!$C$5/(ATM_Conf!$C$8*Links!S$191))*(Nodes!BQ137-Links!S137)/(Links!S137/ATM_Conf!$C$10)</f>
        <v>#DIV/0!</v>
      </c>
      <c r="AI138" s="45" t="e">
        <f>AI137+(ATM_Conf!$C$5/ATM_Conf!$C$8)*(Links!AX137*EXP((-(Links!T137/Links!BM137)^Links!CB137)/Links!CB137)-Links!AI137)+(ATM_Conf!$C$5/Links!T$191)*Links!AI137*(Nodes!BD137-Links!AI137)-(ATM_Conf!$C$9*ATM_Conf!$C$5/(ATM_Conf!$C$8*Links!T$191))*(Nodes!BR137-Links!T137)/(Links!T137/ATM_Conf!$C$10)</f>
        <v>#DIV/0!</v>
      </c>
      <c r="AJ138" s="45" t="e">
        <f>AJ137+(ATM_Conf!$C$5/ATM_Conf!$C$8)*(Links!AY137*EXP((-(Links!U137/Links!BN137)^Links!CC137)/Links!CC137)-Links!AJ137)+(ATM_Conf!$C$5/Links!U$191)*Links!AJ137*(Nodes!BE137-Links!AJ137)-(ATM_Conf!$C$9*ATM_Conf!$C$5/(ATM_Conf!$C$8*Links!U$191))*(Nodes!BS137-Links!U137)/(Links!U137/ATM_Conf!$C$10)</f>
        <v>#DIV/0!</v>
      </c>
      <c r="AK138" s="45" t="e">
        <f>AK137+(ATM_Conf!$C$5/ATM_Conf!$C$8)*(Links!AZ137*EXP((-(Links!V137/Links!BO137)^Links!CD137)/Links!CD137)-Links!AK137)+(ATM_Conf!$C$5/Links!V$191)*Links!AK137*(Nodes!BF137-Links!AK137)-(ATM_Conf!$C$9*ATM_Conf!$C$5/(ATM_Conf!$C$8*Links!V$191))*(Nodes!BT137-Links!V137)/(Links!V137/ATM_Conf!$C$10)</f>
        <v>#DIV/0!</v>
      </c>
      <c r="AL138" s="45" t="e">
        <f>AL137+(ATM_Conf!$C$5/ATM_Conf!$C$8)*(Links!BA137*EXP((-(Links!W137/Links!BP137)^Links!CE137)/Links!CE137)-Links!AL137)+(ATM_Conf!$C$5/Links!W$191)*Links!AL137*(Nodes!BG137-Links!AL137)-(ATM_Conf!$C$9*ATM_Conf!$C$5/(ATM_Conf!$C$8*Links!W$191))*(Nodes!BU137-Links!W137)/(Links!W137/ATM_Conf!$C$10)</f>
        <v>#DIV/0!</v>
      </c>
      <c r="AM138" s="45" t="e">
        <f>AM137+(ATM_Conf!$C$5/ATM_Conf!$C$8)*(Links!BB137*EXP((-(Links!X137/Links!BQ137)^Links!CF137)/Links!CF137)-Links!AM137)+(ATM_Conf!$C$5/Links!X$191)*Links!AM137*(Nodes!BH137-Links!AM137)</f>
        <v>#DIV/0!</v>
      </c>
      <c r="AN138" s="45" t="e">
        <f>AN137+(ATM_Conf!$C$5/ATM_Conf!$C$8)*(Links!BC137*EXP((-(Links!Y137/Links!BR137)^Links!CG137)/Links!CG137)-Links!AN137)-(ATM_Conf!$C$9*ATM_Conf!$C$5/(ATM_Conf!$C$8*Links!Y$191))*(Nodes!BV137-Links!Y137)/(Links!Y137/ATM_Conf!$C$10)</f>
        <v>#DIV/0!</v>
      </c>
      <c r="AO138" s="45" t="e">
        <f>AO137+(ATM_Conf!$C$5/ATM_Conf!$C$8)*(Links!BD137*EXP((-(Links!Z137/Links!BS137)^Links!CH137)/Links!CH137)-Links!AO137)+(ATM_Conf!$C$5/Links!Z$191)*Links!AO137*(Nodes!BI137-Links!AO137)-(ATM_Conf!$C$9*ATM_Conf!$C$5/(ATM_Conf!$C$8*Links!Z$191))*(Nodes!BW137-Links!Z137)/(Links!Z137/ATM_Conf!$C$10)</f>
        <v>#DIV/0!</v>
      </c>
      <c r="AP138" s="45" t="e">
        <f>AP137+(ATM_Conf!$C$5/ATM_Conf!$C$8)*(Links!BE137*EXP((-(Links!AA137/Links!BT137)^Links!CI137)/Links!CI137)-Links!AP137)+(ATM_Conf!$C$5/Links!AA$191)*Links!AP137*(Nodes!BJ137-Links!AP137)-(ATM_Conf!$C$9*ATM_Conf!$C$5/(ATM_Conf!$C$8*Links!AA$191))*(Nodes!BX137-Links!AA137)/(Links!AA137/ATM_Conf!$C$10)</f>
        <v>#DIV/0!</v>
      </c>
      <c r="AQ138" s="45" t="e">
        <f>AQ137+(ATM_Conf!$C$5/ATM_Conf!$C$8)*(Links!BF137*EXP((-(Links!AB137/Links!BU137)^Links!CJ137)/Links!CJ137)-Links!AQ137)+(ATM_Conf!$C$5/Links!AB$191)*Links!AQ137*(Nodes!BK137-Links!AQ137)-(ATM_Conf!$C$9*ATM_Conf!$C$5/(ATM_Conf!$C$8*Links!AB$191))*(Nodes!BY137-Links!AB137)/(Links!AB137/ATM_Conf!$C$10)</f>
        <v>#DIV/0!</v>
      </c>
      <c r="AR138" s="45" t="e">
        <f>AR137+(ATM_Conf!$C$5/ATM_Conf!$C$8)*(Links!BG137*EXP((-(Links!AC137/Links!BV137)^Links!CK137)/Links!CK137)-Links!AR137)+(ATM_Conf!$C$5/Links!AC$191)*Links!AR137*(Nodes!BL137-Links!AR137)-(ATM_Conf!$C$9*ATM_Conf!$C$5/(ATM_Conf!$C$8*Links!AC$191))*(Nodes!BZ137-Links!AC137)/(Links!AC137/ATM_Conf!$C$10)</f>
        <v>#DIV/0!</v>
      </c>
      <c r="AS138" s="45" t="e">
        <f>AS137+(ATM_Conf!$C$5/ATM_Conf!$C$8)*(Links!BH137*EXP((-(Links!AD137/Links!BW137)^Links!CL137)/Links!CL137)-Links!AS137)+(ATM_Conf!$C$5/Links!AD$191)*Links!AS137*(Nodes!BM137-Links!AS137)-(ATM_Conf!$C$9*ATM_Conf!$C$5/(ATM_Conf!$C$8*Links!AD$191))*(Nodes!CA137-Links!AD137)/(Links!AD137/ATM_Conf!$C$10)</f>
        <v>#DIV/0!</v>
      </c>
      <c r="AT138" s="45" t="e">
        <f>AT137+(ATM_Conf!$C$5/ATM_Conf!$C$8)*(Links!BI137*EXP((-(Links!AE137/Links!BX137)^Links!CM137)/Links!CM137)-Links!AT137)+(ATM_Conf!$C$5/Links!AE$191)*Links!AT137*(Nodes!BN137-Links!AT137)</f>
        <v>#DIV/0!</v>
      </c>
      <c r="AU138" s="55"/>
      <c r="AV138" s="55"/>
      <c r="AW138" s="55"/>
      <c r="AX138" s="55"/>
      <c r="AY138" s="55"/>
      <c r="AZ138" s="55"/>
      <c r="BA138" s="55"/>
      <c r="BB138" s="55"/>
      <c r="BC138" s="55"/>
      <c r="BD138" s="55"/>
      <c r="BE138" s="55"/>
      <c r="BF138" s="55"/>
      <c r="BG138" s="55"/>
      <c r="BH138" s="55"/>
      <c r="BI138" s="5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55"/>
      <c r="BZ138" s="55"/>
      <c r="CA138" s="55"/>
      <c r="CB138" s="55"/>
      <c r="CC138" s="55"/>
      <c r="CD138" s="55"/>
      <c r="CE138" s="55"/>
      <c r="CF138" s="55"/>
      <c r="CG138" s="55"/>
      <c r="CH138" s="55"/>
      <c r="CI138" s="55"/>
      <c r="CJ138" s="55"/>
      <c r="CK138" s="55"/>
      <c r="CL138" s="55"/>
      <c r="CM138" s="55"/>
      <c r="CN138" s="45">
        <f t="shared" si="81"/>
        <v>0</v>
      </c>
      <c r="CO138" s="45">
        <f t="shared" si="81"/>
        <v>0</v>
      </c>
      <c r="CP138" s="45">
        <f t="shared" si="81"/>
        <v>0</v>
      </c>
      <c r="CQ138" s="45">
        <f t="shared" si="81"/>
        <v>0</v>
      </c>
      <c r="CR138" s="45">
        <f t="shared" si="81"/>
        <v>0</v>
      </c>
      <c r="CS138" s="45">
        <f t="shared" si="81"/>
        <v>0</v>
      </c>
      <c r="CT138" s="45">
        <f t="shared" si="81"/>
        <v>0</v>
      </c>
      <c r="CU138" s="45">
        <f t="shared" si="81"/>
        <v>0</v>
      </c>
      <c r="CV138" s="45">
        <f t="shared" si="81"/>
        <v>0</v>
      </c>
      <c r="CW138" s="45">
        <f t="shared" si="81"/>
        <v>0</v>
      </c>
      <c r="CX138" s="45">
        <f t="shared" si="81"/>
        <v>0</v>
      </c>
      <c r="CY138" s="45">
        <f t="shared" si="81"/>
        <v>0</v>
      </c>
      <c r="CZ138" s="45">
        <f t="shared" si="81"/>
        <v>0</v>
      </c>
      <c r="DA138" s="45">
        <f t="shared" si="81"/>
        <v>0</v>
      </c>
      <c r="DB138" s="45">
        <f t="shared" si="81"/>
        <v>0</v>
      </c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</row>
    <row r="139" spans="1:121" ht="14.25" x14ac:dyDescent="0.15">
      <c r="A139" s="48">
        <v>137</v>
      </c>
      <c r="B139" s="45" t="e">
        <f t="shared" si="64"/>
        <v>#DIV/0!</v>
      </c>
      <c r="C139" s="45" t="e">
        <f t="shared" si="65"/>
        <v>#DIV/0!</v>
      </c>
      <c r="D139" s="45" t="e">
        <f t="shared" si="66"/>
        <v>#DIV/0!</v>
      </c>
      <c r="E139" s="45" t="e">
        <f t="shared" si="67"/>
        <v>#DIV/0!</v>
      </c>
      <c r="F139" s="45" t="e">
        <f t="shared" si="68"/>
        <v>#DIV/0!</v>
      </c>
      <c r="G139" s="45" t="e">
        <f t="shared" si="69"/>
        <v>#DIV/0!</v>
      </c>
      <c r="H139" s="45" t="e">
        <f t="shared" si="70"/>
        <v>#DIV/0!</v>
      </c>
      <c r="I139" s="45" t="e">
        <f t="shared" si="71"/>
        <v>#DIV/0!</v>
      </c>
      <c r="J139" s="45" t="e">
        <f t="shared" si="72"/>
        <v>#DIV/0!</v>
      </c>
      <c r="K139" s="45" t="e">
        <f t="shared" si="73"/>
        <v>#DIV/0!</v>
      </c>
      <c r="L139" s="45" t="e">
        <f t="shared" si="74"/>
        <v>#DIV/0!</v>
      </c>
      <c r="M139" s="45" t="e">
        <f t="shared" si="75"/>
        <v>#DIV/0!</v>
      </c>
      <c r="N139" s="45" t="e">
        <f t="shared" si="76"/>
        <v>#DIV/0!</v>
      </c>
      <c r="O139" s="45" t="e">
        <f t="shared" si="77"/>
        <v>#DIV/0!</v>
      </c>
      <c r="P139" s="45" t="e">
        <f t="shared" si="78"/>
        <v>#DIV/0!</v>
      </c>
      <c r="Q139" s="55" t="e">
        <f>Q138+ATM_Conf!$C$5*(B138)/(Links!B$191*Links!Q$191)</f>
        <v>#DIV/0!</v>
      </c>
      <c r="R139" s="55" t="e">
        <f>R138+ATM_Conf!$C$5*(C138-B138)/(Links!C$191*Links!R$191)</f>
        <v>#DIV/0!</v>
      </c>
      <c r="S139" s="55" t="e">
        <f>S138+ATM_Conf!$C$5*(D138-C138)/(Links!D$191*Links!S$191)</f>
        <v>#DIV/0!</v>
      </c>
      <c r="T139" s="55" t="e">
        <f>T138+ATM_Conf!$C$5*(E138-D138)/(Links!E$191*Links!T$191)</f>
        <v>#DIV/0!</v>
      </c>
      <c r="U139" s="55" t="e">
        <f>U138+ATM_Conf!$C$5*(F138-E138)/(Links!F$191*Links!U$191)</f>
        <v>#DIV/0!</v>
      </c>
      <c r="V139" s="55" t="e">
        <f>V138+ATM_Conf!$C$5*(G138-F138)/(Links!G$191*Links!V$191)</f>
        <v>#DIV/0!</v>
      </c>
      <c r="W139" s="55" t="e">
        <f>W138+ATM_Conf!$C$5*(H138-G138)/(Links!H$191*Links!W$191)</f>
        <v>#DIV/0!</v>
      </c>
      <c r="X139" s="55" t="e">
        <f>X138+ATM_Conf!$C$5*(I138-H138)/(Links!I$191*Links!X$191)</f>
        <v>#DIV/0!</v>
      </c>
      <c r="Y139" s="55" t="e">
        <f>Y138+ATM_Conf!$C$5*(J138)/(Links!J$191*Links!Y$191)</f>
        <v>#DIV/0!</v>
      </c>
      <c r="Z139" s="55" t="e">
        <f>Z138+ATM_Conf!$C$5*(K138-J138)/(Links!K$191*Links!Z$191)</f>
        <v>#DIV/0!</v>
      </c>
      <c r="AA139" s="55" t="e">
        <f>AA138+ATM_Conf!$C$5*(L138-K138)/(Links!L$191*Links!AA$191)</f>
        <v>#DIV/0!</v>
      </c>
      <c r="AB139" s="55" t="e">
        <f>AB138+ATM_Conf!$C$5*(M138-L138)/(Links!M$191*Links!AB$191)</f>
        <v>#DIV/0!</v>
      </c>
      <c r="AC139" s="55" t="e">
        <f>AC138+ATM_Conf!$C$5*(N138-M138)/(Links!N$191*Links!AC$191)</f>
        <v>#DIV/0!</v>
      </c>
      <c r="AD139" s="55" t="e">
        <f>AD138+ATM_Conf!$C$5*(O138-N138)/(Links!O$191*Links!AD$191)</f>
        <v>#DIV/0!</v>
      </c>
      <c r="AE139" s="55" t="e">
        <f>AE138+ATM_Conf!$C$5*(P138-O138)/(Links!P$191*Links!AE$191)</f>
        <v>#DIV/0!</v>
      </c>
      <c r="AF139" s="45" t="e">
        <f>AF138+(ATM_Conf!$C$5/ATM_Conf!$C$8)*(Links!AU138*EXP((-(Links!Q138/Links!BJ138)^Links!BY138)/Links!BY138)-Links!AF138)-(ATM_Conf!$C$9*ATM_Conf!$C$5/(ATM_Conf!$C$8*Links!Q$191))*(Nodes!BO138-Links!Q138)/(Links!Q138/ATM_Conf!$C$10)</f>
        <v>#DIV/0!</v>
      </c>
      <c r="AG139" s="45" t="e">
        <f>AG138+(ATM_Conf!$C$5/ATM_Conf!$C$8)*(Links!AV138*EXP((-(Links!R138/Links!BK138)^Links!BZ138)/Links!BZ138)-Links!AG138)+(ATM_Conf!$C$5/Links!R$191)*Links!AG138*(Nodes!BB138-Links!AG138)-(ATM_Conf!$C$9*ATM_Conf!$C$5/(ATM_Conf!$C$8*Links!R$191))*(Nodes!BP138-Links!R138)/(Links!R138/ATM_Conf!$C$10)</f>
        <v>#DIV/0!</v>
      </c>
      <c r="AH139" s="45" t="e">
        <f>AH138+(ATM_Conf!$C$5/ATM_Conf!$C$8)*(Links!AW138*EXP((-(Links!S138/Links!BL138)^Links!CA138)/Links!CA138)-Links!AH138)+(ATM_Conf!$C$5/Links!S$191)*Links!AH138*(Nodes!BC138-Links!AH138)-(ATM_Conf!$C$9*ATM_Conf!$C$5/(ATM_Conf!$C$8*Links!S$191))*(Nodes!BQ138-Links!S138)/(Links!S138/ATM_Conf!$C$10)</f>
        <v>#DIV/0!</v>
      </c>
      <c r="AI139" s="45" t="e">
        <f>AI138+(ATM_Conf!$C$5/ATM_Conf!$C$8)*(Links!AX138*EXP((-(Links!T138/Links!BM138)^Links!CB138)/Links!CB138)-Links!AI138)+(ATM_Conf!$C$5/Links!T$191)*Links!AI138*(Nodes!BD138-Links!AI138)-(ATM_Conf!$C$9*ATM_Conf!$C$5/(ATM_Conf!$C$8*Links!T$191))*(Nodes!BR138-Links!T138)/(Links!T138/ATM_Conf!$C$10)</f>
        <v>#DIV/0!</v>
      </c>
      <c r="AJ139" s="45" t="e">
        <f>AJ138+(ATM_Conf!$C$5/ATM_Conf!$C$8)*(Links!AY138*EXP((-(Links!U138/Links!BN138)^Links!CC138)/Links!CC138)-Links!AJ138)+(ATM_Conf!$C$5/Links!U$191)*Links!AJ138*(Nodes!BE138-Links!AJ138)-(ATM_Conf!$C$9*ATM_Conf!$C$5/(ATM_Conf!$C$8*Links!U$191))*(Nodes!BS138-Links!U138)/(Links!U138/ATM_Conf!$C$10)</f>
        <v>#DIV/0!</v>
      </c>
      <c r="AK139" s="45" t="e">
        <f>AK138+(ATM_Conf!$C$5/ATM_Conf!$C$8)*(Links!AZ138*EXP((-(Links!V138/Links!BO138)^Links!CD138)/Links!CD138)-Links!AK138)+(ATM_Conf!$C$5/Links!V$191)*Links!AK138*(Nodes!BF138-Links!AK138)-(ATM_Conf!$C$9*ATM_Conf!$C$5/(ATM_Conf!$C$8*Links!V$191))*(Nodes!BT138-Links!V138)/(Links!V138/ATM_Conf!$C$10)</f>
        <v>#DIV/0!</v>
      </c>
      <c r="AL139" s="45" t="e">
        <f>AL138+(ATM_Conf!$C$5/ATM_Conf!$C$8)*(Links!BA138*EXP((-(Links!W138/Links!BP138)^Links!CE138)/Links!CE138)-Links!AL138)+(ATM_Conf!$C$5/Links!W$191)*Links!AL138*(Nodes!BG138-Links!AL138)-(ATM_Conf!$C$9*ATM_Conf!$C$5/(ATM_Conf!$C$8*Links!W$191))*(Nodes!BU138-Links!W138)/(Links!W138/ATM_Conf!$C$10)</f>
        <v>#DIV/0!</v>
      </c>
      <c r="AM139" s="45" t="e">
        <f>AM138+(ATM_Conf!$C$5/ATM_Conf!$C$8)*(Links!BB138*EXP((-(Links!X138/Links!BQ138)^Links!CF138)/Links!CF138)-Links!AM138)+(ATM_Conf!$C$5/Links!X$191)*Links!AM138*(Nodes!BH138-Links!AM138)</f>
        <v>#DIV/0!</v>
      </c>
      <c r="AN139" s="45" t="e">
        <f>AN138+(ATM_Conf!$C$5/ATM_Conf!$C$8)*(Links!BC138*EXP((-(Links!Y138/Links!BR138)^Links!CG138)/Links!CG138)-Links!AN138)-(ATM_Conf!$C$9*ATM_Conf!$C$5/(ATM_Conf!$C$8*Links!Y$191))*(Nodes!BV138-Links!Y138)/(Links!Y138/ATM_Conf!$C$10)</f>
        <v>#DIV/0!</v>
      </c>
      <c r="AO139" s="45" t="e">
        <f>AO138+(ATM_Conf!$C$5/ATM_Conf!$C$8)*(Links!BD138*EXP((-(Links!Z138/Links!BS138)^Links!CH138)/Links!CH138)-Links!AO138)+(ATM_Conf!$C$5/Links!Z$191)*Links!AO138*(Nodes!BI138-Links!AO138)-(ATM_Conf!$C$9*ATM_Conf!$C$5/(ATM_Conf!$C$8*Links!Z$191))*(Nodes!BW138-Links!Z138)/(Links!Z138/ATM_Conf!$C$10)</f>
        <v>#DIV/0!</v>
      </c>
      <c r="AP139" s="45" t="e">
        <f>AP138+(ATM_Conf!$C$5/ATM_Conf!$C$8)*(Links!BE138*EXP((-(Links!AA138/Links!BT138)^Links!CI138)/Links!CI138)-Links!AP138)+(ATM_Conf!$C$5/Links!AA$191)*Links!AP138*(Nodes!BJ138-Links!AP138)-(ATM_Conf!$C$9*ATM_Conf!$C$5/(ATM_Conf!$C$8*Links!AA$191))*(Nodes!BX138-Links!AA138)/(Links!AA138/ATM_Conf!$C$10)</f>
        <v>#DIV/0!</v>
      </c>
      <c r="AQ139" s="45" t="e">
        <f>AQ138+(ATM_Conf!$C$5/ATM_Conf!$C$8)*(Links!BF138*EXP((-(Links!AB138/Links!BU138)^Links!CJ138)/Links!CJ138)-Links!AQ138)+(ATM_Conf!$C$5/Links!AB$191)*Links!AQ138*(Nodes!BK138-Links!AQ138)-(ATM_Conf!$C$9*ATM_Conf!$C$5/(ATM_Conf!$C$8*Links!AB$191))*(Nodes!BY138-Links!AB138)/(Links!AB138/ATM_Conf!$C$10)</f>
        <v>#DIV/0!</v>
      </c>
      <c r="AR139" s="45" t="e">
        <f>AR138+(ATM_Conf!$C$5/ATM_Conf!$C$8)*(Links!BG138*EXP((-(Links!AC138/Links!BV138)^Links!CK138)/Links!CK138)-Links!AR138)+(ATM_Conf!$C$5/Links!AC$191)*Links!AR138*(Nodes!BL138-Links!AR138)-(ATM_Conf!$C$9*ATM_Conf!$C$5/(ATM_Conf!$C$8*Links!AC$191))*(Nodes!BZ138-Links!AC138)/(Links!AC138/ATM_Conf!$C$10)</f>
        <v>#DIV/0!</v>
      </c>
      <c r="AS139" s="45" t="e">
        <f>AS138+(ATM_Conf!$C$5/ATM_Conf!$C$8)*(Links!BH138*EXP((-(Links!AD138/Links!BW138)^Links!CL138)/Links!CL138)-Links!AS138)+(ATM_Conf!$C$5/Links!AD$191)*Links!AS138*(Nodes!BM138-Links!AS138)-(ATM_Conf!$C$9*ATM_Conf!$C$5/(ATM_Conf!$C$8*Links!AD$191))*(Nodes!CA138-Links!AD138)/(Links!AD138/ATM_Conf!$C$10)</f>
        <v>#DIV/0!</v>
      </c>
      <c r="AT139" s="45" t="e">
        <f>AT138+(ATM_Conf!$C$5/ATM_Conf!$C$8)*(Links!BI138*EXP((-(Links!AE138/Links!BX138)^Links!CM138)/Links!CM138)-Links!AT138)+(ATM_Conf!$C$5/Links!AE$191)*Links!AT138*(Nodes!BN138-Links!AT138)</f>
        <v>#DIV/0!</v>
      </c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55"/>
      <c r="BZ139" s="55"/>
      <c r="CA139" s="55"/>
      <c r="CB139" s="55"/>
      <c r="CC139" s="55"/>
      <c r="CD139" s="55"/>
      <c r="CE139" s="55"/>
      <c r="CF139" s="55"/>
      <c r="CG139" s="55"/>
      <c r="CH139" s="55"/>
      <c r="CI139" s="55"/>
      <c r="CJ139" s="55"/>
      <c r="CK139" s="55"/>
      <c r="CL139" s="55"/>
      <c r="CM139" s="55"/>
      <c r="CN139" s="45">
        <f t="shared" si="81"/>
        <v>0</v>
      </c>
      <c r="CO139" s="45">
        <f t="shared" si="81"/>
        <v>0</v>
      </c>
      <c r="CP139" s="45">
        <f t="shared" si="81"/>
        <v>0</v>
      </c>
      <c r="CQ139" s="45">
        <f t="shared" si="81"/>
        <v>0</v>
      </c>
      <c r="CR139" s="45">
        <f t="shared" si="81"/>
        <v>0</v>
      </c>
      <c r="CS139" s="45">
        <f t="shared" si="81"/>
        <v>0</v>
      </c>
      <c r="CT139" s="45">
        <f t="shared" si="81"/>
        <v>0</v>
      </c>
      <c r="CU139" s="45">
        <f t="shared" si="81"/>
        <v>0</v>
      </c>
      <c r="CV139" s="45">
        <f t="shared" si="81"/>
        <v>0</v>
      </c>
      <c r="CW139" s="45">
        <f t="shared" si="81"/>
        <v>0</v>
      </c>
      <c r="CX139" s="45">
        <f t="shared" si="81"/>
        <v>0</v>
      </c>
      <c r="CY139" s="45">
        <f t="shared" si="81"/>
        <v>0</v>
      </c>
      <c r="CZ139" s="45">
        <f t="shared" si="81"/>
        <v>0</v>
      </c>
      <c r="DA139" s="45">
        <f t="shared" si="81"/>
        <v>0</v>
      </c>
      <c r="DB139" s="45">
        <f t="shared" si="81"/>
        <v>0</v>
      </c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</row>
    <row r="140" spans="1:121" ht="14.25" x14ac:dyDescent="0.15">
      <c r="A140" s="48">
        <v>138</v>
      </c>
      <c r="B140" s="45" t="e">
        <f t="shared" si="64"/>
        <v>#DIV/0!</v>
      </c>
      <c r="C140" s="45" t="e">
        <f t="shared" si="65"/>
        <v>#DIV/0!</v>
      </c>
      <c r="D140" s="45" t="e">
        <f t="shared" si="66"/>
        <v>#DIV/0!</v>
      </c>
      <c r="E140" s="45" t="e">
        <f t="shared" si="67"/>
        <v>#DIV/0!</v>
      </c>
      <c r="F140" s="45" t="e">
        <f t="shared" si="68"/>
        <v>#DIV/0!</v>
      </c>
      <c r="G140" s="45" t="e">
        <f t="shared" si="69"/>
        <v>#DIV/0!</v>
      </c>
      <c r="H140" s="45" t="e">
        <f t="shared" si="70"/>
        <v>#DIV/0!</v>
      </c>
      <c r="I140" s="45" t="e">
        <f t="shared" si="71"/>
        <v>#DIV/0!</v>
      </c>
      <c r="J140" s="45" t="e">
        <f t="shared" si="72"/>
        <v>#DIV/0!</v>
      </c>
      <c r="K140" s="45" t="e">
        <f t="shared" si="73"/>
        <v>#DIV/0!</v>
      </c>
      <c r="L140" s="45" t="e">
        <f t="shared" si="74"/>
        <v>#DIV/0!</v>
      </c>
      <c r="M140" s="45" t="e">
        <f t="shared" si="75"/>
        <v>#DIV/0!</v>
      </c>
      <c r="N140" s="45" t="e">
        <f t="shared" si="76"/>
        <v>#DIV/0!</v>
      </c>
      <c r="O140" s="45" t="e">
        <f t="shared" si="77"/>
        <v>#DIV/0!</v>
      </c>
      <c r="P140" s="45" t="e">
        <f t="shared" si="78"/>
        <v>#DIV/0!</v>
      </c>
      <c r="Q140" s="55" t="e">
        <f>Q139+ATM_Conf!$C$5*(B139)/(Links!B$191*Links!Q$191)</f>
        <v>#DIV/0!</v>
      </c>
      <c r="R140" s="55" t="e">
        <f>R139+ATM_Conf!$C$5*(C139-B139)/(Links!C$191*Links!R$191)</f>
        <v>#DIV/0!</v>
      </c>
      <c r="S140" s="55" t="e">
        <f>S139+ATM_Conf!$C$5*(D139-C139)/(Links!D$191*Links!S$191)</f>
        <v>#DIV/0!</v>
      </c>
      <c r="T140" s="55" t="e">
        <f>T139+ATM_Conf!$C$5*(E139-D139)/(Links!E$191*Links!T$191)</f>
        <v>#DIV/0!</v>
      </c>
      <c r="U140" s="55" t="e">
        <f>U139+ATM_Conf!$C$5*(F139-E139)/(Links!F$191*Links!U$191)</f>
        <v>#DIV/0!</v>
      </c>
      <c r="V140" s="55" t="e">
        <f>V139+ATM_Conf!$C$5*(G139-F139)/(Links!G$191*Links!V$191)</f>
        <v>#DIV/0!</v>
      </c>
      <c r="W140" s="55" t="e">
        <f>W139+ATM_Conf!$C$5*(H139-G139)/(Links!H$191*Links!W$191)</f>
        <v>#DIV/0!</v>
      </c>
      <c r="X140" s="55" t="e">
        <f>X139+ATM_Conf!$C$5*(I139-H139)/(Links!I$191*Links!X$191)</f>
        <v>#DIV/0!</v>
      </c>
      <c r="Y140" s="55" t="e">
        <f>Y139+ATM_Conf!$C$5*(J139)/(Links!J$191*Links!Y$191)</f>
        <v>#DIV/0!</v>
      </c>
      <c r="Z140" s="55" t="e">
        <f>Z139+ATM_Conf!$C$5*(K139-J139)/(Links!K$191*Links!Z$191)</f>
        <v>#DIV/0!</v>
      </c>
      <c r="AA140" s="55" t="e">
        <f>AA139+ATM_Conf!$C$5*(L139-K139)/(Links!L$191*Links!AA$191)</f>
        <v>#DIV/0!</v>
      </c>
      <c r="AB140" s="55" t="e">
        <f>AB139+ATM_Conf!$C$5*(M139-L139)/(Links!M$191*Links!AB$191)</f>
        <v>#DIV/0!</v>
      </c>
      <c r="AC140" s="55" t="e">
        <f>AC139+ATM_Conf!$C$5*(N139-M139)/(Links!N$191*Links!AC$191)</f>
        <v>#DIV/0!</v>
      </c>
      <c r="AD140" s="55" t="e">
        <f>AD139+ATM_Conf!$C$5*(O139-N139)/(Links!O$191*Links!AD$191)</f>
        <v>#DIV/0!</v>
      </c>
      <c r="AE140" s="55" t="e">
        <f>AE139+ATM_Conf!$C$5*(P139-O139)/(Links!P$191*Links!AE$191)</f>
        <v>#DIV/0!</v>
      </c>
      <c r="AF140" s="45" t="e">
        <f>AF139+(ATM_Conf!$C$5/ATM_Conf!$C$8)*(Links!AU139*EXP((-(Links!Q139/Links!BJ139)^Links!BY139)/Links!BY139)-Links!AF139)-(ATM_Conf!$C$9*ATM_Conf!$C$5/(ATM_Conf!$C$8*Links!Q$191))*(Nodes!BO139-Links!Q139)/(Links!Q139/ATM_Conf!$C$10)</f>
        <v>#DIV/0!</v>
      </c>
      <c r="AG140" s="45" t="e">
        <f>AG139+(ATM_Conf!$C$5/ATM_Conf!$C$8)*(Links!AV139*EXP((-(Links!R139/Links!BK139)^Links!BZ139)/Links!BZ139)-Links!AG139)+(ATM_Conf!$C$5/Links!R$191)*Links!AG139*(Nodes!BB139-Links!AG139)-(ATM_Conf!$C$9*ATM_Conf!$C$5/(ATM_Conf!$C$8*Links!R$191))*(Nodes!BP139-Links!R139)/(Links!R139/ATM_Conf!$C$10)</f>
        <v>#DIV/0!</v>
      </c>
      <c r="AH140" s="45" t="e">
        <f>AH139+(ATM_Conf!$C$5/ATM_Conf!$C$8)*(Links!AW139*EXP((-(Links!S139/Links!BL139)^Links!CA139)/Links!CA139)-Links!AH139)+(ATM_Conf!$C$5/Links!S$191)*Links!AH139*(Nodes!BC139-Links!AH139)-(ATM_Conf!$C$9*ATM_Conf!$C$5/(ATM_Conf!$C$8*Links!S$191))*(Nodes!BQ139-Links!S139)/(Links!S139/ATM_Conf!$C$10)</f>
        <v>#DIV/0!</v>
      </c>
      <c r="AI140" s="45" t="e">
        <f>AI139+(ATM_Conf!$C$5/ATM_Conf!$C$8)*(Links!AX139*EXP((-(Links!T139/Links!BM139)^Links!CB139)/Links!CB139)-Links!AI139)+(ATM_Conf!$C$5/Links!T$191)*Links!AI139*(Nodes!BD139-Links!AI139)-(ATM_Conf!$C$9*ATM_Conf!$C$5/(ATM_Conf!$C$8*Links!T$191))*(Nodes!BR139-Links!T139)/(Links!T139/ATM_Conf!$C$10)</f>
        <v>#DIV/0!</v>
      </c>
      <c r="AJ140" s="45" t="e">
        <f>AJ139+(ATM_Conf!$C$5/ATM_Conf!$C$8)*(Links!AY139*EXP((-(Links!U139/Links!BN139)^Links!CC139)/Links!CC139)-Links!AJ139)+(ATM_Conf!$C$5/Links!U$191)*Links!AJ139*(Nodes!BE139-Links!AJ139)-(ATM_Conf!$C$9*ATM_Conf!$C$5/(ATM_Conf!$C$8*Links!U$191))*(Nodes!BS139-Links!U139)/(Links!U139/ATM_Conf!$C$10)</f>
        <v>#DIV/0!</v>
      </c>
      <c r="AK140" s="45" t="e">
        <f>AK139+(ATM_Conf!$C$5/ATM_Conf!$C$8)*(Links!AZ139*EXP((-(Links!V139/Links!BO139)^Links!CD139)/Links!CD139)-Links!AK139)+(ATM_Conf!$C$5/Links!V$191)*Links!AK139*(Nodes!BF139-Links!AK139)-(ATM_Conf!$C$9*ATM_Conf!$C$5/(ATM_Conf!$C$8*Links!V$191))*(Nodes!BT139-Links!V139)/(Links!V139/ATM_Conf!$C$10)</f>
        <v>#DIV/0!</v>
      </c>
      <c r="AL140" s="45" t="e">
        <f>AL139+(ATM_Conf!$C$5/ATM_Conf!$C$8)*(Links!BA139*EXP((-(Links!W139/Links!BP139)^Links!CE139)/Links!CE139)-Links!AL139)+(ATM_Conf!$C$5/Links!W$191)*Links!AL139*(Nodes!BG139-Links!AL139)-(ATM_Conf!$C$9*ATM_Conf!$C$5/(ATM_Conf!$C$8*Links!W$191))*(Nodes!BU139-Links!W139)/(Links!W139/ATM_Conf!$C$10)</f>
        <v>#DIV/0!</v>
      </c>
      <c r="AM140" s="45" t="e">
        <f>AM139+(ATM_Conf!$C$5/ATM_Conf!$C$8)*(Links!BB139*EXP((-(Links!X139/Links!BQ139)^Links!CF139)/Links!CF139)-Links!AM139)+(ATM_Conf!$C$5/Links!X$191)*Links!AM139*(Nodes!BH139-Links!AM139)</f>
        <v>#DIV/0!</v>
      </c>
      <c r="AN140" s="45" t="e">
        <f>AN139+(ATM_Conf!$C$5/ATM_Conf!$C$8)*(Links!BC139*EXP((-(Links!Y139/Links!BR139)^Links!CG139)/Links!CG139)-Links!AN139)-(ATM_Conf!$C$9*ATM_Conf!$C$5/(ATM_Conf!$C$8*Links!Y$191))*(Nodes!BV139-Links!Y139)/(Links!Y139/ATM_Conf!$C$10)</f>
        <v>#DIV/0!</v>
      </c>
      <c r="AO140" s="45" t="e">
        <f>AO139+(ATM_Conf!$C$5/ATM_Conf!$C$8)*(Links!BD139*EXP((-(Links!Z139/Links!BS139)^Links!CH139)/Links!CH139)-Links!AO139)+(ATM_Conf!$C$5/Links!Z$191)*Links!AO139*(Nodes!BI139-Links!AO139)-(ATM_Conf!$C$9*ATM_Conf!$C$5/(ATM_Conf!$C$8*Links!Z$191))*(Nodes!BW139-Links!Z139)/(Links!Z139/ATM_Conf!$C$10)</f>
        <v>#DIV/0!</v>
      </c>
      <c r="AP140" s="45" t="e">
        <f>AP139+(ATM_Conf!$C$5/ATM_Conf!$C$8)*(Links!BE139*EXP((-(Links!AA139/Links!BT139)^Links!CI139)/Links!CI139)-Links!AP139)+(ATM_Conf!$C$5/Links!AA$191)*Links!AP139*(Nodes!BJ139-Links!AP139)-(ATM_Conf!$C$9*ATM_Conf!$C$5/(ATM_Conf!$C$8*Links!AA$191))*(Nodes!BX139-Links!AA139)/(Links!AA139/ATM_Conf!$C$10)</f>
        <v>#DIV/0!</v>
      </c>
      <c r="AQ140" s="45" t="e">
        <f>AQ139+(ATM_Conf!$C$5/ATM_Conf!$C$8)*(Links!BF139*EXP((-(Links!AB139/Links!BU139)^Links!CJ139)/Links!CJ139)-Links!AQ139)+(ATM_Conf!$C$5/Links!AB$191)*Links!AQ139*(Nodes!BK139-Links!AQ139)-(ATM_Conf!$C$9*ATM_Conf!$C$5/(ATM_Conf!$C$8*Links!AB$191))*(Nodes!BY139-Links!AB139)/(Links!AB139/ATM_Conf!$C$10)</f>
        <v>#DIV/0!</v>
      </c>
      <c r="AR140" s="45" t="e">
        <f>AR139+(ATM_Conf!$C$5/ATM_Conf!$C$8)*(Links!BG139*EXP((-(Links!AC139/Links!BV139)^Links!CK139)/Links!CK139)-Links!AR139)+(ATM_Conf!$C$5/Links!AC$191)*Links!AR139*(Nodes!BL139-Links!AR139)-(ATM_Conf!$C$9*ATM_Conf!$C$5/(ATM_Conf!$C$8*Links!AC$191))*(Nodes!BZ139-Links!AC139)/(Links!AC139/ATM_Conf!$C$10)</f>
        <v>#DIV/0!</v>
      </c>
      <c r="AS140" s="45" t="e">
        <f>AS139+(ATM_Conf!$C$5/ATM_Conf!$C$8)*(Links!BH139*EXP((-(Links!AD139/Links!BW139)^Links!CL139)/Links!CL139)-Links!AS139)+(ATM_Conf!$C$5/Links!AD$191)*Links!AS139*(Nodes!BM139-Links!AS139)-(ATM_Conf!$C$9*ATM_Conf!$C$5/(ATM_Conf!$C$8*Links!AD$191))*(Nodes!CA139-Links!AD139)/(Links!AD139/ATM_Conf!$C$10)</f>
        <v>#DIV/0!</v>
      </c>
      <c r="AT140" s="45" t="e">
        <f>AT139+(ATM_Conf!$C$5/ATM_Conf!$C$8)*(Links!BI139*EXP((-(Links!AE139/Links!BX139)^Links!CM139)/Links!CM139)-Links!AT139)+(ATM_Conf!$C$5/Links!AE$191)*Links!AT139*(Nodes!BN139-Links!AT139)</f>
        <v>#DIV/0!</v>
      </c>
      <c r="AU140" s="55"/>
      <c r="AV140" s="55"/>
      <c r="AW140" s="55"/>
      <c r="AX140" s="55"/>
      <c r="AY140" s="55"/>
      <c r="AZ140" s="55"/>
      <c r="BA140" s="55"/>
      <c r="BB140" s="55"/>
      <c r="BC140" s="55"/>
      <c r="BD140" s="55"/>
      <c r="BE140" s="55"/>
      <c r="BF140" s="55"/>
      <c r="BG140" s="55"/>
      <c r="BH140" s="55"/>
      <c r="BI140" s="5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55"/>
      <c r="BZ140" s="55"/>
      <c r="CA140" s="55"/>
      <c r="CB140" s="55"/>
      <c r="CC140" s="55"/>
      <c r="CD140" s="55"/>
      <c r="CE140" s="55"/>
      <c r="CF140" s="55"/>
      <c r="CG140" s="55"/>
      <c r="CH140" s="55"/>
      <c r="CI140" s="55"/>
      <c r="CJ140" s="55"/>
      <c r="CK140" s="55"/>
      <c r="CL140" s="55"/>
      <c r="CM140" s="55"/>
      <c r="CN140" s="45">
        <f t="shared" si="81"/>
        <v>0</v>
      </c>
      <c r="CO140" s="45">
        <f t="shared" si="81"/>
        <v>0</v>
      </c>
      <c r="CP140" s="45">
        <f t="shared" si="81"/>
        <v>0</v>
      </c>
      <c r="CQ140" s="45">
        <f t="shared" si="81"/>
        <v>0</v>
      </c>
      <c r="CR140" s="45">
        <f t="shared" si="81"/>
        <v>0</v>
      </c>
      <c r="CS140" s="45">
        <f t="shared" si="81"/>
        <v>0</v>
      </c>
      <c r="CT140" s="45">
        <f t="shared" si="81"/>
        <v>0</v>
      </c>
      <c r="CU140" s="45">
        <f t="shared" si="81"/>
        <v>0</v>
      </c>
      <c r="CV140" s="45">
        <f t="shared" si="81"/>
        <v>0</v>
      </c>
      <c r="CW140" s="45">
        <f t="shared" si="81"/>
        <v>0</v>
      </c>
      <c r="CX140" s="45">
        <f t="shared" si="81"/>
        <v>0</v>
      </c>
      <c r="CY140" s="45">
        <f t="shared" si="81"/>
        <v>0</v>
      </c>
      <c r="CZ140" s="45">
        <f t="shared" si="81"/>
        <v>0</v>
      </c>
      <c r="DA140" s="45">
        <f t="shared" si="81"/>
        <v>0</v>
      </c>
      <c r="DB140" s="45">
        <f t="shared" si="81"/>
        <v>0</v>
      </c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</row>
    <row r="141" spans="1:121" ht="14.25" x14ac:dyDescent="0.15">
      <c r="A141" s="48">
        <v>139</v>
      </c>
      <c r="B141" s="45" t="e">
        <f t="shared" si="64"/>
        <v>#DIV/0!</v>
      </c>
      <c r="C141" s="45" t="e">
        <f t="shared" si="65"/>
        <v>#DIV/0!</v>
      </c>
      <c r="D141" s="45" t="e">
        <f t="shared" si="66"/>
        <v>#DIV/0!</v>
      </c>
      <c r="E141" s="45" t="e">
        <f t="shared" si="67"/>
        <v>#DIV/0!</v>
      </c>
      <c r="F141" s="45" t="e">
        <f t="shared" si="68"/>
        <v>#DIV/0!</v>
      </c>
      <c r="G141" s="45" t="e">
        <f t="shared" si="69"/>
        <v>#DIV/0!</v>
      </c>
      <c r="H141" s="45" t="e">
        <f t="shared" si="70"/>
        <v>#DIV/0!</v>
      </c>
      <c r="I141" s="45" t="e">
        <f t="shared" si="71"/>
        <v>#DIV/0!</v>
      </c>
      <c r="J141" s="45" t="e">
        <f t="shared" si="72"/>
        <v>#DIV/0!</v>
      </c>
      <c r="K141" s="45" t="e">
        <f t="shared" si="73"/>
        <v>#DIV/0!</v>
      </c>
      <c r="L141" s="45" t="e">
        <f t="shared" si="74"/>
        <v>#DIV/0!</v>
      </c>
      <c r="M141" s="45" t="e">
        <f t="shared" si="75"/>
        <v>#DIV/0!</v>
      </c>
      <c r="N141" s="45" t="e">
        <f t="shared" si="76"/>
        <v>#DIV/0!</v>
      </c>
      <c r="O141" s="45" t="e">
        <f t="shared" si="77"/>
        <v>#DIV/0!</v>
      </c>
      <c r="P141" s="45" t="e">
        <f t="shared" si="78"/>
        <v>#DIV/0!</v>
      </c>
      <c r="Q141" s="55" t="e">
        <f>Q140+ATM_Conf!$C$5*(B140)/(Links!B$191*Links!Q$191)</f>
        <v>#DIV/0!</v>
      </c>
      <c r="R141" s="55" t="e">
        <f>R140+ATM_Conf!$C$5*(C140-B140)/(Links!C$191*Links!R$191)</f>
        <v>#DIV/0!</v>
      </c>
      <c r="S141" s="55" t="e">
        <f>S140+ATM_Conf!$C$5*(D140-C140)/(Links!D$191*Links!S$191)</f>
        <v>#DIV/0!</v>
      </c>
      <c r="T141" s="55" t="e">
        <f>T140+ATM_Conf!$C$5*(E140-D140)/(Links!E$191*Links!T$191)</f>
        <v>#DIV/0!</v>
      </c>
      <c r="U141" s="55" t="e">
        <f>U140+ATM_Conf!$C$5*(F140-E140)/(Links!F$191*Links!U$191)</f>
        <v>#DIV/0!</v>
      </c>
      <c r="V141" s="55" t="e">
        <f>V140+ATM_Conf!$C$5*(G140-F140)/(Links!G$191*Links!V$191)</f>
        <v>#DIV/0!</v>
      </c>
      <c r="W141" s="55" t="e">
        <f>W140+ATM_Conf!$C$5*(H140-G140)/(Links!H$191*Links!W$191)</f>
        <v>#DIV/0!</v>
      </c>
      <c r="X141" s="55" t="e">
        <f>X140+ATM_Conf!$C$5*(I140-H140)/(Links!I$191*Links!X$191)</f>
        <v>#DIV/0!</v>
      </c>
      <c r="Y141" s="55" t="e">
        <f>Y140+ATM_Conf!$C$5*(J140)/(Links!J$191*Links!Y$191)</f>
        <v>#DIV/0!</v>
      </c>
      <c r="Z141" s="55" t="e">
        <f>Z140+ATM_Conf!$C$5*(K140-J140)/(Links!K$191*Links!Z$191)</f>
        <v>#DIV/0!</v>
      </c>
      <c r="AA141" s="55" t="e">
        <f>AA140+ATM_Conf!$C$5*(L140-K140)/(Links!L$191*Links!AA$191)</f>
        <v>#DIV/0!</v>
      </c>
      <c r="AB141" s="55" t="e">
        <f>AB140+ATM_Conf!$C$5*(M140-L140)/(Links!M$191*Links!AB$191)</f>
        <v>#DIV/0!</v>
      </c>
      <c r="AC141" s="55" t="e">
        <f>AC140+ATM_Conf!$C$5*(N140-M140)/(Links!N$191*Links!AC$191)</f>
        <v>#DIV/0!</v>
      </c>
      <c r="AD141" s="55" t="e">
        <f>AD140+ATM_Conf!$C$5*(O140-N140)/(Links!O$191*Links!AD$191)</f>
        <v>#DIV/0!</v>
      </c>
      <c r="AE141" s="55" t="e">
        <f>AE140+ATM_Conf!$C$5*(P140-O140)/(Links!P$191*Links!AE$191)</f>
        <v>#DIV/0!</v>
      </c>
      <c r="AF141" s="45" t="e">
        <f>AF140+(ATM_Conf!$C$5/ATM_Conf!$C$8)*(Links!AU140*EXP((-(Links!Q140/Links!BJ140)^Links!BY140)/Links!BY140)-Links!AF140)-(ATM_Conf!$C$9*ATM_Conf!$C$5/(ATM_Conf!$C$8*Links!Q$191))*(Nodes!BO140-Links!Q140)/(Links!Q140/ATM_Conf!$C$10)</f>
        <v>#DIV/0!</v>
      </c>
      <c r="AG141" s="45" t="e">
        <f>AG140+(ATM_Conf!$C$5/ATM_Conf!$C$8)*(Links!AV140*EXP((-(Links!R140/Links!BK140)^Links!BZ140)/Links!BZ140)-Links!AG140)+(ATM_Conf!$C$5/Links!R$191)*Links!AG140*(Nodes!BB140-Links!AG140)-(ATM_Conf!$C$9*ATM_Conf!$C$5/(ATM_Conf!$C$8*Links!R$191))*(Nodes!BP140-Links!R140)/(Links!R140/ATM_Conf!$C$10)</f>
        <v>#DIV/0!</v>
      </c>
      <c r="AH141" s="45" t="e">
        <f>AH140+(ATM_Conf!$C$5/ATM_Conf!$C$8)*(Links!AW140*EXP((-(Links!S140/Links!BL140)^Links!CA140)/Links!CA140)-Links!AH140)+(ATM_Conf!$C$5/Links!S$191)*Links!AH140*(Nodes!BC140-Links!AH140)-(ATM_Conf!$C$9*ATM_Conf!$C$5/(ATM_Conf!$C$8*Links!S$191))*(Nodes!BQ140-Links!S140)/(Links!S140/ATM_Conf!$C$10)</f>
        <v>#DIV/0!</v>
      </c>
      <c r="AI141" s="45" t="e">
        <f>AI140+(ATM_Conf!$C$5/ATM_Conf!$C$8)*(Links!AX140*EXP((-(Links!T140/Links!BM140)^Links!CB140)/Links!CB140)-Links!AI140)+(ATM_Conf!$C$5/Links!T$191)*Links!AI140*(Nodes!BD140-Links!AI140)-(ATM_Conf!$C$9*ATM_Conf!$C$5/(ATM_Conf!$C$8*Links!T$191))*(Nodes!BR140-Links!T140)/(Links!T140/ATM_Conf!$C$10)</f>
        <v>#DIV/0!</v>
      </c>
      <c r="AJ141" s="45" t="e">
        <f>AJ140+(ATM_Conf!$C$5/ATM_Conf!$C$8)*(Links!AY140*EXP((-(Links!U140/Links!BN140)^Links!CC140)/Links!CC140)-Links!AJ140)+(ATM_Conf!$C$5/Links!U$191)*Links!AJ140*(Nodes!BE140-Links!AJ140)-(ATM_Conf!$C$9*ATM_Conf!$C$5/(ATM_Conf!$C$8*Links!U$191))*(Nodes!BS140-Links!U140)/(Links!U140/ATM_Conf!$C$10)</f>
        <v>#DIV/0!</v>
      </c>
      <c r="AK141" s="45" t="e">
        <f>AK140+(ATM_Conf!$C$5/ATM_Conf!$C$8)*(Links!AZ140*EXP((-(Links!V140/Links!BO140)^Links!CD140)/Links!CD140)-Links!AK140)+(ATM_Conf!$C$5/Links!V$191)*Links!AK140*(Nodes!BF140-Links!AK140)-(ATM_Conf!$C$9*ATM_Conf!$C$5/(ATM_Conf!$C$8*Links!V$191))*(Nodes!BT140-Links!V140)/(Links!V140/ATM_Conf!$C$10)</f>
        <v>#DIV/0!</v>
      </c>
      <c r="AL141" s="45" t="e">
        <f>AL140+(ATM_Conf!$C$5/ATM_Conf!$C$8)*(Links!BA140*EXP((-(Links!W140/Links!BP140)^Links!CE140)/Links!CE140)-Links!AL140)+(ATM_Conf!$C$5/Links!W$191)*Links!AL140*(Nodes!BG140-Links!AL140)-(ATM_Conf!$C$9*ATM_Conf!$C$5/(ATM_Conf!$C$8*Links!W$191))*(Nodes!BU140-Links!W140)/(Links!W140/ATM_Conf!$C$10)</f>
        <v>#DIV/0!</v>
      </c>
      <c r="AM141" s="45" t="e">
        <f>AM140+(ATM_Conf!$C$5/ATM_Conf!$C$8)*(Links!BB140*EXP((-(Links!X140/Links!BQ140)^Links!CF140)/Links!CF140)-Links!AM140)+(ATM_Conf!$C$5/Links!X$191)*Links!AM140*(Nodes!BH140-Links!AM140)</f>
        <v>#DIV/0!</v>
      </c>
      <c r="AN141" s="45" t="e">
        <f>AN140+(ATM_Conf!$C$5/ATM_Conf!$C$8)*(Links!BC140*EXP((-(Links!Y140/Links!BR140)^Links!CG140)/Links!CG140)-Links!AN140)-(ATM_Conf!$C$9*ATM_Conf!$C$5/(ATM_Conf!$C$8*Links!Y$191))*(Nodes!BV140-Links!Y140)/(Links!Y140/ATM_Conf!$C$10)</f>
        <v>#DIV/0!</v>
      </c>
      <c r="AO141" s="45" t="e">
        <f>AO140+(ATM_Conf!$C$5/ATM_Conf!$C$8)*(Links!BD140*EXP((-(Links!Z140/Links!BS140)^Links!CH140)/Links!CH140)-Links!AO140)+(ATM_Conf!$C$5/Links!Z$191)*Links!AO140*(Nodes!BI140-Links!AO140)-(ATM_Conf!$C$9*ATM_Conf!$C$5/(ATM_Conf!$C$8*Links!Z$191))*(Nodes!BW140-Links!Z140)/(Links!Z140/ATM_Conf!$C$10)</f>
        <v>#DIV/0!</v>
      </c>
      <c r="AP141" s="45" t="e">
        <f>AP140+(ATM_Conf!$C$5/ATM_Conf!$C$8)*(Links!BE140*EXP((-(Links!AA140/Links!BT140)^Links!CI140)/Links!CI140)-Links!AP140)+(ATM_Conf!$C$5/Links!AA$191)*Links!AP140*(Nodes!BJ140-Links!AP140)-(ATM_Conf!$C$9*ATM_Conf!$C$5/(ATM_Conf!$C$8*Links!AA$191))*(Nodes!BX140-Links!AA140)/(Links!AA140/ATM_Conf!$C$10)</f>
        <v>#DIV/0!</v>
      </c>
      <c r="AQ141" s="45" t="e">
        <f>AQ140+(ATM_Conf!$C$5/ATM_Conf!$C$8)*(Links!BF140*EXP((-(Links!AB140/Links!BU140)^Links!CJ140)/Links!CJ140)-Links!AQ140)+(ATM_Conf!$C$5/Links!AB$191)*Links!AQ140*(Nodes!BK140-Links!AQ140)-(ATM_Conf!$C$9*ATM_Conf!$C$5/(ATM_Conf!$C$8*Links!AB$191))*(Nodes!BY140-Links!AB140)/(Links!AB140/ATM_Conf!$C$10)</f>
        <v>#DIV/0!</v>
      </c>
      <c r="AR141" s="45" t="e">
        <f>AR140+(ATM_Conf!$C$5/ATM_Conf!$C$8)*(Links!BG140*EXP((-(Links!AC140/Links!BV140)^Links!CK140)/Links!CK140)-Links!AR140)+(ATM_Conf!$C$5/Links!AC$191)*Links!AR140*(Nodes!BL140-Links!AR140)-(ATM_Conf!$C$9*ATM_Conf!$C$5/(ATM_Conf!$C$8*Links!AC$191))*(Nodes!BZ140-Links!AC140)/(Links!AC140/ATM_Conf!$C$10)</f>
        <v>#DIV/0!</v>
      </c>
      <c r="AS141" s="45" t="e">
        <f>AS140+(ATM_Conf!$C$5/ATM_Conf!$C$8)*(Links!BH140*EXP((-(Links!AD140/Links!BW140)^Links!CL140)/Links!CL140)-Links!AS140)+(ATM_Conf!$C$5/Links!AD$191)*Links!AS140*(Nodes!BM140-Links!AS140)-(ATM_Conf!$C$9*ATM_Conf!$C$5/(ATM_Conf!$C$8*Links!AD$191))*(Nodes!CA140-Links!AD140)/(Links!AD140/ATM_Conf!$C$10)</f>
        <v>#DIV/0!</v>
      </c>
      <c r="AT141" s="45" t="e">
        <f>AT140+(ATM_Conf!$C$5/ATM_Conf!$C$8)*(Links!BI140*EXP((-(Links!AE140/Links!BX140)^Links!CM140)/Links!CM140)-Links!AT140)+(ATM_Conf!$C$5/Links!AE$191)*Links!AT140*(Nodes!BN140-Links!AT140)</f>
        <v>#DIV/0!</v>
      </c>
      <c r="AU141" s="55"/>
      <c r="AV141" s="55"/>
      <c r="AW141" s="55"/>
      <c r="AX141" s="55"/>
      <c r="AY141" s="55"/>
      <c r="AZ141" s="55"/>
      <c r="BA141" s="55"/>
      <c r="BB141" s="55"/>
      <c r="BC141" s="55"/>
      <c r="BD141" s="55"/>
      <c r="BE141" s="55"/>
      <c r="BF141" s="55"/>
      <c r="BG141" s="55"/>
      <c r="BH141" s="55"/>
      <c r="BI141" s="5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55"/>
      <c r="BZ141" s="55"/>
      <c r="CA141" s="55"/>
      <c r="CB141" s="55"/>
      <c r="CC141" s="55"/>
      <c r="CD141" s="55"/>
      <c r="CE141" s="55"/>
      <c r="CF141" s="55"/>
      <c r="CG141" s="55"/>
      <c r="CH141" s="55"/>
      <c r="CI141" s="55"/>
      <c r="CJ141" s="55"/>
      <c r="CK141" s="55"/>
      <c r="CL141" s="55"/>
      <c r="CM141" s="55"/>
      <c r="CN141" s="45">
        <f t="shared" si="81"/>
        <v>0</v>
      </c>
      <c r="CO141" s="45">
        <f t="shared" si="81"/>
        <v>0</v>
      </c>
      <c r="CP141" s="45">
        <f t="shared" si="81"/>
        <v>0</v>
      </c>
      <c r="CQ141" s="45">
        <f t="shared" si="81"/>
        <v>0</v>
      </c>
      <c r="CR141" s="45">
        <f t="shared" si="81"/>
        <v>0</v>
      </c>
      <c r="CS141" s="45">
        <f t="shared" si="81"/>
        <v>0</v>
      </c>
      <c r="CT141" s="45">
        <f t="shared" si="81"/>
        <v>0</v>
      </c>
      <c r="CU141" s="45">
        <f t="shared" si="81"/>
        <v>0</v>
      </c>
      <c r="CV141" s="45">
        <f t="shared" si="81"/>
        <v>0</v>
      </c>
      <c r="CW141" s="45">
        <f t="shared" si="81"/>
        <v>0</v>
      </c>
      <c r="CX141" s="45">
        <f t="shared" si="81"/>
        <v>0</v>
      </c>
      <c r="CY141" s="45">
        <f t="shared" si="81"/>
        <v>0</v>
      </c>
      <c r="CZ141" s="45">
        <f t="shared" si="81"/>
        <v>0</v>
      </c>
      <c r="DA141" s="45">
        <f t="shared" si="81"/>
        <v>0</v>
      </c>
      <c r="DB141" s="45">
        <f t="shared" si="81"/>
        <v>0</v>
      </c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</row>
    <row r="142" spans="1:121" ht="14.25" x14ac:dyDescent="0.15">
      <c r="A142" s="48">
        <v>140</v>
      </c>
      <c r="B142" s="45" t="e">
        <f t="shared" si="64"/>
        <v>#DIV/0!</v>
      </c>
      <c r="C142" s="45" t="e">
        <f t="shared" si="65"/>
        <v>#DIV/0!</v>
      </c>
      <c r="D142" s="45" t="e">
        <f t="shared" si="66"/>
        <v>#DIV/0!</v>
      </c>
      <c r="E142" s="45" t="e">
        <f t="shared" si="67"/>
        <v>#DIV/0!</v>
      </c>
      <c r="F142" s="45" t="e">
        <f t="shared" si="68"/>
        <v>#DIV/0!</v>
      </c>
      <c r="G142" s="45" t="e">
        <f t="shared" si="69"/>
        <v>#DIV/0!</v>
      </c>
      <c r="H142" s="45" t="e">
        <f t="shared" si="70"/>
        <v>#DIV/0!</v>
      </c>
      <c r="I142" s="45" t="e">
        <f t="shared" si="71"/>
        <v>#DIV/0!</v>
      </c>
      <c r="J142" s="45" t="e">
        <f t="shared" si="72"/>
        <v>#DIV/0!</v>
      </c>
      <c r="K142" s="45" t="e">
        <f t="shared" si="73"/>
        <v>#DIV/0!</v>
      </c>
      <c r="L142" s="45" t="e">
        <f t="shared" si="74"/>
        <v>#DIV/0!</v>
      </c>
      <c r="M142" s="45" t="e">
        <f t="shared" si="75"/>
        <v>#DIV/0!</v>
      </c>
      <c r="N142" s="45" t="e">
        <f t="shared" si="76"/>
        <v>#DIV/0!</v>
      </c>
      <c r="O142" s="45" t="e">
        <f t="shared" si="77"/>
        <v>#DIV/0!</v>
      </c>
      <c r="P142" s="45" t="e">
        <f t="shared" si="78"/>
        <v>#DIV/0!</v>
      </c>
      <c r="Q142" s="55" t="e">
        <f>Q141+ATM_Conf!$C$5*(B141)/(Links!B$191*Links!Q$191)</f>
        <v>#DIV/0!</v>
      </c>
      <c r="R142" s="55" t="e">
        <f>R141+ATM_Conf!$C$5*(C141-B141)/(Links!C$191*Links!R$191)</f>
        <v>#DIV/0!</v>
      </c>
      <c r="S142" s="55" t="e">
        <f>S141+ATM_Conf!$C$5*(D141-C141)/(Links!D$191*Links!S$191)</f>
        <v>#DIV/0!</v>
      </c>
      <c r="T142" s="55" t="e">
        <f>T141+ATM_Conf!$C$5*(E141-D141)/(Links!E$191*Links!T$191)</f>
        <v>#DIV/0!</v>
      </c>
      <c r="U142" s="55" t="e">
        <f>U141+ATM_Conf!$C$5*(F141-E141)/(Links!F$191*Links!U$191)</f>
        <v>#DIV/0!</v>
      </c>
      <c r="V142" s="55" t="e">
        <f>V141+ATM_Conf!$C$5*(G141-F141)/(Links!G$191*Links!V$191)</f>
        <v>#DIV/0!</v>
      </c>
      <c r="W142" s="55" t="e">
        <f>W141+ATM_Conf!$C$5*(H141-G141)/(Links!H$191*Links!W$191)</f>
        <v>#DIV/0!</v>
      </c>
      <c r="X142" s="55" t="e">
        <f>X141+ATM_Conf!$C$5*(I141-H141)/(Links!I$191*Links!X$191)</f>
        <v>#DIV/0!</v>
      </c>
      <c r="Y142" s="55" t="e">
        <f>Y141+ATM_Conf!$C$5*(J141)/(Links!J$191*Links!Y$191)</f>
        <v>#DIV/0!</v>
      </c>
      <c r="Z142" s="55" t="e">
        <f>Z141+ATM_Conf!$C$5*(K141-J141)/(Links!K$191*Links!Z$191)</f>
        <v>#DIV/0!</v>
      </c>
      <c r="AA142" s="55" t="e">
        <f>AA141+ATM_Conf!$C$5*(L141-K141)/(Links!L$191*Links!AA$191)</f>
        <v>#DIV/0!</v>
      </c>
      <c r="AB142" s="55" t="e">
        <f>AB141+ATM_Conf!$C$5*(M141-L141)/(Links!M$191*Links!AB$191)</f>
        <v>#DIV/0!</v>
      </c>
      <c r="AC142" s="55" t="e">
        <f>AC141+ATM_Conf!$C$5*(N141-M141)/(Links!N$191*Links!AC$191)</f>
        <v>#DIV/0!</v>
      </c>
      <c r="AD142" s="55" t="e">
        <f>AD141+ATM_Conf!$C$5*(O141-N141)/(Links!O$191*Links!AD$191)</f>
        <v>#DIV/0!</v>
      </c>
      <c r="AE142" s="55" t="e">
        <f>AE141+ATM_Conf!$C$5*(P141-O141)/(Links!P$191*Links!AE$191)</f>
        <v>#DIV/0!</v>
      </c>
      <c r="AF142" s="45" t="e">
        <f>AF141+(ATM_Conf!$C$5/ATM_Conf!$C$8)*(Links!AU141*EXP((-(Links!Q141/Links!BJ141)^Links!BY141)/Links!BY141)-Links!AF141)-(ATM_Conf!$C$9*ATM_Conf!$C$5/(ATM_Conf!$C$8*Links!Q$191))*(Nodes!BO141-Links!Q141)/(Links!Q141/ATM_Conf!$C$10)</f>
        <v>#DIV/0!</v>
      </c>
      <c r="AG142" s="45" t="e">
        <f>AG141+(ATM_Conf!$C$5/ATM_Conf!$C$8)*(Links!AV141*EXP((-(Links!R141/Links!BK141)^Links!BZ141)/Links!BZ141)-Links!AG141)+(ATM_Conf!$C$5/Links!R$191)*Links!AG141*(Nodes!BB141-Links!AG141)-(ATM_Conf!$C$9*ATM_Conf!$C$5/(ATM_Conf!$C$8*Links!R$191))*(Nodes!BP141-Links!R141)/(Links!R141/ATM_Conf!$C$10)</f>
        <v>#DIV/0!</v>
      </c>
      <c r="AH142" s="45" t="e">
        <f>AH141+(ATM_Conf!$C$5/ATM_Conf!$C$8)*(Links!AW141*EXP((-(Links!S141/Links!BL141)^Links!CA141)/Links!CA141)-Links!AH141)+(ATM_Conf!$C$5/Links!S$191)*Links!AH141*(Nodes!BC141-Links!AH141)-(ATM_Conf!$C$9*ATM_Conf!$C$5/(ATM_Conf!$C$8*Links!S$191))*(Nodes!BQ141-Links!S141)/(Links!S141/ATM_Conf!$C$10)</f>
        <v>#DIV/0!</v>
      </c>
      <c r="AI142" s="45" t="e">
        <f>AI141+(ATM_Conf!$C$5/ATM_Conf!$C$8)*(Links!AX141*EXP((-(Links!T141/Links!BM141)^Links!CB141)/Links!CB141)-Links!AI141)+(ATM_Conf!$C$5/Links!T$191)*Links!AI141*(Nodes!BD141-Links!AI141)-(ATM_Conf!$C$9*ATM_Conf!$C$5/(ATM_Conf!$C$8*Links!T$191))*(Nodes!BR141-Links!T141)/(Links!T141/ATM_Conf!$C$10)</f>
        <v>#DIV/0!</v>
      </c>
      <c r="AJ142" s="45" t="e">
        <f>AJ141+(ATM_Conf!$C$5/ATM_Conf!$C$8)*(Links!AY141*EXP((-(Links!U141/Links!BN141)^Links!CC141)/Links!CC141)-Links!AJ141)+(ATM_Conf!$C$5/Links!U$191)*Links!AJ141*(Nodes!BE141-Links!AJ141)-(ATM_Conf!$C$9*ATM_Conf!$C$5/(ATM_Conf!$C$8*Links!U$191))*(Nodes!BS141-Links!U141)/(Links!U141/ATM_Conf!$C$10)</f>
        <v>#DIV/0!</v>
      </c>
      <c r="AK142" s="45" t="e">
        <f>AK141+(ATM_Conf!$C$5/ATM_Conf!$C$8)*(Links!AZ141*EXP((-(Links!V141/Links!BO141)^Links!CD141)/Links!CD141)-Links!AK141)+(ATM_Conf!$C$5/Links!V$191)*Links!AK141*(Nodes!BF141-Links!AK141)-(ATM_Conf!$C$9*ATM_Conf!$C$5/(ATM_Conf!$C$8*Links!V$191))*(Nodes!BT141-Links!V141)/(Links!V141/ATM_Conf!$C$10)</f>
        <v>#DIV/0!</v>
      </c>
      <c r="AL142" s="45" t="e">
        <f>AL141+(ATM_Conf!$C$5/ATM_Conf!$C$8)*(Links!BA141*EXP((-(Links!W141/Links!BP141)^Links!CE141)/Links!CE141)-Links!AL141)+(ATM_Conf!$C$5/Links!W$191)*Links!AL141*(Nodes!BG141-Links!AL141)-(ATM_Conf!$C$9*ATM_Conf!$C$5/(ATM_Conf!$C$8*Links!W$191))*(Nodes!BU141-Links!W141)/(Links!W141/ATM_Conf!$C$10)</f>
        <v>#DIV/0!</v>
      </c>
      <c r="AM142" s="45" t="e">
        <f>AM141+(ATM_Conf!$C$5/ATM_Conf!$C$8)*(Links!BB141*EXP((-(Links!X141/Links!BQ141)^Links!CF141)/Links!CF141)-Links!AM141)+(ATM_Conf!$C$5/Links!X$191)*Links!AM141*(Nodes!BH141-Links!AM141)</f>
        <v>#DIV/0!</v>
      </c>
      <c r="AN142" s="45" t="e">
        <f>AN141+(ATM_Conf!$C$5/ATM_Conf!$C$8)*(Links!BC141*EXP((-(Links!Y141/Links!BR141)^Links!CG141)/Links!CG141)-Links!AN141)-(ATM_Conf!$C$9*ATM_Conf!$C$5/(ATM_Conf!$C$8*Links!Y$191))*(Nodes!BV141-Links!Y141)/(Links!Y141/ATM_Conf!$C$10)</f>
        <v>#DIV/0!</v>
      </c>
      <c r="AO142" s="45" t="e">
        <f>AO141+(ATM_Conf!$C$5/ATM_Conf!$C$8)*(Links!BD141*EXP((-(Links!Z141/Links!BS141)^Links!CH141)/Links!CH141)-Links!AO141)+(ATM_Conf!$C$5/Links!Z$191)*Links!AO141*(Nodes!BI141-Links!AO141)-(ATM_Conf!$C$9*ATM_Conf!$C$5/(ATM_Conf!$C$8*Links!Z$191))*(Nodes!BW141-Links!Z141)/(Links!Z141/ATM_Conf!$C$10)</f>
        <v>#DIV/0!</v>
      </c>
      <c r="AP142" s="45" t="e">
        <f>AP141+(ATM_Conf!$C$5/ATM_Conf!$C$8)*(Links!BE141*EXP((-(Links!AA141/Links!BT141)^Links!CI141)/Links!CI141)-Links!AP141)+(ATM_Conf!$C$5/Links!AA$191)*Links!AP141*(Nodes!BJ141-Links!AP141)-(ATM_Conf!$C$9*ATM_Conf!$C$5/(ATM_Conf!$C$8*Links!AA$191))*(Nodes!BX141-Links!AA141)/(Links!AA141/ATM_Conf!$C$10)</f>
        <v>#DIV/0!</v>
      </c>
      <c r="AQ142" s="45" t="e">
        <f>AQ141+(ATM_Conf!$C$5/ATM_Conf!$C$8)*(Links!BF141*EXP((-(Links!AB141/Links!BU141)^Links!CJ141)/Links!CJ141)-Links!AQ141)+(ATM_Conf!$C$5/Links!AB$191)*Links!AQ141*(Nodes!BK141-Links!AQ141)-(ATM_Conf!$C$9*ATM_Conf!$C$5/(ATM_Conf!$C$8*Links!AB$191))*(Nodes!BY141-Links!AB141)/(Links!AB141/ATM_Conf!$C$10)</f>
        <v>#DIV/0!</v>
      </c>
      <c r="AR142" s="45" t="e">
        <f>AR141+(ATM_Conf!$C$5/ATM_Conf!$C$8)*(Links!BG141*EXP((-(Links!AC141/Links!BV141)^Links!CK141)/Links!CK141)-Links!AR141)+(ATM_Conf!$C$5/Links!AC$191)*Links!AR141*(Nodes!BL141-Links!AR141)-(ATM_Conf!$C$9*ATM_Conf!$C$5/(ATM_Conf!$C$8*Links!AC$191))*(Nodes!BZ141-Links!AC141)/(Links!AC141/ATM_Conf!$C$10)</f>
        <v>#DIV/0!</v>
      </c>
      <c r="AS142" s="45" t="e">
        <f>AS141+(ATM_Conf!$C$5/ATM_Conf!$C$8)*(Links!BH141*EXP((-(Links!AD141/Links!BW141)^Links!CL141)/Links!CL141)-Links!AS141)+(ATM_Conf!$C$5/Links!AD$191)*Links!AS141*(Nodes!BM141-Links!AS141)-(ATM_Conf!$C$9*ATM_Conf!$C$5/(ATM_Conf!$C$8*Links!AD$191))*(Nodes!CA141-Links!AD141)/(Links!AD141/ATM_Conf!$C$10)</f>
        <v>#DIV/0!</v>
      </c>
      <c r="AT142" s="45" t="e">
        <f>AT141+(ATM_Conf!$C$5/ATM_Conf!$C$8)*(Links!BI141*EXP((-(Links!AE141/Links!BX141)^Links!CM141)/Links!CM141)-Links!AT141)+(ATM_Conf!$C$5/Links!AE$191)*Links!AT141*(Nodes!BN141-Links!AT141)</f>
        <v>#DIV/0!</v>
      </c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  <c r="BJ142" s="45"/>
      <c r="BK142" s="45"/>
      <c r="BL142" s="45"/>
      <c r="BM142" s="45"/>
      <c r="BN142" s="45"/>
      <c r="BO142" s="45"/>
      <c r="BP142" s="45"/>
      <c r="BQ142" s="45"/>
      <c r="BR142" s="45"/>
      <c r="BS142" s="45"/>
      <c r="BT142" s="45"/>
      <c r="BU142" s="45"/>
      <c r="BV142" s="45"/>
      <c r="BW142" s="45"/>
      <c r="BX142" s="45"/>
      <c r="BY142" s="55"/>
      <c r="BZ142" s="55"/>
      <c r="CA142" s="55"/>
      <c r="CB142" s="55"/>
      <c r="CC142" s="55"/>
      <c r="CD142" s="55"/>
      <c r="CE142" s="55"/>
      <c r="CF142" s="55"/>
      <c r="CG142" s="55"/>
      <c r="CH142" s="55"/>
      <c r="CI142" s="55"/>
      <c r="CJ142" s="55"/>
      <c r="CK142" s="55"/>
      <c r="CL142" s="55"/>
      <c r="CM142" s="55"/>
      <c r="CN142" s="45">
        <f t="shared" si="81"/>
        <v>0</v>
      </c>
      <c r="CO142" s="45">
        <f t="shared" si="81"/>
        <v>0</v>
      </c>
      <c r="CP142" s="45">
        <f t="shared" si="81"/>
        <v>0</v>
      </c>
      <c r="CQ142" s="45">
        <f t="shared" si="81"/>
        <v>0</v>
      </c>
      <c r="CR142" s="45">
        <f t="shared" si="81"/>
        <v>0</v>
      </c>
      <c r="CS142" s="45">
        <f t="shared" si="81"/>
        <v>0</v>
      </c>
      <c r="CT142" s="45">
        <f t="shared" si="81"/>
        <v>0</v>
      </c>
      <c r="CU142" s="45">
        <f t="shared" si="81"/>
        <v>0</v>
      </c>
      <c r="CV142" s="45">
        <f t="shared" si="81"/>
        <v>0</v>
      </c>
      <c r="CW142" s="45">
        <f t="shared" si="81"/>
        <v>0</v>
      </c>
      <c r="CX142" s="45">
        <f t="shared" si="81"/>
        <v>0</v>
      </c>
      <c r="CY142" s="45">
        <f t="shared" si="81"/>
        <v>0</v>
      </c>
      <c r="CZ142" s="45">
        <f t="shared" si="81"/>
        <v>0</v>
      </c>
      <c r="DA142" s="45">
        <f t="shared" si="81"/>
        <v>0</v>
      </c>
      <c r="DB142" s="45">
        <f t="shared" si="81"/>
        <v>0</v>
      </c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</row>
    <row r="143" spans="1:121" ht="14.25" x14ac:dyDescent="0.15">
      <c r="A143" s="48">
        <v>141</v>
      </c>
      <c r="B143" s="45" t="e">
        <f t="shared" si="64"/>
        <v>#DIV/0!</v>
      </c>
      <c r="C143" s="45" t="e">
        <f t="shared" si="65"/>
        <v>#DIV/0!</v>
      </c>
      <c r="D143" s="45" t="e">
        <f t="shared" si="66"/>
        <v>#DIV/0!</v>
      </c>
      <c r="E143" s="45" t="e">
        <f t="shared" si="67"/>
        <v>#DIV/0!</v>
      </c>
      <c r="F143" s="45" t="e">
        <f t="shared" si="68"/>
        <v>#DIV/0!</v>
      </c>
      <c r="G143" s="45" t="e">
        <f t="shared" si="69"/>
        <v>#DIV/0!</v>
      </c>
      <c r="H143" s="45" t="e">
        <f t="shared" si="70"/>
        <v>#DIV/0!</v>
      </c>
      <c r="I143" s="45" t="e">
        <f t="shared" si="71"/>
        <v>#DIV/0!</v>
      </c>
      <c r="J143" s="45" t="e">
        <f t="shared" si="72"/>
        <v>#DIV/0!</v>
      </c>
      <c r="K143" s="45" t="e">
        <f t="shared" si="73"/>
        <v>#DIV/0!</v>
      </c>
      <c r="L143" s="45" t="e">
        <f t="shared" si="74"/>
        <v>#DIV/0!</v>
      </c>
      <c r="M143" s="45" t="e">
        <f t="shared" si="75"/>
        <v>#DIV/0!</v>
      </c>
      <c r="N143" s="45" t="e">
        <f t="shared" si="76"/>
        <v>#DIV/0!</v>
      </c>
      <c r="O143" s="45" t="e">
        <f t="shared" si="77"/>
        <v>#DIV/0!</v>
      </c>
      <c r="P143" s="45" t="e">
        <f t="shared" si="78"/>
        <v>#DIV/0!</v>
      </c>
      <c r="Q143" s="55" t="e">
        <f>Q142+ATM_Conf!$C$5*(B142)/(Links!B$191*Links!Q$191)</f>
        <v>#DIV/0!</v>
      </c>
      <c r="R143" s="55" t="e">
        <f>R142+ATM_Conf!$C$5*(C142-B142)/(Links!C$191*Links!R$191)</f>
        <v>#DIV/0!</v>
      </c>
      <c r="S143" s="55" t="e">
        <f>S142+ATM_Conf!$C$5*(D142-C142)/(Links!D$191*Links!S$191)</f>
        <v>#DIV/0!</v>
      </c>
      <c r="T143" s="55" t="e">
        <f>T142+ATM_Conf!$C$5*(E142-D142)/(Links!E$191*Links!T$191)</f>
        <v>#DIV/0!</v>
      </c>
      <c r="U143" s="55" t="e">
        <f>U142+ATM_Conf!$C$5*(F142-E142)/(Links!F$191*Links!U$191)</f>
        <v>#DIV/0!</v>
      </c>
      <c r="V143" s="55" t="e">
        <f>V142+ATM_Conf!$C$5*(G142-F142)/(Links!G$191*Links!V$191)</f>
        <v>#DIV/0!</v>
      </c>
      <c r="W143" s="55" t="e">
        <f>W142+ATM_Conf!$C$5*(H142-G142)/(Links!H$191*Links!W$191)</f>
        <v>#DIV/0!</v>
      </c>
      <c r="X143" s="55" t="e">
        <f>X142+ATM_Conf!$C$5*(I142-H142)/(Links!I$191*Links!X$191)</f>
        <v>#DIV/0!</v>
      </c>
      <c r="Y143" s="55" t="e">
        <f>Y142+ATM_Conf!$C$5*(J142)/(Links!J$191*Links!Y$191)</f>
        <v>#DIV/0!</v>
      </c>
      <c r="Z143" s="55" t="e">
        <f>Z142+ATM_Conf!$C$5*(K142-J142)/(Links!K$191*Links!Z$191)</f>
        <v>#DIV/0!</v>
      </c>
      <c r="AA143" s="55" t="e">
        <f>AA142+ATM_Conf!$C$5*(L142-K142)/(Links!L$191*Links!AA$191)</f>
        <v>#DIV/0!</v>
      </c>
      <c r="AB143" s="55" t="e">
        <f>AB142+ATM_Conf!$C$5*(M142-L142)/(Links!M$191*Links!AB$191)</f>
        <v>#DIV/0!</v>
      </c>
      <c r="AC143" s="55" t="e">
        <f>AC142+ATM_Conf!$C$5*(N142-M142)/(Links!N$191*Links!AC$191)</f>
        <v>#DIV/0!</v>
      </c>
      <c r="AD143" s="55" t="e">
        <f>AD142+ATM_Conf!$C$5*(O142-N142)/(Links!O$191*Links!AD$191)</f>
        <v>#DIV/0!</v>
      </c>
      <c r="AE143" s="55" t="e">
        <f>AE142+ATM_Conf!$C$5*(P142-O142)/(Links!P$191*Links!AE$191)</f>
        <v>#DIV/0!</v>
      </c>
      <c r="AF143" s="45" t="e">
        <f>AF142+(ATM_Conf!$C$5/ATM_Conf!$C$8)*(Links!AU142*EXP((-(Links!Q142/Links!BJ142)^Links!BY142)/Links!BY142)-Links!AF142)-(ATM_Conf!$C$9*ATM_Conf!$C$5/(ATM_Conf!$C$8*Links!Q$191))*(Nodes!BO142-Links!Q142)/(Links!Q142/ATM_Conf!$C$10)</f>
        <v>#DIV/0!</v>
      </c>
      <c r="AG143" s="45" t="e">
        <f>AG142+(ATM_Conf!$C$5/ATM_Conf!$C$8)*(Links!AV142*EXP((-(Links!R142/Links!BK142)^Links!BZ142)/Links!BZ142)-Links!AG142)+(ATM_Conf!$C$5/Links!R$191)*Links!AG142*(Nodes!BB142-Links!AG142)-(ATM_Conf!$C$9*ATM_Conf!$C$5/(ATM_Conf!$C$8*Links!R$191))*(Nodes!BP142-Links!R142)/(Links!R142/ATM_Conf!$C$10)</f>
        <v>#DIV/0!</v>
      </c>
      <c r="AH143" s="45" t="e">
        <f>AH142+(ATM_Conf!$C$5/ATM_Conf!$C$8)*(Links!AW142*EXP((-(Links!S142/Links!BL142)^Links!CA142)/Links!CA142)-Links!AH142)+(ATM_Conf!$C$5/Links!S$191)*Links!AH142*(Nodes!BC142-Links!AH142)-(ATM_Conf!$C$9*ATM_Conf!$C$5/(ATM_Conf!$C$8*Links!S$191))*(Nodes!BQ142-Links!S142)/(Links!S142/ATM_Conf!$C$10)</f>
        <v>#DIV/0!</v>
      </c>
      <c r="AI143" s="45" t="e">
        <f>AI142+(ATM_Conf!$C$5/ATM_Conf!$C$8)*(Links!AX142*EXP((-(Links!T142/Links!BM142)^Links!CB142)/Links!CB142)-Links!AI142)+(ATM_Conf!$C$5/Links!T$191)*Links!AI142*(Nodes!BD142-Links!AI142)-(ATM_Conf!$C$9*ATM_Conf!$C$5/(ATM_Conf!$C$8*Links!T$191))*(Nodes!BR142-Links!T142)/(Links!T142/ATM_Conf!$C$10)</f>
        <v>#DIV/0!</v>
      </c>
      <c r="AJ143" s="45" t="e">
        <f>AJ142+(ATM_Conf!$C$5/ATM_Conf!$C$8)*(Links!AY142*EXP((-(Links!U142/Links!BN142)^Links!CC142)/Links!CC142)-Links!AJ142)+(ATM_Conf!$C$5/Links!U$191)*Links!AJ142*(Nodes!BE142-Links!AJ142)-(ATM_Conf!$C$9*ATM_Conf!$C$5/(ATM_Conf!$C$8*Links!U$191))*(Nodes!BS142-Links!U142)/(Links!U142/ATM_Conf!$C$10)</f>
        <v>#DIV/0!</v>
      </c>
      <c r="AK143" s="45" t="e">
        <f>AK142+(ATM_Conf!$C$5/ATM_Conf!$C$8)*(Links!AZ142*EXP((-(Links!V142/Links!BO142)^Links!CD142)/Links!CD142)-Links!AK142)+(ATM_Conf!$C$5/Links!V$191)*Links!AK142*(Nodes!BF142-Links!AK142)-(ATM_Conf!$C$9*ATM_Conf!$C$5/(ATM_Conf!$C$8*Links!V$191))*(Nodes!BT142-Links!V142)/(Links!V142/ATM_Conf!$C$10)</f>
        <v>#DIV/0!</v>
      </c>
      <c r="AL143" s="45" t="e">
        <f>AL142+(ATM_Conf!$C$5/ATM_Conf!$C$8)*(Links!BA142*EXP((-(Links!W142/Links!BP142)^Links!CE142)/Links!CE142)-Links!AL142)+(ATM_Conf!$C$5/Links!W$191)*Links!AL142*(Nodes!BG142-Links!AL142)-(ATM_Conf!$C$9*ATM_Conf!$C$5/(ATM_Conf!$C$8*Links!W$191))*(Nodes!BU142-Links!W142)/(Links!W142/ATM_Conf!$C$10)</f>
        <v>#DIV/0!</v>
      </c>
      <c r="AM143" s="45" t="e">
        <f>AM142+(ATM_Conf!$C$5/ATM_Conf!$C$8)*(Links!BB142*EXP((-(Links!X142/Links!BQ142)^Links!CF142)/Links!CF142)-Links!AM142)+(ATM_Conf!$C$5/Links!X$191)*Links!AM142*(Nodes!BH142-Links!AM142)</f>
        <v>#DIV/0!</v>
      </c>
      <c r="AN143" s="45" t="e">
        <f>AN142+(ATM_Conf!$C$5/ATM_Conf!$C$8)*(Links!BC142*EXP((-(Links!Y142/Links!BR142)^Links!CG142)/Links!CG142)-Links!AN142)-(ATM_Conf!$C$9*ATM_Conf!$C$5/(ATM_Conf!$C$8*Links!Y$191))*(Nodes!BV142-Links!Y142)/(Links!Y142/ATM_Conf!$C$10)</f>
        <v>#DIV/0!</v>
      </c>
      <c r="AO143" s="45" t="e">
        <f>AO142+(ATM_Conf!$C$5/ATM_Conf!$C$8)*(Links!BD142*EXP((-(Links!Z142/Links!BS142)^Links!CH142)/Links!CH142)-Links!AO142)+(ATM_Conf!$C$5/Links!Z$191)*Links!AO142*(Nodes!BI142-Links!AO142)-(ATM_Conf!$C$9*ATM_Conf!$C$5/(ATM_Conf!$C$8*Links!Z$191))*(Nodes!BW142-Links!Z142)/(Links!Z142/ATM_Conf!$C$10)</f>
        <v>#DIV/0!</v>
      </c>
      <c r="AP143" s="45" t="e">
        <f>AP142+(ATM_Conf!$C$5/ATM_Conf!$C$8)*(Links!BE142*EXP((-(Links!AA142/Links!BT142)^Links!CI142)/Links!CI142)-Links!AP142)+(ATM_Conf!$C$5/Links!AA$191)*Links!AP142*(Nodes!BJ142-Links!AP142)-(ATM_Conf!$C$9*ATM_Conf!$C$5/(ATM_Conf!$C$8*Links!AA$191))*(Nodes!BX142-Links!AA142)/(Links!AA142/ATM_Conf!$C$10)</f>
        <v>#DIV/0!</v>
      </c>
      <c r="AQ143" s="45" t="e">
        <f>AQ142+(ATM_Conf!$C$5/ATM_Conf!$C$8)*(Links!BF142*EXP((-(Links!AB142/Links!BU142)^Links!CJ142)/Links!CJ142)-Links!AQ142)+(ATM_Conf!$C$5/Links!AB$191)*Links!AQ142*(Nodes!BK142-Links!AQ142)-(ATM_Conf!$C$9*ATM_Conf!$C$5/(ATM_Conf!$C$8*Links!AB$191))*(Nodes!BY142-Links!AB142)/(Links!AB142/ATM_Conf!$C$10)</f>
        <v>#DIV/0!</v>
      </c>
      <c r="AR143" s="45" t="e">
        <f>AR142+(ATM_Conf!$C$5/ATM_Conf!$C$8)*(Links!BG142*EXP((-(Links!AC142/Links!BV142)^Links!CK142)/Links!CK142)-Links!AR142)+(ATM_Conf!$C$5/Links!AC$191)*Links!AR142*(Nodes!BL142-Links!AR142)-(ATM_Conf!$C$9*ATM_Conf!$C$5/(ATM_Conf!$C$8*Links!AC$191))*(Nodes!BZ142-Links!AC142)/(Links!AC142/ATM_Conf!$C$10)</f>
        <v>#DIV/0!</v>
      </c>
      <c r="AS143" s="45" t="e">
        <f>AS142+(ATM_Conf!$C$5/ATM_Conf!$C$8)*(Links!BH142*EXP((-(Links!AD142/Links!BW142)^Links!CL142)/Links!CL142)-Links!AS142)+(ATM_Conf!$C$5/Links!AD$191)*Links!AS142*(Nodes!BM142-Links!AS142)-(ATM_Conf!$C$9*ATM_Conf!$C$5/(ATM_Conf!$C$8*Links!AD$191))*(Nodes!CA142-Links!AD142)/(Links!AD142/ATM_Conf!$C$10)</f>
        <v>#DIV/0!</v>
      </c>
      <c r="AT143" s="45" t="e">
        <f>AT142+(ATM_Conf!$C$5/ATM_Conf!$C$8)*(Links!BI142*EXP((-(Links!AE142/Links!BX142)^Links!CM142)/Links!CM142)-Links!AT142)+(ATM_Conf!$C$5/Links!AE$191)*Links!AT142*(Nodes!BN142-Links!AT142)</f>
        <v>#DIV/0!</v>
      </c>
      <c r="AU143" s="55"/>
      <c r="AV143" s="55"/>
      <c r="AW143" s="55"/>
      <c r="AX143" s="55"/>
      <c r="AY143" s="55"/>
      <c r="AZ143" s="55"/>
      <c r="BA143" s="55"/>
      <c r="BB143" s="55"/>
      <c r="BC143" s="55"/>
      <c r="BD143" s="55"/>
      <c r="BE143" s="55"/>
      <c r="BF143" s="55"/>
      <c r="BG143" s="55"/>
      <c r="BH143" s="55"/>
      <c r="BI143" s="55"/>
      <c r="BJ143" s="45"/>
      <c r="BK143" s="45"/>
      <c r="BL143" s="45"/>
      <c r="BM143" s="45"/>
      <c r="BN143" s="45"/>
      <c r="BO143" s="45"/>
      <c r="BP143" s="45"/>
      <c r="BQ143" s="45"/>
      <c r="BR143" s="45"/>
      <c r="BS143" s="45"/>
      <c r="BT143" s="45"/>
      <c r="BU143" s="45"/>
      <c r="BV143" s="45"/>
      <c r="BW143" s="45"/>
      <c r="BX143" s="45"/>
      <c r="BY143" s="55"/>
      <c r="BZ143" s="55"/>
      <c r="CA143" s="55"/>
      <c r="CB143" s="55"/>
      <c r="CC143" s="55"/>
      <c r="CD143" s="55"/>
      <c r="CE143" s="55"/>
      <c r="CF143" s="55"/>
      <c r="CG143" s="55"/>
      <c r="CH143" s="55"/>
      <c r="CI143" s="55"/>
      <c r="CJ143" s="55"/>
      <c r="CK143" s="55"/>
      <c r="CL143" s="55"/>
      <c r="CM143" s="55"/>
      <c r="CN143" s="45">
        <f t="shared" si="81"/>
        <v>0</v>
      </c>
      <c r="CO143" s="45">
        <f t="shared" si="81"/>
        <v>0</v>
      </c>
      <c r="CP143" s="45">
        <f t="shared" si="81"/>
        <v>0</v>
      </c>
      <c r="CQ143" s="45">
        <f t="shared" si="81"/>
        <v>0</v>
      </c>
      <c r="CR143" s="45">
        <f t="shared" si="81"/>
        <v>0</v>
      </c>
      <c r="CS143" s="45">
        <f t="shared" si="81"/>
        <v>0</v>
      </c>
      <c r="CT143" s="45">
        <f t="shared" si="81"/>
        <v>0</v>
      </c>
      <c r="CU143" s="45">
        <f t="shared" si="81"/>
        <v>0</v>
      </c>
      <c r="CV143" s="45">
        <f t="shared" si="81"/>
        <v>0</v>
      </c>
      <c r="CW143" s="45">
        <f t="shared" si="81"/>
        <v>0</v>
      </c>
      <c r="CX143" s="45">
        <f t="shared" si="81"/>
        <v>0</v>
      </c>
      <c r="CY143" s="45">
        <f t="shared" si="81"/>
        <v>0</v>
      </c>
      <c r="CZ143" s="45">
        <f t="shared" si="81"/>
        <v>0</v>
      </c>
      <c r="DA143" s="45">
        <f t="shared" si="81"/>
        <v>0</v>
      </c>
      <c r="DB143" s="45">
        <f t="shared" si="81"/>
        <v>0</v>
      </c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</row>
    <row r="144" spans="1:121" ht="14.25" x14ac:dyDescent="0.15">
      <c r="A144" s="48">
        <v>142</v>
      </c>
      <c r="B144" s="45" t="e">
        <f t="shared" si="64"/>
        <v>#DIV/0!</v>
      </c>
      <c r="C144" s="45" t="e">
        <f t="shared" si="65"/>
        <v>#DIV/0!</v>
      </c>
      <c r="D144" s="45" t="e">
        <f t="shared" si="66"/>
        <v>#DIV/0!</v>
      </c>
      <c r="E144" s="45" t="e">
        <f t="shared" si="67"/>
        <v>#DIV/0!</v>
      </c>
      <c r="F144" s="45" t="e">
        <f t="shared" si="68"/>
        <v>#DIV/0!</v>
      </c>
      <c r="G144" s="45" t="e">
        <f t="shared" si="69"/>
        <v>#DIV/0!</v>
      </c>
      <c r="H144" s="45" t="e">
        <f t="shared" si="70"/>
        <v>#DIV/0!</v>
      </c>
      <c r="I144" s="45" t="e">
        <f t="shared" si="71"/>
        <v>#DIV/0!</v>
      </c>
      <c r="J144" s="45" t="e">
        <f t="shared" si="72"/>
        <v>#DIV/0!</v>
      </c>
      <c r="K144" s="45" t="e">
        <f t="shared" si="73"/>
        <v>#DIV/0!</v>
      </c>
      <c r="L144" s="45" t="e">
        <f t="shared" si="74"/>
        <v>#DIV/0!</v>
      </c>
      <c r="M144" s="45" t="e">
        <f t="shared" si="75"/>
        <v>#DIV/0!</v>
      </c>
      <c r="N144" s="45" t="e">
        <f t="shared" si="76"/>
        <v>#DIV/0!</v>
      </c>
      <c r="O144" s="45" t="e">
        <f t="shared" si="77"/>
        <v>#DIV/0!</v>
      </c>
      <c r="P144" s="45" t="e">
        <f t="shared" si="78"/>
        <v>#DIV/0!</v>
      </c>
      <c r="Q144" s="55" t="e">
        <f>Q143+ATM_Conf!$C$5*(B143)/(Links!B$191*Links!Q$191)</f>
        <v>#DIV/0!</v>
      </c>
      <c r="R144" s="55" t="e">
        <f>R143+ATM_Conf!$C$5*(C143-B143)/(Links!C$191*Links!R$191)</f>
        <v>#DIV/0!</v>
      </c>
      <c r="S144" s="55" t="e">
        <f>S143+ATM_Conf!$C$5*(D143-C143)/(Links!D$191*Links!S$191)</f>
        <v>#DIV/0!</v>
      </c>
      <c r="T144" s="55" t="e">
        <f>T143+ATM_Conf!$C$5*(E143-D143)/(Links!E$191*Links!T$191)</f>
        <v>#DIV/0!</v>
      </c>
      <c r="U144" s="55" t="e">
        <f>U143+ATM_Conf!$C$5*(F143-E143)/(Links!F$191*Links!U$191)</f>
        <v>#DIV/0!</v>
      </c>
      <c r="V144" s="55" t="e">
        <f>V143+ATM_Conf!$C$5*(G143-F143)/(Links!G$191*Links!V$191)</f>
        <v>#DIV/0!</v>
      </c>
      <c r="W144" s="55" t="e">
        <f>W143+ATM_Conf!$C$5*(H143-G143)/(Links!H$191*Links!W$191)</f>
        <v>#DIV/0!</v>
      </c>
      <c r="X144" s="55" t="e">
        <f>X143+ATM_Conf!$C$5*(I143-H143)/(Links!I$191*Links!X$191)</f>
        <v>#DIV/0!</v>
      </c>
      <c r="Y144" s="55" t="e">
        <f>Y143+ATM_Conf!$C$5*(J143)/(Links!J$191*Links!Y$191)</f>
        <v>#DIV/0!</v>
      </c>
      <c r="Z144" s="55" t="e">
        <f>Z143+ATM_Conf!$C$5*(K143-J143)/(Links!K$191*Links!Z$191)</f>
        <v>#DIV/0!</v>
      </c>
      <c r="AA144" s="55" t="e">
        <f>AA143+ATM_Conf!$C$5*(L143-K143)/(Links!L$191*Links!AA$191)</f>
        <v>#DIV/0!</v>
      </c>
      <c r="AB144" s="55" t="e">
        <f>AB143+ATM_Conf!$C$5*(M143-L143)/(Links!M$191*Links!AB$191)</f>
        <v>#DIV/0!</v>
      </c>
      <c r="AC144" s="55" t="e">
        <f>AC143+ATM_Conf!$C$5*(N143-M143)/(Links!N$191*Links!AC$191)</f>
        <v>#DIV/0!</v>
      </c>
      <c r="AD144" s="55" t="e">
        <f>AD143+ATM_Conf!$C$5*(O143-N143)/(Links!O$191*Links!AD$191)</f>
        <v>#DIV/0!</v>
      </c>
      <c r="AE144" s="55" t="e">
        <f>AE143+ATM_Conf!$C$5*(P143-O143)/(Links!P$191*Links!AE$191)</f>
        <v>#DIV/0!</v>
      </c>
      <c r="AF144" s="45" t="e">
        <f>AF143+(ATM_Conf!$C$5/ATM_Conf!$C$8)*(Links!AU143*EXP((-(Links!Q143/Links!BJ143)^Links!BY143)/Links!BY143)-Links!AF143)-(ATM_Conf!$C$9*ATM_Conf!$C$5/(ATM_Conf!$C$8*Links!Q$191))*(Nodes!BO143-Links!Q143)/(Links!Q143/ATM_Conf!$C$10)</f>
        <v>#DIV/0!</v>
      </c>
      <c r="AG144" s="45" t="e">
        <f>AG143+(ATM_Conf!$C$5/ATM_Conf!$C$8)*(Links!AV143*EXP((-(Links!R143/Links!BK143)^Links!BZ143)/Links!BZ143)-Links!AG143)+(ATM_Conf!$C$5/Links!R$191)*Links!AG143*(Nodes!BB143-Links!AG143)-(ATM_Conf!$C$9*ATM_Conf!$C$5/(ATM_Conf!$C$8*Links!R$191))*(Nodes!BP143-Links!R143)/(Links!R143/ATM_Conf!$C$10)</f>
        <v>#DIV/0!</v>
      </c>
      <c r="AH144" s="45" t="e">
        <f>AH143+(ATM_Conf!$C$5/ATM_Conf!$C$8)*(Links!AW143*EXP((-(Links!S143/Links!BL143)^Links!CA143)/Links!CA143)-Links!AH143)+(ATM_Conf!$C$5/Links!S$191)*Links!AH143*(Nodes!BC143-Links!AH143)-(ATM_Conf!$C$9*ATM_Conf!$C$5/(ATM_Conf!$C$8*Links!S$191))*(Nodes!BQ143-Links!S143)/(Links!S143/ATM_Conf!$C$10)</f>
        <v>#DIV/0!</v>
      </c>
      <c r="AI144" s="45" t="e">
        <f>AI143+(ATM_Conf!$C$5/ATM_Conf!$C$8)*(Links!AX143*EXP((-(Links!T143/Links!BM143)^Links!CB143)/Links!CB143)-Links!AI143)+(ATM_Conf!$C$5/Links!T$191)*Links!AI143*(Nodes!BD143-Links!AI143)-(ATM_Conf!$C$9*ATM_Conf!$C$5/(ATM_Conf!$C$8*Links!T$191))*(Nodes!BR143-Links!T143)/(Links!T143/ATM_Conf!$C$10)</f>
        <v>#DIV/0!</v>
      </c>
      <c r="AJ144" s="45" t="e">
        <f>AJ143+(ATM_Conf!$C$5/ATM_Conf!$C$8)*(Links!AY143*EXP((-(Links!U143/Links!BN143)^Links!CC143)/Links!CC143)-Links!AJ143)+(ATM_Conf!$C$5/Links!U$191)*Links!AJ143*(Nodes!BE143-Links!AJ143)-(ATM_Conf!$C$9*ATM_Conf!$C$5/(ATM_Conf!$C$8*Links!U$191))*(Nodes!BS143-Links!U143)/(Links!U143/ATM_Conf!$C$10)</f>
        <v>#DIV/0!</v>
      </c>
      <c r="AK144" s="45" t="e">
        <f>AK143+(ATM_Conf!$C$5/ATM_Conf!$C$8)*(Links!AZ143*EXP((-(Links!V143/Links!BO143)^Links!CD143)/Links!CD143)-Links!AK143)+(ATM_Conf!$C$5/Links!V$191)*Links!AK143*(Nodes!BF143-Links!AK143)-(ATM_Conf!$C$9*ATM_Conf!$C$5/(ATM_Conf!$C$8*Links!V$191))*(Nodes!BT143-Links!V143)/(Links!V143/ATM_Conf!$C$10)</f>
        <v>#DIV/0!</v>
      </c>
      <c r="AL144" s="45" t="e">
        <f>AL143+(ATM_Conf!$C$5/ATM_Conf!$C$8)*(Links!BA143*EXP((-(Links!W143/Links!BP143)^Links!CE143)/Links!CE143)-Links!AL143)+(ATM_Conf!$C$5/Links!W$191)*Links!AL143*(Nodes!BG143-Links!AL143)-(ATM_Conf!$C$9*ATM_Conf!$C$5/(ATM_Conf!$C$8*Links!W$191))*(Nodes!BU143-Links!W143)/(Links!W143/ATM_Conf!$C$10)</f>
        <v>#DIV/0!</v>
      </c>
      <c r="AM144" s="45" t="e">
        <f>AM143+(ATM_Conf!$C$5/ATM_Conf!$C$8)*(Links!BB143*EXP((-(Links!X143/Links!BQ143)^Links!CF143)/Links!CF143)-Links!AM143)+(ATM_Conf!$C$5/Links!X$191)*Links!AM143*(Nodes!BH143-Links!AM143)</f>
        <v>#DIV/0!</v>
      </c>
      <c r="AN144" s="45" t="e">
        <f>AN143+(ATM_Conf!$C$5/ATM_Conf!$C$8)*(Links!BC143*EXP((-(Links!Y143/Links!BR143)^Links!CG143)/Links!CG143)-Links!AN143)-(ATM_Conf!$C$9*ATM_Conf!$C$5/(ATM_Conf!$C$8*Links!Y$191))*(Nodes!BV143-Links!Y143)/(Links!Y143/ATM_Conf!$C$10)</f>
        <v>#DIV/0!</v>
      </c>
      <c r="AO144" s="45" t="e">
        <f>AO143+(ATM_Conf!$C$5/ATM_Conf!$C$8)*(Links!BD143*EXP((-(Links!Z143/Links!BS143)^Links!CH143)/Links!CH143)-Links!AO143)+(ATM_Conf!$C$5/Links!Z$191)*Links!AO143*(Nodes!BI143-Links!AO143)-(ATM_Conf!$C$9*ATM_Conf!$C$5/(ATM_Conf!$C$8*Links!Z$191))*(Nodes!BW143-Links!Z143)/(Links!Z143/ATM_Conf!$C$10)</f>
        <v>#DIV/0!</v>
      </c>
      <c r="AP144" s="45" t="e">
        <f>AP143+(ATM_Conf!$C$5/ATM_Conf!$C$8)*(Links!BE143*EXP((-(Links!AA143/Links!BT143)^Links!CI143)/Links!CI143)-Links!AP143)+(ATM_Conf!$C$5/Links!AA$191)*Links!AP143*(Nodes!BJ143-Links!AP143)-(ATM_Conf!$C$9*ATM_Conf!$C$5/(ATM_Conf!$C$8*Links!AA$191))*(Nodes!BX143-Links!AA143)/(Links!AA143/ATM_Conf!$C$10)</f>
        <v>#DIV/0!</v>
      </c>
      <c r="AQ144" s="45" t="e">
        <f>AQ143+(ATM_Conf!$C$5/ATM_Conf!$C$8)*(Links!BF143*EXP((-(Links!AB143/Links!BU143)^Links!CJ143)/Links!CJ143)-Links!AQ143)+(ATM_Conf!$C$5/Links!AB$191)*Links!AQ143*(Nodes!BK143-Links!AQ143)-(ATM_Conf!$C$9*ATM_Conf!$C$5/(ATM_Conf!$C$8*Links!AB$191))*(Nodes!BY143-Links!AB143)/(Links!AB143/ATM_Conf!$C$10)</f>
        <v>#DIV/0!</v>
      </c>
      <c r="AR144" s="45" t="e">
        <f>AR143+(ATM_Conf!$C$5/ATM_Conf!$C$8)*(Links!BG143*EXP((-(Links!AC143/Links!BV143)^Links!CK143)/Links!CK143)-Links!AR143)+(ATM_Conf!$C$5/Links!AC$191)*Links!AR143*(Nodes!BL143-Links!AR143)-(ATM_Conf!$C$9*ATM_Conf!$C$5/(ATM_Conf!$C$8*Links!AC$191))*(Nodes!BZ143-Links!AC143)/(Links!AC143/ATM_Conf!$C$10)</f>
        <v>#DIV/0!</v>
      </c>
      <c r="AS144" s="45" t="e">
        <f>AS143+(ATM_Conf!$C$5/ATM_Conf!$C$8)*(Links!BH143*EXP((-(Links!AD143/Links!BW143)^Links!CL143)/Links!CL143)-Links!AS143)+(ATM_Conf!$C$5/Links!AD$191)*Links!AS143*(Nodes!BM143-Links!AS143)-(ATM_Conf!$C$9*ATM_Conf!$C$5/(ATM_Conf!$C$8*Links!AD$191))*(Nodes!CA143-Links!AD143)/(Links!AD143/ATM_Conf!$C$10)</f>
        <v>#DIV/0!</v>
      </c>
      <c r="AT144" s="45" t="e">
        <f>AT143+(ATM_Conf!$C$5/ATM_Conf!$C$8)*(Links!BI143*EXP((-(Links!AE143/Links!BX143)^Links!CM143)/Links!CM143)-Links!AT143)+(ATM_Conf!$C$5/Links!AE$191)*Links!AT143*(Nodes!BN143-Links!AT143)</f>
        <v>#DIV/0!</v>
      </c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45"/>
      <c r="BK144" s="45"/>
      <c r="BL144" s="45"/>
      <c r="BM144" s="45"/>
      <c r="BN144" s="45"/>
      <c r="BO144" s="45"/>
      <c r="BP144" s="45"/>
      <c r="BQ144" s="45"/>
      <c r="BR144" s="45"/>
      <c r="BS144" s="45"/>
      <c r="BT144" s="45"/>
      <c r="BU144" s="45"/>
      <c r="BV144" s="45"/>
      <c r="BW144" s="45"/>
      <c r="BX144" s="4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45">
        <f t="shared" si="81"/>
        <v>0</v>
      </c>
      <c r="CO144" s="45">
        <f t="shared" si="81"/>
        <v>0</v>
      </c>
      <c r="CP144" s="45">
        <f t="shared" si="81"/>
        <v>0</v>
      </c>
      <c r="CQ144" s="45">
        <f t="shared" si="81"/>
        <v>0</v>
      </c>
      <c r="CR144" s="45">
        <f t="shared" si="81"/>
        <v>0</v>
      </c>
      <c r="CS144" s="45">
        <f t="shared" si="81"/>
        <v>0</v>
      </c>
      <c r="CT144" s="45">
        <f t="shared" si="81"/>
        <v>0</v>
      </c>
      <c r="CU144" s="45">
        <f t="shared" si="81"/>
        <v>0</v>
      </c>
      <c r="CV144" s="45">
        <f t="shared" si="81"/>
        <v>0</v>
      </c>
      <c r="CW144" s="45">
        <f t="shared" si="81"/>
        <v>0</v>
      </c>
      <c r="CX144" s="45">
        <f t="shared" si="81"/>
        <v>0</v>
      </c>
      <c r="CY144" s="45">
        <f t="shared" si="81"/>
        <v>0</v>
      </c>
      <c r="CZ144" s="45">
        <f t="shared" si="81"/>
        <v>0</v>
      </c>
      <c r="DA144" s="45">
        <f t="shared" si="81"/>
        <v>0</v>
      </c>
      <c r="DB144" s="45">
        <f t="shared" si="81"/>
        <v>0</v>
      </c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</row>
    <row r="145" spans="1:121" ht="14.25" x14ac:dyDescent="0.15">
      <c r="A145" s="48">
        <v>143</v>
      </c>
      <c r="B145" s="45" t="e">
        <f t="shared" si="64"/>
        <v>#DIV/0!</v>
      </c>
      <c r="C145" s="45" t="e">
        <f t="shared" si="65"/>
        <v>#DIV/0!</v>
      </c>
      <c r="D145" s="45" t="e">
        <f t="shared" si="66"/>
        <v>#DIV/0!</v>
      </c>
      <c r="E145" s="45" t="e">
        <f t="shared" si="67"/>
        <v>#DIV/0!</v>
      </c>
      <c r="F145" s="45" t="e">
        <f t="shared" si="68"/>
        <v>#DIV/0!</v>
      </c>
      <c r="G145" s="45" t="e">
        <f t="shared" si="69"/>
        <v>#DIV/0!</v>
      </c>
      <c r="H145" s="45" t="e">
        <f t="shared" si="70"/>
        <v>#DIV/0!</v>
      </c>
      <c r="I145" s="45" t="e">
        <f t="shared" si="71"/>
        <v>#DIV/0!</v>
      </c>
      <c r="J145" s="45" t="e">
        <f t="shared" si="72"/>
        <v>#DIV/0!</v>
      </c>
      <c r="K145" s="45" t="e">
        <f t="shared" si="73"/>
        <v>#DIV/0!</v>
      </c>
      <c r="L145" s="45" t="e">
        <f t="shared" si="74"/>
        <v>#DIV/0!</v>
      </c>
      <c r="M145" s="45" t="e">
        <f t="shared" si="75"/>
        <v>#DIV/0!</v>
      </c>
      <c r="N145" s="45" t="e">
        <f t="shared" si="76"/>
        <v>#DIV/0!</v>
      </c>
      <c r="O145" s="45" t="e">
        <f t="shared" si="77"/>
        <v>#DIV/0!</v>
      </c>
      <c r="P145" s="45" t="e">
        <f t="shared" si="78"/>
        <v>#DIV/0!</v>
      </c>
      <c r="Q145" s="55" t="e">
        <f>Q144+ATM_Conf!$C$5*(B144)/(Links!B$191*Links!Q$191)</f>
        <v>#DIV/0!</v>
      </c>
      <c r="R145" s="55" t="e">
        <f>R144+ATM_Conf!$C$5*(C144-B144)/(Links!C$191*Links!R$191)</f>
        <v>#DIV/0!</v>
      </c>
      <c r="S145" s="55" t="e">
        <f>S144+ATM_Conf!$C$5*(D144-C144)/(Links!D$191*Links!S$191)</f>
        <v>#DIV/0!</v>
      </c>
      <c r="T145" s="55" t="e">
        <f>T144+ATM_Conf!$C$5*(E144-D144)/(Links!E$191*Links!T$191)</f>
        <v>#DIV/0!</v>
      </c>
      <c r="U145" s="55" t="e">
        <f>U144+ATM_Conf!$C$5*(F144-E144)/(Links!F$191*Links!U$191)</f>
        <v>#DIV/0!</v>
      </c>
      <c r="V145" s="55" t="e">
        <f>V144+ATM_Conf!$C$5*(G144-F144)/(Links!G$191*Links!V$191)</f>
        <v>#DIV/0!</v>
      </c>
      <c r="W145" s="55" t="e">
        <f>W144+ATM_Conf!$C$5*(H144-G144)/(Links!H$191*Links!W$191)</f>
        <v>#DIV/0!</v>
      </c>
      <c r="X145" s="55" t="e">
        <f>X144+ATM_Conf!$C$5*(I144-H144)/(Links!I$191*Links!X$191)</f>
        <v>#DIV/0!</v>
      </c>
      <c r="Y145" s="55" t="e">
        <f>Y144+ATM_Conf!$C$5*(J144)/(Links!J$191*Links!Y$191)</f>
        <v>#DIV/0!</v>
      </c>
      <c r="Z145" s="55" t="e">
        <f>Z144+ATM_Conf!$C$5*(K144-J144)/(Links!K$191*Links!Z$191)</f>
        <v>#DIV/0!</v>
      </c>
      <c r="AA145" s="55" t="e">
        <f>AA144+ATM_Conf!$C$5*(L144-K144)/(Links!L$191*Links!AA$191)</f>
        <v>#DIV/0!</v>
      </c>
      <c r="AB145" s="55" t="e">
        <f>AB144+ATM_Conf!$C$5*(M144-L144)/(Links!M$191*Links!AB$191)</f>
        <v>#DIV/0!</v>
      </c>
      <c r="AC145" s="55" t="e">
        <f>AC144+ATM_Conf!$C$5*(N144-M144)/(Links!N$191*Links!AC$191)</f>
        <v>#DIV/0!</v>
      </c>
      <c r="AD145" s="55" t="e">
        <f>AD144+ATM_Conf!$C$5*(O144-N144)/(Links!O$191*Links!AD$191)</f>
        <v>#DIV/0!</v>
      </c>
      <c r="AE145" s="55" t="e">
        <f>AE144+ATM_Conf!$C$5*(P144-O144)/(Links!P$191*Links!AE$191)</f>
        <v>#DIV/0!</v>
      </c>
      <c r="AF145" s="45" t="e">
        <f>AF144+(ATM_Conf!$C$5/ATM_Conf!$C$8)*(Links!AU144*EXP((-(Links!Q144/Links!BJ144)^Links!BY144)/Links!BY144)-Links!AF144)-(ATM_Conf!$C$9*ATM_Conf!$C$5/(ATM_Conf!$C$8*Links!Q$191))*(Nodes!BO144-Links!Q144)/(Links!Q144/ATM_Conf!$C$10)</f>
        <v>#DIV/0!</v>
      </c>
      <c r="AG145" s="45" t="e">
        <f>AG144+(ATM_Conf!$C$5/ATM_Conf!$C$8)*(Links!AV144*EXP((-(Links!R144/Links!BK144)^Links!BZ144)/Links!BZ144)-Links!AG144)+(ATM_Conf!$C$5/Links!R$191)*Links!AG144*(Nodes!BB144-Links!AG144)-(ATM_Conf!$C$9*ATM_Conf!$C$5/(ATM_Conf!$C$8*Links!R$191))*(Nodes!BP144-Links!R144)/(Links!R144/ATM_Conf!$C$10)</f>
        <v>#DIV/0!</v>
      </c>
      <c r="AH145" s="45" t="e">
        <f>AH144+(ATM_Conf!$C$5/ATM_Conf!$C$8)*(Links!AW144*EXP((-(Links!S144/Links!BL144)^Links!CA144)/Links!CA144)-Links!AH144)+(ATM_Conf!$C$5/Links!S$191)*Links!AH144*(Nodes!BC144-Links!AH144)-(ATM_Conf!$C$9*ATM_Conf!$C$5/(ATM_Conf!$C$8*Links!S$191))*(Nodes!BQ144-Links!S144)/(Links!S144/ATM_Conf!$C$10)</f>
        <v>#DIV/0!</v>
      </c>
      <c r="AI145" s="45" t="e">
        <f>AI144+(ATM_Conf!$C$5/ATM_Conf!$C$8)*(Links!AX144*EXP((-(Links!T144/Links!BM144)^Links!CB144)/Links!CB144)-Links!AI144)+(ATM_Conf!$C$5/Links!T$191)*Links!AI144*(Nodes!BD144-Links!AI144)-(ATM_Conf!$C$9*ATM_Conf!$C$5/(ATM_Conf!$C$8*Links!T$191))*(Nodes!BR144-Links!T144)/(Links!T144/ATM_Conf!$C$10)</f>
        <v>#DIV/0!</v>
      </c>
      <c r="AJ145" s="45" t="e">
        <f>AJ144+(ATM_Conf!$C$5/ATM_Conf!$C$8)*(Links!AY144*EXP((-(Links!U144/Links!BN144)^Links!CC144)/Links!CC144)-Links!AJ144)+(ATM_Conf!$C$5/Links!U$191)*Links!AJ144*(Nodes!BE144-Links!AJ144)-(ATM_Conf!$C$9*ATM_Conf!$C$5/(ATM_Conf!$C$8*Links!U$191))*(Nodes!BS144-Links!U144)/(Links!U144/ATM_Conf!$C$10)</f>
        <v>#DIV/0!</v>
      </c>
      <c r="AK145" s="45" t="e">
        <f>AK144+(ATM_Conf!$C$5/ATM_Conf!$C$8)*(Links!AZ144*EXP((-(Links!V144/Links!BO144)^Links!CD144)/Links!CD144)-Links!AK144)+(ATM_Conf!$C$5/Links!V$191)*Links!AK144*(Nodes!BF144-Links!AK144)-(ATM_Conf!$C$9*ATM_Conf!$C$5/(ATM_Conf!$C$8*Links!V$191))*(Nodes!BT144-Links!V144)/(Links!V144/ATM_Conf!$C$10)</f>
        <v>#DIV/0!</v>
      </c>
      <c r="AL145" s="45" t="e">
        <f>AL144+(ATM_Conf!$C$5/ATM_Conf!$C$8)*(Links!BA144*EXP((-(Links!W144/Links!BP144)^Links!CE144)/Links!CE144)-Links!AL144)+(ATM_Conf!$C$5/Links!W$191)*Links!AL144*(Nodes!BG144-Links!AL144)-(ATM_Conf!$C$9*ATM_Conf!$C$5/(ATM_Conf!$C$8*Links!W$191))*(Nodes!BU144-Links!W144)/(Links!W144/ATM_Conf!$C$10)</f>
        <v>#DIV/0!</v>
      </c>
      <c r="AM145" s="45" t="e">
        <f>AM144+(ATM_Conf!$C$5/ATM_Conf!$C$8)*(Links!BB144*EXP((-(Links!X144/Links!BQ144)^Links!CF144)/Links!CF144)-Links!AM144)+(ATM_Conf!$C$5/Links!X$191)*Links!AM144*(Nodes!BH144-Links!AM144)</f>
        <v>#DIV/0!</v>
      </c>
      <c r="AN145" s="45" t="e">
        <f>AN144+(ATM_Conf!$C$5/ATM_Conf!$C$8)*(Links!BC144*EXP((-(Links!Y144/Links!BR144)^Links!CG144)/Links!CG144)-Links!AN144)-(ATM_Conf!$C$9*ATM_Conf!$C$5/(ATM_Conf!$C$8*Links!Y$191))*(Nodes!BV144-Links!Y144)/(Links!Y144/ATM_Conf!$C$10)</f>
        <v>#DIV/0!</v>
      </c>
      <c r="AO145" s="45" t="e">
        <f>AO144+(ATM_Conf!$C$5/ATM_Conf!$C$8)*(Links!BD144*EXP((-(Links!Z144/Links!BS144)^Links!CH144)/Links!CH144)-Links!AO144)+(ATM_Conf!$C$5/Links!Z$191)*Links!AO144*(Nodes!BI144-Links!AO144)-(ATM_Conf!$C$9*ATM_Conf!$C$5/(ATM_Conf!$C$8*Links!Z$191))*(Nodes!BW144-Links!Z144)/(Links!Z144/ATM_Conf!$C$10)</f>
        <v>#DIV/0!</v>
      </c>
      <c r="AP145" s="45" t="e">
        <f>AP144+(ATM_Conf!$C$5/ATM_Conf!$C$8)*(Links!BE144*EXP((-(Links!AA144/Links!BT144)^Links!CI144)/Links!CI144)-Links!AP144)+(ATM_Conf!$C$5/Links!AA$191)*Links!AP144*(Nodes!BJ144-Links!AP144)-(ATM_Conf!$C$9*ATM_Conf!$C$5/(ATM_Conf!$C$8*Links!AA$191))*(Nodes!BX144-Links!AA144)/(Links!AA144/ATM_Conf!$C$10)</f>
        <v>#DIV/0!</v>
      </c>
      <c r="AQ145" s="45" t="e">
        <f>AQ144+(ATM_Conf!$C$5/ATM_Conf!$C$8)*(Links!BF144*EXP((-(Links!AB144/Links!BU144)^Links!CJ144)/Links!CJ144)-Links!AQ144)+(ATM_Conf!$C$5/Links!AB$191)*Links!AQ144*(Nodes!BK144-Links!AQ144)-(ATM_Conf!$C$9*ATM_Conf!$C$5/(ATM_Conf!$C$8*Links!AB$191))*(Nodes!BY144-Links!AB144)/(Links!AB144/ATM_Conf!$C$10)</f>
        <v>#DIV/0!</v>
      </c>
      <c r="AR145" s="45" t="e">
        <f>AR144+(ATM_Conf!$C$5/ATM_Conf!$C$8)*(Links!BG144*EXP((-(Links!AC144/Links!BV144)^Links!CK144)/Links!CK144)-Links!AR144)+(ATM_Conf!$C$5/Links!AC$191)*Links!AR144*(Nodes!BL144-Links!AR144)-(ATM_Conf!$C$9*ATM_Conf!$C$5/(ATM_Conf!$C$8*Links!AC$191))*(Nodes!BZ144-Links!AC144)/(Links!AC144/ATM_Conf!$C$10)</f>
        <v>#DIV/0!</v>
      </c>
      <c r="AS145" s="45" t="e">
        <f>AS144+(ATM_Conf!$C$5/ATM_Conf!$C$8)*(Links!BH144*EXP((-(Links!AD144/Links!BW144)^Links!CL144)/Links!CL144)-Links!AS144)+(ATM_Conf!$C$5/Links!AD$191)*Links!AS144*(Nodes!BM144-Links!AS144)-(ATM_Conf!$C$9*ATM_Conf!$C$5/(ATM_Conf!$C$8*Links!AD$191))*(Nodes!CA144-Links!AD144)/(Links!AD144/ATM_Conf!$C$10)</f>
        <v>#DIV/0!</v>
      </c>
      <c r="AT145" s="45" t="e">
        <f>AT144+(ATM_Conf!$C$5/ATM_Conf!$C$8)*(Links!BI144*EXP((-(Links!AE144/Links!BX144)^Links!CM144)/Links!CM144)-Links!AT144)+(ATM_Conf!$C$5/Links!AE$191)*Links!AT144*(Nodes!BN144-Links!AT144)</f>
        <v>#DIV/0!</v>
      </c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45"/>
      <c r="BK145" s="45"/>
      <c r="BL145" s="45"/>
      <c r="BM145" s="45"/>
      <c r="BN145" s="45"/>
      <c r="BO145" s="45"/>
      <c r="BP145" s="45"/>
      <c r="BQ145" s="45"/>
      <c r="BR145" s="45"/>
      <c r="BS145" s="45"/>
      <c r="BT145" s="45"/>
      <c r="BU145" s="45"/>
      <c r="BV145" s="45"/>
      <c r="BW145" s="45"/>
      <c r="BX145" s="4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45">
        <f t="shared" si="81"/>
        <v>0</v>
      </c>
      <c r="CO145" s="45">
        <f t="shared" si="81"/>
        <v>0</v>
      </c>
      <c r="CP145" s="45">
        <f t="shared" si="81"/>
        <v>0</v>
      </c>
      <c r="CQ145" s="45">
        <f t="shared" si="81"/>
        <v>0</v>
      </c>
      <c r="CR145" s="45">
        <f t="shared" si="81"/>
        <v>0</v>
      </c>
      <c r="CS145" s="45">
        <f t="shared" si="81"/>
        <v>0</v>
      </c>
      <c r="CT145" s="45">
        <f t="shared" si="81"/>
        <v>0</v>
      </c>
      <c r="CU145" s="45">
        <f t="shared" si="81"/>
        <v>0</v>
      </c>
      <c r="CV145" s="45">
        <f t="shared" si="81"/>
        <v>0</v>
      </c>
      <c r="CW145" s="45">
        <f t="shared" si="81"/>
        <v>0</v>
      </c>
      <c r="CX145" s="45">
        <f t="shared" si="81"/>
        <v>0</v>
      </c>
      <c r="CY145" s="45">
        <f t="shared" si="81"/>
        <v>0</v>
      </c>
      <c r="CZ145" s="45">
        <f t="shared" si="81"/>
        <v>0</v>
      </c>
      <c r="DA145" s="45">
        <f t="shared" si="81"/>
        <v>0</v>
      </c>
      <c r="DB145" s="45">
        <f t="shared" si="81"/>
        <v>0</v>
      </c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</row>
    <row r="146" spans="1:121" ht="14.25" x14ac:dyDescent="0.15">
      <c r="A146" s="48">
        <v>144</v>
      </c>
      <c r="B146" s="45" t="e">
        <f t="shared" si="64"/>
        <v>#DIV/0!</v>
      </c>
      <c r="C146" s="45" t="e">
        <f t="shared" si="65"/>
        <v>#DIV/0!</v>
      </c>
      <c r="D146" s="45" t="e">
        <f t="shared" si="66"/>
        <v>#DIV/0!</v>
      </c>
      <c r="E146" s="45" t="e">
        <f t="shared" si="67"/>
        <v>#DIV/0!</v>
      </c>
      <c r="F146" s="45" t="e">
        <f t="shared" si="68"/>
        <v>#DIV/0!</v>
      </c>
      <c r="G146" s="45" t="e">
        <f t="shared" si="69"/>
        <v>#DIV/0!</v>
      </c>
      <c r="H146" s="45" t="e">
        <f t="shared" si="70"/>
        <v>#DIV/0!</v>
      </c>
      <c r="I146" s="45" t="e">
        <f t="shared" si="71"/>
        <v>#DIV/0!</v>
      </c>
      <c r="J146" s="45" t="e">
        <f t="shared" si="72"/>
        <v>#DIV/0!</v>
      </c>
      <c r="K146" s="45" t="e">
        <f t="shared" si="73"/>
        <v>#DIV/0!</v>
      </c>
      <c r="L146" s="45" t="e">
        <f t="shared" si="74"/>
        <v>#DIV/0!</v>
      </c>
      <c r="M146" s="45" t="e">
        <f t="shared" si="75"/>
        <v>#DIV/0!</v>
      </c>
      <c r="N146" s="45" t="e">
        <f t="shared" si="76"/>
        <v>#DIV/0!</v>
      </c>
      <c r="O146" s="45" t="e">
        <f t="shared" si="77"/>
        <v>#DIV/0!</v>
      </c>
      <c r="P146" s="45" t="e">
        <f t="shared" si="78"/>
        <v>#DIV/0!</v>
      </c>
      <c r="Q146" s="55" t="e">
        <f>Q145+ATM_Conf!$C$5*(B145)/(Links!B$191*Links!Q$191)</f>
        <v>#DIV/0!</v>
      </c>
      <c r="R146" s="55" t="e">
        <f>R145+ATM_Conf!$C$5*(C145-B145)/(Links!C$191*Links!R$191)</f>
        <v>#DIV/0!</v>
      </c>
      <c r="S146" s="55" t="e">
        <f>S145+ATM_Conf!$C$5*(D145-C145)/(Links!D$191*Links!S$191)</f>
        <v>#DIV/0!</v>
      </c>
      <c r="T146" s="55" t="e">
        <f>T145+ATM_Conf!$C$5*(E145-D145)/(Links!E$191*Links!T$191)</f>
        <v>#DIV/0!</v>
      </c>
      <c r="U146" s="55" t="e">
        <f>U145+ATM_Conf!$C$5*(F145-E145)/(Links!F$191*Links!U$191)</f>
        <v>#DIV/0!</v>
      </c>
      <c r="V146" s="55" t="e">
        <f>V145+ATM_Conf!$C$5*(G145-F145)/(Links!G$191*Links!V$191)</f>
        <v>#DIV/0!</v>
      </c>
      <c r="W146" s="55" t="e">
        <f>W145+ATM_Conf!$C$5*(H145-G145)/(Links!H$191*Links!W$191)</f>
        <v>#DIV/0!</v>
      </c>
      <c r="X146" s="55" t="e">
        <f>X145+ATM_Conf!$C$5*(I145-H145)/(Links!I$191*Links!X$191)</f>
        <v>#DIV/0!</v>
      </c>
      <c r="Y146" s="55" t="e">
        <f>Y145+ATM_Conf!$C$5*(J145)/(Links!J$191*Links!Y$191)</f>
        <v>#DIV/0!</v>
      </c>
      <c r="Z146" s="55" t="e">
        <f>Z145+ATM_Conf!$C$5*(K145-J145)/(Links!K$191*Links!Z$191)</f>
        <v>#DIV/0!</v>
      </c>
      <c r="AA146" s="55" t="e">
        <f>AA145+ATM_Conf!$C$5*(L145-K145)/(Links!L$191*Links!AA$191)</f>
        <v>#DIV/0!</v>
      </c>
      <c r="AB146" s="55" t="e">
        <f>AB145+ATM_Conf!$C$5*(M145-L145)/(Links!M$191*Links!AB$191)</f>
        <v>#DIV/0!</v>
      </c>
      <c r="AC146" s="55" t="e">
        <f>AC145+ATM_Conf!$C$5*(N145-M145)/(Links!N$191*Links!AC$191)</f>
        <v>#DIV/0!</v>
      </c>
      <c r="AD146" s="55" t="e">
        <f>AD145+ATM_Conf!$C$5*(O145-N145)/(Links!O$191*Links!AD$191)</f>
        <v>#DIV/0!</v>
      </c>
      <c r="AE146" s="55" t="e">
        <f>AE145+ATM_Conf!$C$5*(P145-O145)/(Links!P$191*Links!AE$191)</f>
        <v>#DIV/0!</v>
      </c>
      <c r="AF146" s="45" t="e">
        <f>AF145+(ATM_Conf!$C$5/ATM_Conf!$C$8)*(Links!AU145*EXP((-(Links!Q145/Links!BJ145)^Links!BY145)/Links!BY145)-Links!AF145)-(ATM_Conf!$C$9*ATM_Conf!$C$5/(ATM_Conf!$C$8*Links!Q$191))*(Nodes!BO145-Links!Q145)/(Links!Q145/ATM_Conf!$C$10)</f>
        <v>#DIV/0!</v>
      </c>
      <c r="AG146" s="45" t="e">
        <f>AG145+(ATM_Conf!$C$5/ATM_Conf!$C$8)*(Links!AV145*EXP((-(Links!R145/Links!BK145)^Links!BZ145)/Links!BZ145)-Links!AG145)+(ATM_Conf!$C$5/Links!R$191)*Links!AG145*(Nodes!BB145-Links!AG145)-(ATM_Conf!$C$9*ATM_Conf!$C$5/(ATM_Conf!$C$8*Links!R$191))*(Nodes!BP145-Links!R145)/(Links!R145/ATM_Conf!$C$10)</f>
        <v>#DIV/0!</v>
      </c>
      <c r="AH146" s="45" t="e">
        <f>AH145+(ATM_Conf!$C$5/ATM_Conf!$C$8)*(Links!AW145*EXP((-(Links!S145/Links!BL145)^Links!CA145)/Links!CA145)-Links!AH145)+(ATM_Conf!$C$5/Links!S$191)*Links!AH145*(Nodes!BC145-Links!AH145)-(ATM_Conf!$C$9*ATM_Conf!$C$5/(ATM_Conf!$C$8*Links!S$191))*(Nodes!BQ145-Links!S145)/(Links!S145/ATM_Conf!$C$10)</f>
        <v>#DIV/0!</v>
      </c>
      <c r="AI146" s="45" t="e">
        <f>AI145+(ATM_Conf!$C$5/ATM_Conf!$C$8)*(Links!AX145*EXP((-(Links!T145/Links!BM145)^Links!CB145)/Links!CB145)-Links!AI145)+(ATM_Conf!$C$5/Links!T$191)*Links!AI145*(Nodes!BD145-Links!AI145)-(ATM_Conf!$C$9*ATM_Conf!$C$5/(ATM_Conf!$C$8*Links!T$191))*(Nodes!BR145-Links!T145)/(Links!T145/ATM_Conf!$C$10)</f>
        <v>#DIV/0!</v>
      </c>
      <c r="AJ146" s="45" t="e">
        <f>AJ145+(ATM_Conf!$C$5/ATM_Conf!$C$8)*(Links!AY145*EXP((-(Links!U145/Links!BN145)^Links!CC145)/Links!CC145)-Links!AJ145)+(ATM_Conf!$C$5/Links!U$191)*Links!AJ145*(Nodes!BE145-Links!AJ145)-(ATM_Conf!$C$9*ATM_Conf!$C$5/(ATM_Conf!$C$8*Links!U$191))*(Nodes!BS145-Links!U145)/(Links!U145/ATM_Conf!$C$10)</f>
        <v>#DIV/0!</v>
      </c>
      <c r="AK146" s="45" t="e">
        <f>AK145+(ATM_Conf!$C$5/ATM_Conf!$C$8)*(Links!AZ145*EXP((-(Links!V145/Links!BO145)^Links!CD145)/Links!CD145)-Links!AK145)+(ATM_Conf!$C$5/Links!V$191)*Links!AK145*(Nodes!BF145-Links!AK145)-(ATM_Conf!$C$9*ATM_Conf!$C$5/(ATM_Conf!$C$8*Links!V$191))*(Nodes!BT145-Links!V145)/(Links!V145/ATM_Conf!$C$10)</f>
        <v>#DIV/0!</v>
      </c>
      <c r="AL146" s="45" t="e">
        <f>AL145+(ATM_Conf!$C$5/ATM_Conf!$C$8)*(Links!BA145*EXP((-(Links!W145/Links!BP145)^Links!CE145)/Links!CE145)-Links!AL145)+(ATM_Conf!$C$5/Links!W$191)*Links!AL145*(Nodes!BG145-Links!AL145)-(ATM_Conf!$C$9*ATM_Conf!$C$5/(ATM_Conf!$C$8*Links!W$191))*(Nodes!BU145-Links!W145)/(Links!W145/ATM_Conf!$C$10)</f>
        <v>#DIV/0!</v>
      </c>
      <c r="AM146" s="45" t="e">
        <f>AM145+(ATM_Conf!$C$5/ATM_Conf!$C$8)*(Links!BB145*EXP((-(Links!X145/Links!BQ145)^Links!CF145)/Links!CF145)-Links!AM145)+(ATM_Conf!$C$5/Links!X$191)*Links!AM145*(Nodes!BH145-Links!AM145)</f>
        <v>#DIV/0!</v>
      </c>
      <c r="AN146" s="45" t="e">
        <f>AN145+(ATM_Conf!$C$5/ATM_Conf!$C$8)*(Links!BC145*EXP((-(Links!Y145/Links!BR145)^Links!CG145)/Links!CG145)-Links!AN145)-(ATM_Conf!$C$9*ATM_Conf!$C$5/(ATM_Conf!$C$8*Links!Y$191))*(Nodes!BV145-Links!Y145)/(Links!Y145/ATM_Conf!$C$10)</f>
        <v>#DIV/0!</v>
      </c>
      <c r="AO146" s="45" t="e">
        <f>AO145+(ATM_Conf!$C$5/ATM_Conf!$C$8)*(Links!BD145*EXP((-(Links!Z145/Links!BS145)^Links!CH145)/Links!CH145)-Links!AO145)+(ATM_Conf!$C$5/Links!Z$191)*Links!AO145*(Nodes!BI145-Links!AO145)-(ATM_Conf!$C$9*ATM_Conf!$C$5/(ATM_Conf!$C$8*Links!Z$191))*(Nodes!BW145-Links!Z145)/(Links!Z145/ATM_Conf!$C$10)</f>
        <v>#DIV/0!</v>
      </c>
      <c r="AP146" s="45" t="e">
        <f>AP145+(ATM_Conf!$C$5/ATM_Conf!$C$8)*(Links!BE145*EXP((-(Links!AA145/Links!BT145)^Links!CI145)/Links!CI145)-Links!AP145)+(ATM_Conf!$C$5/Links!AA$191)*Links!AP145*(Nodes!BJ145-Links!AP145)-(ATM_Conf!$C$9*ATM_Conf!$C$5/(ATM_Conf!$C$8*Links!AA$191))*(Nodes!BX145-Links!AA145)/(Links!AA145/ATM_Conf!$C$10)</f>
        <v>#DIV/0!</v>
      </c>
      <c r="AQ146" s="45" t="e">
        <f>AQ145+(ATM_Conf!$C$5/ATM_Conf!$C$8)*(Links!BF145*EXP((-(Links!AB145/Links!BU145)^Links!CJ145)/Links!CJ145)-Links!AQ145)+(ATM_Conf!$C$5/Links!AB$191)*Links!AQ145*(Nodes!BK145-Links!AQ145)-(ATM_Conf!$C$9*ATM_Conf!$C$5/(ATM_Conf!$C$8*Links!AB$191))*(Nodes!BY145-Links!AB145)/(Links!AB145/ATM_Conf!$C$10)</f>
        <v>#DIV/0!</v>
      </c>
      <c r="AR146" s="45" t="e">
        <f>AR145+(ATM_Conf!$C$5/ATM_Conf!$C$8)*(Links!BG145*EXP((-(Links!AC145/Links!BV145)^Links!CK145)/Links!CK145)-Links!AR145)+(ATM_Conf!$C$5/Links!AC$191)*Links!AR145*(Nodes!BL145-Links!AR145)-(ATM_Conf!$C$9*ATM_Conf!$C$5/(ATM_Conf!$C$8*Links!AC$191))*(Nodes!BZ145-Links!AC145)/(Links!AC145/ATM_Conf!$C$10)</f>
        <v>#DIV/0!</v>
      </c>
      <c r="AS146" s="45" t="e">
        <f>AS145+(ATM_Conf!$C$5/ATM_Conf!$C$8)*(Links!BH145*EXP((-(Links!AD145/Links!BW145)^Links!CL145)/Links!CL145)-Links!AS145)+(ATM_Conf!$C$5/Links!AD$191)*Links!AS145*(Nodes!BM145-Links!AS145)-(ATM_Conf!$C$9*ATM_Conf!$C$5/(ATM_Conf!$C$8*Links!AD$191))*(Nodes!CA145-Links!AD145)/(Links!AD145/ATM_Conf!$C$10)</f>
        <v>#DIV/0!</v>
      </c>
      <c r="AT146" s="45" t="e">
        <f>AT145+(ATM_Conf!$C$5/ATM_Conf!$C$8)*(Links!BI145*EXP((-(Links!AE145/Links!BX145)^Links!CM145)/Links!CM145)-Links!AT145)+(ATM_Conf!$C$5/Links!AE$191)*Links!AT145*(Nodes!BN145-Links!AT145)</f>
        <v>#DIV/0!</v>
      </c>
      <c r="AU146" s="55"/>
      <c r="AV146" s="55"/>
      <c r="AW146" s="55"/>
      <c r="AX146" s="55"/>
      <c r="AY146" s="55"/>
      <c r="AZ146" s="55"/>
      <c r="BA146" s="55"/>
      <c r="BB146" s="55"/>
      <c r="BC146" s="55"/>
      <c r="BD146" s="55"/>
      <c r="BE146" s="55"/>
      <c r="BF146" s="55"/>
      <c r="BG146" s="55"/>
      <c r="BH146" s="55"/>
      <c r="BI146" s="55"/>
      <c r="BJ146" s="45"/>
      <c r="BK146" s="45"/>
      <c r="BL146" s="45"/>
      <c r="BM146" s="45"/>
      <c r="BN146" s="45"/>
      <c r="BO146" s="45"/>
      <c r="BP146" s="45"/>
      <c r="BQ146" s="45"/>
      <c r="BR146" s="45"/>
      <c r="BS146" s="45"/>
      <c r="BT146" s="45"/>
      <c r="BU146" s="45"/>
      <c r="BV146" s="45"/>
      <c r="BW146" s="45"/>
      <c r="BX146" s="45"/>
      <c r="BY146" s="55"/>
      <c r="BZ146" s="55"/>
      <c r="CA146" s="55"/>
      <c r="CB146" s="55"/>
      <c r="CC146" s="55"/>
      <c r="CD146" s="55"/>
      <c r="CE146" s="55"/>
      <c r="CF146" s="55"/>
      <c r="CG146" s="55"/>
      <c r="CH146" s="55"/>
      <c r="CI146" s="55"/>
      <c r="CJ146" s="55"/>
      <c r="CK146" s="55"/>
      <c r="CL146" s="55"/>
      <c r="CM146" s="55"/>
      <c r="CN146" s="45">
        <f t="shared" si="81"/>
        <v>0</v>
      </c>
      <c r="CO146" s="45">
        <f t="shared" si="81"/>
        <v>0</v>
      </c>
      <c r="CP146" s="45">
        <f t="shared" si="81"/>
        <v>0</v>
      </c>
      <c r="CQ146" s="45">
        <f t="shared" si="81"/>
        <v>0</v>
      </c>
      <c r="CR146" s="45">
        <f t="shared" si="81"/>
        <v>0</v>
      </c>
      <c r="CS146" s="45">
        <f t="shared" si="81"/>
        <v>0</v>
      </c>
      <c r="CT146" s="45">
        <f t="shared" si="81"/>
        <v>0</v>
      </c>
      <c r="CU146" s="45">
        <f t="shared" si="81"/>
        <v>0</v>
      </c>
      <c r="CV146" s="45">
        <f t="shared" si="81"/>
        <v>0</v>
      </c>
      <c r="CW146" s="45">
        <f t="shared" si="81"/>
        <v>0</v>
      </c>
      <c r="CX146" s="45">
        <f t="shared" si="81"/>
        <v>0</v>
      </c>
      <c r="CY146" s="45">
        <f t="shared" si="81"/>
        <v>0</v>
      </c>
      <c r="CZ146" s="45">
        <f t="shared" si="81"/>
        <v>0</v>
      </c>
      <c r="DA146" s="45">
        <f t="shared" si="81"/>
        <v>0</v>
      </c>
      <c r="DB146" s="45">
        <f t="shared" si="81"/>
        <v>0</v>
      </c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</row>
    <row r="147" spans="1:121" ht="14.25" x14ac:dyDescent="0.15">
      <c r="A147" s="48">
        <v>145</v>
      </c>
      <c r="B147" s="45" t="e">
        <f t="shared" si="64"/>
        <v>#DIV/0!</v>
      </c>
      <c r="C147" s="45" t="e">
        <f t="shared" si="65"/>
        <v>#DIV/0!</v>
      </c>
      <c r="D147" s="45" t="e">
        <f t="shared" si="66"/>
        <v>#DIV/0!</v>
      </c>
      <c r="E147" s="45" t="e">
        <f t="shared" si="67"/>
        <v>#DIV/0!</v>
      </c>
      <c r="F147" s="45" t="e">
        <f t="shared" si="68"/>
        <v>#DIV/0!</v>
      </c>
      <c r="G147" s="45" t="e">
        <f t="shared" si="69"/>
        <v>#DIV/0!</v>
      </c>
      <c r="H147" s="45" t="e">
        <f t="shared" si="70"/>
        <v>#DIV/0!</v>
      </c>
      <c r="I147" s="45" t="e">
        <f t="shared" si="71"/>
        <v>#DIV/0!</v>
      </c>
      <c r="J147" s="45" t="e">
        <f t="shared" si="72"/>
        <v>#DIV/0!</v>
      </c>
      <c r="K147" s="45" t="e">
        <f t="shared" si="73"/>
        <v>#DIV/0!</v>
      </c>
      <c r="L147" s="45" t="e">
        <f t="shared" si="74"/>
        <v>#DIV/0!</v>
      </c>
      <c r="M147" s="45" t="e">
        <f t="shared" si="75"/>
        <v>#DIV/0!</v>
      </c>
      <c r="N147" s="45" t="e">
        <f t="shared" si="76"/>
        <v>#DIV/0!</v>
      </c>
      <c r="O147" s="45" t="e">
        <f t="shared" si="77"/>
        <v>#DIV/0!</v>
      </c>
      <c r="P147" s="45" t="e">
        <f t="shared" si="78"/>
        <v>#DIV/0!</v>
      </c>
      <c r="Q147" s="55" t="e">
        <f>Q146+ATM_Conf!$C$5*(B146)/(Links!B$191*Links!Q$191)</f>
        <v>#DIV/0!</v>
      </c>
      <c r="R147" s="55" t="e">
        <f>R146+ATM_Conf!$C$5*(C146-B146)/(Links!C$191*Links!R$191)</f>
        <v>#DIV/0!</v>
      </c>
      <c r="S147" s="55" t="e">
        <f>S146+ATM_Conf!$C$5*(D146-C146)/(Links!D$191*Links!S$191)</f>
        <v>#DIV/0!</v>
      </c>
      <c r="T147" s="55" t="e">
        <f>T146+ATM_Conf!$C$5*(E146-D146)/(Links!E$191*Links!T$191)</f>
        <v>#DIV/0!</v>
      </c>
      <c r="U147" s="55" t="e">
        <f>U146+ATM_Conf!$C$5*(F146-E146)/(Links!F$191*Links!U$191)</f>
        <v>#DIV/0!</v>
      </c>
      <c r="V147" s="55" t="e">
        <f>V146+ATM_Conf!$C$5*(G146-F146)/(Links!G$191*Links!V$191)</f>
        <v>#DIV/0!</v>
      </c>
      <c r="W147" s="55" t="e">
        <f>W146+ATM_Conf!$C$5*(H146-G146)/(Links!H$191*Links!W$191)</f>
        <v>#DIV/0!</v>
      </c>
      <c r="X147" s="55" t="e">
        <f>X146+ATM_Conf!$C$5*(I146-H146)/(Links!I$191*Links!X$191)</f>
        <v>#DIV/0!</v>
      </c>
      <c r="Y147" s="55" t="e">
        <f>Y146+ATM_Conf!$C$5*(J146)/(Links!J$191*Links!Y$191)</f>
        <v>#DIV/0!</v>
      </c>
      <c r="Z147" s="55" t="e">
        <f>Z146+ATM_Conf!$C$5*(K146-J146)/(Links!K$191*Links!Z$191)</f>
        <v>#DIV/0!</v>
      </c>
      <c r="AA147" s="55" t="e">
        <f>AA146+ATM_Conf!$C$5*(L146-K146)/(Links!L$191*Links!AA$191)</f>
        <v>#DIV/0!</v>
      </c>
      <c r="AB147" s="55" t="e">
        <f>AB146+ATM_Conf!$C$5*(M146-L146)/(Links!M$191*Links!AB$191)</f>
        <v>#DIV/0!</v>
      </c>
      <c r="AC147" s="55" t="e">
        <f>AC146+ATM_Conf!$C$5*(N146-M146)/(Links!N$191*Links!AC$191)</f>
        <v>#DIV/0!</v>
      </c>
      <c r="AD147" s="55" t="e">
        <f>AD146+ATM_Conf!$C$5*(O146-N146)/(Links!O$191*Links!AD$191)</f>
        <v>#DIV/0!</v>
      </c>
      <c r="AE147" s="55" t="e">
        <f>AE146+ATM_Conf!$C$5*(P146-O146)/(Links!P$191*Links!AE$191)</f>
        <v>#DIV/0!</v>
      </c>
      <c r="AF147" s="45" t="e">
        <f>AF146+(ATM_Conf!$C$5/ATM_Conf!$C$8)*(Links!AU146*EXP((-(Links!Q146/Links!BJ146)^Links!BY146)/Links!BY146)-Links!AF146)-(ATM_Conf!$C$9*ATM_Conf!$C$5/(ATM_Conf!$C$8*Links!Q$191))*(Nodes!BO146-Links!Q146)/(Links!Q146/ATM_Conf!$C$10)</f>
        <v>#DIV/0!</v>
      </c>
      <c r="AG147" s="45" t="e">
        <f>AG146+(ATM_Conf!$C$5/ATM_Conf!$C$8)*(Links!AV146*EXP((-(Links!R146/Links!BK146)^Links!BZ146)/Links!BZ146)-Links!AG146)+(ATM_Conf!$C$5/Links!R$191)*Links!AG146*(Nodes!BB146-Links!AG146)-(ATM_Conf!$C$9*ATM_Conf!$C$5/(ATM_Conf!$C$8*Links!R$191))*(Nodes!BP146-Links!R146)/(Links!R146/ATM_Conf!$C$10)</f>
        <v>#DIV/0!</v>
      </c>
      <c r="AH147" s="45" t="e">
        <f>AH146+(ATM_Conf!$C$5/ATM_Conf!$C$8)*(Links!AW146*EXP((-(Links!S146/Links!BL146)^Links!CA146)/Links!CA146)-Links!AH146)+(ATM_Conf!$C$5/Links!S$191)*Links!AH146*(Nodes!BC146-Links!AH146)-(ATM_Conf!$C$9*ATM_Conf!$C$5/(ATM_Conf!$C$8*Links!S$191))*(Nodes!BQ146-Links!S146)/(Links!S146/ATM_Conf!$C$10)</f>
        <v>#DIV/0!</v>
      </c>
      <c r="AI147" s="45" t="e">
        <f>AI146+(ATM_Conf!$C$5/ATM_Conf!$C$8)*(Links!AX146*EXP((-(Links!T146/Links!BM146)^Links!CB146)/Links!CB146)-Links!AI146)+(ATM_Conf!$C$5/Links!T$191)*Links!AI146*(Nodes!BD146-Links!AI146)-(ATM_Conf!$C$9*ATM_Conf!$C$5/(ATM_Conf!$C$8*Links!T$191))*(Nodes!BR146-Links!T146)/(Links!T146/ATM_Conf!$C$10)</f>
        <v>#DIV/0!</v>
      </c>
      <c r="AJ147" s="45" t="e">
        <f>AJ146+(ATM_Conf!$C$5/ATM_Conf!$C$8)*(Links!AY146*EXP((-(Links!U146/Links!BN146)^Links!CC146)/Links!CC146)-Links!AJ146)+(ATM_Conf!$C$5/Links!U$191)*Links!AJ146*(Nodes!BE146-Links!AJ146)-(ATM_Conf!$C$9*ATM_Conf!$C$5/(ATM_Conf!$C$8*Links!U$191))*(Nodes!BS146-Links!U146)/(Links!U146/ATM_Conf!$C$10)</f>
        <v>#DIV/0!</v>
      </c>
      <c r="AK147" s="45" t="e">
        <f>AK146+(ATM_Conf!$C$5/ATM_Conf!$C$8)*(Links!AZ146*EXP((-(Links!V146/Links!BO146)^Links!CD146)/Links!CD146)-Links!AK146)+(ATM_Conf!$C$5/Links!V$191)*Links!AK146*(Nodes!BF146-Links!AK146)-(ATM_Conf!$C$9*ATM_Conf!$C$5/(ATM_Conf!$C$8*Links!V$191))*(Nodes!BT146-Links!V146)/(Links!V146/ATM_Conf!$C$10)</f>
        <v>#DIV/0!</v>
      </c>
      <c r="AL147" s="45" t="e">
        <f>AL146+(ATM_Conf!$C$5/ATM_Conf!$C$8)*(Links!BA146*EXP((-(Links!W146/Links!BP146)^Links!CE146)/Links!CE146)-Links!AL146)+(ATM_Conf!$C$5/Links!W$191)*Links!AL146*(Nodes!BG146-Links!AL146)-(ATM_Conf!$C$9*ATM_Conf!$C$5/(ATM_Conf!$C$8*Links!W$191))*(Nodes!BU146-Links!W146)/(Links!W146/ATM_Conf!$C$10)</f>
        <v>#DIV/0!</v>
      </c>
      <c r="AM147" s="45" t="e">
        <f>AM146+(ATM_Conf!$C$5/ATM_Conf!$C$8)*(Links!BB146*EXP((-(Links!X146/Links!BQ146)^Links!CF146)/Links!CF146)-Links!AM146)+(ATM_Conf!$C$5/Links!X$191)*Links!AM146*(Nodes!BH146-Links!AM146)</f>
        <v>#DIV/0!</v>
      </c>
      <c r="AN147" s="45" t="e">
        <f>AN146+(ATM_Conf!$C$5/ATM_Conf!$C$8)*(Links!BC146*EXP((-(Links!Y146/Links!BR146)^Links!CG146)/Links!CG146)-Links!AN146)-(ATM_Conf!$C$9*ATM_Conf!$C$5/(ATM_Conf!$C$8*Links!Y$191))*(Nodes!BV146-Links!Y146)/(Links!Y146/ATM_Conf!$C$10)</f>
        <v>#DIV/0!</v>
      </c>
      <c r="AO147" s="45" t="e">
        <f>AO146+(ATM_Conf!$C$5/ATM_Conf!$C$8)*(Links!BD146*EXP((-(Links!Z146/Links!BS146)^Links!CH146)/Links!CH146)-Links!AO146)+(ATM_Conf!$C$5/Links!Z$191)*Links!AO146*(Nodes!BI146-Links!AO146)-(ATM_Conf!$C$9*ATM_Conf!$C$5/(ATM_Conf!$C$8*Links!Z$191))*(Nodes!BW146-Links!Z146)/(Links!Z146/ATM_Conf!$C$10)</f>
        <v>#DIV/0!</v>
      </c>
      <c r="AP147" s="45" t="e">
        <f>AP146+(ATM_Conf!$C$5/ATM_Conf!$C$8)*(Links!BE146*EXP((-(Links!AA146/Links!BT146)^Links!CI146)/Links!CI146)-Links!AP146)+(ATM_Conf!$C$5/Links!AA$191)*Links!AP146*(Nodes!BJ146-Links!AP146)-(ATM_Conf!$C$9*ATM_Conf!$C$5/(ATM_Conf!$C$8*Links!AA$191))*(Nodes!BX146-Links!AA146)/(Links!AA146/ATM_Conf!$C$10)</f>
        <v>#DIV/0!</v>
      </c>
      <c r="AQ147" s="45" t="e">
        <f>AQ146+(ATM_Conf!$C$5/ATM_Conf!$C$8)*(Links!BF146*EXP((-(Links!AB146/Links!BU146)^Links!CJ146)/Links!CJ146)-Links!AQ146)+(ATM_Conf!$C$5/Links!AB$191)*Links!AQ146*(Nodes!BK146-Links!AQ146)-(ATM_Conf!$C$9*ATM_Conf!$C$5/(ATM_Conf!$C$8*Links!AB$191))*(Nodes!BY146-Links!AB146)/(Links!AB146/ATM_Conf!$C$10)</f>
        <v>#DIV/0!</v>
      </c>
      <c r="AR147" s="45" t="e">
        <f>AR146+(ATM_Conf!$C$5/ATM_Conf!$C$8)*(Links!BG146*EXP((-(Links!AC146/Links!BV146)^Links!CK146)/Links!CK146)-Links!AR146)+(ATM_Conf!$C$5/Links!AC$191)*Links!AR146*(Nodes!BL146-Links!AR146)-(ATM_Conf!$C$9*ATM_Conf!$C$5/(ATM_Conf!$C$8*Links!AC$191))*(Nodes!BZ146-Links!AC146)/(Links!AC146/ATM_Conf!$C$10)</f>
        <v>#DIV/0!</v>
      </c>
      <c r="AS147" s="45" t="e">
        <f>AS146+(ATM_Conf!$C$5/ATM_Conf!$C$8)*(Links!BH146*EXP((-(Links!AD146/Links!BW146)^Links!CL146)/Links!CL146)-Links!AS146)+(ATM_Conf!$C$5/Links!AD$191)*Links!AS146*(Nodes!BM146-Links!AS146)-(ATM_Conf!$C$9*ATM_Conf!$C$5/(ATM_Conf!$C$8*Links!AD$191))*(Nodes!CA146-Links!AD146)/(Links!AD146/ATM_Conf!$C$10)</f>
        <v>#DIV/0!</v>
      </c>
      <c r="AT147" s="45" t="e">
        <f>AT146+(ATM_Conf!$C$5/ATM_Conf!$C$8)*(Links!BI146*EXP((-(Links!AE146/Links!BX146)^Links!CM146)/Links!CM146)-Links!AT146)+(ATM_Conf!$C$5/Links!AE$191)*Links!AT146*(Nodes!BN146-Links!AT146)</f>
        <v>#DIV/0!</v>
      </c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45"/>
      <c r="BK147" s="45"/>
      <c r="BL147" s="45"/>
      <c r="BM147" s="45"/>
      <c r="BN147" s="45"/>
      <c r="BO147" s="45"/>
      <c r="BP147" s="45"/>
      <c r="BQ147" s="45"/>
      <c r="BR147" s="45"/>
      <c r="BS147" s="45"/>
      <c r="BT147" s="45"/>
      <c r="BU147" s="45"/>
      <c r="BV147" s="45"/>
      <c r="BW147" s="45"/>
      <c r="BX147" s="45"/>
      <c r="BY147" s="55"/>
      <c r="BZ147" s="55"/>
      <c r="CA147" s="55"/>
      <c r="CB147" s="55"/>
      <c r="CC147" s="55"/>
      <c r="CD147" s="55"/>
      <c r="CE147" s="55"/>
      <c r="CF147" s="55"/>
      <c r="CG147" s="55"/>
      <c r="CH147" s="55"/>
      <c r="CI147" s="55"/>
      <c r="CJ147" s="55"/>
      <c r="CK147" s="55"/>
      <c r="CL147" s="55"/>
      <c r="CM147" s="55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53">
        <f>(CN147-CN135)^2</f>
        <v>0</v>
      </c>
      <c r="DD147" s="53">
        <f t="shared" ref="DD147:DQ147" si="82">(CO147-CO135)^2</f>
        <v>0</v>
      </c>
      <c r="DE147" s="53">
        <f t="shared" si="82"/>
        <v>0</v>
      </c>
      <c r="DF147" s="53">
        <f t="shared" si="82"/>
        <v>0</v>
      </c>
      <c r="DG147" s="53">
        <f t="shared" si="82"/>
        <v>0</v>
      </c>
      <c r="DH147" s="53">
        <f t="shared" si="82"/>
        <v>0</v>
      </c>
      <c r="DI147" s="53">
        <f t="shared" si="82"/>
        <v>0</v>
      </c>
      <c r="DJ147" s="53">
        <f t="shared" si="82"/>
        <v>0</v>
      </c>
      <c r="DK147" s="53">
        <f t="shared" si="82"/>
        <v>0</v>
      </c>
      <c r="DL147" s="53">
        <f t="shared" si="82"/>
        <v>0</v>
      </c>
      <c r="DM147" s="53">
        <f t="shared" si="82"/>
        <v>0</v>
      </c>
      <c r="DN147" s="53">
        <f t="shared" si="82"/>
        <v>0</v>
      </c>
      <c r="DO147" s="53">
        <f t="shared" si="82"/>
        <v>0</v>
      </c>
      <c r="DP147" s="53">
        <f t="shared" si="82"/>
        <v>0</v>
      </c>
      <c r="DQ147" s="53">
        <f t="shared" si="82"/>
        <v>0</v>
      </c>
    </row>
    <row r="148" spans="1:121" ht="14.25" x14ac:dyDescent="0.15">
      <c r="A148" s="48">
        <v>146</v>
      </c>
      <c r="B148" s="45" t="e">
        <f t="shared" si="64"/>
        <v>#DIV/0!</v>
      </c>
      <c r="C148" s="45" t="e">
        <f t="shared" si="65"/>
        <v>#DIV/0!</v>
      </c>
      <c r="D148" s="45" t="e">
        <f t="shared" si="66"/>
        <v>#DIV/0!</v>
      </c>
      <c r="E148" s="45" t="e">
        <f t="shared" si="67"/>
        <v>#DIV/0!</v>
      </c>
      <c r="F148" s="45" t="e">
        <f t="shared" si="68"/>
        <v>#DIV/0!</v>
      </c>
      <c r="G148" s="45" t="e">
        <f t="shared" si="69"/>
        <v>#DIV/0!</v>
      </c>
      <c r="H148" s="45" t="e">
        <f t="shared" si="70"/>
        <v>#DIV/0!</v>
      </c>
      <c r="I148" s="45" t="e">
        <f t="shared" si="71"/>
        <v>#DIV/0!</v>
      </c>
      <c r="J148" s="45" t="e">
        <f t="shared" si="72"/>
        <v>#DIV/0!</v>
      </c>
      <c r="K148" s="45" t="e">
        <f t="shared" si="73"/>
        <v>#DIV/0!</v>
      </c>
      <c r="L148" s="45" t="e">
        <f t="shared" si="74"/>
        <v>#DIV/0!</v>
      </c>
      <c r="M148" s="45" t="e">
        <f t="shared" si="75"/>
        <v>#DIV/0!</v>
      </c>
      <c r="N148" s="45" t="e">
        <f t="shared" si="76"/>
        <v>#DIV/0!</v>
      </c>
      <c r="O148" s="45" t="e">
        <f t="shared" si="77"/>
        <v>#DIV/0!</v>
      </c>
      <c r="P148" s="45" t="e">
        <f t="shared" si="78"/>
        <v>#DIV/0!</v>
      </c>
      <c r="Q148" s="55" t="e">
        <f>Q147+ATM_Conf!$C$5*(B147)/(Links!B$191*Links!Q$191)</f>
        <v>#DIV/0!</v>
      </c>
      <c r="R148" s="55" t="e">
        <f>R147+ATM_Conf!$C$5*(C147-B147)/(Links!C$191*Links!R$191)</f>
        <v>#DIV/0!</v>
      </c>
      <c r="S148" s="55" t="e">
        <f>S147+ATM_Conf!$C$5*(D147-C147)/(Links!D$191*Links!S$191)</f>
        <v>#DIV/0!</v>
      </c>
      <c r="T148" s="55" t="e">
        <f>T147+ATM_Conf!$C$5*(E147-D147)/(Links!E$191*Links!T$191)</f>
        <v>#DIV/0!</v>
      </c>
      <c r="U148" s="55" t="e">
        <f>U147+ATM_Conf!$C$5*(F147-E147)/(Links!F$191*Links!U$191)</f>
        <v>#DIV/0!</v>
      </c>
      <c r="V148" s="55" t="e">
        <f>V147+ATM_Conf!$C$5*(G147-F147)/(Links!G$191*Links!V$191)</f>
        <v>#DIV/0!</v>
      </c>
      <c r="W148" s="55" t="e">
        <f>W147+ATM_Conf!$C$5*(H147-G147)/(Links!H$191*Links!W$191)</f>
        <v>#DIV/0!</v>
      </c>
      <c r="X148" s="55" t="e">
        <f>X147+ATM_Conf!$C$5*(I147-H147)/(Links!I$191*Links!X$191)</f>
        <v>#DIV/0!</v>
      </c>
      <c r="Y148" s="55" t="e">
        <f>Y147+ATM_Conf!$C$5*(J147)/(Links!J$191*Links!Y$191)</f>
        <v>#DIV/0!</v>
      </c>
      <c r="Z148" s="55" t="e">
        <f>Z147+ATM_Conf!$C$5*(K147-J147)/(Links!K$191*Links!Z$191)</f>
        <v>#DIV/0!</v>
      </c>
      <c r="AA148" s="55" t="e">
        <f>AA147+ATM_Conf!$C$5*(L147-K147)/(Links!L$191*Links!AA$191)</f>
        <v>#DIV/0!</v>
      </c>
      <c r="AB148" s="55" t="e">
        <f>AB147+ATM_Conf!$C$5*(M147-L147)/(Links!M$191*Links!AB$191)</f>
        <v>#DIV/0!</v>
      </c>
      <c r="AC148" s="55" t="e">
        <f>AC147+ATM_Conf!$C$5*(N147-M147)/(Links!N$191*Links!AC$191)</f>
        <v>#DIV/0!</v>
      </c>
      <c r="AD148" s="55" t="e">
        <f>AD147+ATM_Conf!$C$5*(O147-N147)/(Links!O$191*Links!AD$191)</f>
        <v>#DIV/0!</v>
      </c>
      <c r="AE148" s="55" t="e">
        <f>AE147+ATM_Conf!$C$5*(P147-O147)/(Links!P$191*Links!AE$191)</f>
        <v>#DIV/0!</v>
      </c>
      <c r="AF148" s="45" t="e">
        <f>AF147+(ATM_Conf!$C$5/ATM_Conf!$C$8)*(Links!AU147*EXP((-(Links!Q147/Links!BJ147)^Links!BY147)/Links!BY147)-Links!AF147)-(ATM_Conf!$C$9*ATM_Conf!$C$5/(ATM_Conf!$C$8*Links!Q$191))*(Nodes!BO147-Links!Q147)/(Links!Q147/ATM_Conf!$C$10)</f>
        <v>#DIV/0!</v>
      </c>
      <c r="AG148" s="45" t="e">
        <f>AG147+(ATM_Conf!$C$5/ATM_Conf!$C$8)*(Links!AV147*EXP((-(Links!R147/Links!BK147)^Links!BZ147)/Links!BZ147)-Links!AG147)+(ATM_Conf!$C$5/Links!R$191)*Links!AG147*(Nodes!BB147-Links!AG147)-(ATM_Conf!$C$9*ATM_Conf!$C$5/(ATM_Conf!$C$8*Links!R$191))*(Nodes!BP147-Links!R147)/(Links!R147/ATM_Conf!$C$10)</f>
        <v>#DIV/0!</v>
      </c>
      <c r="AH148" s="45" t="e">
        <f>AH147+(ATM_Conf!$C$5/ATM_Conf!$C$8)*(Links!AW147*EXP((-(Links!S147/Links!BL147)^Links!CA147)/Links!CA147)-Links!AH147)+(ATM_Conf!$C$5/Links!S$191)*Links!AH147*(Nodes!BC147-Links!AH147)-(ATM_Conf!$C$9*ATM_Conf!$C$5/(ATM_Conf!$C$8*Links!S$191))*(Nodes!BQ147-Links!S147)/(Links!S147/ATM_Conf!$C$10)</f>
        <v>#DIV/0!</v>
      </c>
      <c r="AI148" s="45" t="e">
        <f>AI147+(ATM_Conf!$C$5/ATM_Conf!$C$8)*(Links!AX147*EXP((-(Links!T147/Links!BM147)^Links!CB147)/Links!CB147)-Links!AI147)+(ATM_Conf!$C$5/Links!T$191)*Links!AI147*(Nodes!BD147-Links!AI147)-(ATM_Conf!$C$9*ATM_Conf!$C$5/(ATM_Conf!$C$8*Links!T$191))*(Nodes!BR147-Links!T147)/(Links!T147/ATM_Conf!$C$10)</f>
        <v>#DIV/0!</v>
      </c>
      <c r="AJ148" s="45" t="e">
        <f>AJ147+(ATM_Conf!$C$5/ATM_Conf!$C$8)*(Links!AY147*EXP((-(Links!U147/Links!BN147)^Links!CC147)/Links!CC147)-Links!AJ147)+(ATM_Conf!$C$5/Links!U$191)*Links!AJ147*(Nodes!BE147-Links!AJ147)-(ATM_Conf!$C$9*ATM_Conf!$C$5/(ATM_Conf!$C$8*Links!U$191))*(Nodes!BS147-Links!U147)/(Links!U147/ATM_Conf!$C$10)</f>
        <v>#DIV/0!</v>
      </c>
      <c r="AK148" s="45" t="e">
        <f>AK147+(ATM_Conf!$C$5/ATM_Conf!$C$8)*(Links!AZ147*EXP((-(Links!V147/Links!BO147)^Links!CD147)/Links!CD147)-Links!AK147)+(ATM_Conf!$C$5/Links!V$191)*Links!AK147*(Nodes!BF147-Links!AK147)-(ATM_Conf!$C$9*ATM_Conf!$C$5/(ATM_Conf!$C$8*Links!V$191))*(Nodes!BT147-Links!V147)/(Links!V147/ATM_Conf!$C$10)</f>
        <v>#DIV/0!</v>
      </c>
      <c r="AL148" s="45" t="e">
        <f>AL147+(ATM_Conf!$C$5/ATM_Conf!$C$8)*(Links!BA147*EXP((-(Links!W147/Links!BP147)^Links!CE147)/Links!CE147)-Links!AL147)+(ATM_Conf!$C$5/Links!W$191)*Links!AL147*(Nodes!BG147-Links!AL147)-(ATM_Conf!$C$9*ATM_Conf!$C$5/(ATM_Conf!$C$8*Links!W$191))*(Nodes!BU147-Links!W147)/(Links!W147/ATM_Conf!$C$10)</f>
        <v>#DIV/0!</v>
      </c>
      <c r="AM148" s="45" t="e">
        <f>AM147+(ATM_Conf!$C$5/ATM_Conf!$C$8)*(Links!BB147*EXP((-(Links!X147/Links!BQ147)^Links!CF147)/Links!CF147)-Links!AM147)+(ATM_Conf!$C$5/Links!X$191)*Links!AM147*(Nodes!BH147-Links!AM147)</f>
        <v>#DIV/0!</v>
      </c>
      <c r="AN148" s="45" t="e">
        <f>AN147+(ATM_Conf!$C$5/ATM_Conf!$C$8)*(Links!BC147*EXP((-(Links!Y147/Links!BR147)^Links!CG147)/Links!CG147)-Links!AN147)-(ATM_Conf!$C$9*ATM_Conf!$C$5/(ATM_Conf!$C$8*Links!Y$191))*(Nodes!BV147-Links!Y147)/(Links!Y147/ATM_Conf!$C$10)</f>
        <v>#DIV/0!</v>
      </c>
      <c r="AO148" s="45" t="e">
        <f>AO147+(ATM_Conf!$C$5/ATM_Conf!$C$8)*(Links!BD147*EXP((-(Links!Z147/Links!BS147)^Links!CH147)/Links!CH147)-Links!AO147)+(ATM_Conf!$C$5/Links!Z$191)*Links!AO147*(Nodes!BI147-Links!AO147)-(ATM_Conf!$C$9*ATM_Conf!$C$5/(ATM_Conf!$C$8*Links!Z$191))*(Nodes!BW147-Links!Z147)/(Links!Z147/ATM_Conf!$C$10)</f>
        <v>#DIV/0!</v>
      </c>
      <c r="AP148" s="45" t="e">
        <f>AP147+(ATM_Conf!$C$5/ATM_Conf!$C$8)*(Links!BE147*EXP((-(Links!AA147/Links!BT147)^Links!CI147)/Links!CI147)-Links!AP147)+(ATM_Conf!$C$5/Links!AA$191)*Links!AP147*(Nodes!BJ147-Links!AP147)-(ATM_Conf!$C$9*ATM_Conf!$C$5/(ATM_Conf!$C$8*Links!AA$191))*(Nodes!BX147-Links!AA147)/(Links!AA147/ATM_Conf!$C$10)</f>
        <v>#DIV/0!</v>
      </c>
      <c r="AQ148" s="45" t="e">
        <f>AQ147+(ATM_Conf!$C$5/ATM_Conf!$C$8)*(Links!BF147*EXP((-(Links!AB147/Links!BU147)^Links!CJ147)/Links!CJ147)-Links!AQ147)+(ATM_Conf!$C$5/Links!AB$191)*Links!AQ147*(Nodes!BK147-Links!AQ147)-(ATM_Conf!$C$9*ATM_Conf!$C$5/(ATM_Conf!$C$8*Links!AB$191))*(Nodes!BY147-Links!AB147)/(Links!AB147/ATM_Conf!$C$10)</f>
        <v>#DIV/0!</v>
      </c>
      <c r="AR148" s="45" t="e">
        <f>AR147+(ATM_Conf!$C$5/ATM_Conf!$C$8)*(Links!BG147*EXP((-(Links!AC147/Links!BV147)^Links!CK147)/Links!CK147)-Links!AR147)+(ATM_Conf!$C$5/Links!AC$191)*Links!AR147*(Nodes!BL147-Links!AR147)-(ATM_Conf!$C$9*ATM_Conf!$C$5/(ATM_Conf!$C$8*Links!AC$191))*(Nodes!BZ147-Links!AC147)/(Links!AC147/ATM_Conf!$C$10)</f>
        <v>#DIV/0!</v>
      </c>
      <c r="AS148" s="45" t="e">
        <f>AS147+(ATM_Conf!$C$5/ATM_Conf!$C$8)*(Links!BH147*EXP((-(Links!AD147/Links!BW147)^Links!CL147)/Links!CL147)-Links!AS147)+(ATM_Conf!$C$5/Links!AD$191)*Links!AS147*(Nodes!BM147-Links!AS147)-(ATM_Conf!$C$9*ATM_Conf!$C$5/(ATM_Conf!$C$8*Links!AD$191))*(Nodes!CA147-Links!AD147)/(Links!AD147/ATM_Conf!$C$10)</f>
        <v>#DIV/0!</v>
      </c>
      <c r="AT148" s="45" t="e">
        <f>AT147+(ATM_Conf!$C$5/ATM_Conf!$C$8)*(Links!BI147*EXP((-(Links!AE147/Links!BX147)^Links!CM147)/Links!CM147)-Links!AT147)+(ATM_Conf!$C$5/Links!AE$191)*Links!AT147*(Nodes!BN147-Links!AT147)</f>
        <v>#DIV/0!</v>
      </c>
      <c r="AU148" s="55"/>
      <c r="AV148" s="55"/>
      <c r="AW148" s="55"/>
      <c r="AX148" s="55"/>
      <c r="AY148" s="55"/>
      <c r="AZ148" s="55"/>
      <c r="BA148" s="55"/>
      <c r="BB148" s="55"/>
      <c r="BC148" s="55"/>
      <c r="BD148" s="55"/>
      <c r="BE148" s="55"/>
      <c r="BF148" s="55"/>
      <c r="BG148" s="55"/>
      <c r="BH148" s="55"/>
      <c r="BI148" s="55"/>
      <c r="BJ148" s="45"/>
      <c r="BK148" s="45"/>
      <c r="BL148" s="45"/>
      <c r="BM148" s="45"/>
      <c r="BN148" s="45"/>
      <c r="BO148" s="45"/>
      <c r="BP148" s="45"/>
      <c r="BQ148" s="45"/>
      <c r="BR148" s="45"/>
      <c r="BS148" s="45"/>
      <c r="BT148" s="45"/>
      <c r="BU148" s="45"/>
      <c r="BV148" s="45"/>
      <c r="BW148" s="45"/>
      <c r="BX148" s="4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45">
        <f>CN$147</f>
        <v>0</v>
      </c>
      <c r="CO148" s="45">
        <f t="shared" ref="CO148:DB148" si="83">CO$147</f>
        <v>0</v>
      </c>
      <c r="CP148" s="45">
        <f t="shared" si="83"/>
        <v>0</v>
      </c>
      <c r="CQ148" s="45">
        <f t="shared" si="83"/>
        <v>0</v>
      </c>
      <c r="CR148" s="45">
        <f t="shared" si="83"/>
        <v>0</v>
      </c>
      <c r="CS148" s="45">
        <f t="shared" si="83"/>
        <v>0</v>
      </c>
      <c r="CT148" s="45">
        <f t="shared" si="83"/>
        <v>0</v>
      </c>
      <c r="CU148" s="45">
        <f t="shared" si="83"/>
        <v>0</v>
      </c>
      <c r="CV148" s="45">
        <f t="shared" si="83"/>
        <v>0</v>
      </c>
      <c r="CW148" s="45">
        <f t="shared" si="83"/>
        <v>0</v>
      </c>
      <c r="CX148" s="45">
        <f t="shared" si="83"/>
        <v>0</v>
      </c>
      <c r="CY148" s="45">
        <f t="shared" si="83"/>
        <v>0</v>
      </c>
      <c r="CZ148" s="45">
        <f t="shared" si="83"/>
        <v>0</v>
      </c>
      <c r="DA148" s="45">
        <f t="shared" si="83"/>
        <v>0</v>
      </c>
      <c r="DB148" s="45">
        <f t="shared" si="83"/>
        <v>0</v>
      </c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</row>
    <row r="149" spans="1:121" ht="14.25" x14ac:dyDescent="0.15">
      <c r="A149" s="48">
        <v>147</v>
      </c>
      <c r="B149" s="45" t="e">
        <f t="shared" si="64"/>
        <v>#DIV/0!</v>
      </c>
      <c r="C149" s="45" t="e">
        <f t="shared" si="65"/>
        <v>#DIV/0!</v>
      </c>
      <c r="D149" s="45" t="e">
        <f t="shared" si="66"/>
        <v>#DIV/0!</v>
      </c>
      <c r="E149" s="45" t="e">
        <f t="shared" si="67"/>
        <v>#DIV/0!</v>
      </c>
      <c r="F149" s="45" t="e">
        <f t="shared" si="68"/>
        <v>#DIV/0!</v>
      </c>
      <c r="G149" s="45" t="e">
        <f t="shared" si="69"/>
        <v>#DIV/0!</v>
      </c>
      <c r="H149" s="45" t="e">
        <f t="shared" si="70"/>
        <v>#DIV/0!</v>
      </c>
      <c r="I149" s="45" t="e">
        <f t="shared" si="71"/>
        <v>#DIV/0!</v>
      </c>
      <c r="J149" s="45" t="e">
        <f t="shared" si="72"/>
        <v>#DIV/0!</v>
      </c>
      <c r="K149" s="45" t="e">
        <f t="shared" si="73"/>
        <v>#DIV/0!</v>
      </c>
      <c r="L149" s="45" t="e">
        <f t="shared" si="74"/>
        <v>#DIV/0!</v>
      </c>
      <c r="M149" s="45" t="e">
        <f t="shared" si="75"/>
        <v>#DIV/0!</v>
      </c>
      <c r="N149" s="45" t="e">
        <f t="shared" si="76"/>
        <v>#DIV/0!</v>
      </c>
      <c r="O149" s="45" t="e">
        <f t="shared" si="77"/>
        <v>#DIV/0!</v>
      </c>
      <c r="P149" s="45" t="e">
        <f t="shared" si="78"/>
        <v>#DIV/0!</v>
      </c>
      <c r="Q149" s="55" t="e">
        <f>Q148+ATM_Conf!$C$5*(B148)/(Links!B$191*Links!Q$191)</f>
        <v>#DIV/0!</v>
      </c>
      <c r="R149" s="55" t="e">
        <f>R148+ATM_Conf!$C$5*(C148-B148)/(Links!C$191*Links!R$191)</f>
        <v>#DIV/0!</v>
      </c>
      <c r="S149" s="55" t="e">
        <f>S148+ATM_Conf!$C$5*(D148-C148)/(Links!D$191*Links!S$191)</f>
        <v>#DIV/0!</v>
      </c>
      <c r="T149" s="55" t="e">
        <f>T148+ATM_Conf!$C$5*(E148-D148)/(Links!E$191*Links!T$191)</f>
        <v>#DIV/0!</v>
      </c>
      <c r="U149" s="55" t="e">
        <f>U148+ATM_Conf!$C$5*(F148-E148)/(Links!F$191*Links!U$191)</f>
        <v>#DIV/0!</v>
      </c>
      <c r="V149" s="55" t="e">
        <f>V148+ATM_Conf!$C$5*(G148-F148)/(Links!G$191*Links!V$191)</f>
        <v>#DIV/0!</v>
      </c>
      <c r="W149" s="55" t="e">
        <f>W148+ATM_Conf!$C$5*(H148-G148)/(Links!H$191*Links!W$191)</f>
        <v>#DIV/0!</v>
      </c>
      <c r="X149" s="55" t="e">
        <f>X148+ATM_Conf!$C$5*(I148-H148)/(Links!I$191*Links!X$191)</f>
        <v>#DIV/0!</v>
      </c>
      <c r="Y149" s="55" t="e">
        <f>Y148+ATM_Conf!$C$5*(J148)/(Links!J$191*Links!Y$191)</f>
        <v>#DIV/0!</v>
      </c>
      <c r="Z149" s="55" t="e">
        <f>Z148+ATM_Conf!$C$5*(K148-J148)/(Links!K$191*Links!Z$191)</f>
        <v>#DIV/0!</v>
      </c>
      <c r="AA149" s="55" t="e">
        <f>AA148+ATM_Conf!$C$5*(L148-K148)/(Links!L$191*Links!AA$191)</f>
        <v>#DIV/0!</v>
      </c>
      <c r="AB149" s="55" t="e">
        <f>AB148+ATM_Conf!$C$5*(M148-L148)/(Links!M$191*Links!AB$191)</f>
        <v>#DIV/0!</v>
      </c>
      <c r="AC149" s="55" t="e">
        <f>AC148+ATM_Conf!$C$5*(N148-M148)/(Links!N$191*Links!AC$191)</f>
        <v>#DIV/0!</v>
      </c>
      <c r="AD149" s="55" t="e">
        <f>AD148+ATM_Conf!$C$5*(O148-N148)/(Links!O$191*Links!AD$191)</f>
        <v>#DIV/0!</v>
      </c>
      <c r="AE149" s="55" t="e">
        <f>AE148+ATM_Conf!$C$5*(P148-O148)/(Links!P$191*Links!AE$191)</f>
        <v>#DIV/0!</v>
      </c>
      <c r="AF149" s="45" t="e">
        <f>AF148+(ATM_Conf!$C$5/ATM_Conf!$C$8)*(Links!AU148*EXP((-(Links!Q148/Links!BJ148)^Links!BY148)/Links!BY148)-Links!AF148)-(ATM_Conf!$C$9*ATM_Conf!$C$5/(ATM_Conf!$C$8*Links!Q$191))*(Nodes!BO148-Links!Q148)/(Links!Q148/ATM_Conf!$C$10)</f>
        <v>#DIV/0!</v>
      </c>
      <c r="AG149" s="45" t="e">
        <f>AG148+(ATM_Conf!$C$5/ATM_Conf!$C$8)*(Links!AV148*EXP((-(Links!R148/Links!BK148)^Links!BZ148)/Links!BZ148)-Links!AG148)+(ATM_Conf!$C$5/Links!R$191)*Links!AG148*(Nodes!BB148-Links!AG148)-(ATM_Conf!$C$9*ATM_Conf!$C$5/(ATM_Conf!$C$8*Links!R$191))*(Nodes!BP148-Links!R148)/(Links!R148/ATM_Conf!$C$10)</f>
        <v>#DIV/0!</v>
      </c>
      <c r="AH149" s="45" t="e">
        <f>AH148+(ATM_Conf!$C$5/ATM_Conf!$C$8)*(Links!AW148*EXP((-(Links!S148/Links!BL148)^Links!CA148)/Links!CA148)-Links!AH148)+(ATM_Conf!$C$5/Links!S$191)*Links!AH148*(Nodes!BC148-Links!AH148)-(ATM_Conf!$C$9*ATM_Conf!$C$5/(ATM_Conf!$C$8*Links!S$191))*(Nodes!BQ148-Links!S148)/(Links!S148/ATM_Conf!$C$10)</f>
        <v>#DIV/0!</v>
      </c>
      <c r="AI149" s="45" t="e">
        <f>AI148+(ATM_Conf!$C$5/ATM_Conf!$C$8)*(Links!AX148*EXP((-(Links!T148/Links!BM148)^Links!CB148)/Links!CB148)-Links!AI148)+(ATM_Conf!$C$5/Links!T$191)*Links!AI148*(Nodes!BD148-Links!AI148)-(ATM_Conf!$C$9*ATM_Conf!$C$5/(ATM_Conf!$C$8*Links!T$191))*(Nodes!BR148-Links!T148)/(Links!T148/ATM_Conf!$C$10)</f>
        <v>#DIV/0!</v>
      </c>
      <c r="AJ149" s="45" t="e">
        <f>AJ148+(ATM_Conf!$C$5/ATM_Conf!$C$8)*(Links!AY148*EXP((-(Links!U148/Links!BN148)^Links!CC148)/Links!CC148)-Links!AJ148)+(ATM_Conf!$C$5/Links!U$191)*Links!AJ148*(Nodes!BE148-Links!AJ148)-(ATM_Conf!$C$9*ATM_Conf!$C$5/(ATM_Conf!$C$8*Links!U$191))*(Nodes!BS148-Links!U148)/(Links!U148/ATM_Conf!$C$10)</f>
        <v>#DIV/0!</v>
      </c>
      <c r="AK149" s="45" t="e">
        <f>AK148+(ATM_Conf!$C$5/ATM_Conf!$C$8)*(Links!AZ148*EXP((-(Links!V148/Links!BO148)^Links!CD148)/Links!CD148)-Links!AK148)+(ATM_Conf!$C$5/Links!V$191)*Links!AK148*(Nodes!BF148-Links!AK148)-(ATM_Conf!$C$9*ATM_Conf!$C$5/(ATM_Conf!$C$8*Links!V$191))*(Nodes!BT148-Links!V148)/(Links!V148/ATM_Conf!$C$10)</f>
        <v>#DIV/0!</v>
      </c>
      <c r="AL149" s="45" t="e">
        <f>AL148+(ATM_Conf!$C$5/ATM_Conf!$C$8)*(Links!BA148*EXP((-(Links!W148/Links!BP148)^Links!CE148)/Links!CE148)-Links!AL148)+(ATM_Conf!$C$5/Links!W$191)*Links!AL148*(Nodes!BG148-Links!AL148)-(ATM_Conf!$C$9*ATM_Conf!$C$5/(ATM_Conf!$C$8*Links!W$191))*(Nodes!BU148-Links!W148)/(Links!W148/ATM_Conf!$C$10)</f>
        <v>#DIV/0!</v>
      </c>
      <c r="AM149" s="45" t="e">
        <f>AM148+(ATM_Conf!$C$5/ATM_Conf!$C$8)*(Links!BB148*EXP((-(Links!X148/Links!BQ148)^Links!CF148)/Links!CF148)-Links!AM148)+(ATM_Conf!$C$5/Links!X$191)*Links!AM148*(Nodes!BH148-Links!AM148)</f>
        <v>#DIV/0!</v>
      </c>
      <c r="AN149" s="45" t="e">
        <f>AN148+(ATM_Conf!$C$5/ATM_Conf!$C$8)*(Links!BC148*EXP((-(Links!Y148/Links!BR148)^Links!CG148)/Links!CG148)-Links!AN148)-(ATM_Conf!$C$9*ATM_Conf!$C$5/(ATM_Conf!$C$8*Links!Y$191))*(Nodes!BV148-Links!Y148)/(Links!Y148/ATM_Conf!$C$10)</f>
        <v>#DIV/0!</v>
      </c>
      <c r="AO149" s="45" t="e">
        <f>AO148+(ATM_Conf!$C$5/ATM_Conf!$C$8)*(Links!BD148*EXP((-(Links!Z148/Links!BS148)^Links!CH148)/Links!CH148)-Links!AO148)+(ATM_Conf!$C$5/Links!Z$191)*Links!AO148*(Nodes!BI148-Links!AO148)-(ATM_Conf!$C$9*ATM_Conf!$C$5/(ATM_Conf!$C$8*Links!Z$191))*(Nodes!BW148-Links!Z148)/(Links!Z148/ATM_Conf!$C$10)</f>
        <v>#DIV/0!</v>
      </c>
      <c r="AP149" s="45" t="e">
        <f>AP148+(ATM_Conf!$C$5/ATM_Conf!$C$8)*(Links!BE148*EXP((-(Links!AA148/Links!BT148)^Links!CI148)/Links!CI148)-Links!AP148)+(ATM_Conf!$C$5/Links!AA$191)*Links!AP148*(Nodes!BJ148-Links!AP148)-(ATM_Conf!$C$9*ATM_Conf!$C$5/(ATM_Conf!$C$8*Links!AA$191))*(Nodes!BX148-Links!AA148)/(Links!AA148/ATM_Conf!$C$10)</f>
        <v>#DIV/0!</v>
      </c>
      <c r="AQ149" s="45" t="e">
        <f>AQ148+(ATM_Conf!$C$5/ATM_Conf!$C$8)*(Links!BF148*EXP((-(Links!AB148/Links!BU148)^Links!CJ148)/Links!CJ148)-Links!AQ148)+(ATM_Conf!$C$5/Links!AB$191)*Links!AQ148*(Nodes!BK148-Links!AQ148)-(ATM_Conf!$C$9*ATM_Conf!$C$5/(ATM_Conf!$C$8*Links!AB$191))*(Nodes!BY148-Links!AB148)/(Links!AB148/ATM_Conf!$C$10)</f>
        <v>#DIV/0!</v>
      </c>
      <c r="AR149" s="45" t="e">
        <f>AR148+(ATM_Conf!$C$5/ATM_Conf!$C$8)*(Links!BG148*EXP((-(Links!AC148/Links!BV148)^Links!CK148)/Links!CK148)-Links!AR148)+(ATM_Conf!$C$5/Links!AC$191)*Links!AR148*(Nodes!BL148-Links!AR148)-(ATM_Conf!$C$9*ATM_Conf!$C$5/(ATM_Conf!$C$8*Links!AC$191))*(Nodes!BZ148-Links!AC148)/(Links!AC148/ATM_Conf!$C$10)</f>
        <v>#DIV/0!</v>
      </c>
      <c r="AS149" s="45" t="e">
        <f>AS148+(ATM_Conf!$C$5/ATM_Conf!$C$8)*(Links!BH148*EXP((-(Links!AD148/Links!BW148)^Links!CL148)/Links!CL148)-Links!AS148)+(ATM_Conf!$C$5/Links!AD$191)*Links!AS148*(Nodes!BM148-Links!AS148)-(ATM_Conf!$C$9*ATM_Conf!$C$5/(ATM_Conf!$C$8*Links!AD$191))*(Nodes!CA148-Links!AD148)/(Links!AD148/ATM_Conf!$C$10)</f>
        <v>#DIV/0!</v>
      </c>
      <c r="AT149" s="45" t="e">
        <f>AT148+(ATM_Conf!$C$5/ATM_Conf!$C$8)*(Links!BI148*EXP((-(Links!AE148/Links!BX148)^Links!CM148)/Links!CM148)-Links!AT148)+(ATM_Conf!$C$5/Links!AE$191)*Links!AT148*(Nodes!BN148-Links!AT148)</f>
        <v>#DIV/0!</v>
      </c>
      <c r="AU149" s="55"/>
      <c r="AV149" s="55"/>
      <c r="AW149" s="55"/>
      <c r="AX149" s="55"/>
      <c r="AY149" s="55"/>
      <c r="AZ149" s="55"/>
      <c r="BA149" s="55"/>
      <c r="BB149" s="55"/>
      <c r="BC149" s="55"/>
      <c r="BD149" s="55"/>
      <c r="BE149" s="55"/>
      <c r="BF149" s="55"/>
      <c r="BG149" s="55"/>
      <c r="BH149" s="55"/>
      <c r="BI149" s="5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45">
        <f t="shared" ref="CN149:DB158" si="84">CN$147</f>
        <v>0</v>
      </c>
      <c r="CO149" s="45">
        <f t="shared" si="84"/>
        <v>0</v>
      </c>
      <c r="CP149" s="45">
        <f t="shared" si="84"/>
        <v>0</v>
      </c>
      <c r="CQ149" s="45">
        <f t="shared" si="84"/>
        <v>0</v>
      </c>
      <c r="CR149" s="45">
        <f t="shared" si="84"/>
        <v>0</v>
      </c>
      <c r="CS149" s="45">
        <f t="shared" si="84"/>
        <v>0</v>
      </c>
      <c r="CT149" s="45">
        <f t="shared" si="84"/>
        <v>0</v>
      </c>
      <c r="CU149" s="45">
        <f t="shared" si="84"/>
        <v>0</v>
      </c>
      <c r="CV149" s="45">
        <f t="shared" si="84"/>
        <v>0</v>
      </c>
      <c r="CW149" s="45">
        <f t="shared" si="84"/>
        <v>0</v>
      </c>
      <c r="CX149" s="45">
        <f t="shared" si="84"/>
        <v>0</v>
      </c>
      <c r="CY149" s="45">
        <f t="shared" si="84"/>
        <v>0</v>
      </c>
      <c r="CZ149" s="45">
        <f t="shared" si="84"/>
        <v>0</v>
      </c>
      <c r="DA149" s="45">
        <f t="shared" si="84"/>
        <v>0</v>
      </c>
      <c r="DB149" s="45">
        <f t="shared" si="84"/>
        <v>0</v>
      </c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</row>
    <row r="150" spans="1:121" ht="14.25" x14ac:dyDescent="0.15">
      <c r="A150" s="48">
        <v>148</v>
      </c>
      <c r="B150" s="45" t="e">
        <f t="shared" si="64"/>
        <v>#DIV/0!</v>
      </c>
      <c r="C150" s="45" t="e">
        <f t="shared" si="65"/>
        <v>#DIV/0!</v>
      </c>
      <c r="D150" s="45" t="e">
        <f t="shared" si="66"/>
        <v>#DIV/0!</v>
      </c>
      <c r="E150" s="45" t="e">
        <f t="shared" si="67"/>
        <v>#DIV/0!</v>
      </c>
      <c r="F150" s="45" t="e">
        <f t="shared" si="68"/>
        <v>#DIV/0!</v>
      </c>
      <c r="G150" s="45" t="e">
        <f t="shared" si="69"/>
        <v>#DIV/0!</v>
      </c>
      <c r="H150" s="45" t="e">
        <f t="shared" si="70"/>
        <v>#DIV/0!</v>
      </c>
      <c r="I150" s="45" t="e">
        <f t="shared" si="71"/>
        <v>#DIV/0!</v>
      </c>
      <c r="J150" s="45" t="e">
        <f t="shared" si="72"/>
        <v>#DIV/0!</v>
      </c>
      <c r="K150" s="45" t="e">
        <f t="shared" si="73"/>
        <v>#DIV/0!</v>
      </c>
      <c r="L150" s="45" t="e">
        <f t="shared" si="74"/>
        <v>#DIV/0!</v>
      </c>
      <c r="M150" s="45" t="e">
        <f t="shared" si="75"/>
        <v>#DIV/0!</v>
      </c>
      <c r="N150" s="45" t="e">
        <f t="shared" si="76"/>
        <v>#DIV/0!</v>
      </c>
      <c r="O150" s="45" t="e">
        <f t="shared" si="77"/>
        <v>#DIV/0!</v>
      </c>
      <c r="P150" s="45" t="e">
        <f t="shared" si="78"/>
        <v>#DIV/0!</v>
      </c>
      <c r="Q150" s="55" t="e">
        <f>Q149+ATM_Conf!$C$5*(B149)/(Links!B$191*Links!Q$191)</f>
        <v>#DIV/0!</v>
      </c>
      <c r="R150" s="55" t="e">
        <f>R149+ATM_Conf!$C$5*(C149-B149)/(Links!C$191*Links!R$191)</f>
        <v>#DIV/0!</v>
      </c>
      <c r="S150" s="55" t="e">
        <f>S149+ATM_Conf!$C$5*(D149-C149)/(Links!D$191*Links!S$191)</f>
        <v>#DIV/0!</v>
      </c>
      <c r="T150" s="55" t="e">
        <f>T149+ATM_Conf!$C$5*(E149-D149)/(Links!E$191*Links!T$191)</f>
        <v>#DIV/0!</v>
      </c>
      <c r="U150" s="55" t="e">
        <f>U149+ATM_Conf!$C$5*(F149-E149)/(Links!F$191*Links!U$191)</f>
        <v>#DIV/0!</v>
      </c>
      <c r="V150" s="55" t="e">
        <f>V149+ATM_Conf!$C$5*(G149-F149)/(Links!G$191*Links!V$191)</f>
        <v>#DIV/0!</v>
      </c>
      <c r="W150" s="55" t="e">
        <f>W149+ATM_Conf!$C$5*(H149-G149)/(Links!H$191*Links!W$191)</f>
        <v>#DIV/0!</v>
      </c>
      <c r="X150" s="55" t="e">
        <f>X149+ATM_Conf!$C$5*(I149-H149)/(Links!I$191*Links!X$191)</f>
        <v>#DIV/0!</v>
      </c>
      <c r="Y150" s="55" t="e">
        <f>Y149+ATM_Conf!$C$5*(J149)/(Links!J$191*Links!Y$191)</f>
        <v>#DIV/0!</v>
      </c>
      <c r="Z150" s="55" t="e">
        <f>Z149+ATM_Conf!$C$5*(K149-J149)/(Links!K$191*Links!Z$191)</f>
        <v>#DIV/0!</v>
      </c>
      <c r="AA150" s="55" t="e">
        <f>AA149+ATM_Conf!$C$5*(L149-K149)/(Links!L$191*Links!AA$191)</f>
        <v>#DIV/0!</v>
      </c>
      <c r="AB150" s="55" t="e">
        <f>AB149+ATM_Conf!$C$5*(M149-L149)/(Links!M$191*Links!AB$191)</f>
        <v>#DIV/0!</v>
      </c>
      <c r="AC150" s="55" t="e">
        <f>AC149+ATM_Conf!$C$5*(N149-M149)/(Links!N$191*Links!AC$191)</f>
        <v>#DIV/0!</v>
      </c>
      <c r="AD150" s="55" t="e">
        <f>AD149+ATM_Conf!$C$5*(O149-N149)/(Links!O$191*Links!AD$191)</f>
        <v>#DIV/0!</v>
      </c>
      <c r="AE150" s="55" t="e">
        <f>AE149+ATM_Conf!$C$5*(P149-O149)/(Links!P$191*Links!AE$191)</f>
        <v>#DIV/0!</v>
      </c>
      <c r="AF150" s="45" t="e">
        <f>AF149+(ATM_Conf!$C$5/ATM_Conf!$C$8)*(Links!AU149*EXP((-(Links!Q149/Links!BJ149)^Links!BY149)/Links!BY149)-Links!AF149)-(ATM_Conf!$C$9*ATM_Conf!$C$5/(ATM_Conf!$C$8*Links!Q$191))*(Nodes!BO149-Links!Q149)/(Links!Q149/ATM_Conf!$C$10)</f>
        <v>#DIV/0!</v>
      </c>
      <c r="AG150" s="45" t="e">
        <f>AG149+(ATM_Conf!$C$5/ATM_Conf!$C$8)*(Links!AV149*EXP((-(Links!R149/Links!BK149)^Links!BZ149)/Links!BZ149)-Links!AG149)+(ATM_Conf!$C$5/Links!R$191)*Links!AG149*(Nodes!BB149-Links!AG149)-(ATM_Conf!$C$9*ATM_Conf!$C$5/(ATM_Conf!$C$8*Links!R$191))*(Nodes!BP149-Links!R149)/(Links!R149/ATM_Conf!$C$10)</f>
        <v>#DIV/0!</v>
      </c>
      <c r="AH150" s="45" t="e">
        <f>AH149+(ATM_Conf!$C$5/ATM_Conf!$C$8)*(Links!AW149*EXP((-(Links!S149/Links!BL149)^Links!CA149)/Links!CA149)-Links!AH149)+(ATM_Conf!$C$5/Links!S$191)*Links!AH149*(Nodes!BC149-Links!AH149)-(ATM_Conf!$C$9*ATM_Conf!$C$5/(ATM_Conf!$C$8*Links!S$191))*(Nodes!BQ149-Links!S149)/(Links!S149/ATM_Conf!$C$10)</f>
        <v>#DIV/0!</v>
      </c>
      <c r="AI150" s="45" t="e">
        <f>AI149+(ATM_Conf!$C$5/ATM_Conf!$C$8)*(Links!AX149*EXP((-(Links!T149/Links!BM149)^Links!CB149)/Links!CB149)-Links!AI149)+(ATM_Conf!$C$5/Links!T$191)*Links!AI149*(Nodes!BD149-Links!AI149)-(ATM_Conf!$C$9*ATM_Conf!$C$5/(ATM_Conf!$C$8*Links!T$191))*(Nodes!BR149-Links!T149)/(Links!T149/ATM_Conf!$C$10)</f>
        <v>#DIV/0!</v>
      </c>
      <c r="AJ150" s="45" t="e">
        <f>AJ149+(ATM_Conf!$C$5/ATM_Conf!$C$8)*(Links!AY149*EXP((-(Links!U149/Links!BN149)^Links!CC149)/Links!CC149)-Links!AJ149)+(ATM_Conf!$C$5/Links!U$191)*Links!AJ149*(Nodes!BE149-Links!AJ149)-(ATM_Conf!$C$9*ATM_Conf!$C$5/(ATM_Conf!$C$8*Links!U$191))*(Nodes!BS149-Links!U149)/(Links!U149/ATM_Conf!$C$10)</f>
        <v>#DIV/0!</v>
      </c>
      <c r="AK150" s="45" t="e">
        <f>AK149+(ATM_Conf!$C$5/ATM_Conf!$C$8)*(Links!AZ149*EXP((-(Links!V149/Links!BO149)^Links!CD149)/Links!CD149)-Links!AK149)+(ATM_Conf!$C$5/Links!V$191)*Links!AK149*(Nodes!BF149-Links!AK149)-(ATM_Conf!$C$9*ATM_Conf!$C$5/(ATM_Conf!$C$8*Links!V$191))*(Nodes!BT149-Links!V149)/(Links!V149/ATM_Conf!$C$10)</f>
        <v>#DIV/0!</v>
      </c>
      <c r="AL150" s="45" t="e">
        <f>AL149+(ATM_Conf!$C$5/ATM_Conf!$C$8)*(Links!BA149*EXP((-(Links!W149/Links!BP149)^Links!CE149)/Links!CE149)-Links!AL149)+(ATM_Conf!$C$5/Links!W$191)*Links!AL149*(Nodes!BG149-Links!AL149)-(ATM_Conf!$C$9*ATM_Conf!$C$5/(ATM_Conf!$C$8*Links!W$191))*(Nodes!BU149-Links!W149)/(Links!W149/ATM_Conf!$C$10)</f>
        <v>#DIV/0!</v>
      </c>
      <c r="AM150" s="45" t="e">
        <f>AM149+(ATM_Conf!$C$5/ATM_Conf!$C$8)*(Links!BB149*EXP((-(Links!X149/Links!BQ149)^Links!CF149)/Links!CF149)-Links!AM149)+(ATM_Conf!$C$5/Links!X$191)*Links!AM149*(Nodes!BH149-Links!AM149)</f>
        <v>#DIV/0!</v>
      </c>
      <c r="AN150" s="45" t="e">
        <f>AN149+(ATM_Conf!$C$5/ATM_Conf!$C$8)*(Links!BC149*EXP((-(Links!Y149/Links!BR149)^Links!CG149)/Links!CG149)-Links!AN149)-(ATM_Conf!$C$9*ATM_Conf!$C$5/(ATM_Conf!$C$8*Links!Y$191))*(Nodes!BV149-Links!Y149)/(Links!Y149/ATM_Conf!$C$10)</f>
        <v>#DIV/0!</v>
      </c>
      <c r="AO150" s="45" t="e">
        <f>AO149+(ATM_Conf!$C$5/ATM_Conf!$C$8)*(Links!BD149*EXP((-(Links!Z149/Links!BS149)^Links!CH149)/Links!CH149)-Links!AO149)+(ATM_Conf!$C$5/Links!Z$191)*Links!AO149*(Nodes!BI149-Links!AO149)-(ATM_Conf!$C$9*ATM_Conf!$C$5/(ATM_Conf!$C$8*Links!Z$191))*(Nodes!BW149-Links!Z149)/(Links!Z149/ATM_Conf!$C$10)</f>
        <v>#DIV/0!</v>
      </c>
      <c r="AP150" s="45" t="e">
        <f>AP149+(ATM_Conf!$C$5/ATM_Conf!$C$8)*(Links!BE149*EXP((-(Links!AA149/Links!BT149)^Links!CI149)/Links!CI149)-Links!AP149)+(ATM_Conf!$C$5/Links!AA$191)*Links!AP149*(Nodes!BJ149-Links!AP149)-(ATM_Conf!$C$9*ATM_Conf!$C$5/(ATM_Conf!$C$8*Links!AA$191))*(Nodes!BX149-Links!AA149)/(Links!AA149/ATM_Conf!$C$10)</f>
        <v>#DIV/0!</v>
      </c>
      <c r="AQ150" s="45" t="e">
        <f>AQ149+(ATM_Conf!$C$5/ATM_Conf!$C$8)*(Links!BF149*EXP((-(Links!AB149/Links!BU149)^Links!CJ149)/Links!CJ149)-Links!AQ149)+(ATM_Conf!$C$5/Links!AB$191)*Links!AQ149*(Nodes!BK149-Links!AQ149)-(ATM_Conf!$C$9*ATM_Conf!$C$5/(ATM_Conf!$C$8*Links!AB$191))*(Nodes!BY149-Links!AB149)/(Links!AB149/ATM_Conf!$C$10)</f>
        <v>#DIV/0!</v>
      </c>
      <c r="AR150" s="45" t="e">
        <f>AR149+(ATM_Conf!$C$5/ATM_Conf!$C$8)*(Links!BG149*EXP((-(Links!AC149/Links!BV149)^Links!CK149)/Links!CK149)-Links!AR149)+(ATM_Conf!$C$5/Links!AC$191)*Links!AR149*(Nodes!BL149-Links!AR149)-(ATM_Conf!$C$9*ATM_Conf!$C$5/(ATM_Conf!$C$8*Links!AC$191))*(Nodes!BZ149-Links!AC149)/(Links!AC149/ATM_Conf!$C$10)</f>
        <v>#DIV/0!</v>
      </c>
      <c r="AS150" s="45" t="e">
        <f>AS149+(ATM_Conf!$C$5/ATM_Conf!$C$8)*(Links!BH149*EXP((-(Links!AD149/Links!BW149)^Links!CL149)/Links!CL149)-Links!AS149)+(ATM_Conf!$C$5/Links!AD$191)*Links!AS149*(Nodes!BM149-Links!AS149)-(ATM_Conf!$C$9*ATM_Conf!$C$5/(ATM_Conf!$C$8*Links!AD$191))*(Nodes!CA149-Links!AD149)/(Links!AD149/ATM_Conf!$C$10)</f>
        <v>#DIV/0!</v>
      </c>
      <c r="AT150" s="45" t="e">
        <f>AT149+(ATM_Conf!$C$5/ATM_Conf!$C$8)*(Links!BI149*EXP((-(Links!AE149/Links!BX149)^Links!CM149)/Links!CM149)-Links!AT149)+(ATM_Conf!$C$5/Links!AE$191)*Links!AT149*(Nodes!BN149-Links!AT149)</f>
        <v>#DIV/0!</v>
      </c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45"/>
      <c r="BK150" s="45"/>
      <c r="BL150" s="45"/>
      <c r="BM150" s="45"/>
      <c r="BN150" s="45"/>
      <c r="BO150" s="45"/>
      <c r="BP150" s="45"/>
      <c r="BQ150" s="45"/>
      <c r="BR150" s="45"/>
      <c r="BS150" s="45"/>
      <c r="BT150" s="45"/>
      <c r="BU150" s="45"/>
      <c r="BV150" s="45"/>
      <c r="BW150" s="45"/>
      <c r="BX150" s="4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45">
        <f t="shared" si="84"/>
        <v>0</v>
      </c>
      <c r="CO150" s="45">
        <f t="shared" si="84"/>
        <v>0</v>
      </c>
      <c r="CP150" s="45">
        <f t="shared" si="84"/>
        <v>0</v>
      </c>
      <c r="CQ150" s="45">
        <f t="shared" si="84"/>
        <v>0</v>
      </c>
      <c r="CR150" s="45">
        <f t="shared" si="84"/>
        <v>0</v>
      </c>
      <c r="CS150" s="45">
        <f t="shared" si="84"/>
        <v>0</v>
      </c>
      <c r="CT150" s="45">
        <f t="shared" si="84"/>
        <v>0</v>
      </c>
      <c r="CU150" s="45">
        <f t="shared" si="84"/>
        <v>0</v>
      </c>
      <c r="CV150" s="45">
        <f t="shared" si="84"/>
        <v>0</v>
      </c>
      <c r="CW150" s="45">
        <f t="shared" si="84"/>
        <v>0</v>
      </c>
      <c r="CX150" s="45">
        <f t="shared" si="84"/>
        <v>0</v>
      </c>
      <c r="CY150" s="45">
        <f t="shared" si="84"/>
        <v>0</v>
      </c>
      <c r="CZ150" s="45">
        <f t="shared" si="84"/>
        <v>0</v>
      </c>
      <c r="DA150" s="45">
        <f t="shared" si="84"/>
        <v>0</v>
      </c>
      <c r="DB150" s="45">
        <f t="shared" si="84"/>
        <v>0</v>
      </c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</row>
    <row r="151" spans="1:121" ht="14.25" x14ac:dyDescent="0.15">
      <c r="A151" s="48">
        <v>149</v>
      </c>
      <c r="B151" s="45" t="e">
        <f t="shared" si="64"/>
        <v>#DIV/0!</v>
      </c>
      <c r="C151" s="45" t="e">
        <f t="shared" si="65"/>
        <v>#DIV/0!</v>
      </c>
      <c r="D151" s="45" t="e">
        <f t="shared" si="66"/>
        <v>#DIV/0!</v>
      </c>
      <c r="E151" s="45" t="e">
        <f t="shared" si="67"/>
        <v>#DIV/0!</v>
      </c>
      <c r="F151" s="45" t="e">
        <f t="shared" si="68"/>
        <v>#DIV/0!</v>
      </c>
      <c r="G151" s="45" t="e">
        <f t="shared" si="69"/>
        <v>#DIV/0!</v>
      </c>
      <c r="H151" s="45" t="e">
        <f t="shared" si="70"/>
        <v>#DIV/0!</v>
      </c>
      <c r="I151" s="45" t="e">
        <f t="shared" si="71"/>
        <v>#DIV/0!</v>
      </c>
      <c r="J151" s="45" t="e">
        <f t="shared" si="72"/>
        <v>#DIV/0!</v>
      </c>
      <c r="K151" s="45" t="e">
        <f t="shared" si="73"/>
        <v>#DIV/0!</v>
      </c>
      <c r="L151" s="45" t="e">
        <f t="shared" si="74"/>
        <v>#DIV/0!</v>
      </c>
      <c r="M151" s="45" t="e">
        <f t="shared" si="75"/>
        <v>#DIV/0!</v>
      </c>
      <c r="N151" s="45" t="e">
        <f t="shared" si="76"/>
        <v>#DIV/0!</v>
      </c>
      <c r="O151" s="45" t="e">
        <f t="shared" si="77"/>
        <v>#DIV/0!</v>
      </c>
      <c r="P151" s="45" t="e">
        <f t="shared" si="78"/>
        <v>#DIV/0!</v>
      </c>
      <c r="Q151" s="55" t="e">
        <f>Q150+ATM_Conf!$C$5*(B150)/(Links!B$191*Links!Q$191)</f>
        <v>#DIV/0!</v>
      </c>
      <c r="R151" s="55" t="e">
        <f>R150+ATM_Conf!$C$5*(C150-B150)/(Links!C$191*Links!R$191)</f>
        <v>#DIV/0!</v>
      </c>
      <c r="S151" s="55" t="e">
        <f>S150+ATM_Conf!$C$5*(D150-C150)/(Links!D$191*Links!S$191)</f>
        <v>#DIV/0!</v>
      </c>
      <c r="T151" s="55" t="e">
        <f>T150+ATM_Conf!$C$5*(E150-D150)/(Links!E$191*Links!T$191)</f>
        <v>#DIV/0!</v>
      </c>
      <c r="U151" s="55" t="e">
        <f>U150+ATM_Conf!$C$5*(F150-E150)/(Links!F$191*Links!U$191)</f>
        <v>#DIV/0!</v>
      </c>
      <c r="V151" s="55" t="e">
        <f>V150+ATM_Conf!$C$5*(G150-F150)/(Links!G$191*Links!V$191)</f>
        <v>#DIV/0!</v>
      </c>
      <c r="W151" s="55" t="e">
        <f>W150+ATM_Conf!$C$5*(H150-G150)/(Links!H$191*Links!W$191)</f>
        <v>#DIV/0!</v>
      </c>
      <c r="X151" s="55" t="e">
        <f>X150+ATM_Conf!$C$5*(I150-H150)/(Links!I$191*Links!X$191)</f>
        <v>#DIV/0!</v>
      </c>
      <c r="Y151" s="55" t="e">
        <f>Y150+ATM_Conf!$C$5*(J150)/(Links!J$191*Links!Y$191)</f>
        <v>#DIV/0!</v>
      </c>
      <c r="Z151" s="55" t="e">
        <f>Z150+ATM_Conf!$C$5*(K150-J150)/(Links!K$191*Links!Z$191)</f>
        <v>#DIV/0!</v>
      </c>
      <c r="AA151" s="55" t="e">
        <f>AA150+ATM_Conf!$C$5*(L150-K150)/(Links!L$191*Links!AA$191)</f>
        <v>#DIV/0!</v>
      </c>
      <c r="AB151" s="55" t="e">
        <f>AB150+ATM_Conf!$C$5*(M150-L150)/(Links!M$191*Links!AB$191)</f>
        <v>#DIV/0!</v>
      </c>
      <c r="AC151" s="55" t="e">
        <f>AC150+ATM_Conf!$C$5*(N150-M150)/(Links!N$191*Links!AC$191)</f>
        <v>#DIV/0!</v>
      </c>
      <c r="AD151" s="55" t="e">
        <f>AD150+ATM_Conf!$C$5*(O150-N150)/(Links!O$191*Links!AD$191)</f>
        <v>#DIV/0!</v>
      </c>
      <c r="AE151" s="55" t="e">
        <f>AE150+ATM_Conf!$C$5*(P150-O150)/(Links!P$191*Links!AE$191)</f>
        <v>#DIV/0!</v>
      </c>
      <c r="AF151" s="45" t="e">
        <f>AF150+(ATM_Conf!$C$5/ATM_Conf!$C$8)*(Links!AU150*EXP((-(Links!Q150/Links!BJ150)^Links!BY150)/Links!BY150)-Links!AF150)-(ATM_Conf!$C$9*ATM_Conf!$C$5/(ATM_Conf!$C$8*Links!Q$191))*(Nodes!BO150-Links!Q150)/(Links!Q150/ATM_Conf!$C$10)</f>
        <v>#DIV/0!</v>
      </c>
      <c r="AG151" s="45" t="e">
        <f>AG150+(ATM_Conf!$C$5/ATM_Conf!$C$8)*(Links!AV150*EXP((-(Links!R150/Links!BK150)^Links!BZ150)/Links!BZ150)-Links!AG150)+(ATM_Conf!$C$5/Links!R$191)*Links!AG150*(Nodes!BB150-Links!AG150)-(ATM_Conf!$C$9*ATM_Conf!$C$5/(ATM_Conf!$C$8*Links!R$191))*(Nodes!BP150-Links!R150)/(Links!R150/ATM_Conf!$C$10)</f>
        <v>#DIV/0!</v>
      </c>
      <c r="AH151" s="45" t="e">
        <f>AH150+(ATM_Conf!$C$5/ATM_Conf!$C$8)*(Links!AW150*EXP((-(Links!S150/Links!BL150)^Links!CA150)/Links!CA150)-Links!AH150)+(ATM_Conf!$C$5/Links!S$191)*Links!AH150*(Nodes!BC150-Links!AH150)-(ATM_Conf!$C$9*ATM_Conf!$C$5/(ATM_Conf!$C$8*Links!S$191))*(Nodes!BQ150-Links!S150)/(Links!S150/ATM_Conf!$C$10)</f>
        <v>#DIV/0!</v>
      </c>
      <c r="AI151" s="45" t="e">
        <f>AI150+(ATM_Conf!$C$5/ATM_Conf!$C$8)*(Links!AX150*EXP((-(Links!T150/Links!BM150)^Links!CB150)/Links!CB150)-Links!AI150)+(ATM_Conf!$C$5/Links!T$191)*Links!AI150*(Nodes!BD150-Links!AI150)-(ATM_Conf!$C$9*ATM_Conf!$C$5/(ATM_Conf!$C$8*Links!T$191))*(Nodes!BR150-Links!T150)/(Links!T150/ATM_Conf!$C$10)</f>
        <v>#DIV/0!</v>
      </c>
      <c r="AJ151" s="45" t="e">
        <f>AJ150+(ATM_Conf!$C$5/ATM_Conf!$C$8)*(Links!AY150*EXP((-(Links!U150/Links!BN150)^Links!CC150)/Links!CC150)-Links!AJ150)+(ATM_Conf!$C$5/Links!U$191)*Links!AJ150*(Nodes!BE150-Links!AJ150)-(ATM_Conf!$C$9*ATM_Conf!$C$5/(ATM_Conf!$C$8*Links!U$191))*(Nodes!BS150-Links!U150)/(Links!U150/ATM_Conf!$C$10)</f>
        <v>#DIV/0!</v>
      </c>
      <c r="AK151" s="45" t="e">
        <f>AK150+(ATM_Conf!$C$5/ATM_Conf!$C$8)*(Links!AZ150*EXP((-(Links!V150/Links!BO150)^Links!CD150)/Links!CD150)-Links!AK150)+(ATM_Conf!$C$5/Links!V$191)*Links!AK150*(Nodes!BF150-Links!AK150)-(ATM_Conf!$C$9*ATM_Conf!$C$5/(ATM_Conf!$C$8*Links!V$191))*(Nodes!BT150-Links!V150)/(Links!V150/ATM_Conf!$C$10)</f>
        <v>#DIV/0!</v>
      </c>
      <c r="AL151" s="45" t="e">
        <f>AL150+(ATM_Conf!$C$5/ATM_Conf!$C$8)*(Links!BA150*EXP((-(Links!W150/Links!BP150)^Links!CE150)/Links!CE150)-Links!AL150)+(ATM_Conf!$C$5/Links!W$191)*Links!AL150*(Nodes!BG150-Links!AL150)-(ATM_Conf!$C$9*ATM_Conf!$C$5/(ATM_Conf!$C$8*Links!W$191))*(Nodes!BU150-Links!W150)/(Links!W150/ATM_Conf!$C$10)</f>
        <v>#DIV/0!</v>
      </c>
      <c r="AM151" s="45" t="e">
        <f>AM150+(ATM_Conf!$C$5/ATM_Conf!$C$8)*(Links!BB150*EXP((-(Links!X150/Links!BQ150)^Links!CF150)/Links!CF150)-Links!AM150)+(ATM_Conf!$C$5/Links!X$191)*Links!AM150*(Nodes!BH150-Links!AM150)</f>
        <v>#DIV/0!</v>
      </c>
      <c r="AN151" s="45" t="e">
        <f>AN150+(ATM_Conf!$C$5/ATM_Conf!$C$8)*(Links!BC150*EXP((-(Links!Y150/Links!BR150)^Links!CG150)/Links!CG150)-Links!AN150)-(ATM_Conf!$C$9*ATM_Conf!$C$5/(ATM_Conf!$C$8*Links!Y$191))*(Nodes!BV150-Links!Y150)/(Links!Y150/ATM_Conf!$C$10)</f>
        <v>#DIV/0!</v>
      </c>
      <c r="AO151" s="45" t="e">
        <f>AO150+(ATM_Conf!$C$5/ATM_Conf!$C$8)*(Links!BD150*EXP((-(Links!Z150/Links!BS150)^Links!CH150)/Links!CH150)-Links!AO150)+(ATM_Conf!$C$5/Links!Z$191)*Links!AO150*(Nodes!BI150-Links!AO150)-(ATM_Conf!$C$9*ATM_Conf!$C$5/(ATM_Conf!$C$8*Links!Z$191))*(Nodes!BW150-Links!Z150)/(Links!Z150/ATM_Conf!$C$10)</f>
        <v>#DIV/0!</v>
      </c>
      <c r="AP151" s="45" t="e">
        <f>AP150+(ATM_Conf!$C$5/ATM_Conf!$C$8)*(Links!BE150*EXP((-(Links!AA150/Links!BT150)^Links!CI150)/Links!CI150)-Links!AP150)+(ATM_Conf!$C$5/Links!AA$191)*Links!AP150*(Nodes!BJ150-Links!AP150)-(ATM_Conf!$C$9*ATM_Conf!$C$5/(ATM_Conf!$C$8*Links!AA$191))*(Nodes!BX150-Links!AA150)/(Links!AA150/ATM_Conf!$C$10)</f>
        <v>#DIV/0!</v>
      </c>
      <c r="AQ151" s="45" t="e">
        <f>AQ150+(ATM_Conf!$C$5/ATM_Conf!$C$8)*(Links!BF150*EXP((-(Links!AB150/Links!BU150)^Links!CJ150)/Links!CJ150)-Links!AQ150)+(ATM_Conf!$C$5/Links!AB$191)*Links!AQ150*(Nodes!BK150-Links!AQ150)-(ATM_Conf!$C$9*ATM_Conf!$C$5/(ATM_Conf!$C$8*Links!AB$191))*(Nodes!BY150-Links!AB150)/(Links!AB150/ATM_Conf!$C$10)</f>
        <v>#DIV/0!</v>
      </c>
      <c r="AR151" s="45" t="e">
        <f>AR150+(ATM_Conf!$C$5/ATM_Conf!$C$8)*(Links!BG150*EXP((-(Links!AC150/Links!BV150)^Links!CK150)/Links!CK150)-Links!AR150)+(ATM_Conf!$C$5/Links!AC$191)*Links!AR150*(Nodes!BL150-Links!AR150)-(ATM_Conf!$C$9*ATM_Conf!$C$5/(ATM_Conf!$C$8*Links!AC$191))*(Nodes!BZ150-Links!AC150)/(Links!AC150/ATM_Conf!$C$10)</f>
        <v>#DIV/0!</v>
      </c>
      <c r="AS151" s="45" t="e">
        <f>AS150+(ATM_Conf!$C$5/ATM_Conf!$C$8)*(Links!BH150*EXP((-(Links!AD150/Links!BW150)^Links!CL150)/Links!CL150)-Links!AS150)+(ATM_Conf!$C$5/Links!AD$191)*Links!AS150*(Nodes!BM150-Links!AS150)-(ATM_Conf!$C$9*ATM_Conf!$C$5/(ATM_Conf!$C$8*Links!AD$191))*(Nodes!CA150-Links!AD150)/(Links!AD150/ATM_Conf!$C$10)</f>
        <v>#DIV/0!</v>
      </c>
      <c r="AT151" s="45" t="e">
        <f>AT150+(ATM_Conf!$C$5/ATM_Conf!$C$8)*(Links!BI150*EXP((-(Links!AE150/Links!BX150)^Links!CM150)/Links!CM150)-Links!AT150)+(ATM_Conf!$C$5/Links!AE$191)*Links!AT150*(Nodes!BN150-Links!AT150)</f>
        <v>#DIV/0!</v>
      </c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45"/>
      <c r="BK151" s="45"/>
      <c r="BL151" s="45"/>
      <c r="BM151" s="45"/>
      <c r="BN151" s="45"/>
      <c r="BO151" s="45"/>
      <c r="BP151" s="45"/>
      <c r="BQ151" s="45"/>
      <c r="BR151" s="45"/>
      <c r="BS151" s="45"/>
      <c r="BT151" s="45"/>
      <c r="BU151" s="45"/>
      <c r="BV151" s="45"/>
      <c r="BW151" s="45"/>
      <c r="BX151" s="4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45">
        <f t="shared" si="84"/>
        <v>0</v>
      </c>
      <c r="CO151" s="45">
        <f t="shared" si="84"/>
        <v>0</v>
      </c>
      <c r="CP151" s="45">
        <f t="shared" si="84"/>
        <v>0</v>
      </c>
      <c r="CQ151" s="45">
        <f t="shared" si="84"/>
        <v>0</v>
      </c>
      <c r="CR151" s="45">
        <f t="shared" si="84"/>
        <v>0</v>
      </c>
      <c r="CS151" s="45">
        <f t="shared" si="84"/>
        <v>0</v>
      </c>
      <c r="CT151" s="45">
        <f t="shared" si="84"/>
        <v>0</v>
      </c>
      <c r="CU151" s="45">
        <f t="shared" si="84"/>
        <v>0</v>
      </c>
      <c r="CV151" s="45">
        <f t="shared" si="84"/>
        <v>0</v>
      </c>
      <c r="CW151" s="45">
        <f t="shared" si="84"/>
        <v>0</v>
      </c>
      <c r="CX151" s="45">
        <f t="shared" si="84"/>
        <v>0</v>
      </c>
      <c r="CY151" s="45">
        <f t="shared" si="84"/>
        <v>0</v>
      </c>
      <c r="CZ151" s="45">
        <f t="shared" si="84"/>
        <v>0</v>
      </c>
      <c r="DA151" s="45">
        <f t="shared" si="84"/>
        <v>0</v>
      </c>
      <c r="DB151" s="45">
        <f t="shared" si="84"/>
        <v>0</v>
      </c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</row>
    <row r="152" spans="1:121" ht="14.25" x14ac:dyDescent="0.15">
      <c r="A152" s="48">
        <v>150</v>
      </c>
      <c r="B152" s="45" t="e">
        <f t="shared" si="64"/>
        <v>#DIV/0!</v>
      </c>
      <c r="C152" s="45" t="e">
        <f t="shared" si="65"/>
        <v>#DIV/0!</v>
      </c>
      <c r="D152" s="45" t="e">
        <f t="shared" si="66"/>
        <v>#DIV/0!</v>
      </c>
      <c r="E152" s="45" t="e">
        <f t="shared" si="67"/>
        <v>#DIV/0!</v>
      </c>
      <c r="F152" s="45" t="e">
        <f t="shared" si="68"/>
        <v>#DIV/0!</v>
      </c>
      <c r="G152" s="45" t="e">
        <f t="shared" si="69"/>
        <v>#DIV/0!</v>
      </c>
      <c r="H152" s="45" t="e">
        <f t="shared" si="70"/>
        <v>#DIV/0!</v>
      </c>
      <c r="I152" s="45" t="e">
        <f t="shared" si="71"/>
        <v>#DIV/0!</v>
      </c>
      <c r="J152" s="45" t="e">
        <f t="shared" si="72"/>
        <v>#DIV/0!</v>
      </c>
      <c r="K152" s="45" t="e">
        <f t="shared" si="73"/>
        <v>#DIV/0!</v>
      </c>
      <c r="L152" s="45" t="e">
        <f t="shared" si="74"/>
        <v>#DIV/0!</v>
      </c>
      <c r="M152" s="45" t="e">
        <f t="shared" si="75"/>
        <v>#DIV/0!</v>
      </c>
      <c r="N152" s="45" t="e">
        <f t="shared" si="76"/>
        <v>#DIV/0!</v>
      </c>
      <c r="O152" s="45" t="e">
        <f t="shared" si="77"/>
        <v>#DIV/0!</v>
      </c>
      <c r="P152" s="45" t="e">
        <f t="shared" si="78"/>
        <v>#DIV/0!</v>
      </c>
      <c r="Q152" s="55" t="e">
        <f>Q151+ATM_Conf!$C$5*(B151)/(Links!B$191*Links!Q$191)</f>
        <v>#DIV/0!</v>
      </c>
      <c r="R152" s="55" t="e">
        <f>R151+ATM_Conf!$C$5*(C151-B151)/(Links!C$191*Links!R$191)</f>
        <v>#DIV/0!</v>
      </c>
      <c r="S152" s="55" t="e">
        <f>S151+ATM_Conf!$C$5*(D151-C151)/(Links!D$191*Links!S$191)</f>
        <v>#DIV/0!</v>
      </c>
      <c r="T152" s="55" t="e">
        <f>T151+ATM_Conf!$C$5*(E151-D151)/(Links!E$191*Links!T$191)</f>
        <v>#DIV/0!</v>
      </c>
      <c r="U152" s="55" t="e">
        <f>U151+ATM_Conf!$C$5*(F151-E151)/(Links!F$191*Links!U$191)</f>
        <v>#DIV/0!</v>
      </c>
      <c r="V152" s="55" t="e">
        <f>V151+ATM_Conf!$C$5*(G151-F151)/(Links!G$191*Links!V$191)</f>
        <v>#DIV/0!</v>
      </c>
      <c r="W152" s="55" t="e">
        <f>W151+ATM_Conf!$C$5*(H151-G151)/(Links!H$191*Links!W$191)</f>
        <v>#DIV/0!</v>
      </c>
      <c r="X152" s="55" t="e">
        <f>X151+ATM_Conf!$C$5*(I151-H151)/(Links!I$191*Links!X$191)</f>
        <v>#DIV/0!</v>
      </c>
      <c r="Y152" s="55" t="e">
        <f>Y151+ATM_Conf!$C$5*(J151)/(Links!J$191*Links!Y$191)</f>
        <v>#DIV/0!</v>
      </c>
      <c r="Z152" s="55" t="e">
        <f>Z151+ATM_Conf!$C$5*(K151-J151)/(Links!K$191*Links!Z$191)</f>
        <v>#DIV/0!</v>
      </c>
      <c r="AA152" s="55" t="e">
        <f>AA151+ATM_Conf!$C$5*(L151-K151)/(Links!L$191*Links!AA$191)</f>
        <v>#DIV/0!</v>
      </c>
      <c r="AB152" s="55" t="e">
        <f>AB151+ATM_Conf!$C$5*(M151-L151)/(Links!M$191*Links!AB$191)</f>
        <v>#DIV/0!</v>
      </c>
      <c r="AC152" s="55" t="e">
        <f>AC151+ATM_Conf!$C$5*(N151-M151)/(Links!N$191*Links!AC$191)</f>
        <v>#DIV/0!</v>
      </c>
      <c r="AD152" s="55" t="e">
        <f>AD151+ATM_Conf!$C$5*(O151-N151)/(Links!O$191*Links!AD$191)</f>
        <v>#DIV/0!</v>
      </c>
      <c r="AE152" s="55" t="e">
        <f>AE151+ATM_Conf!$C$5*(P151-O151)/(Links!P$191*Links!AE$191)</f>
        <v>#DIV/0!</v>
      </c>
      <c r="AF152" s="45" t="e">
        <f>AF151+(ATM_Conf!$C$5/ATM_Conf!$C$8)*(Links!AU151*EXP((-(Links!Q151/Links!BJ151)^Links!BY151)/Links!BY151)-Links!AF151)-(ATM_Conf!$C$9*ATM_Conf!$C$5/(ATM_Conf!$C$8*Links!Q$191))*(Nodes!BO151-Links!Q151)/(Links!Q151/ATM_Conf!$C$10)</f>
        <v>#DIV/0!</v>
      </c>
      <c r="AG152" s="45" t="e">
        <f>AG151+(ATM_Conf!$C$5/ATM_Conf!$C$8)*(Links!AV151*EXP((-(Links!R151/Links!BK151)^Links!BZ151)/Links!BZ151)-Links!AG151)+(ATM_Conf!$C$5/Links!R$191)*Links!AG151*(Nodes!BB151-Links!AG151)-(ATM_Conf!$C$9*ATM_Conf!$C$5/(ATM_Conf!$C$8*Links!R$191))*(Nodes!BP151-Links!R151)/(Links!R151/ATM_Conf!$C$10)</f>
        <v>#DIV/0!</v>
      </c>
      <c r="AH152" s="45" t="e">
        <f>AH151+(ATM_Conf!$C$5/ATM_Conf!$C$8)*(Links!AW151*EXP((-(Links!S151/Links!BL151)^Links!CA151)/Links!CA151)-Links!AH151)+(ATM_Conf!$C$5/Links!S$191)*Links!AH151*(Nodes!BC151-Links!AH151)-(ATM_Conf!$C$9*ATM_Conf!$C$5/(ATM_Conf!$C$8*Links!S$191))*(Nodes!BQ151-Links!S151)/(Links!S151/ATM_Conf!$C$10)</f>
        <v>#DIV/0!</v>
      </c>
      <c r="AI152" s="45" t="e">
        <f>AI151+(ATM_Conf!$C$5/ATM_Conf!$C$8)*(Links!AX151*EXP((-(Links!T151/Links!BM151)^Links!CB151)/Links!CB151)-Links!AI151)+(ATM_Conf!$C$5/Links!T$191)*Links!AI151*(Nodes!BD151-Links!AI151)-(ATM_Conf!$C$9*ATM_Conf!$C$5/(ATM_Conf!$C$8*Links!T$191))*(Nodes!BR151-Links!T151)/(Links!T151/ATM_Conf!$C$10)</f>
        <v>#DIV/0!</v>
      </c>
      <c r="AJ152" s="45" t="e">
        <f>AJ151+(ATM_Conf!$C$5/ATM_Conf!$C$8)*(Links!AY151*EXP((-(Links!U151/Links!BN151)^Links!CC151)/Links!CC151)-Links!AJ151)+(ATM_Conf!$C$5/Links!U$191)*Links!AJ151*(Nodes!BE151-Links!AJ151)-(ATM_Conf!$C$9*ATM_Conf!$C$5/(ATM_Conf!$C$8*Links!U$191))*(Nodes!BS151-Links!U151)/(Links!U151/ATM_Conf!$C$10)</f>
        <v>#DIV/0!</v>
      </c>
      <c r="AK152" s="45" t="e">
        <f>AK151+(ATM_Conf!$C$5/ATM_Conf!$C$8)*(Links!AZ151*EXP((-(Links!V151/Links!BO151)^Links!CD151)/Links!CD151)-Links!AK151)+(ATM_Conf!$C$5/Links!V$191)*Links!AK151*(Nodes!BF151-Links!AK151)-(ATM_Conf!$C$9*ATM_Conf!$C$5/(ATM_Conf!$C$8*Links!V$191))*(Nodes!BT151-Links!V151)/(Links!V151/ATM_Conf!$C$10)</f>
        <v>#DIV/0!</v>
      </c>
      <c r="AL152" s="45" t="e">
        <f>AL151+(ATM_Conf!$C$5/ATM_Conf!$C$8)*(Links!BA151*EXP((-(Links!W151/Links!BP151)^Links!CE151)/Links!CE151)-Links!AL151)+(ATM_Conf!$C$5/Links!W$191)*Links!AL151*(Nodes!BG151-Links!AL151)-(ATM_Conf!$C$9*ATM_Conf!$C$5/(ATM_Conf!$C$8*Links!W$191))*(Nodes!BU151-Links!W151)/(Links!W151/ATM_Conf!$C$10)</f>
        <v>#DIV/0!</v>
      </c>
      <c r="AM152" s="45" t="e">
        <f>AM151+(ATM_Conf!$C$5/ATM_Conf!$C$8)*(Links!BB151*EXP((-(Links!X151/Links!BQ151)^Links!CF151)/Links!CF151)-Links!AM151)+(ATM_Conf!$C$5/Links!X$191)*Links!AM151*(Nodes!BH151-Links!AM151)</f>
        <v>#DIV/0!</v>
      </c>
      <c r="AN152" s="45" t="e">
        <f>AN151+(ATM_Conf!$C$5/ATM_Conf!$C$8)*(Links!BC151*EXP((-(Links!Y151/Links!BR151)^Links!CG151)/Links!CG151)-Links!AN151)-(ATM_Conf!$C$9*ATM_Conf!$C$5/(ATM_Conf!$C$8*Links!Y$191))*(Nodes!BV151-Links!Y151)/(Links!Y151/ATM_Conf!$C$10)</f>
        <v>#DIV/0!</v>
      </c>
      <c r="AO152" s="45" t="e">
        <f>AO151+(ATM_Conf!$C$5/ATM_Conf!$C$8)*(Links!BD151*EXP((-(Links!Z151/Links!BS151)^Links!CH151)/Links!CH151)-Links!AO151)+(ATM_Conf!$C$5/Links!Z$191)*Links!AO151*(Nodes!BI151-Links!AO151)-(ATM_Conf!$C$9*ATM_Conf!$C$5/(ATM_Conf!$C$8*Links!Z$191))*(Nodes!BW151-Links!Z151)/(Links!Z151/ATM_Conf!$C$10)</f>
        <v>#DIV/0!</v>
      </c>
      <c r="AP152" s="45" t="e">
        <f>AP151+(ATM_Conf!$C$5/ATM_Conf!$C$8)*(Links!BE151*EXP((-(Links!AA151/Links!BT151)^Links!CI151)/Links!CI151)-Links!AP151)+(ATM_Conf!$C$5/Links!AA$191)*Links!AP151*(Nodes!BJ151-Links!AP151)-(ATM_Conf!$C$9*ATM_Conf!$C$5/(ATM_Conf!$C$8*Links!AA$191))*(Nodes!BX151-Links!AA151)/(Links!AA151/ATM_Conf!$C$10)</f>
        <v>#DIV/0!</v>
      </c>
      <c r="AQ152" s="45" t="e">
        <f>AQ151+(ATM_Conf!$C$5/ATM_Conf!$C$8)*(Links!BF151*EXP((-(Links!AB151/Links!BU151)^Links!CJ151)/Links!CJ151)-Links!AQ151)+(ATM_Conf!$C$5/Links!AB$191)*Links!AQ151*(Nodes!BK151-Links!AQ151)-(ATM_Conf!$C$9*ATM_Conf!$C$5/(ATM_Conf!$C$8*Links!AB$191))*(Nodes!BY151-Links!AB151)/(Links!AB151/ATM_Conf!$C$10)</f>
        <v>#DIV/0!</v>
      </c>
      <c r="AR152" s="45" t="e">
        <f>AR151+(ATM_Conf!$C$5/ATM_Conf!$C$8)*(Links!BG151*EXP((-(Links!AC151/Links!BV151)^Links!CK151)/Links!CK151)-Links!AR151)+(ATM_Conf!$C$5/Links!AC$191)*Links!AR151*(Nodes!BL151-Links!AR151)-(ATM_Conf!$C$9*ATM_Conf!$C$5/(ATM_Conf!$C$8*Links!AC$191))*(Nodes!BZ151-Links!AC151)/(Links!AC151/ATM_Conf!$C$10)</f>
        <v>#DIV/0!</v>
      </c>
      <c r="AS152" s="45" t="e">
        <f>AS151+(ATM_Conf!$C$5/ATM_Conf!$C$8)*(Links!BH151*EXP((-(Links!AD151/Links!BW151)^Links!CL151)/Links!CL151)-Links!AS151)+(ATM_Conf!$C$5/Links!AD$191)*Links!AS151*(Nodes!BM151-Links!AS151)-(ATM_Conf!$C$9*ATM_Conf!$C$5/(ATM_Conf!$C$8*Links!AD$191))*(Nodes!CA151-Links!AD151)/(Links!AD151/ATM_Conf!$C$10)</f>
        <v>#DIV/0!</v>
      </c>
      <c r="AT152" s="45" t="e">
        <f>AT151+(ATM_Conf!$C$5/ATM_Conf!$C$8)*(Links!BI151*EXP((-(Links!AE151/Links!BX151)^Links!CM151)/Links!CM151)-Links!AT151)+(ATM_Conf!$C$5/Links!AE$191)*Links!AT151*(Nodes!BN151-Links!AT151)</f>
        <v>#DIV/0!</v>
      </c>
      <c r="AU152" s="55"/>
      <c r="AV152" s="55"/>
      <c r="AW152" s="55"/>
      <c r="AX152" s="55"/>
      <c r="AY152" s="55"/>
      <c r="AZ152" s="55"/>
      <c r="BA152" s="55"/>
      <c r="BB152" s="55"/>
      <c r="BC152" s="55"/>
      <c r="BD152" s="55"/>
      <c r="BE152" s="55"/>
      <c r="BF152" s="55"/>
      <c r="BG152" s="55"/>
      <c r="BH152" s="55"/>
      <c r="BI152" s="55"/>
      <c r="BJ152" s="45"/>
      <c r="BK152" s="45"/>
      <c r="BL152" s="45"/>
      <c r="BM152" s="45"/>
      <c r="BN152" s="45"/>
      <c r="BO152" s="45"/>
      <c r="BP152" s="45"/>
      <c r="BQ152" s="45"/>
      <c r="BR152" s="45"/>
      <c r="BS152" s="45"/>
      <c r="BT152" s="45"/>
      <c r="BU152" s="45"/>
      <c r="BV152" s="45"/>
      <c r="BW152" s="45"/>
      <c r="BX152" s="4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45">
        <f t="shared" si="84"/>
        <v>0</v>
      </c>
      <c r="CO152" s="45">
        <f t="shared" si="84"/>
        <v>0</v>
      </c>
      <c r="CP152" s="45">
        <f t="shared" si="84"/>
        <v>0</v>
      </c>
      <c r="CQ152" s="45">
        <f t="shared" si="84"/>
        <v>0</v>
      </c>
      <c r="CR152" s="45">
        <f t="shared" si="84"/>
        <v>0</v>
      </c>
      <c r="CS152" s="45">
        <f t="shared" si="84"/>
        <v>0</v>
      </c>
      <c r="CT152" s="45">
        <f t="shared" si="84"/>
        <v>0</v>
      </c>
      <c r="CU152" s="45">
        <f t="shared" si="84"/>
        <v>0</v>
      </c>
      <c r="CV152" s="45">
        <f t="shared" si="84"/>
        <v>0</v>
      </c>
      <c r="CW152" s="45">
        <f t="shared" si="84"/>
        <v>0</v>
      </c>
      <c r="CX152" s="45">
        <f t="shared" si="84"/>
        <v>0</v>
      </c>
      <c r="CY152" s="45">
        <f t="shared" si="84"/>
        <v>0</v>
      </c>
      <c r="CZ152" s="45">
        <f t="shared" si="84"/>
        <v>0</v>
      </c>
      <c r="DA152" s="45">
        <f t="shared" si="84"/>
        <v>0</v>
      </c>
      <c r="DB152" s="45">
        <f t="shared" si="84"/>
        <v>0</v>
      </c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</row>
    <row r="153" spans="1:121" ht="14.25" x14ac:dyDescent="0.15">
      <c r="A153" s="48">
        <v>151</v>
      </c>
      <c r="B153" s="45" t="e">
        <f t="shared" si="64"/>
        <v>#DIV/0!</v>
      </c>
      <c r="C153" s="45" t="e">
        <f t="shared" si="65"/>
        <v>#DIV/0!</v>
      </c>
      <c r="D153" s="45" t="e">
        <f t="shared" si="66"/>
        <v>#DIV/0!</v>
      </c>
      <c r="E153" s="45" t="e">
        <f t="shared" si="67"/>
        <v>#DIV/0!</v>
      </c>
      <c r="F153" s="45" t="e">
        <f t="shared" si="68"/>
        <v>#DIV/0!</v>
      </c>
      <c r="G153" s="45" t="e">
        <f t="shared" si="69"/>
        <v>#DIV/0!</v>
      </c>
      <c r="H153" s="45" t="e">
        <f t="shared" si="70"/>
        <v>#DIV/0!</v>
      </c>
      <c r="I153" s="45" t="e">
        <f t="shared" si="71"/>
        <v>#DIV/0!</v>
      </c>
      <c r="J153" s="45" t="e">
        <f t="shared" si="72"/>
        <v>#DIV/0!</v>
      </c>
      <c r="K153" s="45" t="e">
        <f t="shared" si="73"/>
        <v>#DIV/0!</v>
      </c>
      <c r="L153" s="45" t="e">
        <f t="shared" si="74"/>
        <v>#DIV/0!</v>
      </c>
      <c r="M153" s="45" t="e">
        <f t="shared" si="75"/>
        <v>#DIV/0!</v>
      </c>
      <c r="N153" s="45" t="e">
        <f t="shared" si="76"/>
        <v>#DIV/0!</v>
      </c>
      <c r="O153" s="45" t="e">
        <f t="shared" si="77"/>
        <v>#DIV/0!</v>
      </c>
      <c r="P153" s="45" t="e">
        <f t="shared" si="78"/>
        <v>#DIV/0!</v>
      </c>
      <c r="Q153" s="55" t="e">
        <f>Q152+ATM_Conf!$C$5*(B152)/(Links!B$191*Links!Q$191)</f>
        <v>#DIV/0!</v>
      </c>
      <c r="R153" s="55" t="e">
        <f>R152+ATM_Conf!$C$5*(C152-B152)/(Links!C$191*Links!R$191)</f>
        <v>#DIV/0!</v>
      </c>
      <c r="S153" s="55" t="e">
        <f>S152+ATM_Conf!$C$5*(D152-C152)/(Links!D$191*Links!S$191)</f>
        <v>#DIV/0!</v>
      </c>
      <c r="T153" s="55" t="e">
        <f>T152+ATM_Conf!$C$5*(E152-D152)/(Links!E$191*Links!T$191)</f>
        <v>#DIV/0!</v>
      </c>
      <c r="U153" s="55" t="e">
        <f>U152+ATM_Conf!$C$5*(F152-E152)/(Links!F$191*Links!U$191)</f>
        <v>#DIV/0!</v>
      </c>
      <c r="V153" s="55" t="e">
        <f>V152+ATM_Conf!$C$5*(G152-F152)/(Links!G$191*Links!V$191)</f>
        <v>#DIV/0!</v>
      </c>
      <c r="W153" s="55" t="e">
        <f>W152+ATM_Conf!$C$5*(H152-G152)/(Links!H$191*Links!W$191)</f>
        <v>#DIV/0!</v>
      </c>
      <c r="X153" s="55" t="e">
        <f>X152+ATM_Conf!$C$5*(I152-H152)/(Links!I$191*Links!X$191)</f>
        <v>#DIV/0!</v>
      </c>
      <c r="Y153" s="55" t="e">
        <f>Y152+ATM_Conf!$C$5*(J152)/(Links!J$191*Links!Y$191)</f>
        <v>#DIV/0!</v>
      </c>
      <c r="Z153" s="55" t="e">
        <f>Z152+ATM_Conf!$C$5*(K152-J152)/(Links!K$191*Links!Z$191)</f>
        <v>#DIV/0!</v>
      </c>
      <c r="AA153" s="55" t="e">
        <f>AA152+ATM_Conf!$C$5*(L152-K152)/(Links!L$191*Links!AA$191)</f>
        <v>#DIV/0!</v>
      </c>
      <c r="AB153" s="55" t="e">
        <f>AB152+ATM_Conf!$C$5*(M152-L152)/(Links!M$191*Links!AB$191)</f>
        <v>#DIV/0!</v>
      </c>
      <c r="AC153" s="55" t="e">
        <f>AC152+ATM_Conf!$C$5*(N152-M152)/(Links!N$191*Links!AC$191)</f>
        <v>#DIV/0!</v>
      </c>
      <c r="AD153" s="55" t="e">
        <f>AD152+ATM_Conf!$C$5*(O152-N152)/(Links!O$191*Links!AD$191)</f>
        <v>#DIV/0!</v>
      </c>
      <c r="AE153" s="55" t="e">
        <f>AE152+ATM_Conf!$C$5*(P152-O152)/(Links!P$191*Links!AE$191)</f>
        <v>#DIV/0!</v>
      </c>
      <c r="AF153" s="45" t="e">
        <f>AF152+(ATM_Conf!$C$5/ATM_Conf!$C$8)*(Links!AU152*EXP((-(Links!Q152/Links!BJ152)^Links!BY152)/Links!BY152)-Links!AF152)-(ATM_Conf!$C$9*ATM_Conf!$C$5/(ATM_Conf!$C$8*Links!Q$191))*(Nodes!BO152-Links!Q152)/(Links!Q152/ATM_Conf!$C$10)</f>
        <v>#DIV/0!</v>
      </c>
      <c r="AG153" s="45" t="e">
        <f>AG152+(ATM_Conf!$C$5/ATM_Conf!$C$8)*(Links!AV152*EXP((-(Links!R152/Links!BK152)^Links!BZ152)/Links!BZ152)-Links!AG152)+(ATM_Conf!$C$5/Links!R$191)*Links!AG152*(Nodes!BB152-Links!AG152)-(ATM_Conf!$C$9*ATM_Conf!$C$5/(ATM_Conf!$C$8*Links!R$191))*(Nodes!BP152-Links!R152)/(Links!R152/ATM_Conf!$C$10)</f>
        <v>#DIV/0!</v>
      </c>
      <c r="AH153" s="45" t="e">
        <f>AH152+(ATM_Conf!$C$5/ATM_Conf!$C$8)*(Links!AW152*EXP((-(Links!S152/Links!BL152)^Links!CA152)/Links!CA152)-Links!AH152)+(ATM_Conf!$C$5/Links!S$191)*Links!AH152*(Nodes!BC152-Links!AH152)-(ATM_Conf!$C$9*ATM_Conf!$C$5/(ATM_Conf!$C$8*Links!S$191))*(Nodes!BQ152-Links!S152)/(Links!S152/ATM_Conf!$C$10)</f>
        <v>#DIV/0!</v>
      </c>
      <c r="AI153" s="45" t="e">
        <f>AI152+(ATM_Conf!$C$5/ATM_Conf!$C$8)*(Links!AX152*EXP((-(Links!T152/Links!BM152)^Links!CB152)/Links!CB152)-Links!AI152)+(ATM_Conf!$C$5/Links!T$191)*Links!AI152*(Nodes!BD152-Links!AI152)-(ATM_Conf!$C$9*ATM_Conf!$C$5/(ATM_Conf!$C$8*Links!T$191))*(Nodes!BR152-Links!T152)/(Links!T152/ATM_Conf!$C$10)</f>
        <v>#DIV/0!</v>
      </c>
      <c r="AJ153" s="45" t="e">
        <f>AJ152+(ATM_Conf!$C$5/ATM_Conf!$C$8)*(Links!AY152*EXP((-(Links!U152/Links!BN152)^Links!CC152)/Links!CC152)-Links!AJ152)+(ATM_Conf!$C$5/Links!U$191)*Links!AJ152*(Nodes!BE152-Links!AJ152)-(ATM_Conf!$C$9*ATM_Conf!$C$5/(ATM_Conf!$C$8*Links!U$191))*(Nodes!BS152-Links!U152)/(Links!U152/ATM_Conf!$C$10)</f>
        <v>#DIV/0!</v>
      </c>
      <c r="AK153" s="45" t="e">
        <f>AK152+(ATM_Conf!$C$5/ATM_Conf!$C$8)*(Links!AZ152*EXP((-(Links!V152/Links!BO152)^Links!CD152)/Links!CD152)-Links!AK152)+(ATM_Conf!$C$5/Links!V$191)*Links!AK152*(Nodes!BF152-Links!AK152)-(ATM_Conf!$C$9*ATM_Conf!$C$5/(ATM_Conf!$C$8*Links!V$191))*(Nodes!BT152-Links!V152)/(Links!V152/ATM_Conf!$C$10)</f>
        <v>#DIV/0!</v>
      </c>
      <c r="AL153" s="45" t="e">
        <f>AL152+(ATM_Conf!$C$5/ATM_Conf!$C$8)*(Links!BA152*EXP((-(Links!W152/Links!BP152)^Links!CE152)/Links!CE152)-Links!AL152)+(ATM_Conf!$C$5/Links!W$191)*Links!AL152*(Nodes!BG152-Links!AL152)-(ATM_Conf!$C$9*ATM_Conf!$C$5/(ATM_Conf!$C$8*Links!W$191))*(Nodes!BU152-Links!W152)/(Links!W152/ATM_Conf!$C$10)</f>
        <v>#DIV/0!</v>
      </c>
      <c r="AM153" s="45" t="e">
        <f>AM152+(ATM_Conf!$C$5/ATM_Conf!$C$8)*(Links!BB152*EXP((-(Links!X152/Links!BQ152)^Links!CF152)/Links!CF152)-Links!AM152)+(ATM_Conf!$C$5/Links!X$191)*Links!AM152*(Nodes!BH152-Links!AM152)</f>
        <v>#DIV/0!</v>
      </c>
      <c r="AN153" s="45" t="e">
        <f>AN152+(ATM_Conf!$C$5/ATM_Conf!$C$8)*(Links!BC152*EXP((-(Links!Y152/Links!BR152)^Links!CG152)/Links!CG152)-Links!AN152)-(ATM_Conf!$C$9*ATM_Conf!$C$5/(ATM_Conf!$C$8*Links!Y$191))*(Nodes!BV152-Links!Y152)/(Links!Y152/ATM_Conf!$C$10)</f>
        <v>#DIV/0!</v>
      </c>
      <c r="AO153" s="45" t="e">
        <f>AO152+(ATM_Conf!$C$5/ATM_Conf!$C$8)*(Links!BD152*EXP((-(Links!Z152/Links!BS152)^Links!CH152)/Links!CH152)-Links!AO152)+(ATM_Conf!$C$5/Links!Z$191)*Links!AO152*(Nodes!BI152-Links!AO152)-(ATM_Conf!$C$9*ATM_Conf!$C$5/(ATM_Conf!$C$8*Links!Z$191))*(Nodes!BW152-Links!Z152)/(Links!Z152/ATM_Conf!$C$10)</f>
        <v>#DIV/0!</v>
      </c>
      <c r="AP153" s="45" t="e">
        <f>AP152+(ATM_Conf!$C$5/ATM_Conf!$C$8)*(Links!BE152*EXP((-(Links!AA152/Links!BT152)^Links!CI152)/Links!CI152)-Links!AP152)+(ATM_Conf!$C$5/Links!AA$191)*Links!AP152*(Nodes!BJ152-Links!AP152)-(ATM_Conf!$C$9*ATM_Conf!$C$5/(ATM_Conf!$C$8*Links!AA$191))*(Nodes!BX152-Links!AA152)/(Links!AA152/ATM_Conf!$C$10)</f>
        <v>#DIV/0!</v>
      </c>
      <c r="AQ153" s="45" t="e">
        <f>AQ152+(ATM_Conf!$C$5/ATM_Conf!$C$8)*(Links!BF152*EXP((-(Links!AB152/Links!BU152)^Links!CJ152)/Links!CJ152)-Links!AQ152)+(ATM_Conf!$C$5/Links!AB$191)*Links!AQ152*(Nodes!BK152-Links!AQ152)-(ATM_Conf!$C$9*ATM_Conf!$C$5/(ATM_Conf!$C$8*Links!AB$191))*(Nodes!BY152-Links!AB152)/(Links!AB152/ATM_Conf!$C$10)</f>
        <v>#DIV/0!</v>
      </c>
      <c r="AR153" s="45" t="e">
        <f>AR152+(ATM_Conf!$C$5/ATM_Conf!$C$8)*(Links!BG152*EXP((-(Links!AC152/Links!BV152)^Links!CK152)/Links!CK152)-Links!AR152)+(ATM_Conf!$C$5/Links!AC$191)*Links!AR152*(Nodes!BL152-Links!AR152)-(ATM_Conf!$C$9*ATM_Conf!$C$5/(ATM_Conf!$C$8*Links!AC$191))*(Nodes!BZ152-Links!AC152)/(Links!AC152/ATM_Conf!$C$10)</f>
        <v>#DIV/0!</v>
      </c>
      <c r="AS153" s="45" t="e">
        <f>AS152+(ATM_Conf!$C$5/ATM_Conf!$C$8)*(Links!BH152*EXP((-(Links!AD152/Links!BW152)^Links!CL152)/Links!CL152)-Links!AS152)+(ATM_Conf!$C$5/Links!AD$191)*Links!AS152*(Nodes!BM152-Links!AS152)-(ATM_Conf!$C$9*ATM_Conf!$C$5/(ATM_Conf!$C$8*Links!AD$191))*(Nodes!CA152-Links!AD152)/(Links!AD152/ATM_Conf!$C$10)</f>
        <v>#DIV/0!</v>
      </c>
      <c r="AT153" s="45" t="e">
        <f>AT152+(ATM_Conf!$C$5/ATM_Conf!$C$8)*(Links!BI152*EXP((-(Links!AE152/Links!BX152)^Links!CM152)/Links!CM152)-Links!AT152)+(ATM_Conf!$C$5/Links!AE$191)*Links!AT152*(Nodes!BN152-Links!AT152)</f>
        <v>#DIV/0!</v>
      </c>
      <c r="AU153" s="55"/>
      <c r="AV153" s="55"/>
      <c r="AW153" s="55"/>
      <c r="AX153" s="55"/>
      <c r="AY153" s="55"/>
      <c r="AZ153" s="55"/>
      <c r="BA153" s="55"/>
      <c r="BB153" s="55"/>
      <c r="BC153" s="55"/>
      <c r="BD153" s="55"/>
      <c r="BE153" s="55"/>
      <c r="BF153" s="55"/>
      <c r="BG153" s="55"/>
      <c r="BH153" s="55"/>
      <c r="BI153" s="55"/>
      <c r="BJ153" s="45"/>
      <c r="BK153" s="45"/>
      <c r="BL153" s="45"/>
      <c r="BM153" s="45"/>
      <c r="BN153" s="45"/>
      <c r="BO153" s="45"/>
      <c r="BP153" s="45"/>
      <c r="BQ153" s="45"/>
      <c r="BR153" s="45"/>
      <c r="BS153" s="45"/>
      <c r="BT153" s="45"/>
      <c r="BU153" s="45"/>
      <c r="BV153" s="45"/>
      <c r="BW153" s="45"/>
      <c r="BX153" s="4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45">
        <f t="shared" si="84"/>
        <v>0</v>
      </c>
      <c r="CO153" s="45">
        <f t="shared" si="84"/>
        <v>0</v>
      </c>
      <c r="CP153" s="45">
        <f t="shared" si="84"/>
        <v>0</v>
      </c>
      <c r="CQ153" s="45">
        <f t="shared" si="84"/>
        <v>0</v>
      </c>
      <c r="CR153" s="45">
        <f t="shared" si="84"/>
        <v>0</v>
      </c>
      <c r="CS153" s="45">
        <f t="shared" si="84"/>
        <v>0</v>
      </c>
      <c r="CT153" s="45">
        <f t="shared" si="84"/>
        <v>0</v>
      </c>
      <c r="CU153" s="45">
        <f t="shared" si="84"/>
        <v>0</v>
      </c>
      <c r="CV153" s="45">
        <f t="shared" si="84"/>
        <v>0</v>
      </c>
      <c r="CW153" s="45">
        <f t="shared" si="84"/>
        <v>0</v>
      </c>
      <c r="CX153" s="45">
        <f t="shared" si="84"/>
        <v>0</v>
      </c>
      <c r="CY153" s="45">
        <f t="shared" si="84"/>
        <v>0</v>
      </c>
      <c r="CZ153" s="45">
        <f t="shared" si="84"/>
        <v>0</v>
      </c>
      <c r="DA153" s="45">
        <f t="shared" si="84"/>
        <v>0</v>
      </c>
      <c r="DB153" s="45">
        <f t="shared" si="84"/>
        <v>0</v>
      </c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</row>
    <row r="154" spans="1:121" ht="14.25" x14ac:dyDescent="0.15">
      <c r="A154" s="48">
        <v>152</v>
      </c>
      <c r="B154" s="45" t="e">
        <f t="shared" si="64"/>
        <v>#DIV/0!</v>
      </c>
      <c r="C154" s="45" t="e">
        <f t="shared" si="65"/>
        <v>#DIV/0!</v>
      </c>
      <c r="D154" s="45" t="e">
        <f t="shared" si="66"/>
        <v>#DIV/0!</v>
      </c>
      <c r="E154" s="45" t="e">
        <f t="shared" si="67"/>
        <v>#DIV/0!</v>
      </c>
      <c r="F154" s="45" t="e">
        <f t="shared" si="68"/>
        <v>#DIV/0!</v>
      </c>
      <c r="G154" s="45" t="e">
        <f t="shared" si="69"/>
        <v>#DIV/0!</v>
      </c>
      <c r="H154" s="45" t="e">
        <f t="shared" si="70"/>
        <v>#DIV/0!</v>
      </c>
      <c r="I154" s="45" t="e">
        <f t="shared" si="71"/>
        <v>#DIV/0!</v>
      </c>
      <c r="J154" s="45" t="e">
        <f t="shared" si="72"/>
        <v>#DIV/0!</v>
      </c>
      <c r="K154" s="45" t="e">
        <f t="shared" si="73"/>
        <v>#DIV/0!</v>
      </c>
      <c r="L154" s="45" t="e">
        <f t="shared" si="74"/>
        <v>#DIV/0!</v>
      </c>
      <c r="M154" s="45" t="e">
        <f t="shared" si="75"/>
        <v>#DIV/0!</v>
      </c>
      <c r="N154" s="45" t="e">
        <f t="shared" si="76"/>
        <v>#DIV/0!</v>
      </c>
      <c r="O154" s="45" t="e">
        <f t="shared" si="77"/>
        <v>#DIV/0!</v>
      </c>
      <c r="P154" s="45" t="e">
        <f t="shared" si="78"/>
        <v>#DIV/0!</v>
      </c>
      <c r="Q154" s="55" t="e">
        <f>Q153+ATM_Conf!$C$5*(B153)/(Links!B$191*Links!Q$191)</f>
        <v>#DIV/0!</v>
      </c>
      <c r="R154" s="55" t="e">
        <f>R153+ATM_Conf!$C$5*(C153-B153)/(Links!C$191*Links!R$191)</f>
        <v>#DIV/0!</v>
      </c>
      <c r="S154" s="55" t="e">
        <f>S153+ATM_Conf!$C$5*(D153-C153)/(Links!D$191*Links!S$191)</f>
        <v>#DIV/0!</v>
      </c>
      <c r="T154" s="55" t="e">
        <f>T153+ATM_Conf!$C$5*(E153-D153)/(Links!E$191*Links!T$191)</f>
        <v>#DIV/0!</v>
      </c>
      <c r="U154" s="55" t="e">
        <f>U153+ATM_Conf!$C$5*(F153-E153)/(Links!F$191*Links!U$191)</f>
        <v>#DIV/0!</v>
      </c>
      <c r="V154" s="55" t="e">
        <f>V153+ATM_Conf!$C$5*(G153-F153)/(Links!G$191*Links!V$191)</f>
        <v>#DIV/0!</v>
      </c>
      <c r="W154" s="55" t="e">
        <f>W153+ATM_Conf!$C$5*(H153-G153)/(Links!H$191*Links!W$191)</f>
        <v>#DIV/0!</v>
      </c>
      <c r="X154" s="55" t="e">
        <f>X153+ATM_Conf!$C$5*(I153-H153)/(Links!I$191*Links!X$191)</f>
        <v>#DIV/0!</v>
      </c>
      <c r="Y154" s="55" t="e">
        <f>Y153+ATM_Conf!$C$5*(J153)/(Links!J$191*Links!Y$191)</f>
        <v>#DIV/0!</v>
      </c>
      <c r="Z154" s="55" t="e">
        <f>Z153+ATM_Conf!$C$5*(K153-J153)/(Links!K$191*Links!Z$191)</f>
        <v>#DIV/0!</v>
      </c>
      <c r="AA154" s="55" t="e">
        <f>AA153+ATM_Conf!$C$5*(L153-K153)/(Links!L$191*Links!AA$191)</f>
        <v>#DIV/0!</v>
      </c>
      <c r="AB154" s="55" t="e">
        <f>AB153+ATM_Conf!$C$5*(M153-L153)/(Links!M$191*Links!AB$191)</f>
        <v>#DIV/0!</v>
      </c>
      <c r="AC154" s="55" t="e">
        <f>AC153+ATM_Conf!$C$5*(N153-M153)/(Links!N$191*Links!AC$191)</f>
        <v>#DIV/0!</v>
      </c>
      <c r="AD154" s="55" t="e">
        <f>AD153+ATM_Conf!$C$5*(O153-N153)/(Links!O$191*Links!AD$191)</f>
        <v>#DIV/0!</v>
      </c>
      <c r="AE154" s="55" t="e">
        <f>AE153+ATM_Conf!$C$5*(P153-O153)/(Links!P$191*Links!AE$191)</f>
        <v>#DIV/0!</v>
      </c>
      <c r="AF154" s="45" t="e">
        <f>AF153+(ATM_Conf!$C$5/ATM_Conf!$C$8)*(Links!AU153*EXP((-(Links!Q153/Links!BJ153)^Links!BY153)/Links!BY153)-Links!AF153)-(ATM_Conf!$C$9*ATM_Conf!$C$5/(ATM_Conf!$C$8*Links!Q$191))*(Nodes!BO153-Links!Q153)/(Links!Q153/ATM_Conf!$C$10)</f>
        <v>#DIV/0!</v>
      </c>
      <c r="AG154" s="45" t="e">
        <f>AG153+(ATM_Conf!$C$5/ATM_Conf!$C$8)*(Links!AV153*EXP((-(Links!R153/Links!BK153)^Links!BZ153)/Links!BZ153)-Links!AG153)+(ATM_Conf!$C$5/Links!R$191)*Links!AG153*(Nodes!BB153-Links!AG153)-(ATM_Conf!$C$9*ATM_Conf!$C$5/(ATM_Conf!$C$8*Links!R$191))*(Nodes!BP153-Links!R153)/(Links!R153/ATM_Conf!$C$10)</f>
        <v>#DIV/0!</v>
      </c>
      <c r="AH154" s="45" t="e">
        <f>AH153+(ATM_Conf!$C$5/ATM_Conf!$C$8)*(Links!AW153*EXP((-(Links!S153/Links!BL153)^Links!CA153)/Links!CA153)-Links!AH153)+(ATM_Conf!$C$5/Links!S$191)*Links!AH153*(Nodes!BC153-Links!AH153)-(ATM_Conf!$C$9*ATM_Conf!$C$5/(ATM_Conf!$C$8*Links!S$191))*(Nodes!BQ153-Links!S153)/(Links!S153/ATM_Conf!$C$10)</f>
        <v>#DIV/0!</v>
      </c>
      <c r="AI154" s="45" t="e">
        <f>AI153+(ATM_Conf!$C$5/ATM_Conf!$C$8)*(Links!AX153*EXP((-(Links!T153/Links!BM153)^Links!CB153)/Links!CB153)-Links!AI153)+(ATM_Conf!$C$5/Links!T$191)*Links!AI153*(Nodes!BD153-Links!AI153)-(ATM_Conf!$C$9*ATM_Conf!$C$5/(ATM_Conf!$C$8*Links!T$191))*(Nodes!BR153-Links!T153)/(Links!T153/ATM_Conf!$C$10)</f>
        <v>#DIV/0!</v>
      </c>
      <c r="AJ154" s="45" t="e">
        <f>AJ153+(ATM_Conf!$C$5/ATM_Conf!$C$8)*(Links!AY153*EXP((-(Links!U153/Links!BN153)^Links!CC153)/Links!CC153)-Links!AJ153)+(ATM_Conf!$C$5/Links!U$191)*Links!AJ153*(Nodes!BE153-Links!AJ153)-(ATM_Conf!$C$9*ATM_Conf!$C$5/(ATM_Conf!$C$8*Links!U$191))*(Nodes!BS153-Links!U153)/(Links!U153/ATM_Conf!$C$10)</f>
        <v>#DIV/0!</v>
      </c>
      <c r="AK154" s="45" t="e">
        <f>AK153+(ATM_Conf!$C$5/ATM_Conf!$C$8)*(Links!AZ153*EXP((-(Links!V153/Links!BO153)^Links!CD153)/Links!CD153)-Links!AK153)+(ATM_Conf!$C$5/Links!V$191)*Links!AK153*(Nodes!BF153-Links!AK153)-(ATM_Conf!$C$9*ATM_Conf!$C$5/(ATM_Conf!$C$8*Links!V$191))*(Nodes!BT153-Links!V153)/(Links!V153/ATM_Conf!$C$10)</f>
        <v>#DIV/0!</v>
      </c>
      <c r="AL154" s="45" t="e">
        <f>AL153+(ATM_Conf!$C$5/ATM_Conf!$C$8)*(Links!BA153*EXP((-(Links!W153/Links!BP153)^Links!CE153)/Links!CE153)-Links!AL153)+(ATM_Conf!$C$5/Links!W$191)*Links!AL153*(Nodes!BG153-Links!AL153)-(ATM_Conf!$C$9*ATM_Conf!$C$5/(ATM_Conf!$C$8*Links!W$191))*(Nodes!BU153-Links!W153)/(Links!W153/ATM_Conf!$C$10)</f>
        <v>#DIV/0!</v>
      </c>
      <c r="AM154" s="45" t="e">
        <f>AM153+(ATM_Conf!$C$5/ATM_Conf!$C$8)*(Links!BB153*EXP((-(Links!X153/Links!BQ153)^Links!CF153)/Links!CF153)-Links!AM153)+(ATM_Conf!$C$5/Links!X$191)*Links!AM153*(Nodes!BH153-Links!AM153)</f>
        <v>#DIV/0!</v>
      </c>
      <c r="AN154" s="45" t="e">
        <f>AN153+(ATM_Conf!$C$5/ATM_Conf!$C$8)*(Links!BC153*EXP((-(Links!Y153/Links!BR153)^Links!CG153)/Links!CG153)-Links!AN153)-(ATM_Conf!$C$9*ATM_Conf!$C$5/(ATM_Conf!$C$8*Links!Y$191))*(Nodes!BV153-Links!Y153)/(Links!Y153/ATM_Conf!$C$10)</f>
        <v>#DIV/0!</v>
      </c>
      <c r="AO154" s="45" t="e">
        <f>AO153+(ATM_Conf!$C$5/ATM_Conf!$C$8)*(Links!BD153*EXP((-(Links!Z153/Links!BS153)^Links!CH153)/Links!CH153)-Links!AO153)+(ATM_Conf!$C$5/Links!Z$191)*Links!AO153*(Nodes!BI153-Links!AO153)-(ATM_Conf!$C$9*ATM_Conf!$C$5/(ATM_Conf!$C$8*Links!Z$191))*(Nodes!BW153-Links!Z153)/(Links!Z153/ATM_Conf!$C$10)</f>
        <v>#DIV/0!</v>
      </c>
      <c r="AP154" s="45" t="e">
        <f>AP153+(ATM_Conf!$C$5/ATM_Conf!$C$8)*(Links!BE153*EXP((-(Links!AA153/Links!BT153)^Links!CI153)/Links!CI153)-Links!AP153)+(ATM_Conf!$C$5/Links!AA$191)*Links!AP153*(Nodes!BJ153-Links!AP153)-(ATM_Conf!$C$9*ATM_Conf!$C$5/(ATM_Conf!$C$8*Links!AA$191))*(Nodes!BX153-Links!AA153)/(Links!AA153/ATM_Conf!$C$10)</f>
        <v>#DIV/0!</v>
      </c>
      <c r="AQ154" s="45" t="e">
        <f>AQ153+(ATM_Conf!$C$5/ATM_Conf!$C$8)*(Links!BF153*EXP((-(Links!AB153/Links!BU153)^Links!CJ153)/Links!CJ153)-Links!AQ153)+(ATM_Conf!$C$5/Links!AB$191)*Links!AQ153*(Nodes!BK153-Links!AQ153)-(ATM_Conf!$C$9*ATM_Conf!$C$5/(ATM_Conf!$C$8*Links!AB$191))*(Nodes!BY153-Links!AB153)/(Links!AB153/ATM_Conf!$C$10)</f>
        <v>#DIV/0!</v>
      </c>
      <c r="AR154" s="45" t="e">
        <f>AR153+(ATM_Conf!$C$5/ATM_Conf!$C$8)*(Links!BG153*EXP((-(Links!AC153/Links!BV153)^Links!CK153)/Links!CK153)-Links!AR153)+(ATM_Conf!$C$5/Links!AC$191)*Links!AR153*(Nodes!BL153-Links!AR153)-(ATM_Conf!$C$9*ATM_Conf!$C$5/(ATM_Conf!$C$8*Links!AC$191))*(Nodes!BZ153-Links!AC153)/(Links!AC153/ATM_Conf!$C$10)</f>
        <v>#DIV/0!</v>
      </c>
      <c r="AS154" s="45" t="e">
        <f>AS153+(ATM_Conf!$C$5/ATM_Conf!$C$8)*(Links!BH153*EXP((-(Links!AD153/Links!BW153)^Links!CL153)/Links!CL153)-Links!AS153)+(ATM_Conf!$C$5/Links!AD$191)*Links!AS153*(Nodes!BM153-Links!AS153)-(ATM_Conf!$C$9*ATM_Conf!$C$5/(ATM_Conf!$C$8*Links!AD$191))*(Nodes!CA153-Links!AD153)/(Links!AD153/ATM_Conf!$C$10)</f>
        <v>#DIV/0!</v>
      </c>
      <c r="AT154" s="45" t="e">
        <f>AT153+(ATM_Conf!$C$5/ATM_Conf!$C$8)*(Links!BI153*EXP((-(Links!AE153/Links!BX153)^Links!CM153)/Links!CM153)-Links!AT153)+(ATM_Conf!$C$5/Links!AE$191)*Links!AT153*(Nodes!BN153-Links!AT153)</f>
        <v>#DIV/0!</v>
      </c>
      <c r="AU154" s="55"/>
      <c r="AV154" s="55"/>
      <c r="AW154" s="55"/>
      <c r="AX154" s="55"/>
      <c r="AY154" s="55"/>
      <c r="AZ154" s="55"/>
      <c r="BA154" s="55"/>
      <c r="BB154" s="55"/>
      <c r="BC154" s="55"/>
      <c r="BD154" s="55"/>
      <c r="BE154" s="55"/>
      <c r="BF154" s="55"/>
      <c r="BG154" s="55"/>
      <c r="BH154" s="55"/>
      <c r="BI154" s="55"/>
      <c r="BJ154" s="45"/>
      <c r="BK154" s="45"/>
      <c r="BL154" s="45"/>
      <c r="BM154" s="45"/>
      <c r="BN154" s="45"/>
      <c r="BO154" s="45"/>
      <c r="BP154" s="45"/>
      <c r="BQ154" s="45"/>
      <c r="BR154" s="45"/>
      <c r="BS154" s="45"/>
      <c r="BT154" s="45"/>
      <c r="BU154" s="45"/>
      <c r="BV154" s="45"/>
      <c r="BW154" s="45"/>
      <c r="BX154" s="4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45">
        <f t="shared" si="84"/>
        <v>0</v>
      </c>
      <c r="CO154" s="45">
        <f t="shared" si="84"/>
        <v>0</v>
      </c>
      <c r="CP154" s="45">
        <f t="shared" si="84"/>
        <v>0</v>
      </c>
      <c r="CQ154" s="45">
        <f t="shared" si="84"/>
        <v>0</v>
      </c>
      <c r="CR154" s="45">
        <f t="shared" si="84"/>
        <v>0</v>
      </c>
      <c r="CS154" s="45">
        <f t="shared" si="84"/>
        <v>0</v>
      </c>
      <c r="CT154" s="45">
        <f t="shared" si="84"/>
        <v>0</v>
      </c>
      <c r="CU154" s="45">
        <f t="shared" si="84"/>
        <v>0</v>
      </c>
      <c r="CV154" s="45">
        <f t="shared" si="84"/>
        <v>0</v>
      </c>
      <c r="CW154" s="45">
        <f t="shared" si="84"/>
        <v>0</v>
      </c>
      <c r="CX154" s="45">
        <f t="shared" si="84"/>
        <v>0</v>
      </c>
      <c r="CY154" s="45">
        <f t="shared" si="84"/>
        <v>0</v>
      </c>
      <c r="CZ154" s="45">
        <f t="shared" si="84"/>
        <v>0</v>
      </c>
      <c r="DA154" s="45">
        <f t="shared" si="84"/>
        <v>0</v>
      </c>
      <c r="DB154" s="45">
        <f t="shared" si="84"/>
        <v>0</v>
      </c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</row>
    <row r="155" spans="1:121" ht="14.25" x14ac:dyDescent="0.15">
      <c r="A155" s="48">
        <v>153</v>
      </c>
      <c r="B155" s="45" t="e">
        <f t="shared" si="64"/>
        <v>#DIV/0!</v>
      </c>
      <c r="C155" s="45" t="e">
        <f t="shared" si="65"/>
        <v>#DIV/0!</v>
      </c>
      <c r="D155" s="45" t="e">
        <f t="shared" si="66"/>
        <v>#DIV/0!</v>
      </c>
      <c r="E155" s="45" t="e">
        <f t="shared" si="67"/>
        <v>#DIV/0!</v>
      </c>
      <c r="F155" s="45" t="e">
        <f t="shared" si="68"/>
        <v>#DIV/0!</v>
      </c>
      <c r="G155" s="45" t="e">
        <f t="shared" si="69"/>
        <v>#DIV/0!</v>
      </c>
      <c r="H155" s="45" t="e">
        <f t="shared" si="70"/>
        <v>#DIV/0!</v>
      </c>
      <c r="I155" s="45" t="e">
        <f t="shared" si="71"/>
        <v>#DIV/0!</v>
      </c>
      <c r="J155" s="45" t="e">
        <f t="shared" si="72"/>
        <v>#DIV/0!</v>
      </c>
      <c r="K155" s="45" t="e">
        <f t="shared" si="73"/>
        <v>#DIV/0!</v>
      </c>
      <c r="L155" s="45" t="e">
        <f t="shared" si="74"/>
        <v>#DIV/0!</v>
      </c>
      <c r="M155" s="45" t="e">
        <f t="shared" si="75"/>
        <v>#DIV/0!</v>
      </c>
      <c r="N155" s="45" t="e">
        <f t="shared" si="76"/>
        <v>#DIV/0!</v>
      </c>
      <c r="O155" s="45" t="e">
        <f t="shared" si="77"/>
        <v>#DIV/0!</v>
      </c>
      <c r="P155" s="45" t="e">
        <f t="shared" si="78"/>
        <v>#DIV/0!</v>
      </c>
      <c r="Q155" s="55" t="e">
        <f>Q154+ATM_Conf!$C$5*(B154)/(Links!B$191*Links!Q$191)</f>
        <v>#DIV/0!</v>
      </c>
      <c r="R155" s="55" t="e">
        <f>R154+ATM_Conf!$C$5*(C154-B154)/(Links!C$191*Links!R$191)</f>
        <v>#DIV/0!</v>
      </c>
      <c r="S155" s="55" t="e">
        <f>S154+ATM_Conf!$C$5*(D154-C154)/(Links!D$191*Links!S$191)</f>
        <v>#DIV/0!</v>
      </c>
      <c r="T155" s="55" t="e">
        <f>T154+ATM_Conf!$C$5*(E154-D154)/(Links!E$191*Links!T$191)</f>
        <v>#DIV/0!</v>
      </c>
      <c r="U155" s="55" t="e">
        <f>U154+ATM_Conf!$C$5*(F154-E154)/(Links!F$191*Links!U$191)</f>
        <v>#DIV/0!</v>
      </c>
      <c r="V155" s="55" t="e">
        <f>V154+ATM_Conf!$C$5*(G154-F154)/(Links!G$191*Links!V$191)</f>
        <v>#DIV/0!</v>
      </c>
      <c r="W155" s="55" t="e">
        <f>W154+ATM_Conf!$C$5*(H154-G154)/(Links!H$191*Links!W$191)</f>
        <v>#DIV/0!</v>
      </c>
      <c r="X155" s="55" t="e">
        <f>X154+ATM_Conf!$C$5*(I154-H154)/(Links!I$191*Links!X$191)</f>
        <v>#DIV/0!</v>
      </c>
      <c r="Y155" s="55" t="e">
        <f>Y154+ATM_Conf!$C$5*(J154)/(Links!J$191*Links!Y$191)</f>
        <v>#DIV/0!</v>
      </c>
      <c r="Z155" s="55" t="e">
        <f>Z154+ATM_Conf!$C$5*(K154-J154)/(Links!K$191*Links!Z$191)</f>
        <v>#DIV/0!</v>
      </c>
      <c r="AA155" s="55" t="e">
        <f>AA154+ATM_Conf!$C$5*(L154-K154)/(Links!L$191*Links!AA$191)</f>
        <v>#DIV/0!</v>
      </c>
      <c r="AB155" s="55" t="e">
        <f>AB154+ATM_Conf!$C$5*(M154-L154)/(Links!M$191*Links!AB$191)</f>
        <v>#DIV/0!</v>
      </c>
      <c r="AC155" s="55" t="e">
        <f>AC154+ATM_Conf!$C$5*(N154-M154)/(Links!N$191*Links!AC$191)</f>
        <v>#DIV/0!</v>
      </c>
      <c r="AD155" s="55" t="e">
        <f>AD154+ATM_Conf!$C$5*(O154-N154)/(Links!O$191*Links!AD$191)</f>
        <v>#DIV/0!</v>
      </c>
      <c r="AE155" s="55" t="e">
        <f>AE154+ATM_Conf!$C$5*(P154-O154)/(Links!P$191*Links!AE$191)</f>
        <v>#DIV/0!</v>
      </c>
      <c r="AF155" s="45" t="e">
        <f>AF154+(ATM_Conf!$C$5/ATM_Conf!$C$8)*(Links!AU154*EXP((-(Links!Q154/Links!BJ154)^Links!BY154)/Links!BY154)-Links!AF154)-(ATM_Conf!$C$9*ATM_Conf!$C$5/(ATM_Conf!$C$8*Links!Q$191))*(Nodes!BO154-Links!Q154)/(Links!Q154/ATM_Conf!$C$10)</f>
        <v>#DIV/0!</v>
      </c>
      <c r="AG155" s="45" t="e">
        <f>AG154+(ATM_Conf!$C$5/ATM_Conf!$C$8)*(Links!AV154*EXP((-(Links!R154/Links!BK154)^Links!BZ154)/Links!BZ154)-Links!AG154)+(ATM_Conf!$C$5/Links!R$191)*Links!AG154*(Nodes!BB154-Links!AG154)-(ATM_Conf!$C$9*ATM_Conf!$C$5/(ATM_Conf!$C$8*Links!R$191))*(Nodes!BP154-Links!R154)/(Links!R154/ATM_Conf!$C$10)</f>
        <v>#DIV/0!</v>
      </c>
      <c r="AH155" s="45" t="e">
        <f>AH154+(ATM_Conf!$C$5/ATM_Conf!$C$8)*(Links!AW154*EXP((-(Links!S154/Links!BL154)^Links!CA154)/Links!CA154)-Links!AH154)+(ATM_Conf!$C$5/Links!S$191)*Links!AH154*(Nodes!BC154-Links!AH154)-(ATM_Conf!$C$9*ATM_Conf!$C$5/(ATM_Conf!$C$8*Links!S$191))*(Nodes!BQ154-Links!S154)/(Links!S154/ATM_Conf!$C$10)</f>
        <v>#DIV/0!</v>
      </c>
      <c r="AI155" s="45" t="e">
        <f>AI154+(ATM_Conf!$C$5/ATM_Conf!$C$8)*(Links!AX154*EXP((-(Links!T154/Links!BM154)^Links!CB154)/Links!CB154)-Links!AI154)+(ATM_Conf!$C$5/Links!T$191)*Links!AI154*(Nodes!BD154-Links!AI154)-(ATM_Conf!$C$9*ATM_Conf!$C$5/(ATM_Conf!$C$8*Links!T$191))*(Nodes!BR154-Links!T154)/(Links!T154/ATM_Conf!$C$10)</f>
        <v>#DIV/0!</v>
      </c>
      <c r="AJ155" s="45" t="e">
        <f>AJ154+(ATM_Conf!$C$5/ATM_Conf!$C$8)*(Links!AY154*EXP((-(Links!U154/Links!BN154)^Links!CC154)/Links!CC154)-Links!AJ154)+(ATM_Conf!$C$5/Links!U$191)*Links!AJ154*(Nodes!BE154-Links!AJ154)-(ATM_Conf!$C$9*ATM_Conf!$C$5/(ATM_Conf!$C$8*Links!U$191))*(Nodes!BS154-Links!U154)/(Links!U154/ATM_Conf!$C$10)</f>
        <v>#DIV/0!</v>
      </c>
      <c r="AK155" s="45" t="e">
        <f>AK154+(ATM_Conf!$C$5/ATM_Conf!$C$8)*(Links!AZ154*EXP((-(Links!V154/Links!BO154)^Links!CD154)/Links!CD154)-Links!AK154)+(ATM_Conf!$C$5/Links!V$191)*Links!AK154*(Nodes!BF154-Links!AK154)-(ATM_Conf!$C$9*ATM_Conf!$C$5/(ATM_Conf!$C$8*Links!V$191))*(Nodes!BT154-Links!V154)/(Links!V154/ATM_Conf!$C$10)</f>
        <v>#DIV/0!</v>
      </c>
      <c r="AL155" s="45" t="e">
        <f>AL154+(ATM_Conf!$C$5/ATM_Conf!$C$8)*(Links!BA154*EXP((-(Links!W154/Links!BP154)^Links!CE154)/Links!CE154)-Links!AL154)+(ATM_Conf!$C$5/Links!W$191)*Links!AL154*(Nodes!BG154-Links!AL154)-(ATM_Conf!$C$9*ATM_Conf!$C$5/(ATM_Conf!$C$8*Links!W$191))*(Nodes!BU154-Links!W154)/(Links!W154/ATM_Conf!$C$10)</f>
        <v>#DIV/0!</v>
      </c>
      <c r="AM155" s="45" t="e">
        <f>AM154+(ATM_Conf!$C$5/ATM_Conf!$C$8)*(Links!BB154*EXP((-(Links!X154/Links!BQ154)^Links!CF154)/Links!CF154)-Links!AM154)+(ATM_Conf!$C$5/Links!X$191)*Links!AM154*(Nodes!BH154-Links!AM154)</f>
        <v>#DIV/0!</v>
      </c>
      <c r="AN155" s="45" t="e">
        <f>AN154+(ATM_Conf!$C$5/ATM_Conf!$C$8)*(Links!BC154*EXP((-(Links!Y154/Links!BR154)^Links!CG154)/Links!CG154)-Links!AN154)-(ATM_Conf!$C$9*ATM_Conf!$C$5/(ATM_Conf!$C$8*Links!Y$191))*(Nodes!BV154-Links!Y154)/(Links!Y154/ATM_Conf!$C$10)</f>
        <v>#DIV/0!</v>
      </c>
      <c r="AO155" s="45" t="e">
        <f>AO154+(ATM_Conf!$C$5/ATM_Conf!$C$8)*(Links!BD154*EXP((-(Links!Z154/Links!BS154)^Links!CH154)/Links!CH154)-Links!AO154)+(ATM_Conf!$C$5/Links!Z$191)*Links!AO154*(Nodes!BI154-Links!AO154)-(ATM_Conf!$C$9*ATM_Conf!$C$5/(ATM_Conf!$C$8*Links!Z$191))*(Nodes!BW154-Links!Z154)/(Links!Z154/ATM_Conf!$C$10)</f>
        <v>#DIV/0!</v>
      </c>
      <c r="AP155" s="45" t="e">
        <f>AP154+(ATM_Conf!$C$5/ATM_Conf!$C$8)*(Links!BE154*EXP((-(Links!AA154/Links!BT154)^Links!CI154)/Links!CI154)-Links!AP154)+(ATM_Conf!$C$5/Links!AA$191)*Links!AP154*(Nodes!BJ154-Links!AP154)-(ATM_Conf!$C$9*ATM_Conf!$C$5/(ATM_Conf!$C$8*Links!AA$191))*(Nodes!BX154-Links!AA154)/(Links!AA154/ATM_Conf!$C$10)</f>
        <v>#DIV/0!</v>
      </c>
      <c r="AQ155" s="45" t="e">
        <f>AQ154+(ATM_Conf!$C$5/ATM_Conf!$C$8)*(Links!BF154*EXP((-(Links!AB154/Links!BU154)^Links!CJ154)/Links!CJ154)-Links!AQ154)+(ATM_Conf!$C$5/Links!AB$191)*Links!AQ154*(Nodes!BK154-Links!AQ154)-(ATM_Conf!$C$9*ATM_Conf!$C$5/(ATM_Conf!$C$8*Links!AB$191))*(Nodes!BY154-Links!AB154)/(Links!AB154/ATM_Conf!$C$10)</f>
        <v>#DIV/0!</v>
      </c>
      <c r="AR155" s="45" t="e">
        <f>AR154+(ATM_Conf!$C$5/ATM_Conf!$C$8)*(Links!BG154*EXP((-(Links!AC154/Links!BV154)^Links!CK154)/Links!CK154)-Links!AR154)+(ATM_Conf!$C$5/Links!AC$191)*Links!AR154*(Nodes!BL154-Links!AR154)-(ATM_Conf!$C$9*ATM_Conf!$C$5/(ATM_Conf!$C$8*Links!AC$191))*(Nodes!BZ154-Links!AC154)/(Links!AC154/ATM_Conf!$C$10)</f>
        <v>#DIV/0!</v>
      </c>
      <c r="AS155" s="45" t="e">
        <f>AS154+(ATM_Conf!$C$5/ATM_Conf!$C$8)*(Links!BH154*EXP((-(Links!AD154/Links!BW154)^Links!CL154)/Links!CL154)-Links!AS154)+(ATM_Conf!$C$5/Links!AD$191)*Links!AS154*(Nodes!BM154-Links!AS154)-(ATM_Conf!$C$9*ATM_Conf!$C$5/(ATM_Conf!$C$8*Links!AD$191))*(Nodes!CA154-Links!AD154)/(Links!AD154/ATM_Conf!$C$10)</f>
        <v>#DIV/0!</v>
      </c>
      <c r="AT155" s="45" t="e">
        <f>AT154+(ATM_Conf!$C$5/ATM_Conf!$C$8)*(Links!BI154*EXP((-(Links!AE154/Links!BX154)^Links!CM154)/Links!CM154)-Links!AT154)+(ATM_Conf!$C$5/Links!AE$191)*Links!AT154*(Nodes!BN154-Links!AT154)</f>
        <v>#DIV/0!</v>
      </c>
      <c r="AU155" s="55"/>
      <c r="AV155" s="55"/>
      <c r="AW155" s="55"/>
      <c r="AX155" s="55"/>
      <c r="AY155" s="55"/>
      <c r="AZ155" s="55"/>
      <c r="BA155" s="55"/>
      <c r="BB155" s="55"/>
      <c r="BC155" s="55"/>
      <c r="BD155" s="55"/>
      <c r="BE155" s="55"/>
      <c r="BF155" s="55"/>
      <c r="BG155" s="55"/>
      <c r="BH155" s="55"/>
      <c r="BI155" s="55"/>
      <c r="BJ155" s="45"/>
      <c r="BK155" s="45"/>
      <c r="BL155" s="45"/>
      <c r="BM155" s="45"/>
      <c r="BN155" s="45"/>
      <c r="BO155" s="45"/>
      <c r="BP155" s="45"/>
      <c r="BQ155" s="45"/>
      <c r="BR155" s="45"/>
      <c r="BS155" s="45"/>
      <c r="BT155" s="45"/>
      <c r="BU155" s="45"/>
      <c r="BV155" s="45"/>
      <c r="BW155" s="45"/>
      <c r="BX155" s="45"/>
      <c r="BY155" s="55"/>
      <c r="BZ155" s="55"/>
      <c r="CA155" s="55"/>
      <c r="CB155" s="55"/>
      <c r="CC155" s="55"/>
      <c r="CD155" s="55"/>
      <c r="CE155" s="55"/>
      <c r="CF155" s="55"/>
      <c r="CG155" s="55"/>
      <c r="CH155" s="55"/>
      <c r="CI155" s="55"/>
      <c r="CJ155" s="55"/>
      <c r="CK155" s="55"/>
      <c r="CL155" s="55"/>
      <c r="CM155" s="55"/>
      <c r="CN155" s="45">
        <f t="shared" si="84"/>
        <v>0</v>
      </c>
      <c r="CO155" s="45">
        <f t="shared" si="84"/>
        <v>0</v>
      </c>
      <c r="CP155" s="45">
        <f t="shared" si="84"/>
        <v>0</v>
      </c>
      <c r="CQ155" s="45">
        <f t="shared" si="84"/>
        <v>0</v>
      </c>
      <c r="CR155" s="45">
        <f t="shared" si="84"/>
        <v>0</v>
      </c>
      <c r="CS155" s="45">
        <f t="shared" si="84"/>
        <v>0</v>
      </c>
      <c r="CT155" s="45">
        <f t="shared" si="84"/>
        <v>0</v>
      </c>
      <c r="CU155" s="45">
        <f t="shared" si="84"/>
        <v>0</v>
      </c>
      <c r="CV155" s="45">
        <f t="shared" si="84"/>
        <v>0</v>
      </c>
      <c r="CW155" s="45">
        <f t="shared" si="84"/>
        <v>0</v>
      </c>
      <c r="CX155" s="45">
        <f t="shared" si="84"/>
        <v>0</v>
      </c>
      <c r="CY155" s="45">
        <f t="shared" si="84"/>
        <v>0</v>
      </c>
      <c r="CZ155" s="45">
        <f t="shared" si="84"/>
        <v>0</v>
      </c>
      <c r="DA155" s="45">
        <f t="shared" si="84"/>
        <v>0</v>
      </c>
      <c r="DB155" s="45">
        <f t="shared" si="84"/>
        <v>0</v>
      </c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</row>
    <row r="156" spans="1:121" ht="14.25" x14ac:dyDescent="0.15">
      <c r="A156" s="48">
        <v>154</v>
      </c>
      <c r="B156" s="45" t="e">
        <f t="shared" si="64"/>
        <v>#DIV/0!</v>
      </c>
      <c r="C156" s="45" t="e">
        <f t="shared" si="65"/>
        <v>#DIV/0!</v>
      </c>
      <c r="D156" s="45" t="e">
        <f t="shared" si="66"/>
        <v>#DIV/0!</v>
      </c>
      <c r="E156" s="45" t="e">
        <f t="shared" si="67"/>
        <v>#DIV/0!</v>
      </c>
      <c r="F156" s="45" t="e">
        <f t="shared" si="68"/>
        <v>#DIV/0!</v>
      </c>
      <c r="G156" s="45" t="e">
        <f t="shared" si="69"/>
        <v>#DIV/0!</v>
      </c>
      <c r="H156" s="45" t="e">
        <f t="shared" si="70"/>
        <v>#DIV/0!</v>
      </c>
      <c r="I156" s="45" t="e">
        <f t="shared" si="71"/>
        <v>#DIV/0!</v>
      </c>
      <c r="J156" s="45" t="e">
        <f t="shared" si="72"/>
        <v>#DIV/0!</v>
      </c>
      <c r="K156" s="45" t="e">
        <f t="shared" si="73"/>
        <v>#DIV/0!</v>
      </c>
      <c r="L156" s="45" t="e">
        <f t="shared" si="74"/>
        <v>#DIV/0!</v>
      </c>
      <c r="M156" s="45" t="e">
        <f t="shared" si="75"/>
        <v>#DIV/0!</v>
      </c>
      <c r="N156" s="45" t="e">
        <f t="shared" si="76"/>
        <v>#DIV/0!</v>
      </c>
      <c r="O156" s="45" t="e">
        <f t="shared" si="77"/>
        <v>#DIV/0!</v>
      </c>
      <c r="P156" s="45" t="e">
        <f t="shared" si="78"/>
        <v>#DIV/0!</v>
      </c>
      <c r="Q156" s="55" t="e">
        <f>Q155+ATM_Conf!$C$5*(B155)/(Links!B$191*Links!Q$191)</f>
        <v>#DIV/0!</v>
      </c>
      <c r="R156" s="55" t="e">
        <f>R155+ATM_Conf!$C$5*(C155-B155)/(Links!C$191*Links!R$191)</f>
        <v>#DIV/0!</v>
      </c>
      <c r="S156" s="55" t="e">
        <f>S155+ATM_Conf!$C$5*(D155-C155)/(Links!D$191*Links!S$191)</f>
        <v>#DIV/0!</v>
      </c>
      <c r="T156" s="55" t="e">
        <f>T155+ATM_Conf!$C$5*(E155-D155)/(Links!E$191*Links!T$191)</f>
        <v>#DIV/0!</v>
      </c>
      <c r="U156" s="55" t="e">
        <f>U155+ATM_Conf!$C$5*(F155-E155)/(Links!F$191*Links!U$191)</f>
        <v>#DIV/0!</v>
      </c>
      <c r="V156" s="55" t="e">
        <f>V155+ATM_Conf!$C$5*(G155-F155)/(Links!G$191*Links!V$191)</f>
        <v>#DIV/0!</v>
      </c>
      <c r="W156" s="55" t="e">
        <f>W155+ATM_Conf!$C$5*(H155-G155)/(Links!H$191*Links!W$191)</f>
        <v>#DIV/0!</v>
      </c>
      <c r="X156" s="55" t="e">
        <f>X155+ATM_Conf!$C$5*(I155-H155)/(Links!I$191*Links!X$191)</f>
        <v>#DIV/0!</v>
      </c>
      <c r="Y156" s="55" t="e">
        <f>Y155+ATM_Conf!$C$5*(J155)/(Links!J$191*Links!Y$191)</f>
        <v>#DIV/0!</v>
      </c>
      <c r="Z156" s="55" t="e">
        <f>Z155+ATM_Conf!$C$5*(K155-J155)/(Links!K$191*Links!Z$191)</f>
        <v>#DIV/0!</v>
      </c>
      <c r="AA156" s="55" t="e">
        <f>AA155+ATM_Conf!$C$5*(L155-K155)/(Links!L$191*Links!AA$191)</f>
        <v>#DIV/0!</v>
      </c>
      <c r="AB156" s="55" t="e">
        <f>AB155+ATM_Conf!$C$5*(M155-L155)/(Links!M$191*Links!AB$191)</f>
        <v>#DIV/0!</v>
      </c>
      <c r="AC156" s="55" t="e">
        <f>AC155+ATM_Conf!$C$5*(N155-M155)/(Links!N$191*Links!AC$191)</f>
        <v>#DIV/0!</v>
      </c>
      <c r="AD156" s="55" t="e">
        <f>AD155+ATM_Conf!$C$5*(O155-N155)/(Links!O$191*Links!AD$191)</f>
        <v>#DIV/0!</v>
      </c>
      <c r="AE156" s="55" t="e">
        <f>AE155+ATM_Conf!$C$5*(P155-O155)/(Links!P$191*Links!AE$191)</f>
        <v>#DIV/0!</v>
      </c>
      <c r="AF156" s="45" t="e">
        <f>AF155+(ATM_Conf!$C$5/ATM_Conf!$C$8)*(Links!AU155*EXP((-(Links!Q155/Links!BJ155)^Links!BY155)/Links!BY155)-Links!AF155)-(ATM_Conf!$C$9*ATM_Conf!$C$5/(ATM_Conf!$C$8*Links!Q$191))*(Nodes!BO155-Links!Q155)/(Links!Q155/ATM_Conf!$C$10)</f>
        <v>#DIV/0!</v>
      </c>
      <c r="AG156" s="45" t="e">
        <f>AG155+(ATM_Conf!$C$5/ATM_Conf!$C$8)*(Links!AV155*EXP((-(Links!R155/Links!BK155)^Links!BZ155)/Links!BZ155)-Links!AG155)+(ATM_Conf!$C$5/Links!R$191)*Links!AG155*(Nodes!BB155-Links!AG155)-(ATM_Conf!$C$9*ATM_Conf!$C$5/(ATM_Conf!$C$8*Links!R$191))*(Nodes!BP155-Links!R155)/(Links!R155/ATM_Conf!$C$10)</f>
        <v>#DIV/0!</v>
      </c>
      <c r="AH156" s="45" t="e">
        <f>AH155+(ATM_Conf!$C$5/ATM_Conf!$C$8)*(Links!AW155*EXP((-(Links!S155/Links!BL155)^Links!CA155)/Links!CA155)-Links!AH155)+(ATM_Conf!$C$5/Links!S$191)*Links!AH155*(Nodes!BC155-Links!AH155)-(ATM_Conf!$C$9*ATM_Conf!$C$5/(ATM_Conf!$C$8*Links!S$191))*(Nodes!BQ155-Links!S155)/(Links!S155/ATM_Conf!$C$10)</f>
        <v>#DIV/0!</v>
      </c>
      <c r="AI156" s="45" t="e">
        <f>AI155+(ATM_Conf!$C$5/ATM_Conf!$C$8)*(Links!AX155*EXP((-(Links!T155/Links!BM155)^Links!CB155)/Links!CB155)-Links!AI155)+(ATM_Conf!$C$5/Links!T$191)*Links!AI155*(Nodes!BD155-Links!AI155)-(ATM_Conf!$C$9*ATM_Conf!$C$5/(ATM_Conf!$C$8*Links!T$191))*(Nodes!BR155-Links!T155)/(Links!T155/ATM_Conf!$C$10)</f>
        <v>#DIV/0!</v>
      </c>
      <c r="AJ156" s="45" t="e">
        <f>AJ155+(ATM_Conf!$C$5/ATM_Conf!$C$8)*(Links!AY155*EXP((-(Links!U155/Links!BN155)^Links!CC155)/Links!CC155)-Links!AJ155)+(ATM_Conf!$C$5/Links!U$191)*Links!AJ155*(Nodes!BE155-Links!AJ155)-(ATM_Conf!$C$9*ATM_Conf!$C$5/(ATM_Conf!$C$8*Links!U$191))*(Nodes!BS155-Links!U155)/(Links!U155/ATM_Conf!$C$10)</f>
        <v>#DIV/0!</v>
      </c>
      <c r="AK156" s="45" t="e">
        <f>AK155+(ATM_Conf!$C$5/ATM_Conf!$C$8)*(Links!AZ155*EXP((-(Links!V155/Links!BO155)^Links!CD155)/Links!CD155)-Links!AK155)+(ATM_Conf!$C$5/Links!V$191)*Links!AK155*(Nodes!BF155-Links!AK155)-(ATM_Conf!$C$9*ATM_Conf!$C$5/(ATM_Conf!$C$8*Links!V$191))*(Nodes!BT155-Links!V155)/(Links!V155/ATM_Conf!$C$10)</f>
        <v>#DIV/0!</v>
      </c>
      <c r="AL156" s="45" t="e">
        <f>AL155+(ATM_Conf!$C$5/ATM_Conf!$C$8)*(Links!BA155*EXP((-(Links!W155/Links!BP155)^Links!CE155)/Links!CE155)-Links!AL155)+(ATM_Conf!$C$5/Links!W$191)*Links!AL155*(Nodes!BG155-Links!AL155)-(ATM_Conf!$C$9*ATM_Conf!$C$5/(ATM_Conf!$C$8*Links!W$191))*(Nodes!BU155-Links!W155)/(Links!W155/ATM_Conf!$C$10)</f>
        <v>#DIV/0!</v>
      </c>
      <c r="AM156" s="45" t="e">
        <f>AM155+(ATM_Conf!$C$5/ATM_Conf!$C$8)*(Links!BB155*EXP((-(Links!X155/Links!BQ155)^Links!CF155)/Links!CF155)-Links!AM155)+(ATM_Conf!$C$5/Links!X$191)*Links!AM155*(Nodes!BH155-Links!AM155)</f>
        <v>#DIV/0!</v>
      </c>
      <c r="AN156" s="45" t="e">
        <f>AN155+(ATM_Conf!$C$5/ATM_Conf!$C$8)*(Links!BC155*EXP((-(Links!Y155/Links!BR155)^Links!CG155)/Links!CG155)-Links!AN155)-(ATM_Conf!$C$9*ATM_Conf!$C$5/(ATM_Conf!$C$8*Links!Y$191))*(Nodes!BV155-Links!Y155)/(Links!Y155/ATM_Conf!$C$10)</f>
        <v>#DIV/0!</v>
      </c>
      <c r="AO156" s="45" t="e">
        <f>AO155+(ATM_Conf!$C$5/ATM_Conf!$C$8)*(Links!BD155*EXP((-(Links!Z155/Links!BS155)^Links!CH155)/Links!CH155)-Links!AO155)+(ATM_Conf!$C$5/Links!Z$191)*Links!AO155*(Nodes!BI155-Links!AO155)-(ATM_Conf!$C$9*ATM_Conf!$C$5/(ATM_Conf!$C$8*Links!Z$191))*(Nodes!BW155-Links!Z155)/(Links!Z155/ATM_Conf!$C$10)</f>
        <v>#DIV/0!</v>
      </c>
      <c r="AP156" s="45" t="e">
        <f>AP155+(ATM_Conf!$C$5/ATM_Conf!$C$8)*(Links!BE155*EXP((-(Links!AA155/Links!BT155)^Links!CI155)/Links!CI155)-Links!AP155)+(ATM_Conf!$C$5/Links!AA$191)*Links!AP155*(Nodes!BJ155-Links!AP155)-(ATM_Conf!$C$9*ATM_Conf!$C$5/(ATM_Conf!$C$8*Links!AA$191))*(Nodes!BX155-Links!AA155)/(Links!AA155/ATM_Conf!$C$10)</f>
        <v>#DIV/0!</v>
      </c>
      <c r="AQ156" s="45" t="e">
        <f>AQ155+(ATM_Conf!$C$5/ATM_Conf!$C$8)*(Links!BF155*EXP((-(Links!AB155/Links!BU155)^Links!CJ155)/Links!CJ155)-Links!AQ155)+(ATM_Conf!$C$5/Links!AB$191)*Links!AQ155*(Nodes!BK155-Links!AQ155)-(ATM_Conf!$C$9*ATM_Conf!$C$5/(ATM_Conf!$C$8*Links!AB$191))*(Nodes!BY155-Links!AB155)/(Links!AB155/ATM_Conf!$C$10)</f>
        <v>#DIV/0!</v>
      </c>
      <c r="AR156" s="45" t="e">
        <f>AR155+(ATM_Conf!$C$5/ATM_Conf!$C$8)*(Links!BG155*EXP((-(Links!AC155/Links!BV155)^Links!CK155)/Links!CK155)-Links!AR155)+(ATM_Conf!$C$5/Links!AC$191)*Links!AR155*(Nodes!BL155-Links!AR155)-(ATM_Conf!$C$9*ATM_Conf!$C$5/(ATM_Conf!$C$8*Links!AC$191))*(Nodes!BZ155-Links!AC155)/(Links!AC155/ATM_Conf!$C$10)</f>
        <v>#DIV/0!</v>
      </c>
      <c r="AS156" s="45" t="e">
        <f>AS155+(ATM_Conf!$C$5/ATM_Conf!$C$8)*(Links!BH155*EXP((-(Links!AD155/Links!BW155)^Links!CL155)/Links!CL155)-Links!AS155)+(ATM_Conf!$C$5/Links!AD$191)*Links!AS155*(Nodes!BM155-Links!AS155)-(ATM_Conf!$C$9*ATM_Conf!$C$5/(ATM_Conf!$C$8*Links!AD$191))*(Nodes!CA155-Links!AD155)/(Links!AD155/ATM_Conf!$C$10)</f>
        <v>#DIV/0!</v>
      </c>
      <c r="AT156" s="45" t="e">
        <f>AT155+(ATM_Conf!$C$5/ATM_Conf!$C$8)*(Links!BI155*EXP((-(Links!AE155/Links!BX155)^Links!CM155)/Links!CM155)-Links!AT155)+(ATM_Conf!$C$5/Links!AE$191)*Links!AT155*(Nodes!BN155-Links!AT155)</f>
        <v>#DIV/0!</v>
      </c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45"/>
      <c r="BK156" s="45"/>
      <c r="BL156" s="45"/>
      <c r="BM156" s="45"/>
      <c r="BN156" s="45"/>
      <c r="BO156" s="45"/>
      <c r="BP156" s="45"/>
      <c r="BQ156" s="45"/>
      <c r="BR156" s="45"/>
      <c r="BS156" s="45"/>
      <c r="BT156" s="45"/>
      <c r="BU156" s="45"/>
      <c r="BV156" s="45"/>
      <c r="BW156" s="45"/>
      <c r="BX156" s="45"/>
      <c r="BY156" s="55"/>
      <c r="BZ156" s="55"/>
      <c r="CA156" s="55"/>
      <c r="CB156" s="55"/>
      <c r="CC156" s="55"/>
      <c r="CD156" s="55"/>
      <c r="CE156" s="55"/>
      <c r="CF156" s="55"/>
      <c r="CG156" s="55"/>
      <c r="CH156" s="55"/>
      <c r="CI156" s="55"/>
      <c r="CJ156" s="55"/>
      <c r="CK156" s="55"/>
      <c r="CL156" s="55"/>
      <c r="CM156" s="55"/>
      <c r="CN156" s="45">
        <f t="shared" si="84"/>
        <v>0</v>
      </c>
      <c r="CO156" s="45">
        <f t="shared" si="84"/>
        <v>0</v>
      </c>
      <c r="CP156" s="45">
        <f t="shared" si="84"/>
        <v>0</v>
      </c>
      <c r="CQ156" s="45">
        <f t="shared" si="84"/>
        <v>0</v>
      </c>
      <c r="CR156" s="45">
        <f t="shared" si="84"/>
        <v>0</v>
      </c>
      <c r="CS156" s="45">
        <f t="shared" si="84"/>
        <v>0</v>
      </c>
      <c r="CT156" s="45">
        <f t="shared" si="84"/>
        <v>0</v>
      </c>
      <c r="CU156" s="45">
        <f t="shared" si="84"/>
        <v>0</v>
      </c>
      <c r="CV156" s="45">
        <f t="shared" si="84"/>
        <v>0</v>
      </c>
      <c r="CW156" s="45">
        <f t="shared" si="84"/>
        <v>0</v>
      </c>
      <c r="CX156" s="45">
        <f t="shared" si="84"/>
        <v>0</v>
      </c>
      <c r="CY156" s="45">
        <f t="shared" si="84"/>
        <v>0</v>
      </c>
      <c r="CZ156" s="45">
        <f t="shared" si="84"/>
        <v>0</v>
      </c>
      <c r="DA156" s="45">
        <f t="shared" si="84"/>
        <v>0</v>
      </c>
      <c r="DB156" s="45">
        <f t="shared" si="84"/>
        <v>0</v>
      </c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</row>
    <row r="157" spans="1:121" ht="14.25" x14ac:dyDescent="0.15">
      <c r="A157" s="48">
        <v>155</v>
      </c>
      <c r="B157" s="45" t="e">
        <f t="shared" si="64"/>
        <v>#DIV/0!</v>
      </c>
      <c r="C157" s="45" t="e">
        <f t="shared" si="65"/>
        <v>#DIV/0!</v>
      </c>
      <c r="D157" s="45" t="e">
        <f t="shared" si="66"/>
        <v>#DIV/0!</v>
      </c>
      <c r="E157" s="45" t="e">
        <f t="shared" si="67"/>
        <v>#DIV/0!</v>
      </c>
      <c r="F157" s="45" t="e">
        <f t="shared" si="68"/>
        <v>#DIV/0!</v>
      </c>
      <c r="G157" s="45" t="e">
        <f t="shared" si="69"/>
        <v>#DIV/0!</v>
      </c>
      <c r="H157" s="45" t="e">
        <f t="shared" si="70"/>
        <v>#DIV/0!</v>
      </c>
      <c r="I157" s="45" t="e">
        <f t="shared" si="71"/>
        <v>#DIV/0!</v>
      </c>
      <c r="J157" s="45" t="e">
        <f t="shared" si="72"/>
        <v>#DIV/0!</v>
      </c>
      <c r="K157" s="45" t="e">
        <f t="shared" si="73"/>
        <v>#DIV/0!</v>
      </c>
      <c r="L157" s="45" t="e">
        <f t="shared" si="74"/>
        <v>#DIV/0!</v>
      </c>
      <c r="M157" s="45" t="e">
        <f t="shared" si="75"/>
        <v>#DIV/0!</v>
      </c>
      <c r="N157" s="45" t="e">
        <f t="shared" si="76"/>
        <v>#DIV/0!</v>
      </c>
      <c r="O157" s="45" t="e">
        <f t="shared" si="77"/>
        <v>#DIV/0!</v>
      </c>
      <c r="P157" s="45" t="e">
        <f t="shared" si="78"/>
        <v>#DIV/0!</v>
      </c>
      <c r="Q157" s="55" t="e">
        <f>Q156+ATM_Conf!$C$5*(B156)/(Links!B$191*Links!Q$191)</f>
        <v>#DIV/0!</v>
      </c>
      <c r="R157" s="55" t="e">
        <f>R156+ATM_Conf!$C$5*(C156-B156)/(Links!C$191*Links!R$191)</f>
        <v>#DIV/0!</v>
      </c>
      <c r="S157" s="55" t="e">
        <f>S156+ATM_Conf!$C$5*(D156-C156)/(Links!D$191*Links!S$191)</f>
        <v>#DIV/0!</v>
      </c>
      <c r="T157" s="55" t="e">
        <f>T156+ATM_Conf!$C$5*(E156-D156)/(Links!E$191*Links!T$191)</f>
        <v>#DIV/0!</v>
      </c>
      <c r="U157" s="55" t="e">
        <f>U156+ATM_Conf!$C$5*(F156-E156)/(Links!F$191*Links!U$191)</f>
        <v>#DIV/0!</v>
      </c>
      <c r="V157" s="55" t="e">
        <f>V156+ATM_Conf!$C$5*(G156-F156)/(Links!G$191*Links!V$191)</f>
        <v>#DIV/0!</v>
      </c>
      <c r="W157" s="55" t="e">
        <f>W156+ATM_Conf!$C$5*(H156-G156)/(Links!H$191*Links!W$191)</f>
        <v>#DIV/0!</v>
      </c>
      <c r="X157" s="55" t="e">
        <f>X156+ATM_Conf!$C$5*(I156-H156)/(Links!I$191*Links!X$191)</f>
        <v>#DIV/0!</v>
      </c>
      <c r="Y157" s="55" t="e">
        <f>Y156+ATM_Conf!$C$5*(J156)/(Links!J$191*Links!Y$191)</f>
        <v>#DIV/0!</v>
      </c>
      <c r="Z157" s="55" t="e">
        <f>Z156+ATM_Conf!$C$5*(K156-J156)/(Links!K$191*Links!Z$191)</f>
        <v>#DIV/0!</v>
      </c>
      <c r="AA157" s="55" t="e">
        <f>AA156+ATM_Conf!$C$5*(L156-K156)/(Links!L$191*Links!AA$191)</f>
        <v>#DIV/0!</v>
      </c>
      <c r="AB157" s="55" t="e">
        <f>AB156+ATM_Conf!$C$5*(M156-L156)/(Links!M$191*Links!AB$191)</f>
        <v>#DIV/0!</v>
      </c>
      <c r="AC157" s="55" t="e">
        <f>AC156+ATM_Conf!$C$5*(N156-M156)/(Links!N$191*Links!AC$191)</f>
        <v>#DIV/0!</v>
      </c>
      <c r="AD157" s="55" t="e">
        <f>AD156+ATM_Conf!$C$5*(O156-N156)/(Links!O$191*Links!AD$191)</f>
        <v>#DIV/0!</v>
      </c>
      <c r="AE157" s="55" t="e">
        <f>AE156+ATM_Conf!$C$5*(P156-O156)/(Links!P$191*Links!AE$191)</f>
        <v>#DIV/0!</v>
      </c>
      <c r="AF157" s="45" t="e">
        <f>AF156+(ATM_Conf!$C$5/ATM_Conf!$C$8)*(Links!AU156*EXP((-(Links!Q156/Links!BJ156)^Links!BY156)/Links!BY156)-Links!AF156)-(ATM_Conf!$C$9*ATM_Conf!$C$5/(ATM_Conf!$C$8*Links!Q$191))*(Nodes!BO156-Links!Q156)/(Links!Q156/ATM_Conf!$C$10)</f>
        <v>#DIV/0!</v>
      </c>
      <c r="AG157" s="45" t="e">
        <f>AG156+(ATM_Conf!$C$5/ATM_Conf!$C$8)*(Links!AV156*EXP((-(Links!R156/Links!BK156)^Links!BZ156)/Links!BZ156)-Links!AG156)+(ATM_Conf!$C$5/Links!R$191)*Links!AG156*(Nodes!BB156-Links!AG156)-(ATM_Conf!$C$9*ATM_Conf!$C$5/(ATM_Conf!$C$8*Links!R$191))*(Nodes!BP156-Links!R156)/(Links!R156/ATM_Conf!$C$10)</f>
        <v>#DIV/0!</v>
      </c>
      <c r="AH157" s="45" t="e">
        <f>AH156+(ATM_Conf!$C$5/ATM_Conf!$C$8)*(Links!AW156*EXP((-(Links!S156/Links!BL156)^Links!CA156)/Links!CA156)-Links!AH156)+(ATM_Conf!$C$5/Links!S$191)*Links!AH156*(Nodes!BC156-Links!AH156)-(ATM_Conf!$C$9*ATM_Conf!$C$5/(ATM_Conf!$C$8*Links!S$191))*(Nodes!BQ156-Links!S156)/(Links!S156/ATM_Conf!$C$10)</f>
        <v>#DIV/0!</v>
      </c>
      <c r="AI157" s="45" t="e">
        <f>AI156+(ATM_Conf!$C$5/ATM_Conf!$C$8)*(Links!AX156*EXP((-(Links!T156/Links!BM156)^Links!CB156)/Links!CB156)-Links!AI156)+(ATM_Conf!$C$5/Links!T$191)*Links!AI156*(Nodes!BD156-Links!AI156)-(ATM_Conf!$C$9*ATM_Conf!$C$5/(ATM_Conf!$C$8*Links!T$191))*(Nodes!BR156-Links!T156)/(Links!T156/ATM_Conf!$C$10)</f>
        <v>#DIV/0!</v>
      </c>
      <c r="AJ157" s="45" t="e">
        <f>AJ156+(ATM_Conf!$C$5/ATM_Conf!$C$8)*(Links!AY156*EXP((-(Links!U156/Links!BN156)^Links!CC156)/Links!CC156)-Links!AJ156)+(ATM_Conf!$C$5/Links!U$191)*Links!AJ156*(Nodes!BE156-Links!AJ156)-(ATM_Conf!$C$9*ATM_Conf!$C$5/(ATM_Conf!$C$8*Links!U$191))*(Nodes!BS156-Links!U156)/(Links!U156/ATM_Conf!$C$10)</f>
        <v>#DIV/0!</v>
      </c>
      <c r="AK157" s="45" t="e">
        <f>AK156+(ATM_Conf!$C$5/ATM_Conf!$C$8)*(Links!AZ156*EXP((-(Links!V156/Links!BO156)^Links!CD156)/Links!CD156)-Links!AK156)+(ATM_Conf!$C$5/Links!V$191)*Links!AK156*(Nodes!BF156-Links!AK156)-(ATM_Conf!$C$9*ATM_Conf!$C$5/(ATM_Conf!$C$8*Links!V$191))*(Nodes!BT156-Links!V156)/(Links!V156/ATM_Conf!$C$10)</f>
        <v>#DIV/0!</v>
      </c>
      <c r="AL157" s="45" t="e">
        <f>AL156+(ATM_Conf!$C$5/ATM_Conf!$C$8)*(Links!BA156*EXP((-(Links!W156/Links!BP156)^Links!CE156)/Links!CE156)-Links!AL156)+(ATM_Conf!$C$5/Links!W$191)*Links!AL156*(Nodes!BG156-Links!AL156)-(ATM_Conf!$C$9*ATM_Conf!$C$5/(ATM_Conf!$C$8*Links!W$191))*(Nodes!BU156-Links!W156)/(Links!W156/ATM_Conf!$C$10)</f>
        <v>#DIV/0!</v>
      </c>
      <c r="AM157" s="45" t="e">
        <f>AM156+(ATM_Conf!$C$5/ATM_Conf!$C$8)*(Links!BB156*EXP((-(Links!X156/Links!BQ156)^Links!CF156)/Links!CF156)-Links!AM156)+(ATM_Conf!$C$5/Links!X$191)*Links!AM156*(Nodes!BH156-Links!AM156)</f>
        <v>#DIV/0!</v>
      </c>
      <c r="AN157" s="45" t="e">
        <f>AN156+(ATM_Conf!$C$5/ATM_Conf!$C$8)*(Links!BC156*EXP((-(Links!Y156/Links!BR156)^Links!CG156)/Links!CG156)-Links!AN156)-(ATM_Conf!$C$9*ATM_Conf!$C$5/(ATM_Conf!$C$8*Links!Y$191))*(Nodes!BV156-Links!Y156)/(Links!Y156/ATM_Conf!$C$10)</f>
        <v>#DIV/0!</v>
      </c>
      <c r="AO157" s="45" t="e">
        <f>AO156+(ATM_Conf!$C$5/ATM_Conf!$C$8)*(Links!BD156*EXP((-(Links!Z156/Links!BS156)^Links!CH156)/Links!CH156)-Links!AO156)+(ATM_Conf!$C$5/Links!Z$191)*Links!AO156*(Nodes!BI156-Links!AO156)-(ATM_Conf!$C$9*ATM_Conf!$C$5/(ATM_Conf!$C$8*Links!Z$191))*(Nodes!BW156-Links!Z156)/(Links!Z156/ATM_Conf!$C$10)</f>
        <v>#DIV/0!</v>
      </c>
      <c r="AP157" s="45" t="e">
        <f>AP156+(ATM_Conf!$C$5/ATM_Conf!$C$8)*(Links!BE156*EXP((-(Links!AA156/Links!BT156)^Links!CI156)/Links!CI156)-Links!AP156)+(ATM_Conf!$C$5/Links!AA$191)*Links!AP156*(Nodes!BJ156-Links!AP156)-(ATM_Conf!$C$9*ATM_Conf!$C$5/(ATM_Conf!$C$8*Links!AA$191))*(Nodes!BX156-Links!AA156)/(Links!AA156/ATM_Conf!$C$10)</f>
        <v>#DIV/0!</v>
      </c>
      <c r="AQ157" s="45" t="e">
        <f>AQ156+(ATM_Conf!$C$5/ATM_Conf!$C$8)*(Links!BF156*EXP((-(Links!AB156/Links!BU156)^Links!CJ156)/Links!CJ156)-Links!AQ156)+(ATM_Conf!$C$5/Links!AB$191)*Links!AQ156*(Nodes!BK156-Links!AQ156)-(ATM_Conf!$C$9*ATM_Conf!$C$5/(ATM_Conf!$C$8*Links!AB$191))*(Nodes!BY156-Links!AB156)/(Links!AB156/ATM_Conf!$C$10)</f>
        <v>#DIV/0!</v>
      </c>
      <c r="AR157" s="45" t="e">
        <f>AR156+(ATM_Conf!$C$5/ATM_Conf!$C$8)*(Links!BG156*EXP((-(Links!AC156/Links!BV156)^Links!CK156)/Links!CK156)-Links!AR156)+(ATM_Conf!$C$5/Links!AC$191)*Links!AR156*(Nodes!BL156-Links!AR156)-(ATM_Conf!$C$9*ATM_Conf!$C$5/(ATM_Conf!$C$8*Links!AC$191))*(Nodes!BZ156-Links!AC156)/(Links!AC156/ATM_Conf!$C$10)</f>
        <v>#DIV/0!</v>
      </c>
      <c r="AS157" s="45" t="e">
        <f>AS156+(ATM_Conf!$C$5/ATM_Conf!$C$8)*(Links!BH156*EXP((-(Links!AD156/Links!BW156)^Links!CL156)/Links!CL156)-Links!AS156)+(ATM_Conf!$C$5/Links!AD$191)*Links!AS156*(Nodes!BM156-Links!AS156)-(ATM_Conf!$C$9*ATM_Conf!$C$5/(ATM_Conf!$C$8*Links!AD$191))*(Nodes!CA156-Links!AD156)/(Links!AD156/ATM_Conf!$C$10)</f>
        <v>#DIV/0!</v>
      </c>
      <c r="AT157" s="45" t="e">
        <f>AT156+(ATM_Conf!$C$5/ATM_Conf!$C$8)*(Links!BI156*EXP((-(Links!AE156/Links!BX156)^Links!CM156)/Links!CM156)-Links!AT156)+(ATM_Conf!$C$5/Links!AE$191)*Links!AT156*(Nodes!BN156-Links!AT156)</f>
        <v>#DIV/0!</v>
      </c>
      <c r="AU157" s="55"/>
      <c r="AV157" s="55"/>
      <c r="AW157" s="55"/>
      <c r="AX157" s="55"/>
      <c r="AY157" s="55"/>
      <c r="AZ157" s="55"/>
      <c r="BA157" s="55"/>
      <c r="BB157" s="55"/>
      <c r="BC157" s="55"/>
      <c r="BD157" s="55"/>
      <c r="BE157" s="55"/>
      <c r="BF157" s="55"/>
      <c r="BG157" s="55"/>
      <c r="BH157" s="55"/>
      <c r="BI157" s="5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55"/>
      <c r="BZ157" s="55"/>
      <c r="CA157" s="55"/>
      <c r="CB157" s="55"/>
      <c r="CC157" s="55"/>
      <c r="CD157" s="55"/>
      <c r="CE157" s="55"/>
      <c r="CF157" s="55"/>
      <c r="CG157" s="55"/>
      <c r="CH157" s="55"/>
      <c r="CI157" s="55"/>
      <c r="CJ157" s="55"/>
      <c r="CK157" s="55"/>
      <c r="CL157" s="55"/>
      <c r="CM157" s="55"/>
      <c r="CN157" s="45">
        <f t="shared" si="84"/>
        <v>0</v>
      </c>
      <c r="CO157" s="45">
        <f t="shared" si="84"/>
        <v>0</v>
      </c>
      <c r="CP157" s="45">
        <f t="shared" si="84"/>
        <v>0</v>
      </c>
      <c r="CQ157" s="45">
        <f t="shared" si="84"/>
        <v>0</v>
      </c>
      <c r="CR157" s="45">
        <f t="shared" si="84"/>
        <v>0</v>
      </c>
      <c r="CS157" s="45">
        <f t="shared" si="84"/>
        <v>0</v>
      </c>
      <c r="CT157" s="45">
        <f t="shared" si="84"/>
        <v>0</v>
      </c>
      <c r="CU157" s="45">
        <f t="shared" si="84"/>
        <v>0</v>
      </c>
      <c r="CV157" s="45">
        <f t="shared" si="84"/>
        <v>0</v>
      </c>
      <c r="CW157" s="45">
        <f t="shared" si="84"/>
        <v>0</v>
      </c>
      <c r="CX157" s="45">
        <f t="shared" si="84"/>
        <v>0</v>
      </c>
      <c r="CY157" s="45">
        <f t="shared" si="84"/>
        <v>0</v>
      </c>
      <c r="CZ157" s="45">
        <f t="shared" si="84"/>
        <v>0</v>
      </c>
      <c r="DA157" s="45">
        <f t="shared" si="84"/>
        <v>0</v>
      </c>
      <c r="DB157" s="45">
        <f t="shared" si="84"/>
        <v>0</v>
      </c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</row>
    <row r="158" spans="1:121" ht="14.25" x14ac:dyDescent="0.15">
      <c r="A158" s="48">
        <v>156</v>
      </c>
      <c r="B158" s="45" t="e">
        <f t="shared" si="64"/>
        <v>#DIV/0!</v>
      </c>
      <c r="C158" s="45" t="e">
        <f t="shared" si="65"/>
        <v>#DIV/0!</v>
      </c>
      <c r="D158" s="45" t="e">
        <f t="shared" si="66"/>
        <v>#DIV/0!</v>
      </c>
      <c r="E158" s="45" t="e">
        <f t="shared" si="67"/>
        <v>#DIV/0!</v>
      </c>
      <c r="F158" s="45" t="e">
        <f t="shared" si="68"/>
        <v>#DIV/0!</v>
      </c>
      <c r="G158" s="45" t="e">
        <f t="shared" si="69"/>
        <v>#DIV/0!</v>
      </c>
      <c r="H158" s="45" t="e">
        <f t="shared" si="70"/>
        <v>#DIV/0!</v>
      </c>
      <c r="I158" s="45" t="e">
        <f t="shared" si="71"/>
        <v>#DIV/0!</v>
      </c>
      <c r="J158" s="45" t="e">
        <f t="shared" si="72"/>
        <v>#DIV/0!</v>
      </c>
      <c r="K158" s="45" t="e">
        <f t="shared" si="73"/>
        <v>#DIV/0!</v>
      </c>
      <c r="L158" s="45" t="e">
        <f t="shared" si="74"/>
        <v>#DIV/0!</v>
      </c>
      <c r="M158" s="45" t="e">
        <f t="shared" si="75"/>
        <v>#DIV/0!</v>
      </c>
      <c r="N158" s="45" t="e">
        <f t="shared" si="76"/>
        <v>#DIV/0!</v>
      </c>
      <c r="O158" s="45" t="e">
        <f t="shared" si="77"/>
        <v>#DIV/0!</v>
      </c>
      <c r="P158" s="45" t="e">
        <f t="shared" si="78"/>
        <v>#DIV/0!</v>
      </c>
      <c r="Q158" s="55" t="e">
        <f>Q157+ATM_Conf!$C$5*(B157)/(Links!B$191*Links!Q$191)</f>
        <v>#DIV/0!</v>
      </c>
      <c r="R158" s="55" t="e">
        <f>R157+ATM_Conf!$C$5*(C157-B157)/(Links!C$191*Links!R$191)</f>
        <v>#DIV/0!</v>
      </c>
      <c r="S158" s="55" t="e">
        <f>S157+ATM_Conf!$C$5*(D157-C157)/(Links!D$191*Links!S$191)</f>
        <v>#DIV/0!</v>
      </c>
      <c r="T158" s="55" t="e">
        <f>T157+ATM_Conf!$C$5*(E157-D157)/(Links!E$191*Links!T$191)</f>
        <v>#DIV/0!</v>
      </c>
      <c r="U158" s="55" t="e">
        <f>U157+ATM_Conf!$C$5*(F157-E157)/(Links!F$191*Links!U$191)</f>
        <v>#DIV/0!</v>
      </c>
      <c r="V158" s="55" t="e">
        <f>V157+ATM_Conf!$C$5*(G157-F157)/(Links!G$191*Links!V$191)</f>
        <v>#DIV/0!</v>
      </c>
      <c r="W158" s="55" t="e">
        <f>W157+ATM_Conf!$C$5*(H157-G157)/(Links!H$191*Links!W$191)</f>
        <v>#DIV/0!</v>
      </c>
      <c r="X158" s="55" t="e">
        <f>X157+ATM_Conf!$C$5*(I157-H157)/(Links!I$191*Links!X$191)</f>
        <v>#DIV/0!</v>
      </c>
      <c r="Y158" s="55" t="e">
        <f>Y157+ATM_Conf!$C$5*(J157)/(Links!J$191*Links!Y$191)</f>
        <v>#DIV/0!</v>
      </c>
      <c r="Z158" s="55" t="e">
        <f>Z157+ATM_Conf!$C$5*(K157-J157)/(Links!K$191*Links!Z$191)</f>
        <v>#DIV/0!</v>
      </c>
      <c r="AA158" s="55" t="e">
        <f>AA157+ATM_Conf!$C$5*(L157-K157)/(Links!L$191*Links!AA$191)</f>
        <v>#DIV/0!</v>
      </c>
      <c r="AB158" s="55" t="e">
        <f>AB157+ATM_Conf!$C$5*(M157-L157)/(Links!M$191*Links!AB$191)</f>
        <v>#DIV/0!</v>
      </c>
      <c r="AC158" s="55" t="e">
        <f>AC157+ATM_Conf!$C$5*(N157-M157)/(Links!N$191*Links!AC$191)</f>
        <v>#DIV/0!</v>
      </c>
      <c r="AD158" s="55" t="e">
        <f>AD157+ATM_Conf!$C$5*(O157-N157)/(Links!O$191*Links!AD$191)</f>
        <v>#DIV/0!</v>
      </c>
      <c r="AE158" s="55" t="e">
        <f>AE157+ATM_Conf!$C$5*(P157-O157)/(Links!P$191*Links!AE$191)</f>
        <v>#DIV/0!</v>
      </c>
      <c r="AF158" s="45" t="e">
        <f>AF157+(ATM_Conf!$C$5/ATM_Conf!$C$8)*(Links!AU157*EXP((-(Links!Q157/Links!BJ157)^Links!BY157)/Links!BY157)-Links!AF157)-(ATM_Conf!$C$9*ATM_Conf!$C$5/(ATM_Conf!$C$8*Links!Q$191))*(Nodes!BO157-Links!Q157)/(Links!Q157/ATM_Conf!$C$10)</f>
        <v>#DIV/0!</v>
      </c>
      <c r="AG158" s="45" t="e">
        <f>AG157+(ATM_Conf!$C$5/ATM_Conf!$C$8)*(Links!AV157*EXP((-(Links!R157/Links!BK157)^Links!BZ157)/Links!BZ157)-Links!AG157)+(ATM_Conf!$C$5/Links!R$191)*Links!AG157*(Nodes!BB157-Links!AG157)-(ATM_Conf!$C$9*ATM_Conf!$C$5/(ATM_Conf!$C$8*Links!R$191))*(Nodes!BP157-Links!R157)/(Links!R157/ATM_Conf!$C$10)</f>
        <v>#DIV/0!</v>
      </c>
      <c r="AH158" s="45" t="e">
        <f>AH157+(ATM_Conf!$C$5/ATM_Conf!$C$8)*(Links!AW157*EXP((-(Links!S157/Links!BL157)^Links!CA157)/Links!CA157)-Links!AH157)+(ATM_Conf!$C$5/Links!S$191)*Links!AH157*(Nodes!BC157-Links!AH157)-(ATM_Conf!$C$9*ATM_Conf!$C$5/(ATM_Conf!$C$8*Links!S$191))*(Nodes!BQ157-Links!S157)/(Links!S157/ATM_Conf!$C$10)</f>
        <v>#DIV/0!</v>
      </c>
      <c r="AI158" s="45" t="e">
        <f>AI157+(ATM_Conf!$C$5/ATM_Conf!$C$8)*(Links!AX157*EXP((-(Links!T157/Links!BM157)^Links!CB157)/Links!CB157)-Links!AI157)+(ATM_Conf!$C$5/Links!T$191)*Links!AI157*(Nodes!BD157-Links!AI157)-(ATM_Conf!$C$9*ATM_Conf!$C$5/(ATM_Conf!$C$8*Links!T$191))*(Nodes!BR157-Links!T157)/(Links!T157/ATM_Conf!$C$10)</f>
        <v>#DIV/0!</v>
      </c>
      <c r="AJ158" s="45" t="e">
        <f>AJ157+(ATM_Conf!$C$5/ATM_Conf!$C$8)*(Links!AY157*EXP((-(Links!U157/Links!BN157)^Links!CC157)/Links!CC157)-Links!AJ157)+(ATM_Conf!$C$5/Links!U$191)*Links!AJ157*(Nodes!BE157-Links!AJ157)-(ATM_Conf!$C$9*ATM_Conf!$C$5/(ATM_Conf!$C$8*Links!U$191))*(Nodes!BS157-Links!U157)/(Links!U157/ATM_Conf!$C$10)</f>
        <v>#DIV/0!</v>
      </c>
      <c r="AK158" s="45" t="e">
        <f>AK157+(ATM_Conf!$C$5/ATM_Conf!$C$8)*(Links!AZ157*EXP((-(Links!V157/Links!BO157)^Links!CD157)/Links!CD157)-Links!AK157)+(ATM_Conf!$C$5/Links!V$191)*Links!AK157*(Nodes!BF157-Links!AK157)-(ATM_Conf!$C$9*ATM_Conf!$C$5/(ATM_Conf!$C$8*Links!V$191))*(Nodes!BT157-Links!V157)/(Links!V157/ATM_Conf!$C$10)</f>
        <v>#DIV/0!</v>
      </c>
      <c r="AL158" s="45" t="e">
        <f>AL157+(ATM_Conf!$C$5/ATM_Conf!$C$8)*(Links!BA157*EXP((-(Links!W157/Links!BP157)^Links!CE157)/Links!CE157)-Links!AL157)+(ATM_Conf!$C$5/Links!W$191)*Links!AL157*(Nodes!BG157-Links!AL157)-(ATM_Conf!$C$9*ATM_Conf!$C$5/(ATM_Conf!$C$8*Links!W$191))*(Nodes!BU157-Links!W157)/(Links!W157/ATM_Conf!$C$10)</f>
        <v>#DIV/0!</v>
      </c>
      <c r="AM158" s="45" t="e">
        <f>AM157+(ATM_Conf!$C$5/ATM_Conf!$C$8)*(Links!BB157*EXP((-(Links!X157/Links!BQ157)^Links!CF157)/Links!CF157)-Links!AM157)+(ATM_Conf!$C$5/Links!X$191)*Links!AM157*(Nodes!BH157-Links!AM157)</f>
        <v>#DIV/0!</v>
      </c>
      <c r="AN158" s="45" t="e">
        <f>AN157+(ATM_Conf!$C$5/ATM_Conf!$C$8)*(Links!BC157*EXP((-(Links!Y157/Links!BR157)^Links!CG157)/Links!CG157)-Links!AN157)-(ATM_Conf!$C$9*ATM_Conf!$C$5/(ATM_Conf!$C$8*Links!Y$191))*(Nodes!BV157-Links!Y157)/(Links!Y157/ATM_Conf!$C$10)</f>
        <v>#DIV/0!</v>
      </c>
      <c r="AO158" s="45" t="e">
        <f>AO157+(ATM_Conf!$C$5/ATM_Conf!$C$8)*(Links!BD157*EXP((-(Links!Z157/Links!BS157)^Links!CH157)/Links!CH157)-Links!AO157)+(ATM_Conf!$C$5/Links!Z$191)*Links!AO157*(Nodes!BI157-Links!AO157)-(ATM_Conf!$C$9*ATM_Conf!$C$5/(ATM_Conf!$C$8*Links!Z$191))*(Nodes!BW157-Links!Z157)/(Links!Z157/ATM_Conf!$C$10)</f>
        <v>#DIV/0!</v>
      </c>
      <c r="AP158" s="45" t="e">
        <f>AP157+(ATM_Conf!$C$5/ATM_Conf!$C$8)*(Links!BE157*EXP((-(Links!AA157/Links!BT157)^Links!CI157)/Links!CI157)-Links!AP157)+(ATM_Conf!$C$5/Links!AA$191)*Links!AP157*(Nodes!BJ157-Links!AP157)-(ATM_Conf!$C$9*ATM_Conf!$C$5/(ATM_Conf!$C$8*Links!AA$191))*(Nodes!BX157-Links!AA157)/(Links!AA157/ATM_Conf!$C$10)</f>
        <v>#DIV/0!</v>
      </c>
      <c r="AQ158" s="45" t="e">
        <f>AQ157+(ATM_Conf!$C$5/ATM_Conf!$C$8)*(Links!BF157*EXP((-(Links!AB157/Links!BU157)^Links!CJ157)/Links!CJ157)-Links!AQ157)+(ATM_Conf!$C$5/Links!AB$191)*Links!AQ157*(Nodes!BK157-Links!AQ157)-(ATM_Conf!$C$9*ATM_Conf!$C$5/(ATM_Conf!$C$8*Links!AB$191))*(Nodes!BY157-Links!AB157)/(Links!AB157/ATM_Conf!$C$10)</f>
        <v>#DIV/0!</v>
      </c>
      <c r="AR158" s="45" t="e">
        <f>AR157+(ATM_Conf!$C$5/ATM_Conf!$C$8)*(Links!BG157*EXP((-(Links!AC157/Links!BV157)^Links!CK157)/Links!CK157)-Links!AR157)+(ATM_Conf!$C$5/Links!AC$191)*Links!AR157*(Nodes!BL157-Links!AR157)-(ATM_Conf!$C$9*ATM_Conf!$C$5/(ATM_Conf!$C$8*Links!AC$191))*(Nodes!BZ157-Links!AC157)/(Links!AC157/ATM_Conf!$C$10)</f>
        <v>#DIV/0!</v>
      </c>
      <c r="AS158" s="45" t="e">
        <f>AS157+(ATM_Conf!$C$5/ATM_Conf!$C$8)*(Links!BH157*EXP((-(Links!AD157/Links!BW157)^Links!CL157)/Links!CL157)-Links!AS157)+(ATM_Conf!$C$5/Links!AD$191)*Links!AS157*(Nodes!BM157-Links!AS157)-(ATM_Conf!$C$9*ATM_Conf!$C$5/(ATM_Conf!$C$8*Links!AD$191))*(Nodes!CA157-Links!AD157)/(Links!AD157/ATM_Conf!$C$10)</f>
        <v>#DIV/0!</v>
      </c>
      <c r="AT158" s="45" t="e">
        <f>AT157+(ATM_Conf!$C$5/ATM_Conf!$C$8)*(Links!BI157*EXP((-(Links!AE157/Links!BX157)^Links!CM157)/Links!CM157)-Links!AT157)+(ATM_Conf!$C$5/Links!AE$191)*Links!AT157*(Nodes!BN157-Links!AT157)</f>
        <v>#DIV/0!</v>
      </c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55"/>
      <c r="BZ158" s="55"/>
      <c r="CA158" s="55"/>
      <c r="CB158" s="55"/>
      <c r="CC158" s="55"/>
      <c r="CD158" s="55"/>
      <c r="CE158" s="55"/>
      <c r="CF158" s="55"/>
      <c r="CG158" s="55"/>
      <c r="CH158" s="55"/>
      <c r="CI158" s="55"/>
      <c r="CJ158" s="55"/>
      <c r="CK158" s="55"/>
      <c r="CL158" s="55"/>
      <c r="CM158" s="55"/>
      <c r="CN158" s="45">
        <f t="shared" si="84"/>
        <v>0</v>
      </c>
      <c r="CO158" s="45">
        <f t="shared" si="84"/>
        <v>0</v>
      </c>
      <c r="CP158" s="45">
        <f t="shared" si="84"/>
        <v>0</v>
      </c>
      <c r="CQ158" s="45">
        <f t="shared" si="84"/>
        <v>0</v>
      </c>
      <c r="CR158" s="45">
        <f t="shared" si="84"/>
        <v>0</v>
      </c>
      <c r="CS158" s="45">
        <f t="shared" si="84"/>
        <v>0</v>
      </c>
      <c r="CT158" s="45">
        <f t="shared" si="84"/>
        <v>0</v>
      </c>
      <c r="CU158" s="45">
        <f t="shared" si="84"/>
        <v>0</v>
      </c>
      <c r="CV158" s="45">
        <f t="shared" si="84"/>
        <v>0</v>
      </c>
      <c r="CW158" s="45">
        <f t="shared" si="84"/>
        <v>0</v>
      </c>
      <c r="CX158" s="45">
        <f t="shared" si="84"/>
        <v>0</v>
      </c>
      <c r="CY158" s="45">
        <f t="shared" si="84"/>
        <v>0</v>
      </c>
      <c r="CZ158" s="45">
        <f t="shared" si="84"/>
        <v>0</v>
      </c>
      <c r="DA158" s="45">
        <f t="shared" si="84"/>
        <v>0</v>
      </c>
      <c r="DB158" s="45">
        <f t="shared" si="84"/>
        <v>0</v>
      </c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</row>
    <row r="159" spans="1:121" ht="14.25" x14ac:dyDescent="0.15">
      <c r="A159" s="48">
        <v>157</v>
      </c>
      <c r="B159" s="45" t="e">
        <f t="shared" si="64"/>
        <v>#DIV/0!</v>
      </c>
      <c r="C159" s="45" t="e">
        <f t="shared" si="65"/>
        <v>#DIV/0!</v>
      </c>
      <c r="D159" s="45" t="e">
        <f t="shared" si="66"/>
        <v>#DIV/0!</v>
      </c>
      <c r="E159" s="45" t="e">
        <f t="shared" si="67"/>
        <v>#DIV/0!</v>
      </c>
      <c r="F159" s="45" t="e">
        <f t="shared" si="68"/>
        <v>#DIV/0!</v>
      </c>
      <c r="G159" s="45" t="e">
        <f t="shared" si="69"/>
        <v>#DIV/0!</v>
      </c>
      <c r="H159" s="45" t="e">
        <f t="shared" si="70"/>
        <v>#DIV/0!</v>
      </c>
      <c r="I159" s="45" t="e">
        <f t="shared" si="71"/>
        <v>#DIV/0!</v>
      </c>
      <c r="J159" s="45" t="e">
        <f t="shared" si="72"/>
        <v>#DIV/0!</v>
      </c>
      <c r="K159" s="45" t="e">
        <f t="shared" si="73"/>
        <v>#DIV/0!</v>
      </c>
      <c r="L159" s="45" t="e">
        <f t="shared" si="74"/>
        <v>#DIV/0!</v>
      </c>
      <c r="M159" s="45" t="e">
        <f t="shared" si="75"/>
        <v>#DIV/0!</v>
      </c>
      <c r="N159" s="45" t="e">
        <f t="shared" si="76"/>
        <v>#DIV/0!</v>
      </c>
      <c r="O159" s="45" t="e">
        <f t="shared" si="77"/>
        <v>#DIV/0!</v>
      </c>
      <c r="P159" s="45" t="e">
        <f t="shared" si="78"/>
        <v>#DIV/0!</v>
      </c>
      <c r="Q159" s="55" t="e">
        <f>Q158+ATM_Conf!$C$5*(B158)/(Links!B$191*Links!Q$191)</f>
        <v>#DIV/0!</v>
      </c>
      <c r="R159" s="55" t="e">
        <f>R158+ATM_Conf!$C$5*(C158-B158)/(Links!C$191*Links!R$191)</f>
        <v>#DIV/0!</v>
      </c>
      <c r="S159" s="55" t="e">
        <f>S158+ATM_Conf!$C$5*(D158-C158)/(Links!D$191*Links!S$191)</f>
        <v>#DIV/0!</v>
      </c>
      <c r="T159" s="55" t="e">
        <f>T158+ATM_Conf!$C$5*(E158-D158)/(Links!E$191*Links!T$191)</f>
        <v>#DIV/0!</v>
      </c>
      <c r="U159" s="55" t="e">
        <f>U158+ATM_Conf!$C$5*(F158-E158)/(Links!F$191*Links!U$191)</f>
        <v>#DIV/0!</v>
      </c>
      <c r="V159" s="55" t="e">
        <f>V158+ATM_Conf!$C$5*(G158-F158)/(Links!G$191*Links!V$191)</f>
        <v>#DIV/0!</v>
      </c>
      <c r="W159" s="55" t="e">
        <f>W158+ATM_Conf!$C$5*(H158-G158)/(Links!H$191*Links!W$191)</f>
        <v>#DIV/0!</v>
      </c>
      <c r="X159" s="55" t="e">
        <f>X158+ATM_Conf!$C$5*(I158-H158)/(Links!I$191*Links!X$191)</f>
        <v>#DIV/0!</v>
      </c>
      <c r="Y159" s="55" t="e">
        <f>Y158+ATM_Conf!$C$5*(J158)/(Links!J$191*Links!Y$191)</f>
        <v>#DIV/0!</v>
      </c>
      <c r="Z159" s="55" t="e">
        <f>Z158+ATM_Conf!$C$5*(K158-J158)/(Links!K$191*Links!Z$191)</f>
        <v>#DIV/0!</v>
      </c>
      <c r="AA159" s="55" t="e">
        <f>AA158+ATM_Conf!$C$5*(L158-K158)/(Links!L$191*Links!AA$191)</f>
        <v>#DIV/0!</v>
      </c>
      <c r="AB159" s="55" t="e">
        <f>AB158+ATM_Conf!$C$5*(M158-L158)/(Links!M$191*Links!AB$191)</f>
        <v>#DIV/0!</v>
      </c>
      <c r="AC159" s="55" t="e">
        <f>AC158+ATM_Conf!$C$5*(N158-M158)/(Links!N$191*Links!AC$191)</f>
        <v>#DIV/0!</v>
      </c>
      <c r="AD159" s="55" t="e">
        <f>AD158+ATM_Conf!$C$5*(O158-N158)/(Links!O$191*Links!AD$191)</f>
        <v>#DIV/0!</v>
      </c>
      <c r="AE159" s="55" t="e">
        <f>AE158+ATM_Conf!$C$5*(P158-O158)/(Links!P$191*Links!AE$191)</f>
        <v>#DIV/0!</v>
      </c>
      <c r="AF159" s="45" t="e">
        <f>AF158+(ATM_Conf!$C$5/ATM_Conf!$C$8)*(Links!AU158*EXP((-(Links!Q158/Links!BJ158)^Links!BY158)/Links!BY158)-Links!AF158)-(ATM_Conf!$C$9*ATM_Conf!$C$5/(ATM_Conf!$C$8*Links!Q$191))*(Nodes!BO158-Links!Q158)/(Links!Q158/ATM_Conf!$C$10)</f>
        <v>#DIV/0!</v>
      </c>
      <c r="AG159" s="45" t="e">
        <f>AG158+(ATM_Conf!$C$5/ATM_Conf!$C$8)*(Links!AV158*EXP((-(Links!R158/Links!BK158)^Links!BZ158)/Links!BZ158)-Links!AG158)+(ATM_Conf!$C$5/Links!R$191)*Links!AG158*(Nodes!BB158-Links!AG158)-(ATM_Conf!$C$9*ATM_Conf!$C$5/(ATM_Conf!$C$8*Links!R$191))*(Nodes!BP158-Links!R158)/(Links!R158/ATM_Conf!$C$10)</f>
        <v>#DIV/0!</v>
      </c>
      <c r="AH159" s="45" t="e">
        <f>AH158+(ATM_Conf!$C$5/ATM_Conf!$C$8)*(Links!AW158*EXP((-(Links!S158/Links!BL158)^Links!CA158)/Links!CA158)-Links!AH158)+(ATM_Conf!$C$5/Links!S$191)*Links!AH158*(Nodes!BC158-Links!AH158)-(ATM_Conf!$C$9*ATM_Conf!$C$5/(ATM_Conf!$C$8*Links!S$191))*(Nodes!BQ158-Links!S158)/(Links!S158/ATM_Conf!$C$10)</f>
        <v>#DIV/0!</v>
      </c>
      <c r="AI159" s="45" t="e">
        <f>AI158+(ATM_Conf!$C$5/ATM_Conf!$C$8)*(Links!AX158*EXP((-(Links!T158/Links!BM158)^Links!CB158)/Links!CB158)-Links!AI158)+(ATM_Conf!$C$5/Links!T$191)*Links!AI158*(Nodes!BD158-Links!AI158)-(ATM_Conf!$C$9*ATM_Conf!$C$5/(ATM_Conf!$C$8*Links!T$191))*(Nodes!BR158-Links!T158)/(Links!T158/ATM_Conf!$C$10)</f>
        <v>#DIV/0!</v>
      </c>
      <c r="AJ159" s="45" t="e">
        <f>AJ158+(ATM_Conf!$C$5/ATM_Conf!$C$8)*(Links!AY158*EXP((-(Links!U158/Links!BN158)^Links!CC158)/Links!CC158)-Links!AJ158)+(ATM_Conf!$C$5/Links!U$191)*Links!AJ158*(Nodes!BE158-Links!AJ158)-(ATM_Conf!$C$9*ATM_Conf!$C$5/(ATM_Conf!$C$8*Links!U$191))*(Nodes!BS158-Links!U158)/(Links!U158/ATM_Conf!$C$10)</f>
        <v>#DIV/0!</v>
      </c>
      <c r="AK159" s="45" t="e">
        <f>AK158+(ATM_Conf!$C$5/ATM_Conf!$C$8)*(Links!AZ158*EXP((-(Links!V158/Links!BO158)^Links!CD158)/Links!CD158)-Links!AK158)+(ATM_Conf!$C$5/Links!V$191)*Links!AK158*(Nodes!BF158-Links!AK158)-(ATM_Conf!$C$9*ATM_Conf!$C$5/(ATM_Conf!$C$8*Links!V$191))*(Nodes!BT158-Links!V158)/(Links!V158/ATM_Conf!$C$10)</f>
        <v>#DIV/0!</v>
      </c>
      <c r="AL159" s="45" t="e">
        <f>AL158+(ATM_Conf!$C$5/ATM_Conf!$C$8)*(Links!BA158*EXP((-(Links!W158/Links!BP158)^Links!CE158)/Links!CE158)-Links!AL158)+(ATM_Conf!$C$5/Links!W$191)*Links!AL158*(Nodes!BG158-Links!AL158)-(ATM_Conf!$C$9*ATM_Conf!$C$5/(ATM_Conf!$C$8*Links!W$191))*(Nodes!BU158-Links!W158)/(Links!W158/ATM_Conf!$C$10)</f>
        <v>#DIV/0!</v>
      </c>
      <c r="AM159" s="45" t="e">
        <f>AM158+(ATM_Conf!$C$5/ATM_Conf!$C$8)*(Links!BB158*EXP((-(Links!X158/Links!BQ158)^Links!CF158)/Links!CF158)-Links!AM158)+(ATM_Conf!$C$5/Links!X$191)*Links!AM158*(Nodes!BH158-Links!AM158)</f>
        <v>#DIV/0!</v>
      </c>
      <c r="AN159" s="45" t="e">
        <f>AN158+(ATM_Conf!$C$5/ATM_Conf!$C$8)*(Links!BC158*EXP((-(Links!Y158/Links!BR158)^Links!CG158)/Links!CG158)-Links!AN158)-(ATM_Conf!$C$9*ATM_Conf!$C$5/(ATM_Conf!$C$8*Links!Y$191))*(Nodes!BV158-Links!Y158)/(Links!Y158/ATM_Conf!$C$10)</f>
        <v>#DIV/0!</v>
      </c>
      <c r="AO159" s="45" t="e">
        <f>AO158+(ATM_Conf!$C$5/ATM_Conf!$C$8)*(Links!BD158*EXP((-(Links!Z158/Links!BS158)^Links!CH158)/Links!CH158)-Links!AO158)+(ATM_Conf!$C$5/Links!Z$191)*Links!AO158*(Nodes!BI158-Links!AO158)-(ATM_Conf!$C$9*ATM_Conf!$C$5/(ATM_Conf!$C$8*Links!Z$191))*(Nodes!BW158-Links!Z158)/(Links!Z158/ATM_Conf!$C$10)</f>
        <v>#DIV/0!</v>
      </c>
      <c r="AP159" s="45" t="e">
        <f>AP158+(ATM_Conf!$C$5/ATM_Conf!$C$8)*(Links!BE158*EXP((-(Links!AA158/Links!BT158)^Links!CI158)/Links!CI158)-Links!AP158)+(ATM_Conf!$C$5/Links!AA$191)*Links!AP158*(Nodes!BJ158-Links!AP158)-(ATM_Conf!$C$9*ATM_Conf!$C$5/(ATM_Conf!$C$8*Links!AA$191))*(Nodes!BX158-Links!AA158)/(Links!AA158/ATM_Conf!$C$10)</f>
        <v>#DIV/0!</v>
      </c>
      <c r="AQ159" s="45" t="e">
        <f>AQ158+(ATM_Conf!$C$5/ATM_Conf!$C$8)*(Links!BF158*EXP((-(Links!AB158/Links!BU158)^Links!CJ158)/Links!CJ158)-Links!AQ158)+(ATM_Conf!$C$5/Links!AB$191)*Links!AQ158*(Nodes!BK158-Links!AQ158)-(ATM_Conf!$C$9*ATM_Conf!$C$5/(ATM_Conf!$C$8*Links!AB$191))*(Nodes!BY158-Links!AB158)/(Links!AB158/ATM_Conf!$C$10)</f>
        <v>#DIV/0!</v>
      </c>
      <c r="AR159" s="45" t="e">
        <f>AR158+(ATM_Conf!$C$5/ATM_Conf!$C$8)*(Links!BG158*EXP((-(Links!AC158/Links!BV158)^Links!CK158)/Links!CK158)-Links!AR158)+(ATM_Conf!$C$5/Links!AC$191)*Links!AR158*(Nodes!BL158-Links!AR158)-(ATM_Conf!$C$9*ATM_Conf!$C$5/(ATM_Conf!$C$8*Links!AC$191))*(Nodes!BZ158-Links!AC158)/(Links!AC158/ATM_Conf!$C$10)</f>
        <v>#DIV/0!</v>
      </c>
      <c r="AS159" s="45" t="e">
        <f>AS158+(ATM_Conf!$C$5/ATM_Conf!$C$8)*(Links!BH158*EXP((-(Links!AD158/Links!BW158)^Links!CL158)/Links!CL158)-Links!AS158)+(ATM_Conf!$C$5/Links!AD$191)*Links!AS158*(Nodes!BM158-Links!AS158)-(ATM_Conf!$C$9*ATM_Conf!$C$5/(ATM_Conf!$C$8*Links!AD$191))*(Nodes!CA158-Links!AD158)/(Links!AD158/ATM_Conf!$C$10)</f>
        <v>#DIV/0!</v>
      </c>
      <c r="AT159" s="45" t="e">
        <f>AT158+(ATM_Conf!$C$5/ATM_Conf!$C$8)*(Links!BI158*EXP((-(Links!AE158/Links!BX158)^Links!CM158)/Links!CM158)-Links!AT158)+(ATM_Conf!$C$5/Links!AE$191)*Links!AT158*(Nodes!BN158-Links!AT158)</f>
        <v>#DIV/0!</v>
      </c>
      <c r="AU159" s="55"/>
      <c r="AV159" s="55"/>
      <c r="AW159" s="55"/>
      <c r="AX159" s="55"/>
      <c r="AY159" s="55"/>
      <c r="AZ159" s="55"/>
      <c r="BA159" s="55"/>
      <c r="BB159" s="55"/>
      <c r="BC159" s="55"/>
      <c r="BD159" s="55"/>
      <c r="BE159" s="55"/>
      <c r="BF159" s="55"/>
      <c r="BG159" s="55"/>
      <c r="BH159" s="55"/>
      <c r="BI159" s="5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W159" s="45"/>
      <c r="BX159" s="45"/>
      <c r="BY159" s="55"/>
      <c r="BZ159" s="55"/>
      <c r="CA159" s="55"/>
      <c r="CB159" s="55"/>
      <c r="CC159" s="55"/>
      <c r="CD159" s="55"/>
      <c r="CE159" s="55"/>
      <c r="CF159" s="55"/>
      <c r="CG159" s="55"/>
      <c r="CH159" s="55"/>
      <c r="CI159" s="55"/>
      <c r="CJ159" s="55"/>
      <c r="CK159" s="55"/>
      <c r="CL159" s="55"/>
      <c r="CM159" s="55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53">
        <f>(CN159-CN147)^2</f>
        <v>0</v>
      </c>
      <c r="DD159" s="53">
        <f t="shared" ref="DD159:DQ159" si="85">(CO159-CO147)^2</f>
        <v>0</v>
      </c>
      <c r="DE159" s="53">
        <f t="shared" si="85"/>
        <v>0</v>
      </c>
      <c r="DF159" s="53">
        <f t="shared" si="85"/>
        <v>0</v>
      </c>
      <c r="DG159" s="53">
        <f t="shared" si="85"/>
        <v>0</v>
      </c>
      <c r="DH159" s="53">
        <f t="shared" si="85"/>
        <v>0</v>
      </c>
      <c r="DI159" s="53">
        <f t="shared" si="85"/>
        <v>0</v>
      </c>
      <c r="DJ159" s="53">
        <f t="shared" si="85"/>
        <v>0</v>
      </c>
      <c r="DK159" s="53">
        <f t="shared" si="85"/>
        <v>0</v>
      </c>
      <c r="DL159" s="53">
        <f t="shared" si="85"/>
        <v>0</v>
      </c>
      <c r="DM159" s="53">
        <f t="shared" si="85"/>
        <v>0</v>
      </c>
      <c r="DN159" s="53">
        <f t="shared" si="85"/>
        <v>0</v>
      </c>
      <c r="DO159" s="53">
        <f t="shared" si="85"/>
        <v>0</v>
      </c>
      <c r="DP159" s="53">
        <f t="shared" si="85"/>
        <v>0</v>
      </c>
      <c r="DQ159" s="53">
        <f t="shared" si="85"/>
        <v>0</v>
      </c>
    </row>
    <row r="160" spans="1:121" ht="14.25" x14ac:dyDescent="0.15">
      <c r="A160" s="48">
        <v>158</v>
      </c>
      <c r="B160" s="45" t="e">
        <f t="shared" si="64"/>
        <v>#DIV/0!</v>
      </c>
      <c r="C160" s="45" t="e">
        <f t="shared" si="65"/>
        <v>#DIV/0!</v>
      </c>
      <c r="D160" s="45" t="e">
        <f t="shared" si="66"/>
        <v>#DIV/0!</v>
      </c>
      <c r="E160" s="45" t="e">
        <f t="shared" si="67"/>
        <v>#DIV/0!</v>
      </c>
      <c r="F160" s="45" t="e">
        <f t="shared" si="68"/>
        <v>#DIV/0!</v>
      </c>
      <c r="G160" s="45" t="e">
        <f t="shared" si="69"/>
        <v>#DIV/0!</v>
      </c>
      <c r="H160" s="45" t="e">
        <f t="shared" si="70"/>
        <v>#DIV/0!</v>
      </c>
      <c r="I160" s="45" t="e">
        <f t="shared" si="71"/>
        <v>#DIV/0!</v>
      </c>
      <c r="J160" s="45" t="e">
        <f t="shared" si="72"/>
        <v>#DIV/0!</v>
      </c>
      <c r="K160" s="45" t="e">
        <f t="shared" si="73"/>
        <v>#DIV/0!</v>
      </c>
      <c r="L160" s="45" t="e">
        <f t="shared" si="74"/>
        <v>#DIV/0!</v>
      </c>
      <c r="M160" s="45" t="e">
        <f t="shared" si="75"/>
        <v>#DIV/0!</v>
      </c>
      <c r="N160" s="45" t="e">
        <f t="shared" si="76"/>
        <v>#DIV/0!</v>
      </c>
      <c r="O160" s="45" t="e">
        <f t="shared" si="77"/>
        <v>#DIV/0!</v>
      </c>
      <c r="P160" s="45" t="e">
        <f t="shared" si="78"/>
        <v>#DIV/0!</v>
      </c>
      <c r="Q160" s="55" t="e">
        <f>Q159+ATM_Conf!$C$5*(B159)/(Links!B$191*Links!Q$191)</f>
        <v>#DIV/0!</v>
      </c>
      <c r="R160" s="55" t="e">
        <f>R159+ATM_Conf!$C$5*(C159-B159)/(Links!C$191*Links!R$191)</f>
        <v>#DIV/0!</v>
      </c>
      <c r="S160" s="55" t="e">
        <f>S159+ATM_Conf!$C$5*(D159-C159)/(Links!D$191*Links!S$191)</f>
        <v>#DIV/0!</v>
      </c>
      <c r="T160" s="55" t="e">
        <f>T159+ATM_Conf!$C$5*(E159-D159)/(Links!E$191*Links!T$191)</f>
        <v>#DIV/0!</v>
      </c>
      <c r="U160" s="55" t="e">
        <f>U159+ATM_Conf!$C$5*(F159-E159)/(Links!F$191*Links!U$191)</f>
        <v>#DIV/0!</v>
      </c>
      <c r="V160" s="55" t="e">
        <f>V159+ATM_Conf!$C$5*(G159-F159)/(Links!G$191*Links!V$191)</f>
        <v>#DIV/0!</v>
      </c>
      <c r="W160" s="55" t="e">
        <f>W159+ATM_Conf!$C$5*(H159-G159)/(Links!H$191*Links!W$191)</f>
        <v>#DIV/0!</v>
      </c>
      <c r="X160" s="55" t="e">
        <f>X159+ATM_Conf!$C$5*(I159-H159)/(Links!I$191*Links!X$191)</f>
        <v>#DIV/0!</v>
      </c>
      <c r="Y160" s="55" t="e">
        <f>Y159+ATM_Conf!$C$5*(J159)/(Links!J$191*Links!Y$191)</f>
        <v>#DIV/0!</v>
      </c>
      <c r="Z160" s="55" t="e">
        <f>Z159+ATM_Conf!$C$5*(K159-J159)/(Links!K$191*Links!Z$191)</f>
        <v>#DIV/0!</v>
      </c>
      <c r="AA160" s="55" t="e">
        <f>AA159+ATM_Conf!$C$5*(L159-K159)/(Links!L$191*Links!AA$191)</f>
        <v>#DIV/0!</v>
      </c>
      <c r="AB160" s="55" t="e">
        <f>AB159+ATM_Conf!$C$5*(M159-L159)/(Links!M$191*Links!AB$191)</f>
        <v>#DIV/0!</v>
      </c>
      <c r="AC160" s="55" t="e">
        <f>AC159+ATM_Conf!$C$5*(N159-M159)/(Links!N$191*Links!AC$191)</f>
        <v>#DIV/0!</v>
      </c>
      <c r="AD160" s="55" t="e">
        <f>AD159+ATM_Conf!$C$5*(O159-N159)/(Links!O$191*Links!AD$191)</f>
        <v>#DIV/0!</v>
      </c>
      <c r="AE160" s="55" t="e">
        <f>AE159+ATM_Conf!$C$5*(P159-O159)/(Links!P$191*Links!AE$191)</f>
        <v>#DIV/0!</v>
      </c>
      <c r="AF160" s="45" t="e">
        <f>AF159+(ATM_Conf!$C$5/ATM_Conf!$C$8)*(Links!AU159*EXP((-(Links!Q159/Links!BJ159)^Links!BY159)/Links!BY159)-Links!AF159)-(ATM_Conf!$C$9*ATM_Conf!$C$5/(ATM_Conf!$C$8*Links!Q$191))*(Nodes!BO159-Links!Q159)/(Links!Q159/ATM_Conf!$C$10)</f>
        <v>#DIV/0!</v>
      </c>
      <c r="AG160" s="45" t="e">
        <f>AG159+(ATM_Conf!$C$5/ATM_Conf!$C$8)*(Links!AV159*EXP((-(Links!R159/Links!BK159)^Links!BZ159)/Links!BZ159)-Links!AG159)+(ATM_Conf!$C$5/Links!R$191)*Links!AG159*(Nodes!BB159-Links!AG159)-(ATM_Conf!$C$9*ATM_Conf!$C$5/(ATM_Conf!$C$8*Links!R$191))*(Nodes!BP159-Links!R159)/(Links!R159/ATM_Conf!$C$10)</f>
        <v>#DIV/0!</v>
      </c>
      <c r="AH160" s="45" t="e">
        <f>AH159+(ATM_Conf!$C$5/ATM_Conf!$C$8)*(Links!AW159*EXP((-(Links!S159/Links!BL159)^Links!CA159)/Links!CA159)-Links!AH159)+(ATM_Conf!$C$5/Links!S$191)*Links!AH159*(Nodes!BC159-Links!AH159)-(ATM_Conf!$C$9*ATM_Conf!$C$5/(ATM_Conf!$C$8*Links!S$191))*(Nodes!BQ159-Links!S159)/(Links!S159/ATM_Conf!$C$10)</f>
        <v>#DIV/0!</v>
      </c>
      <c r="AI160" s="45" t="e">
        <f>AI159+(ATM_Conf!$C$5/ATM_Conf!$C$8)*(Links!AX159*EXP((-(Links!T159/Links!BM159)^Links!CB159)/Links!CB159)-Links!AI159)+(ATM_Conf!$C$5/Links!T$191)*Links!AI159*(Nodes!BD159-Links!AI159)-(ATM_Conf!$C$9*ATM_Conf!$C$5/(ATM_Conf!$C$8*Links!T$191))*(Nodes!BR159-Links!T159)/(Links!T159/ATM_Conf!$C$10)</f>
        <v>#DIV/0!</v>
      </c>
      <c r="AJ160" s="45" t="e">
        <f>AJ159+(ATM_Conf!$C$5/ATM_Conf!$C$8)*(Links!AY159*EXP((-(Links!U159/Links!BN159)^Links!CC159)/Links!CC159)-Links!AJ159)+(ATM_Conf!$C$5/Links!U$191)*Links!AJ159*(Nodes!BE159-Links!AJ159)-(ATM_Conf!$C$9*ATM_Conf!$C$5/(ATM_Conf!$C$8*Links!U$191))*(Nodes!BS159-Links!U159)/(Links!U159/ATM_Conf!$C$10)</f>
        <v>#DIV/0!</v>
      </c>
      <c r="AK160" s="45" t="e">
        <f>AK159+(ATM_Conf!$C$5/ATM_Conf!$C$8)*(Links!AZ159*EXP((-(Links!V159/Links!BO159)^Links!CD159)/Links!CD159)-Links!AK159)+(ATM_Conf!$C$5/Links!V$191)*Links!AK159*(Nodes!BF159-Links!AK159)-(ATM_Conf!$C$9*ATM_Conf!$C$5/(ATM_Conf!$C$8*Links!V$191))*(Nodes!BT159-Links!V159)/(Links!V159/ATM_Conf!$C$10)</f>
        <v>#DIV/0!</v>
      </c>
      <c r="AL160" s="45" t="e">
        <f>AL159+(ATM_Conf!$C$5/ATM_Conf!$C$8)*(Links!BA159*EXP((-(Links!W159/Links!BP159)^Links!CE159)/Links!CE159)-Links!AL159)+(ATM_Conf!$C$5/Links!W$191)*Links!AL159*(Nodes!BG159-Links!AL159)-(ATM_Conf!$C$9*ATM_Conf!$C$5/(ATM_Conf!$C$8*Links!W$191))*(Nodes!BU159-Links!W159)/(Links!W159/ATM_Conf!$C$10)</f>
        <v>#DIV/0!</v>
      </c>
      <c r="AM160" s="45" t="e">
        <f>AM159+(ATM_Conf!$C$5/ATM_Conf!$C$8)*(Links!BB159*EXP((-(Links!X159/Links!BQ159)^Links!CF159)/Links!CF159)-Links!AM159)+(ATM_Conf!$C$5/Links!X$191)*Links!AM159*(Nodes!BH159-Links!AM159)</f>
        <v>#DIV/0!</v>
      </c>
      <c r="AN160" s="45" t="e">
        <f>AN159+(ATM_Conf!$C$5/ATM_Conf!$C$8)*(Links!BC159*EXP((-(Links!Y159/Links!BR159)^Links!CG159)/Links!CG159)-Links!AN159)-(ATM_Conf!$C$9*ATM_Conf!$C$5/(ATM_Conf!$C$8*Links!Y$191))*(Nodes!BV159-Links!Y159)/(Links!Y159/ATM_Conf!$C$10)</f>
        <v>#DIV/0!</v>
      </c>
      <c r="AO160" s="45" t="e">
        <f>AO159+(ATM_Conf!$C$5/ATM_Conf!$C$8)*(Links!BD159*EXP((-(Links!Z159/Links!BS159)^Links!CH159)/Links!CH159)-Links!AO159)+(ATM_Conf!$C$5/Links!Z$191)*Links!AO159*(Nodes!BI159-Links!AO159)-(ATM_Conf!$C$9*ATM_Conf!$C$5/(ATM_Conf!$C$8*Links!Z$191))*(Nodes!BW159-Links!Z159)/(Links!Z159/ATM_Conf!$C$10)</f>
        <v>#DIV/0!</v>
      </c>
      <c r="AP160" s="45" t="e">
        <f>AP159+(ATM_Conf!$C$5/ATM_Conf!$C$8)*(Links!BE159*EXP((-(Links!AA159/Links!BT159)^Links!CI159)/Links!CI159)-Links!AP159)+(ATM_Conf!$C$5/Links!AA$191)*Links!AP159*(Nodes!BJ159-Links!AP159)-(ATM_Conf!$C$9*ATM_Conf!$C$5/(ATM_Conf!$C$8*Links!AA$191))*(Nodes!BX159-Links!AA159)/(Links!AA159/ATM_Conf!$C$10)</f>
        <v>#DIV/0!</v>
      </c>
      <c r="AQ160" s="45" t="e">
        <f>AQ159+(ATM_Conf!$C$5/ATM_Conf!$C$8)*(Links!BF159*EXP((-(Links!AB159/Links!BU159)^Links!CJ159)/Links!CJ159)-Links!AQ159)+(ATM_Conf!$C$5/Links!AB$191)*Links!AQ159*(Nodes!BK159-Links!AQ159)-(ATM_Conf!$C$9*ATM_Conf!$C$5/(ATM_Conf!$C$8*Links!AB$191))*(Nodes!BY159-Links!AB159)/(Links!AB159/ATM_Conf!$C$10)</f>
        <v>#DIV/0!</v>
      </c>
      <c r="AR160" s="45" t="e">
        <f>AR159+(ATM_Conf!$C$5/ATM_Conf!$C$8)*(Links!BG159*EXP((-(Links!AC159/Links!BV159)^Links!CK159)/Links!CK159)-Links!AR159)+(ATM_Conf!$C$5/Links!AC$191)*Links!AR159*(Nodes!BL159-Links!AR159)-(ATM_Conf!$C$9*ATM_Conf!$C$5/(ATM_Conf!$C$8*Links!AC$191))*(Nodes!BZ159-Links!AC159)/(Links!AC159/ATM_Conf!$C$10)</f>
        <v>#DIV/0!</v>
      </c>
      <c r="AS160" s="45" t="e">
        <f>AS159+(ATM_Conf!$C$5/ATM_Conf!$C$8)*(Links!BH159*EXP((-(Links!AD159/Links!BW159)^Links!CL159)/Links!CL159)-Links!AS159)+(ATM_Conf!$C$5/Links!AD$191)*Links!AS159*(Nodes!BM159-Links!AS159)-(ATM_Conf!$C$9*ATM_Conf!$C$5/(ATM_Conf!$C$8*Links!AD$191))*(Nodes!CA159-Links!AD159)/(Links!AD159/ATM_Conf!$C$10)</f>
        <v>#DIV/0!</v>
      </c>
      <c r="AT160" s="45" t="e">
        <f>AT159+(ATM_Conf!$C$5/ATM_Conf!$C$8)*(Links!BI159*EXP((-(Links!AE159/Links!BX159)^Links!CM159)/Links!CM159)-Links!AT159)+(ATM_Conf!$C$5/Links!AE$191)*Links!AT159*(Nodes!BN159-Links!AT159)</f>
        <v>#DIV/0!</v>
      </c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  <c r="BI160" s="55"/>
      <c r="BJ160" s="45"/>
      <c r="BK160" s="45"/>
      <c r="BL160" s="45"/>
      <c r="BM160" s="45"/>
      <c r="BN160" s="45"/>
      <c r="BO160" s="45"/>
      <c r="BP160" s="45"/>
      <c r="BQ160" s="45"/>
      <c r="BR160" s="45"/>
      <c r="BS160" s="45"/>
      <c r="BT160" s="45"/>
      <c r="BU160" s="45"/>
      <c r="BV160" s="45"/>
      <c r="BW160" s="45"/>
      <c r="BX160" s="4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45">
        <f>CN$159</f>
        <v>0</v>
      </c>
      <c r="CO160" s="45">
        <f t="shared" ref="CO160:DB160" si="86">CO$159</f>
        <v>0</v>
      </c>
      <c r="CP160" s="45">
        <f t="shared" si="86"/>
        <v>0</v>
      </c>
      <c r="CQ160" s="45">
        <f t="shared" si="86"/>
        <v>0</v>
      </c>
      <c r="CR160" s="45">
        <f t="shared" si="86"/>
        <v>0</v>
      </c>
      <c r="CS160" s="45">
        <f t="shared" si="86"/>
        <v>0</v>
      </c>
      <c r="CT160" s="45">
        <f t="shared" si="86"/>
        <v>0</v>
      </c>
      <c r="CU160" s="45">
        <f t="shared" si="86"/>
        <v>0</v>
      </c>
      <c r="CV160" s="45">
        <f t="shared" si="86"/>
        <v>0</v>
      </c>
      <c r="CW160" s="45">
        <f t="shared" si="86"/>
        <v>0</v>
      </c>
      <c r="CX160" s="45">
        <f t="shared" si="86"/>
        <v>0</v>
      </c>
      <c r="CY160" s="45">
        <f t="shared" si="86"/>
        <v>0</v>
      </c>
      <c r="CZ160" s="45">
        <f t="shared" si="86"/>
        <v>0</v>
      </c>
      <c r="DA160" s="45">
        <f t="shared" si="86"/>
        <v>0</v>
      </c>
      <c r="DB160" s="45">
        <f t="shared" si="86"/>
        <v>0</v>
      </c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</row>
    <row r="161" spans="1:121" ht="14.25" x14ac:dyDescent="0.15">
      <c r="A161" s="48">
        <v>159</v>
      </c>
      <c r="B161" s="45" t="e">
        <f t="shared" si="64"/>
        <v>#DIV/0!</v>
      </c>
      <c r="C161" s="45" t="e">
        <f t="shared" si="65"/>
        <v>#DIV/0!</v>
      </c>
      <c r="D161" s="45" t="e">
        <f t="shared" si="66"/>
        <v>#DIV/0!</v>
      </c>
      <c r="E161" s="45" t="e">
        <f t="shared" si="67"/>
        <v>#DIV/0!</v>
      </c>
      <c r="F161" s="45" t="e">
        <f t="shared" si="68"/>
        <v>#DIV/0!</v>
      </c>
      <c r="G161" s="45" t="e">
        <f t="shared" si="69"/>
        <v>#DIV/0!</v>
      </c>
      <c r="H161" s="45" t="e">
        <f t="shared" si="70"/>
        <v>#DIV/0!</v>
      </c>
      <c r="I161" s="45" t="e">
        <f t="shared" si="71"/>
        <v>#DIV/0!</v>
      </c>
      <c r="J161" s="45" t="e">
        <f t="shared" si="72"/>
        <v>#DIV/0!</v>
      </c>
      <c r="K161" s="45" t="e">
        <f t="shared" si="73"/>
        <v>#DIV/0!</v>
      </c>
      <c r="L161" s="45" t="e">
        <f t="shared" si="74"/>
        <v>#DIV/0!</v>
      </c>
      <c r="M161" s="45" t="e">
        <f t="shared" si="75"/>
        <v>#DIV/0!</v>
      </c>
      <c r="N161" s="45" t="e">
        <f t="shared" si="76"/>
        <v>#DIV/0!</v>
      </c>
      <c r="O161" s="45" t="e">
        <f t="shared" si="77"/>
        <v>#DIV/0!</v>
      </c>
      <c r="P161" s="45" t="e">
        <f t="shared" si="78"/>
        <v>#DIV/0!</v>
      </c>
      <c r="Q161" s="55" t="e">
        <f>Q160+ATM_Conf!$C$5*(B160)/(Links!B$191*Links!Q$191)</f>
        <v>#DIV/0!</v>
      </c>
      <c r="R161" s="55" t="e">
        <f>R160+ATM_Conf!$C$5*(C160-B160)/(Links!C$191*Links!R$191)</f>
        <v>#DIV/0!</v>
      </c>
      <c r="S161" s="55" t="e">
        <f>S160+ATM_Conf!$C$5*(D160-C160)/(Links!D$191*Links!S$191)</f>
        <v>#DIV/0!</v>
      </c>
      <c r="T161" s="55" t="e">
        <f>T160+ATM_Conf!$C$5*(E160-D160)/(Links!E$191*Links!T$191)</f>
        <v>#DIV/0!</v>
      </c>
      <c r="U161" s="55" t="e">
        <f>U160+ATM_Conf!$C$5*(F160-E160)/(Links!F$191*Links!U$191)</f>
        <v>#DIV/0!</v>
      </c>
      <c r="V161" s="55" t="e">
        <f>V160+ATM_Conf!$C$5*(G160-F160)/(Links!G$191*Links!V$191)</f>
        <v>#DIV/0!</v>
      </c>
      <c r="W161" s="55" t="e">
        <f>W160+ATM_Conf!$C$5*(H160-G160)/(Links!H$191*Links!W$191)</f>
        <v>#DIV/0!</v>
      </c>
      <c r="X161" s="55" t="e">
        <f>X160+ATM_Conf!$C$5*(I160-H160)/(Links!I$191*Links!X$191)</f>
        <v>#DIV/0!</v>
      </c>
      <c r="Y161" s="55" t="e">
        <f>Y160+ATM_Conf!$C$5*(J160)/(Links!J$191*Links!Y$191)</f>
        <v>#DIV/0!</v>
      </c>
      <c r="Z161" s="55" t="e">
        <f>Z160+ATM_Conf!$C$5*(K160-J160)/(Links!K$191*Links!Z$191)</f>
        <v>#DIV/0!</v>
      </c>
      <c r="AA161" s="55" t="e">
        <f>AA160+ATM_Conf!$C$5*(L160-K160)/(Links!L$191*Links!AA$191)</f>
        <v>#DIV/0!</v>
      </c>
      <c r="AB161" s="55" t="e">
        <f>AB160+ATM_Conf!$C$5*(M160-L160)/(Links!M$191*Links!AB$191)</f>
        <v>#DIV/0!</v>
      </c>
      <c r="AC161" s="55" t="e">
        <f>AC160+ATM_Conf!$C$5*(N160-M160)/(Links!N$191*Links!AC$191)</f>
        <v>#DIV/0!</v>
      </c>
      <c r="AD161" s="55" t="e">
        <f>AD160+ATM_Conf!$C$5*(O160-N160)/(Links!O$191*Links!AD$191)</f>
        <v>#DIV/0!</v>
      </c>
      <c r="AE161" s="55" t="e">
        <f>AE160+ATM_Conf!$C$5*(P160-O160)/(Links!P$191*Links!AE$191)</f>
        <v>#DIV/0!</v>
      </c>
      <c r="AF161" s="45" t="e">
        <f>AF160+(ATM_Conf!$C$5/ATM_Conf!$C$8)*(Links!AU160*EXP((-(Links!Q160/Links!BJ160)^Links!BY160)/Links!BY160)-Links!AF160)-(ATM_Conf!$C$9*ATM_Conf!$C$5/(ATM_Conf!$C$8*Links!Q$191))*(Nodes!BO160-Links!Q160)/(Links!Q160/ATM_Conf!$C$10)</f>
        <v>#DIV/0!</v>
      </c>
      <c r="AG161" s="45" t="e">
        <f>AG160+(ATM_Conf!$C$5/ATM_Conf!$C$8)*(Links!AV160*EXP((-(Links!R160/Links!BK160)^Links!BZ160)/Links!BZ160)-Links!AG160)+(ATM_Conf!$C$5/Links!R$191)*Links!AG160*(Nodes!BB160-Links!AG160)-(ATM_Conf!$C$9*ATM_Conf!$C$5/(ATM_Conf!$C$8*Links!R$191))*(Nodes!BP160-Links!R160)/(Links!R160/ATM_Conf!$C$10)</f>
        <v>#DIV/0!</v>
      </c>
      <c r="AH161" s="45" t="e">
        <f>AH160+(ATM_Conf!$C$5/ATM_Conf!$C$8)*(Links!AW160*EXP((-(Links!S160/Links!BL160)^Links!CA160)/Links!CA160)-Links!AH160)+(ATM_Conf!$C$5/Links!S$191)*Links!AH160*(Nodes!BC160-Links!AH160)-(ATM_Conf!$C$9*ATM_Conf!$C$5/(ATM_Conf!$C$8*Links!S$191))*(Nodes!BQ160-Links!S160)/(Links!S160/ATM_Conf!$C$10)</f>
        <v>#DIV/0!</v>
      </c>
      <c r="AI161" s="45" t="e">
        <f>AI160+(ATM_Conf!$C$5/ATM_Conf!$C$8)*(Links!AX160*EXP((-(Links!T160/Links!BM160)^Links!CB160)/Links!CB160)-Links!AI160)+(ATM_Conf!$C$5/Links!T$191)*Links!AI160*(Nodes!BD160-Links!AI160)-(ATM_Conf!$C$9*ATM_Conf!$C$5/(ATM_Conf!$C$8*Links!T$191))*(Nodes!BR160-Links!T160)/(Links!T160/ATM_Conf!$C$10)</f>
        <v>#DIV/0!</v>
      </c>
      <c r="AJ161" s="45" t="e">
        <f>AJ160+(ATM_Conf!$C$5/ATM_Conf!$C$8)*(Links!AY160*EXP((-(Links!U160/Links!BN160)^Links!CC160)/Links!CC160)-Links!AJ160)+(ATM_Conf!$C$5/Links!U$191)*Links!AJ160*(Nodes!BE160-Links!AJ160)-(ATM_Conf!$C$9*ATM_Conf!$C$5/(ATM_Conf!$C$8*Links!U$191))*(Nodes!BS160-Links!U160)/(Links!U160/ATM_Conf!$C$10)</f>
        <v>#DIV/0!</v>
      </c>
      <c r="AK161" s="45" t="e">
        <f>AK160+(ATM_Conf!$C$5/ATM_Conf!$C$8)*(Links!AZ160*EXP((-(Links!V160/Links!BO160)^Links!CD160)/Links!CD160)-Links!AK160)+(ATM_Conf!$C$5/Links!V$191)*Links!AK160*(Nodes!BF160-Links!AK160)-(ATM_Conf!$C$9*ATM_Conf!$C$5/(ATM_Conf!$C$8*Links!V$191))*(Nodes!BT160-Links!V160)/(Links!V160/ATM_Conf!$C$10)</f>
        <v>#DIV/0!</v>
      </c>
      <c r="AL161" s="45" t="e">
        <f>AL160+(ATM_Conf!$C$5/ATM_Conf!$C$8)*(Links!BA160*EXP((-(Links!W160/Links!BP160)^Links!CE160)/Links!CE160)-Links!AL160)+(ATM_Conf!$C$5/Links!W$191)*Links!AL160*(Nodes!BG160-Links!AL160)-(ATM_Conf!$C$9*ATM_Conf!$C$5/(ATM_Conf!$C$8*Links!W$191))*(Nodes!BU160-Links!W160)/(Links!W160/ATM_Conf!$C$10)</f>
        <v>#DIV/0!</v>
      </c>
      <c r="AM161" s="45" t="e">
        <f>AM160+(ATM_Conf!$C$5/ATM_Conf!$C$8)*(Links!BB160*EXP((-(Links!X160/Links!BQ160)^Links!CF160)/Links!CF160)-Links!AM160)+(ATM_Conf!$C$5/Links!X$191)*Links!AM160*(Nodes!BH160-Links!AM160)</f>
        <v>#DIV/0!</v>
      </c>
      <c r="AN161" s="45" t="e">
        <f>AN160+(ATM_Conf!$C$5/ATM_Conf!$C$8)*(Links!BC160*EXP((-(Links!Y160/Links!BR160)^Links!CG160)/Links!CG160)-Links!AN160)-(ATM_Conf!$C$9*ATM_Conf!$C$5/(ATM_Conf!$C$8*Links!Y$191))*(Nodes!BV160-Links!Y160)/(Links!Y160/ATM_Conf!$C$10)</f>
        <v>#DIV/0!</v>
      </c>
      <c r="AO161" s="45" t="e">
        <f>AO160+(ATM_Conf!$C$5/ATM_Conf!$C$8)*(Links!BD160*EXP((-(Links!Z160/Links!BS160)^Links!CH160)/Links!CH160)-Links!AO160)+(ATM_Conf!$C$5/Links!Z$191)*Links!AO160*(Nodes!BI160-Links!AO160)-(ATM_Conf!$C$9*ATM_Conf!$C$5/(ATM_Conf!$C$8*Links!Z$191))*(Nodes!BW160-Links!Z160)/(Links!Z160/ATM_Conf!$C$10)</f>
        <v>#DIV/0!</v>
      </c>
      <c r="AP161" s="45" t="e">
        <f>AP160+(ATM_Conf!$C$5/ATM_Conf!$C$8)*(Links!BE160*EXP((-(Links!AA160/Links!BT160)^Links!CI160)/Links!CI160)-Links!AP160)+(ATM_Conf!$C$5/Links!AA$191)*Links!AP160*(Nodes!BJ160-Links!AP160)-(ATM_Conf!$C$9*ATM_Conf!$C$5/(ATM_Conf!$C$8*Links!AA$191))*(Nodes!BX160-Links!AA160)/(Links!AA160/ATM_Conf!$C$10)</f>
        <v>#DIV/0!</v>
      </c>
      <c r="AQ161" s="45" t="e">
        <f>AQ160+(ATM_Conf!$C$5/ATM_Conf!$C$8)*(Links!BF160*EXP((-(Links!AB160/Links!BU160)^Links!CJ160)/Links!CJ160)-Links!AQ160)+(ATM_Conf!$C$5/Links!AB$191)*Links!AQ160*(Nodes!BK160-Links!AQ160)-(ATM_Conf!$C$9*ATM_Conf!$C$5/(ATM_Conf!$C$8*Links!AB$191))*(Nodes!BY160-Links!AB160)/(Links!AB160/ATM_Conf!$C$10)</f>
        <v>#DIV/0!</v>
      </c>
      <c r="AR161" s="45" t="e">
        <f>AR160+(ATM_Conf!$C$5/ATM_Conf!$C$8)*(Links!BG160*EXP((-(Links!AC160/Links!BV160)^Links!CK160)/Links!CK160)-Links!AR160)+(ATM_Conf!$C$5/Links!AC$191)*Links!AR160*(Nodes!BL160-Links!AR160)-(ATM_Conf!$C$9*ATM_Conf!$C$5/(ATM_Conf!$C$8*Links!AC$191))*(Nodes!BZ160-Links!AC160)/(Links!AC160/ATM_Conf!$C$10)</f>
        <v>#DIV/0!</v>
      </c>
      <c r="AS161" s="45" t="e">
        <f>AS160+(ATM_Conf!$C$5/ATM_Conf!$C$8)*(Links!BH160*EXP((-(Links!AD160/Links!BW160)^Links!CL160)/Links!CL160)-Links!AS160)+(ATM_Conf!$C$5/Links!AD$191)*Links!AS160*(Nodes!BM160-Links!AS160)-(ATM_Conf!$C$9*ATM_Conf!$C$5/(ATM_Conf!$C$8*Links!AD$191))*(Nodes!CA160-Links!AD160)/(Links!AD160/ATM_Conf!$C$10)</f>
        <v>#DIV/0!</v>
      </c>
      <c r="AT161" s="45" t="e">
        <f>AT160+(ATM_Conf!$C$5/ATM_Conf!$C$8)*(Links!BI160*EXP((-(Links!AE160/Links!BX160)^Links!CM160)/Links!CM160)-Links!AT160)+(ATM_Conf!$C$5/Links!AE$191)*Links!AT160*(Nodes!BN160-Links!AT160)</f>
        <v>#DIV/0!</v>
      </c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  <c r="BI161" s="5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45">
        <f t="shared" ref="CN161:DB170" si="87">CN$159</f>
        <v>0</v>
      </c>
      <c r="CO161" s="45">
        <f t="shared" si="87"/>
        <v>0</v>
      </c>
      <c r="CP161" s="45">
        <f t="shared" si="87"/>
        <v>0</v>
      </c>
      <c r="CQ161" s="45">
        <f t="shared" si="87"/>
        <v>0</v>
      </c>
      <c r="CR161" s="45">
        <f t="shared" si="87"/>
        <v>0</v>
      </c>
      <c r="CS161" s="45">
        <f t="shared" si="87"/>
        <v>0</v>
      </c>
      <c r="CT161" s="45">
        <f t="shared" si="87"/>
        <v>0</v>
      </c>
      <c r="CU161" s="45">
        <f t="shared" si="87"/>
        <v>0</v>
      </c>
      <c r="CV161" s="45">
        <f t="shared" si="87"/>
        <v>0</v>
      </c>
      <c r="CW161" s="45">
        <f t="shared" si="87"/>
        <v>0</v>
      </c>
      <c r="CX161" s="45">
        <f t="shared" si="87"/>
        <v>0</v>
      </c>
      <c r="CY161" s="45">
        <f t="shared" si="87"/>
        <v>0</v>
      </c>
      <c r="CZ161" s="45">
        <f t="shared" si="87"/>
        <v>0</v>
      </c>
      <c r="DA161" s="45">
        <f t="shared" si="87"/>
        <v>0</v>
      </c>
      <c r="DB161" s="45">
        <f t="shared" si="87"/>
        <v>0</v>
      </c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</row>
    <row r="162" spans="1:121" ht="14.25" x14ac:dyDescent="0.15">
      <c r="A162" s="48">
        <v>160</v>
      </c>
      <c r="B162" s="45" t="e">
        <f t="shared" si="64"/>
        <v>#DIV/0!</v>
      </c>
      <c r="C162" s="45" t="e">
        <f t="shared" si="65"/>
        <v>#DIV/0!</v>
      </c>
      <c r="D162" s="45" t="e">
        <f t="shared" si="66"/>
        <v>#DIV/0!</v>
      </c>
      <c r="E162" s="45" t="e">
        <f t="shared" si="67"/>
        <v>#DIV/0!</v>
      </c>
      <c r="F162" s="45" t="e">
        <f t="shared" si="68"/>
        <v>#DIV/0!</v>
      </c>
      <c r="G162" s="45" t="e">
        <f t="shared" si="69"/>
        <v>#DIV/0!</v>
      </c>
      <c r="H162" s="45" t="e">
        <f t="shared" si="70"/>
        <v>#DIV/0!</v>
      </c>
      <c r="I162" s="45" t="e">
        <f t="shared" si="71"/>
        <v>#DIV/0!</v>
      </c>
      <c r="J162" s="45" t="e">
        <f t="shared" si="72"/>
        <v>#DIV/0!</v>
      </c>
      <c r="K162" s="45" t="e">
        <f t="shared" si="73"/>
        <v>#DIV/0!</v>
      </c>
      <c r="L162" s="45" t="e">
        <f t="shared" si="74"/>
        <v>#DIV/0!</v>
      </c>
      <c r="M162" s="45" t="e">
        <f t="shared" si="75"/>
        <v>#DIV/0!</v>
      </c>
      <c r="N162" s="45" t="e">
        <f t="shared" si="76"/>
        <v>#DIV/0!</v>
      </c>
      <c r="O162" s="45" t="e">
        <f t="shared" si="77"/>
        <v>#DIV/0!</v>
      </c>
      <c r="P162" s="45" t="e">
        <f t="shared" si="78"/>
        <v>#DIV/0!</v>
      </c>
      <c r="Q162" s="55" t="e">
        <f>Q161+ATM_Conf!$C$5*(B161)/(Links!B$191*Links!Q$191)</f>
        <v>#DIV/0!</v>
      </c>
      <c r="R162" s="55" t="e">
        <f>R161+ATM_Conf!$C$5*(C161-B161)/(Links!C$191*Links!R$191)</f>
        <v>#DIV/0!</v>
      </c>
      <c r="S162" s="55" t="e">
        <f>S161+ATM_Conf!$C$5*(D161-C161)/(Links!D$191*Links!S$191)</f>
        <v>#DIV/0!</v>
      </c>
      <c r="T162" s="55" t="e">
        <f>T161+ATM_Conf!$C$5*(E161-D161)/(Links!E$191*Links!T$191)</f>
        <v>#DIV/0!</v>
      </c>
      <c r="U162" s="55" t="e">
        <f>U161+ATM_Conf!$C$5*(F161-E161)/(Links!F$191*Links!U$191)</f>
        <v>#DIV/0!</v>
      </c>
      <c r="V162" s="55" t="e">
        <f>V161+ATM_Conf!$C$5*(G161-F161)/(Links!G$191*Links!V$191)</f>
        <v>#DIV/0!</v>
      </c>
      <c r="W162" s="55" t="e">
        <f>W161+ATM_Conf!$C$5*(H161-G161)/(Links!H$191*Links!W$191)</f>
        <v>#DIV/0!</v>
      </c>
      <c r="X162" s="55" t="e">
        <f>X161+ATM_Conf!$C$5*(I161-H161)/(Links!I$191*Links!X$191)</f>
        <v>#DIV/0!</v>
      </c>
      <c r="Y162" s="55" t="e">
        <f>Y161+ATM_Conf!$C$5*(J161)/(Links!J$191*Links!Y$191)</f>
        <v>#DIV/0!</v>
      </c>
      <c r="Z162" s="55" t="e">
        <f>Z161+ATM_Conf!$C$5*(K161-J161)/(Links!K$191*Links!Z$191)</f>
        <v>#DIV/0!</v>
      </c>
      <c r="AA162" s="55" t="e">
        <f>AA161+ATM_Conf!$C$5*(L161-K161)/(Links!L$191*Links!AA$191)</f>
        <v>#DIV/0!</v>
      </c>
      <c r="AB162" s="55" t="e">
        <f>AB161+ATM_Conf!$C$5*(M161-L161)/(Links!M$191*Links!AB$191)</f>
        <v>#DIV/0!</v>
      </c>
      <c r="AC162" s="55" t="e">
        <f>AC161+ATM_Conf!$C$5*(N161-M161)/(Links!N$191*Links!AC$191)</f>
        <v>#DIV/0!</v>
      </c>
      <c r="AD162" s="55" t="e">
        <f>AD161+ATM_Conf!$C$5*(O161-N161)/(Links!O$191*Links!AD$191)</f>
        <v>#DIV/0!</v>
      </c>
      <c r="AE162" s="55" t="e">
        <f>AE161+ATM_Conf!$C$5*(P161-O161)/(Links!P$191*Links!AE$191)</f>
        <v>#DIV/0!</v>
      </c>
      <c r="AF162" s="45" t="e">
        <f>AF161+(ATM_Conf!$C$5/ATM_Conf!$C$8)*(Links!AU161*EXP((-(Links!Q161/Links!BJ161)^Links!BY161)/Links!BY161)-Links!AF161)-(ATM_Conf!$C$9*ATM_Conf!$C$5/(ATM_Conf!$C$8*Links!Q$191))*(Nodes!BO161-Links!Q161)/(Links!Q161/ATM_Conf!$C$10)</f>
        <v>#DIV/0!</v>
      </c>
      <c r="AG162" s="45" t="e">
        <f>AG161+(ATM_Conf!$C$5/ATM_Conf!$C$8)*(Links!AV161*EXP((-(Links!R161/Links!BK161)^Links!BZ161)/Links!BZ161)-Links!AG161)+(ATM_Conf!$C$5/Links!R$191)*Links!AG161*(Nodes!BB161-Links!AG161)-(ATM_Conf!$C$9*ATM_Conf!$C$5/(ATM_Conf!$C$8*Links!R$191))*(Nodes!BP161-Links!R161)/(Links!R161/ATM_Conf!$C$10)</f>
        <v>#DIV/0!</v>
      </c>
      <c r="AH162" s="45" t="e">
        <f>AH161+(ATM_Conf!$C$5/ATM_Conf!$C$8)*(Links!AW161*EXP((-(Links!S161/Links!BL161)^Links!CA161)/Links!CA161)-Links!AH161)+(ATM_Conf!$C$5/Links!S$191)*Links!AH161*(Nodes!BC161-Links!AH161)-(ATM_Conf!$C$9*ATM_Conf!$C$5/(ATM_Conf!$C$8*Links!S$191))*(Nodes!BQ161-Links!S161)/(Links!S161/ATM_Conf!$C$10)</f>
        <v>#DIV/0!</v>
      </c>
      <c r="AI162" s="45" t="e">
        <f>AI161+(ATM_Conf!$C$5/ATM_Conf!$C$8)*(Links!AX161*EXP((-(Links!T161/Links!BM161)^Links!CB161)/Links!CB161)-Links!AI161)+(ATM_Conf!$C$5/Links!T$191)*Links!AI161*(Nodes!BD161-Links!AI161)-(ATM_Conf!$C$9*ATM_Conf!$C$5/(ATM_Conf!$C$8*Links!T$191))*(Nodes!BR161-Links!T161)/(Links!T161/ATM_Conf!$C$10)</f>
        <v>#DIV/0!</v>
      </c>
      <c r="AJ162" s="45" t="e">
        <f>AJ161+(ATM_Conf!$C$5/ATM_Conf!$C$8)*(Links!AY161*EXP((-(Links!U161/Links!BN161)^Links!CC161)/Links!CC161)-Links!AJ161)+(ATM_Conf!$C$5/Links!U$191)*Links!AJ161*(Nodes!BE161-Links!AJ161)-(ATM_Conf!$C$9*ATM_Conf!$C$5/(ATM_Conf!$C$8*Links!U$191))*(Nodes!BS161-Links!U161)/(Links!U161/ATM_Conf!$C$10)</f>
        <v>#DIV/0!</v>
      </c>
      <c r="AK162" s="45" t="e">
        <f>AK161+(ATM_Conf!$C$5/ATM_Conf!$C$8)*(Links!AZ161*EXP((-(Links!V161/Links!BO161)^Links!CD161)/Links!CD161)-Links!AK161)+(ATM_Conf!$C$5/Links!V$191)*Links!AK161*(Nodes!BF161-Links!AK161)-(ATM_Conf!$C$9*ATM_Conf!$C$5/(ATM_Conf!$C$8*Links!V$191))*(Nodes!BT161-Links!V161)/(Links!V161/ATM_Conf!$C$10)</f>
        <v>#DIV/0!</v>
      </c>
      <c r="AL162" s="45" t="e">
        <f>AL161+(ATM_Conf!$C$5/ATM_Conf!$C$8)*(Links!BA161*EXP((-(Links!W161/Links!BP161)^Links!CE161)/Links!CE161)-Links!AL161)+(ATM_Conf!$C$5/Links!W$191)*Links!AL161*(Nodes!BG161-Links!AL161)-(ATM_Conf!$C$9*ATM_Conf!$C$5/(ATM_Conf!$C$8*Links!W$191))*(Nodes!BU161-Links!W161)/(Links!W161/ATM_Conf!$C$10)</f>
        <v>#DIV/0!</v>
      </c>
      <c r="AM162" s="45" t="e">
        <f>AM161+(ATM_Conf!$C$5/ATM_Conf!$C$8)*(Links!BB161*EXP((-(Links!X161/Links!BQ161)^Links!CF161)/Links!CF161)-Links!AM161)+(ATM_Conf!$C$5/Links!X$191)*Links!AM161*(Nodes!BH161-Links!AM161)</f>
        <v>#DIV/0!</v>
      </c>
      <c r="AN162" s="45" t="e">
        <f>AN161+(ATM_Conf!$C$5/ATM_Conf!$C$8)*(Links!BC161*EXP((-(Links!Y161/Links!BR161)^Links!CG161)/Links!CG161)-Links!AN161)-(ATM_Conf!$C$9*ATM_Conf!$C$5/(ATM_Conf!$C$8*Links!Y$191))*(Nodes!BV161-Links!Y161)/(Links!Y161/ATM_Conf!$C$10)</f>
        <v>#DIV/0!</v>
      </c>
      <c r="AO162" s="45" t="e">
        <f>AO161+(ATM_Conf!$C$5/ATM_Conf!$C$8)*(Links!BD161*EXP((-(Links!Z161/Links!BS161)^Links!CH161)/Links!CH161)-Links!AO161)+(ATM_Conf!$C$5/Links!Z$191)*Links!AO161*(Nodes!BI161-Links!AO161)-(ATM_Conf!$C$9*ATM_Conf!$C$5/(ATM_Conf!$C$8*Links!Z$191))*(Nodes!BW161-Links!Z161)/(Links!Z161/ATM_Conf!$C$10)</f>
        <v>#DIV/0!</v>
      </c>
      <c r="AP162" s="45" t="e">
        <f>AP161+(ATM_Conf!$C$5/ATM_Conf!$C$8)*(Links!BE161*EXP((-(Links!AA161/Links!BT161)^Links!CI161)/Links!CI161)-Links!AP161)+(ATM_Conf!$C$5/Links!AA$191)*Links!AP161*(Nodes!BJ161-Links!AP161)-(ATM_Conf!$C$9*ATM_Conf!$C$5/(ATM_Conf!$C$8*Links!AA$191))*(Nodes!BX161-Links!AA161)/(Links!AA161/ATM_Conf!$C$10)</f>
        <v>#DIV/0!</v>
      </c>
      <c r="AQ162" s="45" t="e">
        <f>AQ161+(ATM_Conf!$C$5/ATM_Conf!$C$8)*(Links!BF161*EXP((-(Links!AB161/Links!BU161)^Links!CJ161)/Links!CJ161)-Links!AQ161)+(ATM_Conf!$C$5/Links!AB$191)*Links!AQ161*(Nodes!BK161-Links!AQ161)-(ATM_Conf!$C$9*ATM_Conf!$C$5/(ATM_Conf!$C$8*Links!AB$191))*(Nodes!BY161-Links!AB161)/(Links!AB161/ATM_Conf!$C$10)</f>
        <v>#DIV/0!</v>
      </c>
      <c r="AR162" s="45" t="e">
        <f>AR161+(ATM_Conf!$C$5/ATM_Conf!$C$8)*(Links!BG161*EXP((-(Links!AC161/Links!BV161)^Links!CK161)/Links!CK161)-Links!AR161)+(ATM_Conf!$C$5/Links!AC$191)*Links!AR161*(Nodes!BL161-Links!AR161)-(ATM_Conf!$C$9*ATM_Conf!$C$5/(ATM_Conf!$C$8*Links!AC$191))*(Nodes!BZ161-Links!AC161)/(Links!AC161/ATM_Conf!$C$10)</f>
        <v>#DIV/0!</v>
      </c>
      <c r="AS162" s="45" t="e">
        <f>AS161+(ATM_Conf!$C$5/ATM_Conf!$C$8)*(Links!BH161*EXP((-(Links!AD161/Links!BW161)^Links!CL161)/Links!CL161)-Links!AS161)+(ATM_Conf!$C$5/Links!AD$191)*Links!AS161*(Nodes!BM161-Links!AS161)-(ATM_Conf!$C$9*ATM_Conf!$C$5/(ATM_Conf!$C$8*Links!AD$191))*(Nodes!CA161-Links!AD161)/(Links!AD161/ATM_Conf!$C$10)</f>
        <v>#DIV/0!</v>
      </c>
      <c r="AT162" s="45" t="e">
        <f>AT161+(ATM_Conf!$C$5/ATM_Conf!$C$8)*(Links!BI161*EXP((-(Links!AE161/Links!BX161)^Links!CM161)/Links!CM161)-Links!AT161)+(ATM_Conf!$C$5/Links!AE$191)*Links!AT161*(Nodes!BN161-Links!AT161)</f>
        <v>#DIV/0!</v>
      </c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45"/>
      <c r="BK162" s="45"/>
      <c r="BL162" s="45"/>
      <c r="BM162" s="45"/>
      <c r="BN162" s="45"/>
      <c r="BO162" s="45"/>
      <c r="BP162" s="45"/>
      <c r="BQ162" s="45"/>
      <c r="BR162" s="45"/>
      <c r="BS162" s="45"/>
      <c r="BT162" s="45"/>
      <c r="BU162" s="45"/>
      <c r="BV162" s="45"/>
      <c r="BW162" s="45"/>
      <c r="BX162" s="4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45">
        <f t="shared" si="87"/>
        <v>0</v>
      </c>
      <c r="CO162" s="45">
        <f t="shared" si="87"/>
        <v>0</v>
      </c>
      <c r="CP162" s="45">
        <f t="shared" si="87"/>
        <v>0</v>
      </c>
      <c r="CQ162" s="45">
        <f t="shared" si="87"/>
        <v>0</v>
      </c>
      <c r="CR162" s="45">
        <f t="shared" si="87"/>
        <v>0</v>
      </c>
      <c r="CS162" s="45">
        <f t="shared" si="87"/>
        <v>0</v>
      </c>
      <c r="CT162" s="45">
        <f t="shared" si="87"/>
        <v>0</v>
      </c>
      <c r="CU162" s="45">
        <f t="shared" si="87"/>
        <v>0</v>
      </c>
      <c r="CV162" s="45">
        <f t="shared" si="87"/>
        <v>0</v>
      </c>
      <c r="CW162" s="45">
        <f t="shared" si="87"/>
        <v>0</v>
      </c>
      <c r="CX162" s="45">
        <f t="shared" si="87"/>
        <v>0</v>
      </c>
      <c r="CY162" s="45">
        <f t="shared" si="87"/>
        <v>0</v>
      </c>
      <c r="CZ162" s="45">
        <f t="shared" si="87"/>
        <v>0</v>
      </c>
      <c r="DA162" s="45">
        <f t="shared" si="87"/>
        <v>0</v>
      </c>
      <c r="DB162" s="45">
        <f t="shared" si="87"/>
        <v>0</v>
      </c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</row>
    <row r="163" spans="1:121" ht="14.25" x14ac:dyDescent="0.15">
      <c r="A163" s="48">
        <v>161</v>
      </c>
      <c r="B163" s="45" t="e">
        <f t="shared" si="64"/>
        <v>#DIV/0!</v>
      </c>
      <c r="C163" s="45" t="e">
        <f t="shared" si="65"/>
        <v>#DIV/0!</v>
      </c>
      <c r="D163" s="45" t="e">
        <f t="shared" si="66"/>
        <v>#DIV/0!</v>
      </c>
      <c r="E163" s="45" t="e">
        <f t="shared" si="67"/>
        <v>#DIV/0!</v>
      </c>
      <c r="F163" s="45" t="e">
        <f t="shared" si="68"/>
        <v>#DIV/0!</v>
      </c>
      <c r="G163" s="45" t="e">
        <f t="shared" si="69"/>
        <v>#DIV/0!</v>
      </c>
      <c r="H163" s="45" t="e">
        <f t="shared" si="70"/>
        <v>#DIV/0!</v>
      </c>
      <c r="I163" s="45" t="e">
        <f t="shared" si="71"/>
        <v>#DIV/0!</v>
      </c>
      <c r="J163" s="45" t="e">
        <f t="shared" si="72"/>
        <v>#DIV/0!</v>
      </c>
      <c r="K163" s="45" t="e">
        <f t="shared" si="73"/>
        <v>#DIV/0!</v>
      </c>
      <c r="L163" s="45" t="e">
        <f t="shared" si="74"/>
        <v>#DIV/0!</v>
      </c>
      <c r="M163" s="45" t="e">
        <f t="shared" si="75"/>
        <v>#DIV/0!</v>
      </c>
      <c r="N163" s="45" t="e">
        <f t="shared" si="76"/>
        <v>#DIV/0!</v>
      </c>
      <c r="O163" s="45" t="e">
        <f t="shared" si="77"/>
        <v>#DIV/0!</v>
      </c>
      <c r="P163" s="45" t="e">
        <f t="shared" si="78"/>
        <v>#DIV/0!</v>
      </c>
      <c r="Q163" s="55" t="e">
        <f>Q162+ATM_Conf!$C$5*(B162)/(Links!B$191*Links!Q$191)</f>
        <v>#DIV/0!</v>
      </c>
      <c r="R163" s="55" t="e">
        <f>R162+ATM_Conf!$C$5*(C162-B162)/(Links!C$191*Links!R$191)</f>
        <v>#DIV/0!</v>
      </c>
      <c r="S163" s="55" t="e">
        <f>S162+ATM_Conf!$C$5*(D162-C162)/(Links!D$191*Links!S$191)</f>
        <v>#DIV/0!</v>
      </c>
      <c r="T163" s="55" t="e">
        <f>T162+ATM_Conf!$C$5*(E162-D162)/(Links!E$191*Links!T$191)</f>
        <v>#DIV/0!</v>
      </c>
      <c r="U163" s="55" t="e">
        <f>U162+ATM_Conf!$C$5*(F162-E162)/(Links!F$191*Links!U$191)</f>
        <v>#DIV/0!</v>
      </c>
      <c r="V163" s="55" t="e">
        <f>V162+ATM_Conf!$C$5*(G162-F162)/(Links!G$191*Links!V$191)</f>
        <v>#DIV/0!</v>
      </c>
      <c r="W163" s="55" t="e">
        <f>W162+ATM_Conf!$C$5*(H162-G162)/(Links!H$191*Links!W$191)</f>
        <v>#DIV/0!</v>
      </c>
      <c r="X163" s="55" t="e">
        <f>X162+ATM_Conf!$C$5*(I162-H162)/(Links!I$191*Links!X$191)</f>
        <v>#DIV/0!</v>
      </c>
      <c r="Y163" s="55" t="e">
        <f>Y162+ATM_Conf!$C$5*(J162)/(Links!J$191*Links!Y$191)</f>
        <v>#DIV/0!</v>
      </c>
      <c r="Z163" s="55" t="e">
        <f>Z162+ATM_Conf!$C$5*(K162-J162)/(Links!K$191*Links!Z$191)</f>
        <v>#DIV/0!</v>
      </c>
      <c r="AA163" s="55" t="e">
        <f>AA162+ATM_Conf!$C$5*(L162-K162)/(Links!L$191*Links!AA$191)</f>
        <v>#DIV/0!</v>
      </c>
      <c r="AB163" s="55" t="e">
        <f>AB162+ATM_Conf!$C$5*(M162-L162)/(Links!M$191*Links!AB$191)</f>
        <v>#DIV/0!</v>
      </c>
      <c r="AC163" s="55" t="e">
        <f>AC162+ATM_Conf!$C$5*(N162-M162)/(Links!N$191*Links!AC$191)</f>
        <v>#DIV/0!</v>
      </c>
      <c r="AD163" s="55" t="e">
        <f>AD162+ATM_Conf!$C$5*(O162-N162)/(Links!O$191*Links!AD$191)</f>
        <v>#DIV/0!</v>
      </c>
      <c r="AE163" s="55" t="e">
        <f>AE162+ATM_Conf!$C$5*(P162-O162)/(Links!P$191*Links!AE$191)</f>
        <v>#DIV/0!</v>
      </c>
      <c r="AF163" s="45" t="e">
        <f>AF162+(ATM_Conf!$C$5/ATM_Conf!$C$8)*(Links!AU162*EXP((-(Links!Q162/Links!BJ162)^Links!BY162)/Links!BY162)-Links!AF162)-(ATM_Conf!$C$9*ATM_Conf!$C$5/(ATM_Conf!$C$8*Links!Q$191))*(Nodes!BO162-Links!Q162)/(Links!Q162/ATM_Conf!$C$10)</f>
        <v>#DIV/0!</v>
      </c>
      <c r="AG163" s="45" t="e">
        <f>AG162+(ATM_Conf!$C$5/ATM_Conf!$C$8)*(Links!AV162*EXP((-(Links!R162/Links!BK162)^Links!BZ162)/Links!BZ162)-Links!AG162)+(ATM_Conf!$C$5/Links!R$191)*Links!AG162*(Nodes!BB162-Links!AG162)-(ATM_Conf!$C$9*ATM_Conf!$C$5/(ATM_Conf!$C$8*Links!R$191))*(Nodes!BP162-Links!R162)/(Links!R162/ATM_Conf!$C$10)</f>
        <v>#DIV/0!</v>
      </c>
      <c r="AH163" s="45" t="e">
        <f>AH162+(ATM_Conf!$C$5/ATM_Conf!$C$8)*(Links!AW162*EXP((-(Links!S162/Links!BL162)^Links!CA162)/Links!CA162)-Links!AH162)+(ATM_Conf!$C$5/Links!S$191)*Links!AH162*(Nodes!BC162-Links!AH162)-(ATM_Conf!$C$9*ATM_Conf!$C$5/(ATM_Conf!$C$8*Links!S$191))*(Nodes!BQ162-Links!S162)/(Links!S162/ATM_Conf!$C$10)</f>
        <v>#DIV/0!</v>
      </c>
      <c r="AI163" s="45" t="e">
        <f>AI162+(ATM_Conf!$C$5/ATM_Conf!$C$8)*(Links!AX162*EXP((-(Links!T162/Links!BM162)^Links!CB162)/Links!CB162)-Links!AI162)+(ATM_Conf!$C$5/Links!T$191)*Links!AI162*(Nodes!BD162-Links!AI162)-(ATM_Conf!$C$9*ATM_Conf!$C$5/(ATM_Conf!$C$8*Links!T$191))*(Nodes!BR162-Links!T162)/(Links!T162/ATM_Conf!$C$10)</f>
        <v>#DIV/0!</v>
      </c>
      <c r="AJ163" s="45" t="e">
        <f>AJ162+(ATM_Conf!$C$5/ATM_Conf!$C$8)*(Links!AY162*EXP((-(Links!U162/Links!BN162)^Links!CC162)/Links!CC162)-Links!AJ162)+(ATM_Conf!$C$5/Links!U$191)*Links!AJ162*(Nodes!BE162-Links!AJ162)-(ATM_Conf!$C$9*ATM_Conf!$C$5/(ATM_Conf!$C$8*Links!U$191))*(Nodes!BS162-Links!U162)/(Links!U162/ATM_Conf!$C$10)</f>
        <v>#DIV/0!</v>
      </c>
      <c r="AK163" s="45" t="e">
        <f>AK162+(ATM_Conf!$C$5/ATM_Conf!$C$8)*(Links!AZ162*EXP((-(Links!V162/Links!BO162)^Links!CD162)/Links!CD162)-Links!AK162)+(ATM_Conf!$C$5/Links!V$191)*Links!AK162*(Nodes!BF162-Links!AK162)-(ATM_Conf!$C$9*ATM_Conf!$C$5/(ATM_Conf!$C$8*Links!V$191))*(Nodes!BT162-Links!V162)/(Links!V162/ATM_Conf!$C$10)</f>
        <v>#DIV/0!</v>
      </c>
      <c r="AL163" s="45" t="e">
        <f>AL162+(ATM_Conf!$C$5/ATM_Conf!$C$8)*(Links!BA162*EXP((-(Links!W162/Links!BP162)^Links!CE162)/Links!CE162)-Links!AL162)+(ATM_Conf!$C$5/Links!W$191)*Links!AL162*(Nodes!BG162-Links!AL162)-(ATM_Conf!$C$9*ATM_Conf!$C$5/(ATM_Conf!$C$8*Links!W$191))*(Nodes!BU162-Links!W162)/(Links!W162/ATM_Conf!$C$10)</f>
        <v>#DIV/0!</v>
      </c>
      <c r="AM163" s="45" t="e">
        <f>AM162+(ATM_Conf!$C$5/ATM_Conf!$C$8)*(Links!BB162*EXP((-(Links!X162/Links!BQ162)^Links!CF162)/Links!CF162)-Links!AM162)+(ATM_Conf!$C$5/Links!X$191)*Links!AM162*(Nodes!BH162-Links!AM162)</f>
        <v>#DIV/0!</v>
      </c>
      <c r="AN163" s="45" t="e">
        <f>AN162+(ATM_Conf!$C$5/ATM_Conf!$C$8)*(Links!BC162*EXP((-(Links!Y162/Links!BR162)^Links!CG162)/Links!CG162)-Links!AN162)-(ATM_Conf!$C$9*ATM_Conf!$C$5/(ATM_Conf!$C$8*Links!Y$191))*(Nodes!BV162-Links!Y162)/(Links!Y162/ATM_Conf!$C$10)</f>
        <v>#DIV/0!</v>
      </c>
      <c r="AO163" s="45" t="e">
        <f>AO162+(ATM_Conf!$C$5/ATM_Conf!$C$8)*(Links!BD162*EXP((-(Links!Z162/Links!BS162)^Links!CH162)/Links!CH162)-Links!AO162)+(ATM_Conf!$C$5/Links!Z$191)*Links!AO162*(Nodes!BI162-Links!AO162)-(ATM_Conf!$C$9*ATM_Conf!$C$5/(ATM_Conf!$C$8*Links!Z$191))*(Nodes!BW162-Links!Z162)/(Links!Z162/ATM_Conf!$C$10)</f>
        <v>#DIV/0!</v>
      </c>
      <c r="AP163" s="45" t="e">
        <f>AP162+(ATM_Conf!$C$5/ATM_Conf!$C$8)*(Links!BE162*EXP((-(Links!AA162/Links!BT162)^Links!CI162)/Links!CI162)-Links!AP162)+(ATM_Conf!$C$5/Links!AA$191)*Links!AP162*(Nodes!BJ162-Links!AP162)-(ATM_Conf!$C$9*ATM_Conf!$C$5/(ATM_Conf!$C$8*Links!AA$191))*(Nodes!BX162-Links!AA162)/(Links!AA162/ATM_Conf!$C$10)</f>
        <v>#DIV/0!</v>
      </c>
      <c r="AQ163" s="45" t="e">
        <f>AQ162+(ATM_Conf!$C$5/ATM_Conf!$C$8)*(Links!BF162*EXP((-(Links!AB162/Links!BU162)^Links!CJ162)/Links!CJ162)-Links!AQ162)+(ATM_Conf!$C$5/Links!AB$191)*Links!AQ162*(Nodes!BK162-Links!AQ162)-(ATM_Conf!$C$9*ATM_Conf!$C$5/(ATM_Conf!$C$8*Links!AB$191))*(Nodes!BY162-Links!AB162)/(Links!AB162/ATM_Conf!$C$10)</f>
        <v>#DIV/0!</v>
      </c>
      <c r="AR163" s="45" t="e">
        <f>AR162+(ATM_Conf!$C$5/ATM_Conf!$C$8)*(Links!BG162*EXP((-(Links!AC162/Links!BV162)^Links!CK162)/Links!CK162)-Links!AR162)+(ATM_Conf!$C$5/Links!AC$191)*Links!AR162*(Nodes!BL162-Links!AR162)-(ATM_Conf!$C$9*ATM_Conf!$C$5/(ATM_Conf!$C$8*Links!AC$191))*(Nodes!BZ162-Links!AC162)/(Links!AC162/ATM_Conf!$C$10)</f>
        <v>#DIV/0!</v>
      </c>
      <c r="AS163" s="45" t="e">
        <f>AS162+(ATM_Conf!$C$5/ATM_Conf!$C$8)*(Links!BH162*EXP((-(Links!AD162/Links!BW162)^Links!CL162)/Links!CL162)-Links!AS162)+(ATM_Conf!$C$5/Links!AD$191)*Links!AS162*(Nodes!BM162-Links!AS162)-(ATM_Conf!$C$9*ATM_Conf!$C$5/(ATM_Conf!$C$8*Links!AD$191))*(Nodes!CA162-Links!AD162)/(Links!AD162/ATM_Conf!$C$10)</f>
        <v>#DIV/0!</v>
      </c>
      <c r="AT163" s="45" t="e">
        <f>AT162+(ATM_Conf!$C$5/ATM_Conf!$C$8)*(Links!BI162*EXP((-(Links!AE162/Links!BX162)^Links!CM162)/Links!CM162)-Links!AT162)+(ATM_Conf!$C$5/Links!AE$191)*Links!AT162*(Nodes!BN162-Links!AT162)</f>
        <v>#DIV/0!</v>
      </c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45"/>
      <c r="BK163" s="45"/>
      <c r="BL163" s="45"/>
      <c r="BM163" s="45"/>
      <c r="BN163" s="45"/>
      <c r="BO163" s="45"/>
      <c r="BP163" s="45"/>
      <c r="BQ163" s="45"/>
      <c r="BR163" s="45"/>
      <c r="BS163" s="45"/>
      <c r="BT163" s="45"/>
      <c r="BU163" s="45"/>
      <c r="BV163" s="45"/>
      <c r="BW163" s="45"/>
      <c r="BX163" s="4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45">
        <f t="shared" si="87"/>
        <v>0</v>
      </c>
      <c r="CO163" s="45">
        <f t="shared" si="87"/>
        <v>0</v>
      </c>
      <c r="CP163" s="45">
        <f t="shared" si="87"/>
        <v>0</v>
      </c>
      <c r="CQ163" s="45">
        <f t="shared" si="87"/>
        <v>0</v>
      </c>
      <c r="CR163" s="45">
        <f t="shared" si="87"/>
        <v>0</v>
      </c>
      <c r="CS163" s="45">
        <f t="shared" si="87"/>
        <v>0</v>
      </c>
      <c r="CT163" s="45">
        <f t="shared" si="87"/>
        <v>0</v>
      </c>
      <c r="CU163" s="45">
        <f t="shared" si="87"/>
        <v>0</v>
      </c>
      <c r="CV163" s="45">
        <f t="shared" si="87"/>
        <v>0</v>
      </c>
      <c r="CW163" s="45">
        <f t="shared" si="87"/>
        <v>0</v>
      </c>
      <c r="CX163" s="45">
        <f t="shared" si="87"/>
        <v>0</v>
      </c>
      <c r="CY163" s="45">
        <f t="shared" si="87"/>
        <v>0</v>
      </c>
      <c r="CZ163" s="45">
        <f t="shared" si="87"/>
        <v>0</v>
      </c>
      <c r="DA163" s="45">
        <f t="shared" si="87"/>
        <v>0</v>
      </c>
      <c r="DB163" s="45">
        <f t="shared" si="87"/>
        <v>0</v>
      </c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</row>
    <row r="164" spans="1:121" ht="14.25" x14ac:dyDescent="0.15">
      <c r="A164" s="48">
        <v>162</v>
      </c>
      <c r="B164" s="45" t="e">
        <f t="shared" si="64"/>
        <v>#DIV/0!</v>
      </c>
      <c r="C164" s="45" t="e">
        <f t="shared" si="65"/>
        <v>#DIV/0!</v>
      </c>
      <c r="D164" s="45" t="e">
        <f t="shared" si="66"/>
        <v>#DIV/0!</v>
      </c>
      <c r="E164" s="45" t="e">
        <f t="shared" si="67"/>
        <v>#DIV/0!</v>
      </c>
      <c r="F164" s="45" t="e">
        <f t="shared" si="68"/>
        <v>#DIV/0!</v>
      </c>
      <c r="G164" s="45" t="e">
        <f t="shared" si="69"/>
        <v>#DIV/0!</v>
      </c>
      <c r="H164" s="45" t="e">
        <f t="shared" si="70"/>
        <v>#DIV/0!</v>
      </c>
      <c r="I164" s="45" t="e">
        <f t="shared" si="71"/>
        <v>#DIV/0!</v>
      </c>
      <c r="J164" s="45" t="e">
        <f t="shared" si="72"/>
        <v>#DIV/0!</v>
      </c>
      <c r="K164" s="45" t="e">
        <f t="shared" si="73"/>
        <v>#DIV/0!</v>
      </c>
      <c r="L164" s="45" t="e">
        <f t="shared" si="74"/>
        <v>#DIV/0!</v>
      </c>
      <c r="M164" s="45" t="e">
        <f t="shared" si="75"/>
        <v>#DIV/0!</v>
      </c>
      <c r="N164" s="45" t="e">
        <f t="shared" si="76"/>
        <v>#DIV/0!</v>
      </c>
      <c r="O164" s="45" t="e">
        <f t="shared" si="77"/>
        <v>#DIV/0!</v>
      </c>
      <c r="P164" s="45" t="e">
        <f t="shared" si="78"/>
        <v>#DIV/0!</v>
      </c>
      <c r="Q164" s="55" t="e">
        <f>Q163+ATM_Conf!$C$5*(B163)/(Links!B$191*Links!Q$191)</f>
        <v>#DIV/0!</v>
      </c>
      <c r="R164" s="55" t="e">
        <f>R163+ATM_Conf!$C$5*(C163-B163)/(Links!C$191*Links!R$191)</f>
        <v>#DIV/0!</v>
      </c>
      <c r="S164" s="55" t="e">
        <f>S163+ATM_Conf!$C$5*(D163-C163)/(Links!D$191*Links!S$191)</f>
        <v>#DIV/0!</v>
      </c>
      <c r="T164" s="55" t="e">
        <f>T163+ATM_Conf!$C$5*(E163-D163)/(Links!E$191*Links!T$191)</f>
        <v>#DIV/0!</v>
      </c>
      <c r="U164" s="55" t="e">
        <f>U163+ATM_Conf!$C$5*(F163-E163)/(Links!F$191*Links!U$191)</f>
        <v>#DIV/0!</v>
      </c>
      <c r="V164" s="55" t="e">
        <f>V163+ATM_Conf!$C$5*(G163-F163)/(Links!G$191*Links!V$191)</f>
        <v>#DIV/0!</v>
      </c>
      <c r="W164" s="55" t="e">
        <f>W163+ATM_Conf!$C$5*(H163-G163)/(Links!H$191*Links!W$191)</f>
        <v>#DIV/0!</v>
      </c>
      <c r="X164" s="55" t="e">
        <f>X163+ATM_Conf!$C$5*(I163-H163)/(Links!I$191*Links!X$191)</f>
        <v>#DIV/0!</v>
      </c>
      <c r="Y164" s="55" t="e">
        <f>Y163+ATM_Conf!$C$5*(J163)/(Links!J$191*Links!Y$191)</f>
        <v>#DIV/0!</v>
      </c>
      <c r="Z164" s="55" t="e">
        <f>Z163+ATM_Conf!$C$5*(K163-J163)/(Links!K$191*Links!Z$191)</f>
        <v>#DIV/0!</v>
      </c>
      <c r="AA164" s="55" t="e">
        <f>AA163+ATM_Conf!$C$5*(L163-K163)/(Links!L$191*Links!AA$191)</f>
        <v>#DIV/0!</v>
      </c>
      <c r="AB164" s="55" t="e">
        <f>AB163+ATM_Conf!$C$5*(M163-L163)/(Links!M$191*Links!AB$191)</f>
        <v>#DIV/0!</v>
      </c>
      <c r="AC164" s="55" t="e">
        <f>AC163+ATM_Conf!$C$5*(N163-M163)/(Links!N$191*Links!AC$191)</f>
        <v>#DIV/0!</v>
      </c>
      <c r="AD164" s="55" t="e">
        <f>AD163+ATM_Conf!$C$5*(O163-N163)/(Links!O$191*Links!AD$191)</f>
        <v>#DIV/0!</v>
      </c>
      <c r="AE164" s="55" t="e">
        <f>AE163+ATM_Conf!$C$5*(P163-O163)/(Links!P$191*Links!AE$191)</f>
        <v>#DIV/0!</v>
      </c>
      <c r="AF164" s="45" t="e">
        <f>AF163+(ATM_Conf!$C$5/ATM_Conf!$C$8)*(Links!AU163*EXP((-(Links!Q163/Links!BJ163)^Links!BY163)/Links!BY163)-Links!AF163)-(ATM_Conf!$C$9*ATM_Conf!$C$5/(ATM_Conf!$C$8*Links!Q$191))*(Nodes!BO163-Links!Q163)/(Links!Q163/ATM_Conf!$C$10)</f>
        <v>#DIV/0!</v>
      </c>
      <c r="AG164" s="45" t="e">
        <f>AG163+(ATM_Conf!$C$5/ATM_Conf!$C$8)*(Links!AV163*EXP((-(Links!R163/Links!BK163)^Links!BZ163)/Links!BZ163)-Links!AG163)+(ATM_Conf!$C$5/Links!R$191)*Links!AG163*(Nodes!BB163-Links!AG163)-(ATM_Conf!$C$9*ATM_Conf!$C$5/(ATM_Conf!$C$8*Links!R$191))*(Nodes!BP163-Links!R163)/(Links!R163/ATM_Conf!$C$10)</f>
        <v>#DIV/0!</v>
      </c>
      <c r="AH164" s="45" t="e">
        <f>AH163+(ATM_Conf!$C$5/ATM_Conf!$C$8)*(Links!AW163*EXP((-(Links!S163/Links!BL163)^Links!CA163)/Links!CA163)-Links!AH163)+(ATM_Conf!$C$5/Links!S$191)*Links!AH163*(Nodes!BC163-Links!AH163)-(ATM_Conf!$C$9*ATM_Conf!$C$5/(ATM_Conf!$C$8*Links!S$191))*(Nodes!BQ163-Links!S163)/(Links!S163/ATM_Conf!$C$10)</f>
        <v>#DIV/0!</v>
      </c>
      <c r="AI164" s="45" t="e">
        <f>AI163+(ATM_Conf!$C$5/ATM_Conf!$C$8)*(Links!AX163*EXP((-(Links!T163/Links!BM163)^Links!CB163)/Links!CB163)-Links!AI163)+(ATM_Conf!$C$5/Links!T$191)*Links!AI163*(Nodes!BD163-Links!AI163)-(ATM_Conf!$C$9*ATM_Conf!$C$5/(ATM_Conf!$C$8*Links!T$191))*(Nodes!BR163-Links!T163)/(Links!T163/ATM_Conf!$C$10)</f>
        <v>#DIV/0!</v>
      </c>
      <c r="AJ164" s="45" t="e">
        <f>AJ163+(ATM_Conf!$C$5/ATM_Conf!$C$8)*(Links!AY163*EXP((-(Links!U163/Links!BN163)^Links!CC163)/Links!CC163)-Links!AJ163)+(ATM_Conf!$C$5/Links!U$191)*Links!AJ163*(Nodes!BE163-Links!AJ163)-(ATM_Conf!$C$9*ATM_Conf!$C$5/(ATM_Conf!$C$8*Links!U$191))*(Nodes!BS163-Links!U163)/(Links!U163/ATM_Conf!$C$10)</f>
        <v>#DIV/0!</v>
      </c>
      <c r="AK164" s="45" t="e">
        <f>AK163+(ATM_Conf!$C$5/ATM_Conf!$C$8)*(Links!AZ163*EXP((-(Links!V163/Links!BO163)^Links!CD163)/Links!CD163)-Links!AK163)+(ATM_Conf!$C$5/Links!V$191)*Links!AK163*(Nodes!BF163-Links!AK163)-(ATM_Conf!$C$9*ATM_Conf!$C$5/(ATM_Conf!$C$8*Links!V$191))*(Nodes!BT163-Links!V163)/(Links!V163/ATM_Conf!$C$10)</f>
        <v>#DIV/0!</v>
      </c>
      <c r="AL164" s="45" t="e">
        <f>AL163+(ATM_Conf!$C$5/ATM_Conf!$C$8)*(Links!BA163*EXP((-(Links!W163/Links!BP163)^Links!CE163)/Links!CE163)-Links!AL163)+(ATM_Conf!$C$5/Links!W$191)*Links!AL163*(Nodes!BG163-Links!AL163)-(ATM_Conf!$C$9*ATM_Conf!$C$5/(ATM_Conf!$C$8*Links!W$191))*(Nodes!BU163-Links!W163)/(Links!W163/ATM_Conf!$C$10)</f>
        <v>#DIV/0!</v>
      </c>
      <c r="AM164" s="45" t="e">
        <f>AM163+(ATM_Conf!$C$5/ATM_Conf!$C$8)*(Links!BB163*EXP((-(Links!X163/Links!BQ163)^Links!CF163)/Links!CF163)-Links!AM163)+(ATM_Conf!$C$5/Links!X$191)*Links!AM163*(Nodes!BH163-Links!AM163)</f>
        <v>#DIV/0!</v>
      </c>
      <c r="AN164" s="45" t="e">
        <f>AN163+(ATM_Conf!$C$5/ATM_Conf!$C$8)*(Links!BC163*EXP((-(Links!Y163/Links!BR163)^Links!CG163)/Links!CG163)-Links!AN163)-(ATM_Conf!$C$9*ATM_Conf!$C$5/(ATM_Conf!$C$8*Links!Y$191))*(Nodes!BV163-Links!Y163)/(Links!Y163/ATM_Conf!$C$10)</f>
        <v>#DIV/0!</v>
      </c>
      <c r="AO164" s="45" t="e">
        <f>AO163+(ATM_Conf!$C$5/ATM_Conf!$C$8)*(Links!BD163*EXP((-(Links!Z163/Links!BS163)^Links!CH163)/Links!CH163)-Links!AO163)+(ATM_Conf!$C$5/Links!Z$191)*Links!AO163*(Nodes!BI163-Links!AO163)-(ATM_Conf!$C$9*ATM_Conf!$C$5/(ATM_Conf!$C$8*Links!Z$191))*(Nodes!BW163-Links!Z163)/(Links!Z163/ATM_Conf!$C$10)</f>
        <v>#DIV/0!</v>
      </c>
      <c r="AP164" s="45" t="e">
        <f>AP163+(ATM_Conf!$C$5/ATM_Conf!$C$8)*(Links!BE163*EXP((-(Links!AA163/Links!BT163)^Links!CI163)/Links!CI163)-Links!AP163)+(ATM_Conf!$C$5/Links!AA$191)*Links!AP163*(Nodes!BJ163-Links!AP163)-(ATM_Conf!$C$9*ATM_Conf!$C$5/(ATM_Conf!$C$8*Links!AA$191))*(Nodes!BX163-Links!AA163)/(Links!AA163/ATM_Conf!$C$10)</f>
        <v>#DIV/0!</v>
      </c>
      <c r="AQ164" s="45" t="e">
        <f>AQ163+(ATM_Conf!$C$5/ATM_Conf!$C$8)*(Links!BF163*EXP((-(Links!AB163/Links!BU163)^Links!CJ163)/Links!CJ163)-Links!AQ163)+(ATM_Conf!$C$5/Links!AB$191)*Links!AQ163*(Nodes!BK163-Links!AQ163)-(ATM_Conf!$C$9*ATM_Conf!$C$5/(ATM_Conf!$C$8*Links!AB$191))*(Nodes!BY163-Links!AB163)/(Links!AB163/ATM_Conf!$C$10)</f>
        <v>#DIV/0!</v>
      </c>
      <c r="AR164" s="45" t="e">
        <f>AR163+(ATM_Conf!$C$5/ATM_Conf!$C$8)*(Links!BG163*EXP((-(Links!AC163/Links!BV163)^Links!CK163)/Links!CK163)-Links!AR163)+(ATM_Conf!$C$5/Links!AC$191)*Links!AR163*(Nodes!BL163-Links!AR163)-(ATM_Conf!$C$9*ATM_Conf!$C$5/(ATM_Conf!$C$8*Links!AC$191))*(Nodes!BZ163-Links!AC163)/(Links!AC163/ATM_Conf!$C$10)</f>
        <v>#DIV/0!</v>
      </c>
      <c r="AS164" s="45" t="e">
        <f>AS163+(ATM_Conf!$C$5/ATM_Conf!$C$8)*(Links!BH163*EXP((-(Links!AD163/Links!BW163)^Links!CL163)/Links!CL163)-Links!AS163)+(ATM_Conf!$C$5/Links!AD$191)*Links!AS163*(Nodes!BM163-Links!AS163)-(ATM_Conf!$C$9*ATM_Conf!$C$5/(ATM_Conf!$C$8*Links!AD$191))*(Nodes!CA163-Links!AD163)/(Links!AD163/ATM_Conf!$C$10)</f>
        <v>#DIV/0!</v>
      </c>
      <c r="AT164" s="45" t="e">
        <f>AT163+(ATM_Conf!$C$5/ATM_Conf!$C$8)*(Links!BI163*EXP((-(Links!AE163/Links!BX163)^Links!CM163)/Links!CM163)-Links!AT163)+(ATM_Conf!$C$5/Links!AE$191)*Links!AT163*(Nodes!BN163-Links!AT163)</f>
        <v>#DIV/0!</v>
      </c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45"/>
      <c r="BK164" s="45"/>
      <c r="BL164" s="45"/>
      <c r="BM164" s="45"/>
      <c r="BN164" s="45"/>
      <c r="BO164" s="45"/>
      <c r="BP164" s="45"/>
      <c r="BQ164" s="45"/>
      <c r="BR164" s="45"/>
      <c r="BS164" s="45"/>
      <c r="BT164" s="45"/>
      <c r="BU164" s="45"/>
      <c r="BV164" s="45"/>
      <c r="BW164" s="45"/>
      <c r="BX164" s="4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45">
        <f t="shared" si="87"/>
        <v>0</v>
      </c>
      <c r="CO164" s="45">
        <f t="shared" si="87"/>
        <v>0</v>
      </c>
      <c r="CP164" s="45">
        <f t="shared" si="87"/>
        <v>0</v>
      </c>
      <c r="CQ164" s="45">
        <f t="shared" si="87"/>
        <v>0</v>
      </c>
      <c r="CR164" s="45">
        <f t="shared" si="87"/>
        <v>0</v>
      </c>
      <c r="CS164" s="45">
        <f t="shared" si="87"/>
        <v>0</v>
      </c>
      <c r="CT164" s="45">
        <f t="shared" si="87"/>
        <v>0</v>
      </c>
      <c r="CU164" s="45">
        <f t="shared" si="87"/>
        <v>0</v>
      </c>
      <c r="CV164" s="45">
        <f t="shared" si="87"/>
        <v>0</v>
      </c>
      <c r="CW164" s="45">
        <f t="shared" si="87"/>
        <v>0</v>
      </c>
      <c r="CX164" s="45">
        <f t="shared" si="87"/>
        <v>0</v>
      </c>
      <c r="CY164" s="45">
        <f t="shared" si="87"/>
        <v>0</v>
      </c>
      <c r="CZ164" s="45">
        <f t="shared" si="87"/>
        <v>0</v>
      </c>
      <c r="DA164" s="45">
        <f t="shared" si="87"/>
        <v>0</v>
      </c>
      <c r="DB164" s="45">
        <f t="shared" si="87"/>
        <v>0</v>
      </c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</row>
    <row r="165" spans="1:121" ht="14.25" x14ac:dyDescent="0.15">
      <c r="A165" s="48">
        <v>163</v>
      </c>
      <c r="B165" s="45" t="e">
        <f t="shared" si="64"/>
        <v>#DIV/0!</v>
      </c>
      <c r="C165" s="45" t="e">
        <f t="shared" si="65"/>
        <v>#DIV/0!</v>
      </c>
      <c r="D165" s="45" t="e">
        <f t="shared" si="66"/>
        <v>#DIV/0!</v>
      </c>
      <c r="E165" s="45" t="e">
        <f t="shared" si="67"/>
        <v>#DIV/0!</v>
      </c>
      <c r="F165" s="45" t="e">
        <f t="shared" si="68"/>
        <v>#DIV/0!</v>
      </c>
      <c r="G165" s="45" t="e">
        <f t="shared" si="69"/>
        <v>#DIV/0!</v>
      </c>
      <c r="H165" s="45" t="e">
        <f t="shared" si="70"/>
        <v>#DIV/0!</v>
      </c>
      <c r="I165" s="45" t="e">
        <f t="shared" si="71"/>
        <v>#DIV/0!</v>
      </c>
      <c r="J165" s="45" t="e">
        <f t="shared" si="72"/>
        <v>#DIV/0!</v>
      </c>
      <c r="K165" s="45" t="e">
        <f t="shared" si="73"/>
        <v>#DIV/0!</v>
      </c>
      <c r="L165" s="45" t="e">
        <f t="shared" si="74"/>
        <v>#DIV/0!</v>
      </c>
      <c r="M165" s="45" t="e">
        <f t="shared" si="75"/>
        <v>#DIV/0!</v>
      </c>
      <c r="N165" s="45" t="e">
        <f t="shared" si="76"/>
        <v>#DIV/0!</v>
      </c>
      <c r="O165" s="45" t="e">
        <f t="shared" si="77"/>
        <v>#DIV/0!</v>
      </c>
      <c r="P165" s="45" t="e">
        <f t="shared" si="78"/>
        <v>#DIV/0!</v>
      </c>
      <c r="Q165" s="55" t="e">
        <f>Q164+ATM_Conf!$C$5*(B164)/(Links!B$191*Links!Q$191)</f>
        <v>#DIV/0!</v>
      </c>
      <c r="R165" s="55" t="e">
        <f>R164+ATM_Conf!$C$5*(C164-B164)/(Links!C$191*Links!R$191)</f>
        <v>#DIV/0!</v>
      </c>
      <c r="S165" s="55" t="e">
        <f>S164+ATM_Conf!$C$5*(D164-C164)/(Links!D$191*Links!S$191)</f>
        <v>#DIV/0!</v>
      </c>
      <c r="T165" s="55" t="e">
        <f>T164+ATM_Conf!$C$5*(E164-D164)/(Links!E$191*Links!T$191)</f>
        <v>#DIV/0!</v>
      </c>
      <c r="U165" s="55" t="e">
        <f>U164+ATM_Conf!$C$5*(F164-E164)/(Links!F$191*Links!U$191)</f>
        <v>#DIV/0!</v>
      </c>
      <c r="V165" s="55" t="e">
        <f>V164+ATM_Conf!$C$5*(G164-F164)/(Links!G$191*Links!V$191)</f>
        <v>#DIV/0!</v>
      </c>
      <c r="W165" s="55" t="e">
        <f>W164+ATM_Conf!$C$5*(H164-G164)/(Links!H$191*Links!W$191)</f>
        <v>#DIV/0!</v>
      </c>
      <c r="X165" s="55" t="e">
        <f>X164+ATM_Conf!$C$5*(I164-H164)/(Links!I$191*Links!X$191)</f>
        <v>#DIV/0!</v>
      </c>
      <c r="Y165" s="55" t="e">
        <f>Y164+ATM_Conf!$C$5*(J164)/(Links!J$191*Links!Y$191)</f>
        <v>#DIV/0!</v>
      </c>
      <c r="Z165" s="55" t="e">
        <f>Z164+ATM_Conf!$C$5*(K164-J164)/(Links!K$191*Links!Z$191)</f>
        <v>#DIV/0!</v>
      </c>
      <c r="AA165" s="55" t="e">
        <f>AA164+ATM_Conf!$C$5*(L164-K164)/(Links!L$191*Links!AA$191)</f>
        <v>#DIV/0!</v>
      </c>
      <c r="AB165" s="55" t="e">
        <f>AB164+ATM_Conf!$C$5*(M164-L164)/(Links!M$191*Links!AB$191)</f>
        <v>#DIV/0!</v>
      </c>
      <c r="AC165" s="55" t="e">
        <f>AC164+ATM_Conf!$C$5*(N164-M164)/(Links!N$191*Links!AC$191)</f>
        <v>#DIV/0!</v>
      </c>
      <c r="AD165" s="55" t="e">
        <f>AD164+ATM_Conf!$C$5*(O164-N164)/(Links!O$191*Links!AD$191)</f>
        <v>#DIV/0!</v>
      </c>
      <c r="AE165" s="55" t="e">
        <f>AE164+ATM_Conf!$C$5*(P164-O164)/(Links!P$191*Links!AE$191)</f>
        <v>#DIV/0!</v>
      </c>
      <c r="AF165" s="45" t="e">
        <f>AF164+(ATM_Conf!$C$5/ATM_Conf!$C$8)*(Links!AU164*EXP((-(Links!Q164/Links!BJ164)^Links!BY164)/Links!BY164)-Links!AF164)-(ATM_Conf!$C$9*ATM_Conf!$C$5/(ATM_Conf!$C$8*Links!Q$191))*(Nodes!BO164-Links!Q164)/(Links!Q164/ATM_Conf!$C$10)</f>
        <v>#DIV/0!</v>
      </c>
      <c r="AG165" s="45" t="e">
        <f>AG164+(ATM_Conf!$C$5/ATM_Conf!$C$8)*(Links!AV164*EXP((-(Links!R164/Links!BK164)^Links!BZ164)/Links!BZ164)-Links!AG164)+(ATM_Conf!$C$5/Links!R$191)*Links!AG164*(Nodes!BB164-Links!AG164)-(ATM_Conf!$C$9*ATM_Conf!$C$5/(ATM_Conf!$C$8*Links!R$191))*(Nodes!BP164-Links!R164)/(Links!R164/ATM_Conf!$C$10)</f>
        <v>#DIV/0!</v>
      </c>
      <c r="AH165" s="45" t="e">
        <f>AH164+(ATM_Conf!$C$5/ATM_Conf!$C$8)*(Links!AW164*EXP((-(Links!S164/Links!BL164)^Links!CA164)/Links!CA164)-Links!AH164)+(ATM_Conf!$C$5/Links!S$191)*Links!AH164*(Nodes!BC164-Links!AH164)-(ATM_Conf!$C$9*ATM_Conf!$C$5/(ATM_Conf!$C$8*Links!S$191))*(Nodes!BQ164-Links!S164)/(Links!S164/ATM_Conf!$C$10)</f>
        <v>#DIV/0!</v>
      </c>
      <c r="AI165" s="45" t="e">
        <f>AI164+(ATM_Conf!$C$5/ATM_Conf!$C$8)*(Links!AX164*EXP((-(Links!T164/Links!BM164)^Links!CB164)/Links!CB164)-Links!AI164)+(ATM_Conf!$C$5/Links!T$191)*Links!AI164*(Nodes!BD164-Links!AI164)-(ATM_Conf!$C$9*ATM_Conf!$C$5/(ATM_Conf!$C$8*Links!T$191))*(Nodes!BR164-Links!T164)/(Links!T164/ATM_Conf!$C$10)</f>
        <v>#DIV/0!</v>
      </c>
      <c r="AJ165" s="45" t="e">
        <f>AJ164+(ATM_Conf!$C$5/ATM_Conf!$C$8)*(Links!AY164*EXP((-(Links!U164/Links!BN164)^Links!CC164)/Links!CC164)-Links!AJ164)+(ATM_Conf!$C$5/Links!U$191)*Links!AJ164*(Nodes!BE164-Links!AJ164)-(ATM_Conf!$C$9*ATM_Conf!$C$5/(ATM_Conf!$C$8*Links!U$191))*(Nodes!BS164-Links!U164)/(Links!U164/ATM_Conf!$C$10)</f>
        <v>#DIV/0!</v>
      </c>
      <c r="AK165" s="45" t="e">
        <f>AK164+(ATM_Conf!$C$5/ATM_Conf!$C$8)*(Links!AZ164*EXP((-(Links!V164/Links!BO164)^Links!CD164)/Links!CD164)-Links!AK164)+(ATM_Conf!$C$5/Links!V$191)*Links!AK164*(Nodes!BF164-Links!AK164)-(ATM_Conf!$C$9*ATM_Conf!$C$5/(ATM_Conf!$C$8*Links!V$191))*(Nodes!BT164-Links!V164)/(Links!V164/ATM_Conf!$C$10)</f>
        <v>#DIV/0!</v>
      </c>
      <c r="AL165" s="45" t="e">
        <f>AL164+(ATM_Conf!$C$5/ATM_Conf!$C$8)*(Links!BA164*EXP((-(Links!W164/Links!BP164)^Links!CE164)/Links!CE164)-Links!AL164)+(ATM_Conf!$C$5/Links!W$191)*Links!AL164*(Nodes!BG164-Links!AL164)-(ATM_Conf!$C$9*ATM_Conf!$C$5/(ATM_Conf!$C$8*Links!W$191))*(Nodes!BU164-Links!W164)/(Links!W164/ATM_Conf!$C$10)</f>
        <v>#DIV/0!</v>
      </c>
      <c r="AM165" s="45" t="e">
        <f>AM164+(ATM_Conf!$C$5/ATM_Conf!$C$8)*(Links!BB164*EXP((-(Links!X164/Links!BQ164)^Links!CF164)/Links!CF164)-Links!AM164)+(ATM_Conf!$C$5/Links!X$191)*Links!AM164*(Nodes!BH164-Links!AM164)</f>
        <v>#DIV/0!</v>
      </c>
      <c r="AN165" s="45" t="e">
        <f>AN164+(ATM_Conf!$C$5/ATM_Conf!$C$8)*(Links!BC164*EXP((-(Links!Y164/Links!BR164)^Links!CG164)/Links!CG164)-Links!AN164)-(ATM_Conf!$C$9*ATM_Conf!$C$5/(ATM_Conf!$C$8*Links!Y$191))*(Nodes!BV164-Links!Y164)/(Links!Y164/ATM_Conf!$C$10)</f>
        <v>#DIV/0!</v>
      </c>
      <c r="AO165" s="45" t="e">
        <f>AO164+(ATM_Conf!$C$5/ATM_Conf!$C$8)*(Links!BD164*EXP((-(Links!Z164/Links!BS164)^Links!CH164)/Links!CH164)-Links!AO164)+(ATM_Conf!$C$5/Links!Z$191)*Links!AO164*(Nodes!BI164-Links!AO164)-(ATM_Conf!$C$9*ATM_Conf!$C$5/(ATM_Conf!$C$8*Links!Z$191))*(Nodes!BW164-Links!Z164)/(Links!Z164/ATM_Conf!$C$10)</f>
        <v>#DIV/0!</v>
      </c>
      <c r="AP165" s="45" t="e">
        <f>AP164+(ATM_Conf!$C$5/ATM_Conf!$C$8)*(Links!BE164*EXP((-(Links!AA164/Links!BT164)^Links!CI164)/Links!CI164)-Links!AP164)+(ATM_Conf!$C$5/Links!AA$191)*Links!AP164*(Nodes!BJ164-Links!AP164)-(ATM_Conf!$C$9*ATM_Conf!$C$5/(ATM_Conf!$C$8*Links!AA$191))*(Nodes!BX164-Links!AA164)/(Links!AA164/ATM_Conf!$C$10)</f>
        <v>#DIV/0!</v>
      </c>
      <c r="AQ165" s="45" t="e">
        <f>AQ164+(ATM_Conf!$C$5/ATM_Conf!$C$8)*(Links!BF164*EXP((-(Links!AB164/Links!BU164)^Links!CJ164)/Links!CJ164)-Links!AQ164)+(ATM_Conf!$C$5/Links!AB$191)*Links!AQ164*(Nodes!BK164-Links!AQ164)-(ATM_Conf!$C$9*ATM_Conf!$C$5/(ATM_Conf!$C$8*Links!AB$191))*(Nodes!BY164-Links!AB164)/(Links!AB164/ATM_Conf!$C$10)</f>
        <v>#DIV/0!</v>
      </c>
      <c r="AR165" s="45" t="e">
        <f>AR164+(ATM_Conf!$C$5/ATM_Conf!$C$8)*(Links!BG164*EXP((-(Links!AC164/Links!BV164)^Links!CK164)/Links!CK164)-Links!AR164)+(ATM_Conf!$C$5/Links!AC$191)*Links!AR164*(Nodes!BL164-Links!AR164)-(ATM_Conf!$C$9*ATM_Conf!$C$5/(ATM_Conf!$C$8*Links!AC$191))*(Nodes!BZ164-Links!AC164)/(Links!AC164/ATM_Conf!$C$10)</f>
        <v>#DIV/0!</v>
      </c>
      <c r="AS165" s="45" t="e">
        <f>AS164+(ATM_Conf!$C$5/ATM_Conf!$C$8)*(Links!BH164*EXP((-(Links!AD164/Links!BW164)^Links!CL164)/Links!CL164)-Links!AS164)+(ATM_Conf!$C$5/Links!AD$191)*Links!AS164*(Nodes!BM164-Links!AS164)-(ATM_Conf!$C$9*ATM_Conf!$C$5/(ATM_Conf!$C$8*Links!AD$191))*(Nodes!CA164-Links!AD164)/(Links!AD164/ATM_Conf!$C$10)</f>
        <v>#DIV/0!</v>
      </c>
      <c r="AT165" s="45" t="e">
        <f>AT164+(ATM_Conf!$C$5/ATM_Conf!$C$8)*(Links!BI164*EXP((-(Links!AE164/Links!BX164)^Links!CM164)/Links!CM164)-Links!AT164)+(ATM_Conf!$C$5/Links!AE$191)*Links!AT164*(Nodes!BN164-Links!AT164)</f>
        <v>#DIV/0!</v>
      </c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55"/>
      <c r="BZ165" s="55"/>
      <c r="CA165" s="55"/>
      <c r="CB165" s="55"/>
      <c r="CC165" s="55"/>
      <c r="CD165" s="55"/>
      <c r="CE165" s="55"/>
      <c r="CF165" s="55"/>
      <c r="CG165" s="55"/>
      <c r="CH165" s="55"/>
      <c r="CI165" s="55"/>
      <c r="CJ165" s="55"/>
      <c r="CK165" s="55"/>
      <c r="CL165" s="55"/>
      <c r="CM165" s="55"/>
      <c r="CN165" s="45">
        <f t="shared" si="87"/>
        <v>0</v>
      </c>
      <c r="CO165" s="45">
        <f t="shared" si="87"/>
        <v>0</v>
      </c>
      <c r="CP165" s="45">
        <f t="shared" si="87"/>
        <v>0</v>
      </c>
      <c r="CQ165" s="45">
        <f t="shared" si="87"/>
        <v>0</v>
      </c>
      <c r="CR165" s="45">
        <f t="shared" si="87"/>
        <v>0</v>
      </c>
      <c r="CS165" s="45">
        <f t="shared" si="87"/>
        <v>0</v>
      </c>
      <c r="CT165" s="45">
        <f t="shared" si="87"/>
        <v>0</v>
      </c>
      <c r="CU165" s="45">
        <f t="shared" si="87"/>
        <v>0</v>
      </c>
      <c r="CV165" s="45">
        <f t="shared" si="87"/>
        <v>0</v>
      </c>
      <c r="CW165" s="45">
        <f t="shared" si="87"/>
        <v>0</v>
      </c>
      <c r="CX165" s="45">
        <f t="shared" si="87"/>
        <v>0</v>
      </c>
      <c r="CY165" s="45">
        <f t="shared" si="87"/>
        <v>0</v>
      </c>
      <c r="CZ165" s="45">
        <f t="shared" si="87"/>
        <v>0</v>
      </c>
      <c r="DA165" s="45">
        <f t="shared" si="87"/>
        <v>0</v>
      </c>
      <c r="DB165" s="45">
        <f t="shared" si="87"/>
        <v>0</v>
      </c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</row>
    <row r="166" spans="1:121" ht="14.25" x14ac:dyDescent="0.15">
      <c r="A166" s="48">
        <v>164</v>
      </c>
      <c r="B166" s="45" t="e">
        <f t="shared" si="64"/>
        <v>#DIV/0!</v>
      </c>
      <c r="C166" s="45" t="e">
        <f t="shared" si="65"/>
        <v>#DIV/0!</v>
      </c>
      <c r="D166" s="45" t="e">
        <f t="shared" si="66"/>
        <v>#DIV/0!</v>
      </c>
      <c r="E166" s="45" t="e">
        <f t="shared" si="67"/>
        <v>#DIV/0!</v>
      </c>
      <c r="F166" s="45" t="e">
        <f t="shared" si="68"/>
        <v>#DIV/0!</v>
      </c>
      <c r="G166" s="45" t="e">
        <f t="shared" si="69"/>
        <v>#DIV/0!</v>
      </c>
      <c r="H166" s="45" t="e">
        <f t="shared" si="70"/>
        <v>#DIV/0!</v>
      </c>
      <c r="I166" s="45" t="e">
        <f t="shared" si="71"/>
        <v>#DIV/0!</v>
      </c>
      <c r="J166" s="45" t="e">
        <f t="shared" si="72"/>
        <v>#DIV/0!</v>
      </c>
      <c r="K166" s="45" t="e">
        <f t="shared" si="73"/>
        <v>#DIV/0!</v>
      </c>
      <c r="L166" s="45" t="e">
        <f t="shared" si="74"/>
        <v>#DIV/0!</v>
      </c>
      <c r="M166" s="45" t="e">
        <f t="shared" si="75"/>
        <v>#DIV/0!</v>
      </c>
      <c r="N166" s="45" t="e">
        <f t="shared" si="76"/>
        <v>#DIV/0!</v>
      </c>
      <c r="O166" s="45" t="e">
        <f t="shared" si="77"/>
        <v>#DIV/0!</v>
      </c>
      <c r="P166" s="45" t="e">
        <f t="shared" si="78"/>
        <v>#DIV/0!</v>
      </c>
      <c r="Q166" s="55" t="e">
        <f>Q165+ATM_Conf!$C$5*(B165)/(Links!B$191*Links!Q$191)</f>
        <v>#DIV/0!</v>
      </c>
      <c r="R166" s="55" t="e">
        <f>R165+ATM_Conf!$C$5*(C165-B165)/(Links!C$191*Links!R$191)</f>
        <v>#DIV/0!</v>
      </c>
      <c r="S166" s="55" t="e">
        <f>S165+ATM_Conf!$C$5*(D165-C165)/(Links!D$191*Links!S$191)</f>
        <v>#DIV/0!</v>
      </c>
      <c r="T166" s="55" t="e">
        <f>T165+ATM_Conf!$C$5*(E165-D165)/(Links!E$191*Links!T$191)</f>
        <v>#DIV/0!</v>
      </c>
      <c r="U166" s="55" t="e">
        <f>U165+ATM_Conf!$C$5*(F165-E165)/(Links!F$191*Links!U$191)</f>
        <v>#DIV/0!</v>
      </c>
      <c r="V166" s="55" t="e">
        <f>V165+ATM_Conf!$C$5*(G165-F165)/(Links!G$191*Links!V$191)</f>
        <v>#DIV/0!</v>
      </c>
      <c r="W166" s="55" t="e">
        <f>W165+ATM_Conf!$C$5*(H165-G165)/(Links!H$191*Links!W$191)</f>
        <v>#DIV/0!</v>
      </c>
      <c r="X166" s="55" t="e">
        <f>X165+ATM_Conf!$C$5*(I165-H165)/(Links!I$191*Links!X$191)</f>
        <v>#DIV/0!</v>
      </c>
      <c r="Y166" s="55" t="e">
        <f>Y165+ATM_Conf!$C$5*(J165)/(Links!J$191*Links!Y$191)</f>
        <v>#DIV/0!</v>
      </c>
      <c r="Z166" s="55" t="e">
        <f>Z165+ATM_Conf!$C$5*(K165-J165)/(Links!K$191*Links!Z$191)</f>
        <v>#DIV/0!</v>
      </c>
      <c r="AA166" s="55" t="e">
        <f>AA165+ATM_Conf!$C$5*(L165-K165)/(Links!L$191*Links!AA$191)</f>
        <v>#DIV/0!</v>
      </c>
      <c r="AB166" s="55" t="e">
        <f>AB165+ATM_Conf!$C$5*(M165-L165)/(Links!M$191*Links!AB$191)</f>
        <v>#DIV/0!</v>
      </c>
      <c r="AC166" s="55" t="e">
        <f>AC165+ATM_Conf!$C$5*(N165-M165)/(Links!N$191*Links!AC$191)</f>
        <v>#DIV/0!</v>
      </c>
      <c r="AD166" s="55" t="e">
        <f>AD165+ATM_Conf!$C$5*(O165-N165)/(Links!O$191*Links!AD$191)</f>
        <v>#DIV/0!</v>
      </c>
      <c r="AE166" s="55" t="e">
        <f>AE165+ATM_Conf!$C$5*(P165-O165)/(Links!P$191*Links!AE$191)</f>
        <v>#DIV/0!</v>
      </c>
      <c r="AF166" s="45" t="e">
        <f>AF165+(ATM_Conf!$C$5/ATM_Conf!$C$8)*(Links!AU165*EXP((-(Links!Q165/Links!BJ165)^Links!BY165)/Links!BY165)-Links!AF165)-(ATM_Conf!$C$9*ATM_Conf!$C$5/(ATM_Conf!$C$8*Links!Q$191))*(Nodes!BO165-Links!Q165)/(Links!Q165/ATM_Conf!$C$10)</f>
        <v>#DIV/0!</v>
      </c>
      <c r="AG166" s="45" t="e">
        <f>AG165+(ATM_Conf!$C$5/ATM_Conf!$C$8)*(Links!AV165*EXP((-(Links!R165/Links!BK165)^Links!BZ165)/Links!BZ165)-Links!AG165)+(ATM_Conf!$C$5/Links!R$191)*Links!AG165*(Nodes!BB165-Links!AG165)-(ATM_Conf!$C$9*ATM_Conf!$C$5/(ATM_Conf!$C$8*Links!R$191))*(Nodes!BP165-Links!R165)/(Links!R165/ATM_Conf!$C$10)</f>
        <v>#DIV/0!</v>
      </c>
      <c r="AH166" s="45" t="e">
        <f>AH165+(ATM_Conf!$C$5/ATM_Conf!$C$8)*(Links!AW165*EXP((-(Links!S165/Links!BL165)^Links!CA165)/Links!CA165)-Links!AH165)+(ATM_Conf!$C$5/Links!S$191)*Links!AH165*(Nodes!BC165-Links!AH165)-(ATM_Conf!$C$9*ATM_Conf!$C$5/(ATM_Conf!$C$8*Links!S$191))*(Nodes!BQ165-Links!S165)/(Links!S165/ATM_Conf!$C$10)</f>
        <v>#DIV/0!</v>
      </c>
      <c r="AI166" s="45" t="e">
        <f>AI165+(ATM_Conf!$C$5/ATM_Conf!$C$8)*(Links!AX165*EXP((-(Links!T165/Links!BM165)^Links!CB165)/Links!CB165)-Links!AI165)+(ATM_Conf!$C$5/Links!T$191)*Links!AI165*(Nodes!BD165-Links!AI165)-(ATM_Conf!$C$9*ATM_Conf!$C$5/(ATM_Conf!$C$8*Links!T$191))*(Nodes!BR165-Links!T165)/(Links!T165/ATM_Conf!$C$10)</f>
        <v>#DIV/0!</v>
      </c>
      <c r="AJ166" s="45" t="e">
        <f>AJ165+(ATM_Conf!$C$5/ATM_Conf!$C$8)*(Links!AY165*EXP((-(Links!U165/Links!BN165)^Links!CC165)/Links!CC165)-Links!AJ165)+(ATM_Conf!$C$5/Links!U$191)*Links!AJ165*(Nodes!BE165-Links!AJ165)-(ATM_Conf!$C$9*ATM_Conf!$C$5/(ATM_Conf!$C$8*Links!U$191))*(Nodes!BS165-Links!U165)/(Links!U165/ATM_Conf!$C$10)</f>
        <v>#DIV/0!</v>
      </c>
      <c r="AK166" s="45" t="e">
        <f>AK165+(ATM_Conf!$C$5/ATM_Conf!$C$8)*(Links!AZ165*EXP((-(Links!V165/Links!BO165)^Links!CD165)/Links!CD165)-Links!AK165)+(ATM_Conf!$C$5/Links!V$191)*Links!AK165*(Nodes!BF165-Links!AK165)-(ATM_Conf!$C$9*ATM_Conf!$C$5/(ATM_Conf!$C$8*Links!V$191))*(Nodes!BT165-Links!V165)/(Links!V165/ATM_Conf!$C$10)</f>
        <v>#DIV/0!</v>
      </c>
      <c r="AL166" s="45" t="e">
        <f>AL165+(ATM_Conf!$C$5/ATM_Conf!$C$8)*(Links!BA165*EXP((-(Links!W165/Links!BP165)^Links!CE165)/Links!CE165)-Links!AL165)+(ATM_Conf!$C$5/Links!W$191)*Links!AL165*(Nodes!BG165-Links!AL165)-(ATM_Conf!$C$9*ATM_Conf!$C$5/(ATM_Conf!$C$8*Links!W$191))*(Nodes!BU165-Links!W165)/(Links!W165/ATM_Conf!$C$10)</f>
        <v>#DIV/0!</v>
      </c>
      <c r="AM166" s="45" t="e">
        <f>AM165+(ATM_Conf!$C$5/ATM_Conf!$C$8)*(Links!BB165*EXP((-(Links!X165/Links!BQ165)^Links!CF165)/Links!CF165)-Links!AM165)+(ATM_Conf!$C$5/Links!X$191)*Links!AM165*(Nodes!BH165-Links!AM165)</f>
        <v>#DIV/0!</v>
      </c>
      <c r="AN166" s="45" t="e">
        <f>AN165+(ATM_Conf!$C$5/ATM_Conf!$C$8)*(Links!BC165*EXP((-(Links!Y165/Links!BR165)^Links!CG165)/Links!CG165)-Links!AN165)-(ATM_Conf!$C$9*ATM_Conf!$C$5/(ATM_Conf!$C$8*Links!Y$191))*(Nodes!BV165-Links!Y165)/(Links!Y165/ATM_Conf!$C$10)</f>
        <v>#DIV/0!</v>
      </c>
      <c r="AO166" s="45" t="e">
        <f>AO165+(ATM_Conf!$C$5/ATM_Conf!$C$8)*(Links!BD165*EXP((-(Links!Z165/Links!BS165)^Links!CH165)/Links!CH165)-Links!AO165)+(ATM_Conf!$C$5/Links!Z$191)*Links!AO165*(Nodes!BI165-Links!AO165)-(ATM_Conf!$C$9*ATM_Conf!$C$5/(ATM_Conf!$C$8*Links!Z$191))*(Nodes!BW165-Links!Z165)/(Links!Z165/ATM_Conf!$C$10)</f>
        <v>#DIV/0!</v>
      </c>
      <c r="AP166" s="45" t="e">
        <f>AP165+(ATM_Conf!$C$5/ATM_Conf!$C$8)*(Links!BE165*EXP((-(Links!AA165/Links!BT165)^Links!CI165)/Links!CI165)-Links!AP165)+(ATM_Conf!$C$5/Links!AA$191)*Links!AP165*(Nodes!BJ165-Links!AP165)-(ATM_Conf!$C$9*ATM_Conf!$C$5/(ATM_Conf!$C$8*Links!AA$191))*(Nodes!BX165-Links!AA165)/(Links!AA165/ATM_Conf!$C$10)</f>
        <v>#DIV/0!</v>
      </c>
      <c r="AQ166" s="45" t="e">
        <f>AQ165+(ATM_Conf!$C$5/ATM_Conf!$C$8)*(Links!BF165*EXP((-(Links!AB165/Links!BU165)^Links!CJ165)/Links!CJ165)-Links!AQ165)+(ATM_Conf!$C$5/Links!AB$191)*Links!AQ165*(Nodes!BK165-Links!AQ165)-(ATM_Conf!$C$9*ATM_Conf!$C$5/(ATM_Conf!$C$8*Links!AB$191))*(Nodes!BY165-Links!AB165)/(Links!AB165/ATM_Conf!$C$10)</f>
        <v>#DIV/0!</v>
      </c>
      <c r="AR166" s="45" t="e">
        <f>AR165+(ATM_Conf!$C$5/ATM_Conf!$C$8)*(Links!BG165*EXP((-(Links!AC165/Links!BV165)^Links!CK165)/Links!CK165)-Links!AR165)+(ATM_Conf!$C$5/Links!AC$191)*Links!AR165*(Nodes!BL165-Links!AR165)-(ATM_Conf!$C$9*ATM_Conf!$C$5/(ATM_Conf!$C$8*Links!AC$191))*(Nodes!BZ165-Links!AC165)/(Links!AC165/ATM_Conf!$C$10)</f>
        <v>#DIV/0!</v>
      </c>
      <c r="AS166" s="45" t="e">
        <f>AS165+(ATM_Conf!$C$5/ATM_Conf!$C$8)*(Links!BH165*EXP((-(Links!AD165/Links!BW165)^Links!CL165)/Links!CL165)-Links!AS165)+(ATM_Conf!$C$5/Links!AD$191)*Links!AS165*(Nodes!BM165-Links!AS165)-(ATM_Conf!$C$9*ATM_Conf!$C$5/(ATM_Conf!$C$8*Links!AD$191))*(Nodes!CA165-Links!AD165)/(Links!AD165/ATM_Conf!$C$10)</f>
        <v>#DIV/0!</v>
      </c>
      <c r="AT166" s="45" t="e">
        <f>AT165+(ATM_Conf!$C$5/ATM_Conf!$C$8)*(Links!BI165*EXP((-(Links!AE165/Links!BX165)^Links!CM165)/Links!CM165)-Links!AT165)+(ATM_Conf!$C$5/Links!AE$191)*Links!AT165*(Nodes!BN165-Links!AT165)</f>
        <v>#DIV/0!</v>
      </c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55"/>
      <c r="BZ166" s="55"/>
      <c r="CA166" s="55"/>
      <c r="CB166" s="55"/>
      <c r="CC166" s="55"/>
      <c r="CD166" s="55"/>
      <c r="CE166" s="55"/>
      <c r="CF166" s="55"/>
      <c r="CG166" s="55"/>
      <c r="CH166" s="55"/>
      <c r="CI166" s="55"/>
      <c r="CJ166" s="55"/>
      <c r="CK166" s="55"/>
      <c r="CL166" s="55"/>
      <c r="CM166" s="55"/>
      <c r="CN166" s="45">
        <f t="shared" si="87"/>
        <v>0</v>
      </c>
      <c r="CO166" s="45">
        <f t="shared" si="87"/>
        <v>0</v>
      </c>
      <c r="CP166" s="45">
        <f t="shared" si="87"/>
        <v>0</v>
      </c>
      <c r="CQ166" s="45">
        <f t="shared" si="87"/>
        <v>0</v>
      </c>
      <c r="CR166" s="45">
        <f t="shared" si="87"/>
        <v>0</v>
      </c>
      <c r="CS166" s="45">
        <f t="shared" si="87"/>
        <v>0</v>
      </c>
      <c r="CT166" s="45">
        <f t="shared" si="87"/>
        <v>0</v>
      </c>
      <c r="CU166" s="45">
        <f t="shared" si="87"/>
        <v>0</v>
      </c>
      <c r="CV166" s="45">
        <f t="shared" si="87"/>
        <v>0</v>
      </c>
      <c r="CW166" s="45">
        <f t="shared" si="87"/>
        <v>0</v>
      </c>
      <c r="CX166" s="45">
        <f t="shared" si="87"/>
        <v>0</v>
      </c>
      <c r="CY166" s="45">
        <f t="shared" si="87"/>
        <v>0</v>
      </c>
      <c r="CZ166" s="45">
        <f t="shared" si="87"/>
        <v>0</v>
      </c>
      <c r="DA166" s="45">
        <f t="shared" si="87"/>
        <v>0</v>
      </c>
      <c r="DB166" s="45">
        <f t="shared" si="87"/>
        <v>0</v>
      </c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</row>
    <row r="167" spans="1:121" ht="14.25" x14ac:dyDescent="0.15">
      <c r="A167" s="48">
        <v>165</v>
      </c>
      <c r="B167" s="45" t="e">
        <f t="shared" si="64"/>
        <v>#DIV/0!</v>
      </c>
      <c r="C167" s="45" t="e">
        <f t="shared" si="65"/>
        <v>#DIV/0!</v>
      </c>
      <c r="D167" s="45" t="e">
        <f t="shared" si="66"/>
        <v>#DIV/0!</v>
      </c>
      <c r="E167" s="45" t="e">
        <f t="shared" si="67"/>
        <v>#DIV/0!</v>
      </c>
      <c r="F167" s="45" t="e">
        <f t="shared" si="68"/>
        <v>#DIV/0!</v>
      </c>
      <c r="G167" s="45" t="e">
        <f t="shared" si="69"/>
        <v>#DIV/0!</v>
      </c>
      <c r="H167" s="45" t="e">
        <f t="shared" si="70"/>
        <v>#DIV/0!</v>
      </c>
      <c r="I167" s="45" t="e">
        <f t="shared" si="71"/>
        <v>#DIV/0!</v>
      </c>
      <c r="J167" s="45" t="e">
        <f t="shared" si="72"/>
        <v>#DIV/0!</v>
      </c>
      <c r="K167" s="45" t="e">
        <f t="shared" si="73"/>
        <v>#DIV/0!</v>
      </c>
      <c r="L167" s="45" t="e">
        <f t="shared" si="74"/>
        <v>#DIV/0!</v>
      </c>
      <c r="M167" s="45" t="e">
        <f t="shared" si="75"/>
        <v>#DIV/0!</v>
      </c>
      <c r="N167" s="45" t="e">
        <f t="shared" si="76"/>
        <v>#DIV/0!</v>
      </c>
      <c r="O167" s="45" t="e">
        <f t="shared" si="77"/>
        <v>#DIV/0!</v>
      </c>
      <c r="P167" s="45" t="e">
        <f t="shared" si="78"/>
        <v>#DIV/0!</v>
      </c>
      <c r="Q167" s="55" t="e">
        <f>Q166+ATM_Conf!$C$5*(B166)/(Links!B$191*Links!Q$191)</f>
        <v>#DIV/0!</v>
      </c>
      <c r="R167" s="55" t="e">
        <f>R166+ATM_Conf!$C$5*(C166-B166)/(Links!C$191*Links!R$191)</f>
        <v>#DIV/0!</v>
      </c>
      <c r="S167" s="55" t="e">
        <f>S166+ATM_Conf!$C$5*(D166-C166)/(Links!D$191*Links!S$191)</f>
        <v>#DIV/0!</v>
      </c>
      <c r="T167" s="55" t="e">
        <f>T166+ATM_Conf!$C$5*(E166-D166)/(Links!E$191*Links!T$191)</f>
        <v>#DIV/0!</v>
      </c>
      <c r="U167" s="55" t="e">
        <f>U166+ATM_Conf!$C$5*(F166-E166)/(Links!F$191*Links!U$191)</f>
        <v>#DIV/0!</v>
      </c>
      <c r="V167" s="55" t="e">
        <f>V166+ATM_Conf!$C$5*(G166-F166)/(Links!G$191*Links!V$191)</f>
        <v>#DIV/0!</v>
      </c>
      <c r="W167" s="55" t="e">
        <f>W166+ATM_Conf!$C$5*(H166-G166)/(Links!H$191*Links!W$191)</f>
        <v>#DIV/0!</v>
      </c>
      <c r="X167" s="55" t="e">
        <f>X166+ATM_Conf!$C$5*(I166-H166)/(Links!I$191*Links!X$191)</f>
        <v>#DIV/0!</v>
      </c>
      <c r="Y167" s="55" t="e">
        <f>Y166+ATM_Conf!$C$5*(J166)/(Links!J$191*Links!Y$191)</f>
        <v>#DIV/0!</v>
      </c>
      <c r="Z167" s="55" t="e">
        <f>Z166+ATM_Conf!$C$5*(K166-J166)/(Links!K$191*Links!Z$191)</f>
        <v>#DIV/0!</v>
      </c>
      <c r="AA167" s="55" t="e">
        <f>AA166+ATM_Conf!$C$5*(L166-K166)/(Links!L$191*Links!AA$191)</f>
        <v>#DIV/0!</v>
      </c>
      <c r="AB167" s="55" t="e">
        <f>AB166+ATM_Conf!$C$5*(M166-L166)/(Links!M$191*Links!AB$191)</f>
        <v>#DIV/0!</v>
      </c>
      <c r="AC167" s="55" t="e">
        <f>AC166+ATM_Conf!$C$5*(N166-M166)/(Links!N$191*Links!AC$191)</f>
        <v>#DIV/0!</v>
      </c>
      <c r="AD167" s="55" t="e">
        <f>AD166+ATM_Conf!$C$5*(O166-N166)/(Links!O$191*Links!AD$191)</f>
        <v>#DIV/0!</v>
      </c>
      <c r="AE167" s="55" t="e">
        <f>AE166+ATM_Conf!$C$5*(P166-O166)/(Links!P$191*Links!AE$191)</f>
        <v>#DIV/0!</v>
      </c>
      <c r="AF167" s="45" t="e">
        <f>AF166+(ATM_Conf!$C$5/ATM_Conf!$C$8)*(Links!AU166*EXP((-(Links!Q166/Links!BJ166)^Links!BY166)/Links!BY166)-Links!AF166)-(ATM_Conf!$C$9*ATM_Conf!$C$5/(ATM_Conf!$C$8*Links!Q$191))*(Nodes!BO166-Links!Q166)/(Links!Q166/ATM_Conf!$C$10)</f>
        <v>#DIV/0!</v>
      </c>
      <c r="AG167" s="45" t="e">
        <f>AG166+(ATM_Conf!$C$5/ATM_Conf!$C$8)*(Links!AV166*EXP((-(Links!R166/Links!BK166)^Links!BZ166)/Links!BZ166)-Links!AG166)+(ATM_Conf!$C$5/Links!R$191)*Links!AG166*(Nodes!BB166-Links!AG166)-(ATM_Conf!$C$9*ATM_Conf!$C$5/(ATM_Conf!$C$8*Links!R$191))*(Nodes!BP166-Links!R166)/(Links!R166/ATM_Conf!$C$10)</f>
        <v>#DIV/0!</v>
      </c>
      <c r="AH167" s="45" t="e">
        <f>AH166+(ATM_Conf!$C$5/ATM_Conf!$C$8)*(Links!AW166*EXP((-(Links!S166/Links!BL166)^Links!CA166)/Links!CA166)-Links!AH166)+(ATM_Conf!$C$5/Links!S$191)*Links!AH166*(Nodes!BC166-Links!AH166)-(ATM_Conf!$C$9*ATM_Conf!$C$5/(ATM_Conf!$C$8*Links!S$191))*(Nodes!BQ166-Links!S166)/(Links!S166/ATM_Conf!$C$10)</f>
        <v>#DIV/0!</v>
      </c>
      <c r="AI167" s="45" t="e">
        <f>AI166+(ATM_Conf!$C$5/ATM_Conf!$C$8)*(Links!AX166*EXP((-(Links!T166/Links!BM166)^Links!CB166)/Links!CB166)-Links!AI166)+(ATM_Conf!$C$5/Links!T$191)*Links!AI166*(Nodes!BD166-Links!AI166)-(ATM_Conf!$C$9*ATM_Conf!$C$5/(ATM_Conf!$C$8*Links!T$191))*(Nodes!BR166-Links!T166)/(Links!T166/ATM_Conf!$C$10)</f>
        <v>#DIV/0!</v>
      </c>
      <c r="AJ167" s="45" t="e">
        <f>AJ166+(ATM_Conf!$C$5/ATM_Conf!$C$8)*(Links!AY166*EXP((-(Links!U166/Links!BN166)^Links!CC166)/Links!CC166)-Links!AJ166)+(ATM_Conf!$C$5/Links!U$191)*Links!AJ166*(Nodes!BE166-Links!AJ166)-(ATM_Conf!$C$9*ATM_Conf!$C$5/(ATM_Conf!$C$8*Links!U$191))*(Nodes!BS166-Links!U166)/(Links!U166/ATM_Conf!$C$10)</f>
        <v>#DIV/0!</v>
      </c>
      <c r="AK167" s="45" t="e">
        <f>AK166+(ATM_Conf!$C$5/ATM_Conf!$C$8)*(Links!AZ166*EXP((-(Links!V166/Links!BO166)^Links!CD166)/Links!CD166)-Links!AK166)+(ATM_Conf!$C$5/Links!V$191)*Links!AK166*(Nodes!BF166-Links!AK166)-(ATM_Conf!$C$9*ATM_Conf!$C$5/(ATM_Conf!$C$8*Links!V$191))*(Nodes!BT166-Links!V166)/(Links!V166/ATM_Conf!$C$10)</f>
        <v>#DIV/0!</v>
      </c>
      <c r="AL167" s="45" t="e">
        <f>AL166+(ATM_Conf!$C$5/ATM_Conf!$C$8)*(Links!BA166*EXP((-(Links!W166/Links!BP166)^Links!CE166)/Links!CE166)-Links!AL166)+(ATM_Conf!$C$5/Links!W$191)*Links!AL166*(Nodes!BG166-Links!AL166)-(ATM_Conf!$C$9*ATM_Conf!$C$5/(ATM_Conf!$C$8*Links!W$191))*(Nodes!BU166-Links!W166)/(Links!W166/ATM_Conf!$C$10)</f>
        <v>#DIV/0!</v>
      </c>
      <c r="AM167" s="45" t="e">
        <f>AM166+(ATM_Conf!$C$5/ATM_Conf!$C$8)*(Links!BB166*EXP((-(Links!X166/Links!BQ166)^Links!CF166)/Links!CF166)-Links!AM166)+(ATM_Conf!$C$5/Links!X$191)*Links!AM166*(Nodes!BH166-Links!AM166)</f>
        <v>#DIV/0!</v>
      </c>
      <c r="AN167" s="45" t="e">
        <f>AN166+(ATM_Conf!$C$5/ATM_Conf!$C$8)*(Links!BC166*EXP((-(Links!Y166/Links!BR166)^Links!CG166)/Links!CG166)-Links!AN166)-(ATM_Conf!$C$9*ATM_Conf!$C$5/(ATM_Conf!$C$8*Links!Y$191))*(Nodes!BV166-Links!Y166)/(Links!Y166/ATM_Conf!$C$10)</f>
        <v>#DIV/0!</v>
      </c>
      <c r="AO167" s="45" t="e">
        <f>AO166+(ATM_Conf!$C$5/ATM_Conf!$C$8)*(Links!BD166*EXP((-(Links!Z166/Links!BS166)^Links!CH166)/Links!CH166)-Links!AO166)+(ATM_Conf!$C$5/Links!Z$191)*Links!AO166*(Nodes!BI166-Links!AO166)-(ATM_Conf!$C$9*ATM_Conf!$C$5/(ATM_Conf!$C$8*Links!Z$191))*(Nodes!BW166-Links!Z166)/(Links!Z166/ATM_Conf!$C$10)</f>
        <v>#DIV/0!</v>
      </c>
      <c r="AP167" s="45" t="e">
        <f>AP166+(ATM_Conf!$C$5/ATM_Conf!$C$8)*(Links!BE166*EXP((-(Links!AA166/Links!BT166)^Links!CI166)/Links!CI166)-Links!AP166)+(ATM_Conf!$C$5/Links!AA$191)*Links!AP166*(Nodes!BJ166-Links!AP166)-(ATM_Conf!$C$9*ATM_Conf!$C$5/(ATM_Conf!$C$8*Links!AA$191))*(Nodes!BX166-Links!AA166)/(Links!AA166/ATM_Conf!$C$10)</f>
        <v>#DIV/0!</v>
      </c>
      <c r="AQ167" s="45" t="e">
        <f>AQ166+(ATM_Conf!$C$5/ATM_Conf!$C$8)*(Links!BF166*EXP((-(Links!AB166/Links!BU166)^Links!CJ166)/Links!CJ166)-Links!AQ166)+(ATM_Conf!$C$5/Links!AB$191)*Links!AQ166*(Nodes!BK166-Links!AQ166)-(ATM_Conf!$C$9*ATM_Conf!$C$5/(ATM_Conf!$C$8*Links!AB$191))*(Nodes!BY166-Links!AB166)/(Links!AB166/ATM_Conf!$C$10)</f>
        <v>#DIV/0!</v>
      </c>
      <c r="AR167" s="45" t="e">
        <f>AR166+(ATM_Conf!$C$5/ATM_Conf!$C$8)*(Links!BG166*EXP((-(Links!AC166/Links!BV166)^Links!CK166)/Links!CK166)-Links!AR166)+(ATM_Conf!$C$5/Links!AC$191)*Links!AR166*(Nodes!BL166-Links!AR166)-(ATM_Conf!$C$9*ATM_Conf!$C$5/(ATM_Conf!$C$8*Links!AC$191))*(Nodes!BZ166-Links!AC166)/(Links!AC166/ATM_Conf!$C$10)</f>
        <v>#DIV/0!</v>
      </c>
      <c r="AS167" s="45" t="e">
        <f>AS166+(ATM_Conf!$C$5/ATM_Conf!$C$8)*(Links!BH166*EXP((-(Links!AD166/Links!BW166)^Links!CL166)/Links!CL166)-Links!AS166)+(ATM_Conf!$C$5/Links!AD$191)*Links!AS166*(Nodes!BM166-Links!AS166)-(ATM_Conf!$C$9*ATM_Conf!$C$5/(ATM_Conf!$C$8*Links!AD$191))*(Nodes!CA166-Links!AD166)/(Links!AD166/ATM_Conf!$C$10)</f>
        <v>#DIV/0!</v>
      </c>
      <c r="AT167" s="45" t="e">
        <f>AT166+(ATM_Conf!$C$5/ATM_Conf!$C$8)*(Links!BI166*EXP((-(Links!AE166/Links!BX166)^Links!CM166)/Links!CM166)-Links!AT166)+(ATM_Conf!$C$5/Links!AE$191)*Links!AT166*(Nodes!BN166-Links!AT166)</f>
        <v>#DIV/0!</v>
      </c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  <c r="BI167" s="55"/>
      <c r="BJ167" s="45"/>
      <c r="BK167" s="45"/>
      <c r="BL167" s="45"/>
      <c r="BM167" s="45"/>
      <c r="BN167" s="45"/>
      <c r="BO167" s="45"/>
      <c r="BP167" s="45"/>
      <c r="BQ167" s="45"/>
      <c r="BR167" s="45"/>
      <c r="BS167" s="45"/>
      <c r="BT167" s="45"/>
      <c r="BU167" s="45"/>
      <c r="BV167" s="45"/>
      <c r="BW167" s="45"/>
      <c r="BX167" s="45"/>
      <c r="BY167" s="55"/>
      <c r="BZ167" s="55"/>
      <c r="CA167" s="55"/>
      <c r="CB167" s="55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45">
        <f t="shared" si="87"/>
        <v>0</v>
      </c>
      <c r="CO167" s="45">
        <f t="shared" si="87"/>
        <v>0</v>
      </c>
      <c r="CP167" s="45">
        <f t="shared" si="87"/>
        <v>0</v>
      </c>
      <c r="CQ167" s="45">
        <f t="shared" si="87"/>
        <v>0</v>
      </c>
      <c r="CR167" s="45">
        <f t="shared" si="87"/>
        <v>0</v>
      </c>
      <c r="CS167" s="45">
        <f t="shared" si="87"/>
        <v>0</v>
      </c>
      <c r="CT167" s="45">
        <f t="shared" si="87"/>
        <v>0</v>
      </c>
      <c r="CU167" s="45">
        <f t="shared" si="87"/>
        <v>0</v>
      </c>
      <c r="CV167" s="45">
        <f t="shared" si="87"/>
        <v>0</v>
      </c>
      <c r="CW167" s="45">
        <f t="shared" si="87"/>
        <v>0</v>
      </c>
      <c r="CX167" s="45">
        <f t="shared" si="87"/>
        <v>0</v>
      </c>
      <c r="CY167" s="45">
        <f t="shared" si="87"/>
        <v>0</v>
      </c>
      <c r="CZ167" s="45">
        <f t="shared" si="87"/>
        <v>0</v>
      </c>
      <c r="DA167" s="45">
        <f t="shared" si="87"/>
        <v>0</v>
      </c>
      <c r="DB167" s="45">
        <f t="shared" si="87"/>
        <v>0</v>
      </c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</row>
    <row r="168" spans="1:121" ht="14.25" x14ac:dyDescent="0.15">
      <c r="A168" s="48">
        <v>166</v>
      </c>
      <c r="B168" s="45" t="e">
        <f t="shared" si="64"/>
        <v>#DIV/0!</v>
      </c>
      <c r="C168" s="45" t="e">
        <f t="shared" si="65"/>
        <v>#DIV/0!</v>
      </c>
      <c r="D168" s="45" t="e">
        <f t="shared" si="66"/>
        <v>#DIV/0!</v>
      </c>
      <c r="E168" s="45" t="e">
        <f t="shared" si="67"/>
        <v>#DIV/0!</v>
      </c>
      <c r="F168" s="45" t="e">
        <f t="shared" si="68"/>
        <v>#DIV/0!</v>
      </c>
      <c r="G168" s="45" t="e">
        <f t="shared" si="69"/>
        <v>#DIV/0!</v>
      </c>
      <c r="H168" s="45" t="e">
        <f t="shared" si="70"/>
        <v>#DIV/0!</v>
      </c>
      <c r="I168" s="45" t="e">
        <f t="shared" si="71"/>
        <v>#DIV/0!</v>
      </c>
      <c r="J168" s="45" t="e">
        <f t="shared" si="72"/>
        <v>#DIV/0!</v>
      </c>
      <c r="K168" s="45" t="e">
        <f t="shared" si="73"/>
        <v>#DIV/0!</v>
      </c>
      <c r="L168" s="45" t="e">
        <f t="shared" si="74"/>
        <v>#DIV/0!</v>
      </c>
      <c r="M168" s="45" t="e">
        <f t="shared" si="75"/>
        <v>#DIV/0!</v>
      </c>
      <c r="N168" s="45" t="e">
        <f t="shared" si="76"/>
        <v>#DIV/0!</v>
      </c>
      <c r="O168" s="45" t="e">
        <f t="shared" si="77"/>
        <v>#DIV/0!</v>
      </c>
      <c r="P168" s="45" t="e">
        <f t="shared" si="78"/>
        <v>#DIV/0!</v>
      </c>
      <c r="Q168" s="55" t="e">
        <f>Q167+ATM_Conf!$C$5*(B167)/(Links!B$191*Links!Q$191)</f>
        <v>#DIV/0!</v>
      </c>
      <c r="R168" s="55" t="e">
        <f>R167+ATM_Conf!$C$5*(C167-B167)/(Links!C$191*Links!R$191)</f>
        <v>#DIV/0!</v>
      </c>
      <c r="S168" s="55" t="e">
        <f>S167+ATM_Conf!$C$5*(D167-C167)/(Links!D$191*Links!S$191)</f>
        <v>#DIV/0!</v>
      </c>
      <c r="T168" s="55" t="e">
        <f>T167+ATM_Conf!$C$5*(E167-D167)/(Links!E$191*Links!T$191)</f>
        <v>#DIV/0!</v>
      </c>
      <c r="U168" s="55" t="e">
        <f>U167+ATM_Conf!$C$5*(F167-E167)/(Links!F$191*Links!U$191)</f>
        <v>#DIV/0!</v>
      </c>
      <c r="V168" s="55" t="e">
        <f>V167+ATM_Conf!$C$5*(G167-F167)/(Links!G$191*Links!V$191)</f>
        <v>#DIV/0!</v>
      </c>
      <c r="W168" s="55" t="e">
        <f>W167+ATM_Conf!$C$5*(H167-G167)/(Links!H$191*Links!W$191)</f>
        <v>#DIV/0!</v>
      </c>
      <c r="X168" s="55" t="e">
        <f>X167+ATM_Conf!$C$5*(I167-H167)/(Links!I$191*Links!X$191)</f>
        <v>#DIV/0!</v>
      </c>
      <c r="Y168" s="55" t="e">
        <f>Y167+ATM_Conf!$C$5*(J167)/(Links!J$191*Links!Y$191)</f>
        <v>#DIV/0!</v>
      </c>
      <c r="Z168" s="55" t="e">
        <f>Z167+ATM_Conf!$C$5*(K167-J167)/(Links!K$191*Links!Z$191)</f>
        <v>#DIV/0!</v>
      </c>
      <c r="AA168" s="55" t="e">
        <f>AA167+ATM_Conf!$C$5*(L167-K167)/(Links!L$191*Links!AA$191)</f>
        <v>#DIV/0!</v>
      </c>
      <c r="AB168" s="55" t="e">
        <f>AB167+ATM_Conf!$C$5*(M167-L167)/(Links!M$191*Links!AB$191)</f>
        <v>#DIV/0!</v>
      </c>
      <c r="AC168" s="55" t="e">
        <f>AC167+ATM_Conf!$C$5*(N167-M167)/(Links!N$191*Links!AC$191)</f>
        <v>#DIV/0!</v>
      </c>
      <c r="AD168" s="55" t="e">
        <f>AD167+ATM_Conf!$C$5*(O167-N167)/(Links!O$191*Links!AD$191)</f>
        <v>#DIV/0!</v>
      </c>
      <c r="AE168" s="55" t="e">
        <f>AE167+ATM_Conf!$C$5*(P167-O167)/(Links!P$191*Links!AE$191)</f>
        <v>#DIV/0!</v>
      </c>
      <c r="AF168" s="45" t="e">
        <f>AF167+(ATM_Conf!$C$5/ATM_Conf!$C$8)*(Links!AU167*EXP((-(Links!Q167/Links!BJ167)^Links!BY167)/Links!BY167)-Links!AF167)-(ATM_Conf!$C$9*ATM_Conf!$C$5/(ATM_Conf!$C$8*Links!Q$191))*(Nodes!BO167-Links!Q167)/(Links!Q167/ATM_Conf!$C$10)</f>
        <v>#DIV/0!</v>
      </c>
      <c r="AG168" s="45" t="e">
        <f>AG167+(ATM_Conf!$C$5/ATM_Conf!$C$8)*(Links!AV167*EXP((-(Links!R167/Links!BK167)^Links!BZ167)/Links!BZ167)-Links!AG167)+(ATM_Conf!$C$5/Links!R$191)*Links!AG167*(Nodes!BB167-Links!AG167)-(ATM_Conf!$C$9*ATM_Conf!$C$5/(ATM_Conf!$C$8*Links!R$191))*(Nodes!BP167-Links!R167)/(Links!R167/ATM_Conf!$C$10)</f>
        <v>#DIV/0!</v>
      </c>
      <c r="AH168" s="45" t="e">
        <f>AH167+(ATM_Conf!$C$5/ATM_Conf!$C$8)*(Links!AW167*EXP((-(Links!S167/Links!BL167)^Links!CA167)/Links!CA167)-Links!AH167)+(ATM_Conf!$C$5/Links!S$191)*Links!AH167*(Nodes!BC167-Links!AH167)-(ATM_Conf!$C$9*ATM_Conf!$C$5/(ATM_Conf!$C$8*Links!S$191))*(Nodes!BQ167-Links!S167)/(Links!S167/ATM_Conf!$C$10)</f>
        <v>#DIV/0!</v>
      </c>
      <c r="AI168" s="45" t="e">
        <f>AI167+(ATM_Conf!$C$5/ATM_Conf!$C$8)*(Links!AX167*EXP((-(Links!T167/Links!BM167)^Links!CB167)/Links!CB167)-Links!AI167)+(ATM_Conf!$C$5/Links!T$191)*Links!AI167*(Nodes!BD167-Links!AI167)-(ATM_Conf!$C$9*ATM_Conf!$C$5/(ATM_Conf!$C$8*Links!T$191))*(Nodes!BR167-Links!T167)/(Links!T167/ATM_Conf!$C$10)</f>
        <v>#DIV/0!</v>
      </c>
      <c r="AJ168" s="45" t="e">
        <f>AJ167+(ATM_Conf!$C$5/ATM_Conf!$C$8)*(Links!AY167*EXP((-(Links!U167/Links!BN167)^Links!CC167)/Links!CC167)-Links!AJ167)+(ATM_Conf!$C$5/Links!U$191)*Links!AJ167*(Nodes!BE167-Links!AJ167)-(ATM_Conf!$C$9*ATM_Conf!$C$5/(ATM_Conf!$C$8*Links!U$191))*(Nodes!BS167-Links!U167)/(Links!U167/ATM_Conf!$C$10)</f>
        <v>#DIV/0!</v>
      </c>
      <c r="AK168" s="45" t="e">
        <f>AK167+(ATM_Conf!$C$5/ATM_Conf!$C$8)*(Links!AZ167*EXP((-(Links!V167/Links!BO167)^Links!CD167)/Links!CD167)-Links!AK167)+(ATM_Conf!$C$5/Links!V$191)*Links!AK167*(Nodes!BF167-Links!AK167)-(ATM_Conf!$C$9*ATM_Conf!$C$5/(ATM_Conf!$C$8*Links!V$191))*(Nodes!BT167-Links!V167)/(Links!V167/ATM_Conf!$C$10)</f>
        <v>#DIV/0!</v>
      </c>
      <c r="AL168" s="45" t="e">
        <f>AL167+(ATM_Conf!$C$5/ATM_Conf!$C$8)*(Links!BA167*EXP((-(Links!W167/Links!BP167)^Links!CE167)/Links!CE167)-Links!AL167)+(ATM_Conf!$C$5/Links!W$191)*Links!AL167*(Nodes!BG167-Links!AL167)-(ATM_Conf!$C$9*ATM_Conf!$C$5/(ATM_Conf!$C$8*Links!W$191))*(Nodes!BU167-Links!W167)/(Links!W167/ATM_Conf!$C$10)</f>
        <v>#DIV/0!</v>
      </c>
      <c r="AM168" s="45" t="e">
        <f>AM167+(ATM_Conf!$C$5/ATM_Conf!$C$8)*(Links!BB167*EXP((-(Links!X167/Links!BQ167)^Links!CF167)/Links!CF167)-Links!AM167)+(ATM_Conf!$C$5/Links!X$191)*Links!AM167*(Nodes!BH167-Links!AM167)</f>
        <v>#DIV/0!</v>
      </c>
      <c r="AN168" s="45" t="e">
        <f>AN167+(ATM_Conf!$C$5/ATM_Conf!$C$8)*(Links!BC167*EXP((-(Links!Y167/Links!BR167)^Links!CG167)/Links!CG167)-Links!AN167)-(ATM_Conf!$C$9*ATM_Conf!$C$5/(ATM_Conf!$C$8*Links!Y$191))*(Nodes!BV167-Links!Y167)/(Links!Y167/ATM_Conf!$C$10)</f>
        <v>#DIV/0!</v>
      </c>
      <c r="AO168" s="45" t="e">
        <f>AO167+(ATM_Conf!$C$5/ATM_Conf!$C$8)*(Links!BD167*EXP((-(Links!Z167/Links!BS167)^Links!CH167)/Links!CH167)-Links!AO167)+(ATM_Conf!$C$5/Links!Z$191)*Links!AO167*(Nodes!BI167-Links!AO167)-(ATM_Conf!$C$9*ATM_Conf!$C$5/(ATM_Conf!$C$8*Links!Z$191))*(Nodes!BW167-Links!Z167)/(Links!Z167/ATM_Conf!$C$10)</f>
        <v>#DIV/0!</v>
      </c>
      <c r="AP168" s="45" t="e">
        <f>AP167+(ATM_Conf!$C$5/ATM_Conf!$C$8)*(Links!BE167*EXP((-(Links!AA167/Links!BT167)^Links!CI167)/Links!CI167)-Links!AP167)+(ATM_Conf!$C$5/Links!AA$191)*Links!AP167*(Nodes!BJ167-Links!AP167)-(ATM_Conf!$C$9*ATM_Conf!$C$5/(ATM_Conf!$C$8*Links!AA$191))*(Nodes!BX167-Links!AA167)/(Links!AA167/ATM_Conf!$C$10)</f>
        <v>#DIV/0!</v>
      </c>
      <c r="AQ168" s="45" t="e">
        <f>AQ167+(ATM_Conf!$C$5/ATM_Conf!$C$8)*(Links!BF167*EXP((-(Links!AB167/Links!BU167)^Links!CJ167)/Links!CJ167)-Links!AQ167)+(ATM_Conf!$C$5/Links!AB$191)*Links!AQ167*(Nodes!BK167-Links!AQ167)-(ATM_Conf!$C$9*ATM_Conf!$C$5/(ATM_Conf!$C$8*Links!AB$191))*(Nodes!BY167-Links!AB167)/(Links!AB167/ATM_Conf!$C$10)</f>
        <v>#DIV/0!</v>
      </c>
      <c r="AR168" s="45" t="e">
        <f>AR167+(ATM_Conf!$C$5/ATM_Conf!$C$8)*(Links!BG167*EXP((-(Links!AC167/Links!BV167)^Links!CK167)/Links!CK167)-Links!AR167)+(ATM_Conf!$C$5/Links!AC$191)*Links!AR167*(Nodes!BL167-Links!AR167)-(ATM_Conf!$C$9*ATM_Conf!$C$5/(ATM_Conf!$C$8*Links!AC$191))*(Nodes!BZ167-Links!AC167)/(Links!AC167/ATM_Conf!$C$10)</f>
        <v>#DIV/0!</v>
      </c>
      <c r="AS168" s="45" t="e">
        <f>AS167+(ATM_Conf!$C$5/ATM_Conf!$C$8)*(Links!BH167*EXP((-(Links!AD167/Links!BW167)^Links!CL167)/Links!CL167)-Links!AS167)+(ATM_Conf!$C$5/Links!AD$191)*Links!AS167*(Nodes!BM167-Links!AS167)-(ATM_Conf!$C$9*ATM_Conf!$C$5/(ATM_Conf!$C$8*Links!AD$191))*(Nodes!CA167-Links!AD167)/(Links!AD167/ATM_Conf!$C$10)</f>
        <v>#DIV/0!</v>
      </c>
      <c r="AT168" s="45" t="e">
        <f>AT167+(ATM_Conf!$C$5/ATM_Conf!$C$8)*(Links!BI167*EXP((-(Links!AE167/Links!BX167)^Links!CM167)/Links!CM167)-Links!AT167)+(ATM_Conf!$C$5/Links!AE$191)*Links!AT167*(Nodes!BN167-Links!AT167)</f>
        <v>#DIV/0!</v>
      </c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  <c r="BI168" s="55"/>
      <c r="BJ168" s="45"/>
      <c r="BK168" s="45"/>
      <c r="BL168" s="45"/>
      <c r="BM168" s="45"/>
      <c r="BN168" s="45"/>
      <c r="BO168" s="45"/>
      <c r="BP168" s="45"/>
      <c r="BQ168" s="45"/>
      <c r="BR168" s="45"/>
      <c r="BS168" s="45"/>
      <c r="BT168" s="45"/>
      <c r="BU168" s="45"/>
      <c r="BV168" s="45"/>
      <c r="BW168" s="45"/>
      <c r="BX168" s="45"/>
      <c r="BY168" s="55"/>
      <c r="BZ168" s="55"/>
      <c r="CA168" s="55"/>
      <c r="CB168" s="55"/>
      <c r="CC168" s="55"/>
      <c r="CD168" s="55"/>
      <c r="CE168" s="55"/>
      <c r="CF168" s="55"/>
      <c r="CG168" s="55"/>
      <c r="CH168" s="55"/>
      <c r="CI168" s="55"/>
      <c r="CJ168" s="55"/>
      <c r="CK168" s="55"/>
      <c r="CL168" s="55"/>
      <c r="CM168" s="55"/>
      <c r="CN168" s="45">
        <f t="shared" si="87"/>
        <v>0</v>
      </c>
      <c r="CO168" s="45">
        <f t="shared" si="87"/>
        <v>0</v>
      </c>
      <c r="CP168" s="45">
        <f t="shared" si="87"/>
        <v>0</v>
      </c>
      <c r="CQ168" s="45">
        <f t="shared" si="87"/>
        <v>0</v>
      </c>
      <c r="CR168" s="45">
        <f t="shared" si="87"/>
        <v>0</v>
      </c>
      <c r="CS168" s="45">
        <f t="shared" si="87"/>
        <v>0</v>
      </c>
      <c r="CT168" s="45">
        <f t="shared" si="87"/>
        <v>0</v>
      </c>
      <c r="CU168" s="45">
        <f t="shared" si="87"/>
        <v>0</v>
      </c>
      <c r="CV168" s="45">
        <f t="shared" si="87"/>
        <v>0</v>
      </c>
      <c r="CW168" s="45">
        <f t="shared" si="87"/>
        <v>0</v>
      </c>
      <c r="CX168" s="45">
        <f t="shared" si="87"/>
        <v>0</v>
      </c>
      <c r="CY168" s="45">
        <f t="shared" si="87"/>
        <v>0</v>
      </c>
      <c r="CZ168" s="45">
        <f t="shared" si="87"/>
        <v>0</v>
      </c>
      <c r="DA168" s="45">
        <f t="shared" si="87"/>
        <v>0</v>
      </c>
      <c r="DB168" s="45">
        <f t="shared" si="87"/>
        <v>0</v>
      </c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</row>
    <row r="169" spans="1:121" ht="14.25" x14ac:dyDescent="0.15">
      <c r="A169" s="48">
        <v>167</v>
      </c>
      <c r="B169" s="45" t="e">
        <f t="shared" si="64"/>
        <v>#DIV/0!</v>
      </c>
      <c r="C169" s="45" t="e">
        <f t="shared" si="65"/>
        <v>#DIV/0!</v>
      </c>
      <c r="D169" s="45" t="e">
        <f t="shared" si="66"/>
        <v>#DIV/0!</v>
      </c>
      <c r="E169" s="45" t="e">
        <f t="shared" si="67"/>
        <v>#DIV/0!</v>
      </c>
      <c r="F169" s="45" t="e">
        <f t="shared" si="68"/>
        <v>#DIV/0!</v>
      </c>
      <c r="G169" s="45" t="e">
        <f t="shared" si="69"/>
        <v>#DIV/0!</v>
      </c>
      <c r="H169" s="45" t="e">
        <f t="shared" si="70"/>
        <v>#DIV/0!</v>
      </c>
      <c r="I169" s="45" t="e">
        <f t="shared" si="71"/>
        <v>#DIV/0!</v>
      </c>
      <c r="J169" s="45" t="e">
        <f t="shared" si="72"/>
        <v>#DIV/0!</v>
      </c>
      <c r="K169" s="45" t="e">
        <f t="shared" si="73"/>
        <v>#DIV/0!</v>
      </c>
      <c r="L169" s="45" t="e">
        <f t="shared" si="74"/>
        <v>#DIV/0!</v>
      </c>
      <c r="M169" s="45" t="e">
        <f t="shared" si="75"/>
        <v>#DIV/0!</v>
      </c>
      <c r="N169" s="45" t="e">
        <f t="shared" si="76"/>
        <v>#DIV/0!</v>
      </c>
      <c r="O169" s="45" t="e">
        <f t="shared" si="77"/>
        <v>#DIV/0!</v>
      </c>
      <c r="P169" s="45" t="e">
        <f t="shared" si="78"/>
        <v>#DIV/0!</v>
      </c>
      <c r="Q169" s="55" t="e">
        <f>Q168+ATM_Conf!$C$5*(B168)/(Links!B$191*Links!Q$191)</f>
        <v>#DIV/0!</v>
      </c>
      <c r="R169" s="55" t="e">
        <f>R168+ATM_Conf!$C$5*(C168-B168)/(Links!C$191*Links!R$191)</f>
        <v>#DIV/0!</v>
      </c>
      <c r="S169" s="55" t="e">
        <f>S168+ATM_Conf!$C$5*(D168-C168)/(Links!D$191*Links!S$191)</f>
        <v>#DIV/0!</v>
      </c>
      <c r="T169" s="55" t="e">
        <f>T168+ATM_Conf!$C$5*(E168-D168)/(Links!E$191*Links!T$191)</f>
        <v>#DIV/0!</v>
      </c>
      <c r="U169" s="55" t="e">
        <f>U168+ATM_Conf!$C$5*(F168-E168)/(Links!F$191*Links!U$191)</f>
        <v>#DIV/0!</v>
      </c>
      <c r="V169" s="55" t="e">
        <f>V168+ATM_Conf!$C$5*(G168-F168)/(Links!G$191*Links!V$191)</f>
        <v>#DIV/0!</v>
      </c>
      <c r="W169" s="55" t="e">
        <f>W168+ATM_Conf!$C$5*(H168-G168)/(Links!H$191*Links!W$191)</f>
        <v>#DIV/0!</v>
      </c>
      <c r="X169" s="55" t="e">
        <f>X168+ATM_Conf!$C$5*(I168-H168)/(Links!I$191*Links!X$191)</f>
        <v>#DIV/0!</v>
      </c>
      <c r="Y169" s="55" t="e">
        <f>Y168+ATM_Conf!$C$5*(J168)/(Links!J$191*Links!Y$191)</f>
        <v>#DIV/0!</v>
      </c>
      <c r="Z169" s="55" t="e">
        <f>Z168+ATM_Conf!$C$5*(K168-J168)/(Links!K$191*Links!Z$191)</f>
        <v>#DIV/0!</v>
      </c>
      <c r="AA169" s="55" t="e">
        <f>AA168+ATM_Conf!$C$5*(L168-K168)/(Links!L$191*Links!AA$191)</f>
        <v>#DIV/0!</v>
      </c>
      <c r="AB169" s="55" t="e">
        <f>AB168+ATM_Conf!$C$5*(M168-L168)/(Links!M$191*Links!AB$191)</f>
        <v>#DIV/0!</v>
      </c>
      <c r="AC169" s="55" t="e">
        <f>AC168+ATM_Conf!$C$5*(N168-M168)/(Links!N$191*Links!AC$191)</f>
        <v>#DIV/0!</v>
      </c>
      <c r="AD169" s="55" t="e">
        <f>AD168+ATM_Conf!$C$5*(O168-N168)/(Links!O$191*Links!AD$191)</f>
        <v>#DIV/0!</v>
      </c>
      <c r="AE169" s="55" t="e">
        <f>AE168+ATM_Conf!$C$5*(P168-O168)/(Links!P$191*Links!AE$191)</f>
        <v>#DIV/0!</v>
      </c>
      <c r="AF169" s="45" t="e">
        <f>AF168+(ATM_Conf!$C$5/ATM_Conf!$C$8)*(Links!AU168*EXP((-(Links!Q168/Links!BJ168)^Links!BY168)/Links!BY168)-Links!AF168)-(ATM_Conf!$C$9*ATM_Conf!$C$5/(ATM_Conf!$C$8*Links!Q$191))*(Nodes!BO168-Links!Q168)/(Links!Q168/ATM_Conf!$C$10)</f>
        <v>#DIV/0!</v>
      </c>
      <c r="AG169" s="45" t="e">
        <f>AG168+(ATM_Conf!$C$5/ATM_Conf!$C$8)*(Links!AV168*EXP((-(Links!R168/Links!BK168)^Links!BZ168)/Links!BZ168)-Links!AG168)+(ATM_Conf!$C$5/Links!R$191)*Links!AG168*(Nodes!BB168-Links!AG168)-(ATM_Conf!$C$9*ATM_Conf!$C$5/(ATM_Conf!$C$8*Links!R$191))*(Nodes!BP168-Links!R168)/(Links!R168/ATM_Conf!$C$10)</f>
        <v>#DIV/0!</v>
      </c>
      <c r="AH169" s="45" t="e">
        <f>AH168+(ATM_Conf!$C$5/ATM_Conf!$C$8)*(Links!AW168*EXP((-(Links!S168/Links!BL168)^Links!CA168)/Links!CA168)-Links!AH168)+(ATM_Conf!$C$5/Links!S$191)*Links!AH168*(Nodes!BC168-Links!AH168)-(ATM_Conf!$C$9*ATM_Conf!$C$5/(ATM_Conf!$C$8*Links!S$191))*(Nodes!BQ168-Links!S168)/(Links!S168/ATM_Conf!$C$10)</f>
        <v>#DIV/0!</v>
      </c>
      <c r="AI169" s="45" t="e">
        <f>AI168+(ATM_Conf!$C$5/ATM_Conf!$C$8)*(Links!AX168*EXP((-(Links!T168/Links!BM168)^Links!CB168)/Links!CB168)-Links!AI168)+(ATM_Conf!$C$5/Links!T$191)*Links!AI168*(Nodes!BD168-Links!AI168)-(ATM_Conf!$C$9*ATM_Conf!$C$5/(ATM_Conf!$C$8*Links!T$191))*(Nodes!BR168-Links!T168)/(Links!T168/ATM_Conf!$C$10)</f>
        <v>#DIV/0!</v>
      </c>
      <c r="AJ169" s="45" t="e">
        <f>AJ168+(ATM_Conf!$C$5/ATM_Conf!$C$8)*(Links!AY168*EXP((-(Links!U168/Links!BN168)^Links!CC168)/Links!CC168)-Links!AJ168)+(ATM_Conf!$C$5/Links!U$191)*Links!AJ168*(Nodes!BE168-Links!AJ168)-(ATM_Conf!$C$9*ATM_Conf!$C$5/(ATM_Conf!$C$8*Links!U$191))*(Nodes!BS168-Links!U168)/(Links!U168/ATM_Conf!$C$10)</f>
        <v>#DIV/0!</v>
      </c>
      <c r="AK169" s="45" t="e">
        <f>AK168+(ATM_Conf!$C$5/ATM_Conf!$C$8)*(Links!AZ168*EXP((-(Links!V168/Links!BO168)^Links!CD168)/Links!CD168)-Links!AK168)+(ATM_Conf!$C$5/Links!V$191)*Links!AK168*(Nodes!BF168-Links!AK168)-(ATM_Conf!$C$9*ATM_Conf!$C$5/(ATM_Conf!$C$8*Links!V$191))*(Nodes!BT168-Links!V168)/(Links!V168/ATM_Conf!$C$10)</f>
        <v>#DIV/0!</v>
      </c>
      <c r="AL169" s="45" t="e">
        <f>AL168+(ATM_Conf!$C$5/ATM_Conf!$C$8)*(Links!BA168*EXP((-(Links!W168/Links!BP168)^Links!CE168)/Links!CE168)-Links!AL168)+(ATM_Conf!$C$5/Links!W$191)*Links!AL168*(Nodes!BG168-Links!AL168)-(ATM_Conf!$C$9*ATM_Conf!$C$5/(ATM_Conf!$C$8*Links!W$191))*(Nodes!BU168-Links!W168)/(Links!W168/ATM_Conf!$C$10)</f>
        <v>#DIV/0!</v>
      </c>
      <c r="AM169" s="45" t="e">
        <f>AM168+(ATM_Conf!$C$5/ATM_Conf!$C$8)*(Links!BB168*EXP((-(Links!X168/Links!BQ168)^Links!CF168)/Links!CF168)-Links!AM168)+(ATM_Conf!$C$5/Links!X$191)*Links!AM168*(Nodes!BH168-Links!AM168)</f>
        <v>#DIV/0!</v>
      </c>
      <c r="AN169" s="45" t="e">
        <f>AN168+(ATM_Conf!$C$5/ATM_Conf!$C$8)*(Links!BC168*EXP((-(Links!Y168/Links!BR168)^Links!CG168)/Links!CG168)-Links!AN168)-(ATM_Conf!$C$9*ATM_Conf!$C$5/(ATM_Conf!$C$8*Links!Y$191))*(Nodes!BV168-Links!Y168)/(Links!Y168/ATM_Conf!$C$10)</f>
        <v>#DIV/0!</v>
      </c>
      <c r="AO169" s="45" t="e">
        <f>AO168+(ATM_Conf!$C$5/ATM_Conf!$C$8)*(Links!BD168*EXP((-(Links!Z168/Links!BS168)^Links!CH168)/Links!CH168)-Links!AO168)+(ATM_Conf!$C$5/Links!Z$191)*Links!AO168*(Nodes!BI168-Links!AO168)-(ATM_Conf!$C$9*ATM_Conf!$C$5/(ATM_Conf!$C$8*Links!Z$191))*(Nodes!BW168-Links!Z168)/(Links!Z168/ATM_Conf!$C$10)</f>
        <v>#DIV/0!</v>
      </c>
      <c r="AP169" s="45" t="e">
        <f>AP168+(ATM_Conf!$C$5/ATM_Conf!$C$8)*(Links!BE168*EXP((-(Links!AA168/Links!BT168)^Links!CI168)/Links!CI168)-Links!AP168)+(ATM_Conf!$C$5/Links!AA$191)*Links!AP168*(Nodes!BJ168-Links!AP168)-(ATM_Conf!$C$9*ATM_Conf!$C$5/(ATM_Conf!$C$8*Links!AA$191))*(Nodes!BX168-Links!AA168)/(Links!AA168/ATM_Conf!$C$10)</f>
        <v>#DIV/0!</v>
      </c>
      <c r="AQ169" s="45" t="e">
        <f>AQ168+(ATM_Conf!$C$5/ATM_Conf!$C$8)*(Links!BF168*EXP((-(Links!AB168/Links!BU168)^Links!CJ168)/Links!CJ168)-Links!AQ168)+(ATM_Conf!$C$5/Links!AB$191)*Links!AQ168*(Nodes!BK168-Links!AQ168)-(ATM_Conf!$C$9*ATM_Conf!$C$5/(ATM_Conf!$C$8*Links!AB$191))*(Nodes!BY168-Links!AB168)/(Links!AB168/ATM_Conf!$C$10)</f>
        <v>#DIV/0!</v>
      </c>
      <c r="AR169" s="45" t="e">
        <f>AR168+(ATM_Conf!$C$5/ATM_Conf!$C$8)*(Links!BG168*EXP((-(Links!AC168/Links!BV168)^Links!CK168)/Links!CK168)-Links!AR168)+(ATM_Conf!$C$5/Links!AC$191)*Links!AR168*(Nodes!BL168-Links!AR168)-(ATM_Conf!$C$9*ATM_Conf!$C$5/(ATM_Conf!$C$8*Links!AC$191))*(Nodes!BZ168-Links!AC168)/(Links!AC168/ATM_Conf!$C$10)</f>
        <v>#DIV/0!</v>
      </c>
      <c r="AS169" s="45" t="e">
        <f>AS168+(ATM_Conf!$C$5/ATM_Conf!$C$8)*(Links!BH168*EXP((-(Links!AD168/Links!BW168)^Links!CL168)/Links!CL168)-Links!AS168)+(ATM_Conf!$C$5/Links!AD$191)*Links!AS168*(Nodes!BM168-Links!AS168)-(ATM_Conf!$C$9*ATM_Conf!$C$5/(ATM_Conf!$C$8*Links!AD$191))*(Nodes!CA168-Links!AD168)/(Links!AD168/ATM_Conf!$C$10)</f>
        <v>#DIV/0!</v>
      </c>
      <c r="AT169" s="45" t="e">
        <f>AT168+(ATM_Conf!$C$5/ATM_Conf!$C$8)*(Links!BI168*EXP((-(Links!AE168/Links!BX168)^Links!CM168)/Links!CM168)-Links!AT168)+(ATM_Conf!$C$5/Links!AE$191)*Links!AT168*(Nodes!BN168-Links!AT168)</f>
        <v>#DIV/0!</v>
      </c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  <c r="BI169" s="55"/>
      <c r="BJ169" s="45"/>
      <c r="BK169" s="45"/>
      <c r="BL169" s="45"/>
      <c r="BM169" s="45"/>
      <c r="BN169" s="45"/>
      <c r="BO169" s="45"/>
      <c r="BP169" s="45"/>
      <c r="BQ169" s="45"/>
      <c r="BR169" s="45"/>
      <c r="BS169" s="45"/>
      <c r="BT169" s="45"/>
      <c r="BU169" s="45"/>
      <c r="BV169" s="45"/>
      <c r="BW169" s="45"/>
      <c r="BX169" s="45"/>
      <c r="BY169" s="55"/>
      <c r="BZ169" s="55"/>
      <c r="CA169" s="55"/>
      <c r="CB169" s="55"/>
      <c r="CC169" s="55"/>
      <c r="CD169" s="55"/>
      <c r="CE169" s="55"/>
      <c r="CF169" s="55"/>
      <c r="CG169" s="55"/>
      <c r="CH169" s="55"/>
      <c r="CI169" s="55"/>
      <c r="CJ169" s="55"/>
      <c r="CK169" s="55"/>
      <c r="CL169" s="55"/>
      <c r="CM169" s="55"/>
      <c r="CN169" s="45">
        <f t="shared" si="87"/>
        <v>0</v>
      </c>
      <c r="CO169" s="45">
        <f t="shared" si="87"/>
        <v>0</v>
      </c>
      <c r="CP169" s="45">
        <f t="shared" si="87"/>
        <v>0</v>
      </c>
      <c r="CQ169" s="45">
        <f t="shared" si="87"/>
        <v>0</v>
      </c>
      <c r="CR169" s="45">
        <f t="shared" si="87"/>
        <v>0</v>
      </c>
      <c r="CS169" s="45">
        <f t="shared" si="87"/>
        <v>0</v>
      </c>
      <c r="CT169" s="45">
        <f t="shared" si="87"/>
        <v>0</v>
      </c>
      <c r="CU169" s="45">
        <f t="shared" si="87"/>
        <v>0</v>
      </c>
      <c r="CV169" s="45">
        <f t="shared" si="87"/>
        <v>0</v>
      </c>
      <c r="CW169" s="45">
        <f t="shared" si="87"/>
        <v>0</v>
      </c>
      <c r="CX169" s="45">
        <f t="shared" si="87"/>
        <v>0</v>
      </c>
      <c r="CY169" s="45">
        <f t="shared" si="87"/>
        <v>0</v>
      </c>
      <c r="CZ169" s="45">
        <f t="shared" si="87"/>
        <v>0</v>
      </c>
      <c r="DA169" s="45">
        <f t="shared" si="87"/>
        <v>0</v>
      </c>
      <c r="DB169" s="45">
        <f t="shared" si="87"/>
        <v>0</v>
      </c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</row>
    <row r="170" spans="1:121" ht="14.25" x14ac:dyDescent="0.15">
      <c r="A170" s="48">
        <v>168</v>
      </c>
      <c r="B170" s="45" t="e">
        <f t="shared" si="64"/>
        <v>#DIV/0!</v>
      </c>
      <c r="C170" s="45" t="e">
        <f t="shared" si="65"/>
        <v>#DIV/0!</v>
      </c>
      <c r="D170" s="45" t="e">
        <f t="shared" si="66"/>
        <v>#DIV/0!</v>
      </c>
      <c r="E170" s="45" t="e">
        <f t="shared" si="67"/>
        <v>#DIV/0!</v>
      </c>
      <c r="F170" s="45" t="e">
        <f t="shared" si="68"/>
        <v>#DIV/0!</v>
      </c>
      <c r="G170" s="45" t="e">
        <f t="shared" si="69"/>
        <v>#DIV/0!</v>
      </c>
      <c r="H170" s="45" t="e">
        <f t="shared" si="70"/>
        <v>#DIV/0!</v>
      </c>
      <c r="I170" s="45" t="e">
        <f t="shared" si="71"/>
        <v>#DIV/0!</v>
      </c>
      <c r="J170" s="45" t="e">
        <f t="shared" si="72"/>
        <v>#DIV/0!</v>
      </c>
      <c r="K170" s="45" t="e">
        <f t="shared" si="73"/>
        <v>#DIV/0!</v>
      </c>
      <c r="L170" s="45" t="e">
        <f t="shared" si="74"/>
        <v>#DIV/0!</v>
      </c>
      <c r="M170" s="45" t="e">
        <f t="shared" si="75"/>
        <v>#DIV/0!</v>
      </c>
      <c r="N170" s="45" t="e">
        <f t="shared" si="76"/>
        <v>#DIV/0!</v>
      </c>
      <c r="O170" s="45" t="e">
        <f t="shared" si="77"/>
        <v>#DIV/0!</v>
      </c>
      <c r="P170" s="45" t="e">
        <f t="shared" si="78"/>
        <v>#DIV/0!</v>
      </c>
      <c r="Q170" s="55" t="e">
        <f>Q169+ATM_Conf!$C$5*(B169)/(Links!B$191*Links!Q$191)</f>
        <v>#DIV/0!</v>
      </c>
      <c r="R170" s="55" t="e">
        <f>R169+ATM_Conf!$C$5*(C169-B169)/(Links!C$191*Links!R$191)</f>
        <v>#DIV/0!</v>
      </c>
      <c r="S170" s="55" t="e">
        <f>S169+ATM_Conf!$C$5*(D169-C169)/(Links!D$191*Links!S$191)</f>
        <v>#DIV/0!</v>
      </c>
      <c r="T170" s="55" t="e">
        <f>T169+ATM_Conf!$C$5*(E169-D169)/(Links!E$191*Links!T$191)</f>
        <v>#DIV/0!</v>
      </c>
      <c r="U170" s="55" t="e">
        <f>U169+ATM_Conf!$C$5*(F169-E169)/(Links!F$191*Links!U$191)</f>
        <v>#DIV/0!</v>
      </c>
      <c r="V170" s="55" t="e">
        <f>V169+ATM_Conf!$C$5*(G169-F169)/(Links!G$191*Links!V$191)</f>
        <v>#DIV/0!</v>
      </c>
      <c r="W170" s="55" t="e">
        <f>W169+ATM_Conf!$C$5*(H169-G169)/(Links!H$191*Links!W$191)</f>
        <v>#DIV/0!</v>
      </c>
      <c r="X170" s="55" t="e">
        <f>X169+ATM_Conf!$C$5*(I169-H169)/(Links!I$191*Links!X$191)</f>
        <v>#DIV/0!</v>
      </c>
      <c r="Y170" s="55" t="e">
        <f>Y169+ATM_Conf!$C$5*(J169)/(Links!J$191*Links!Y$191)</f>
        <v>#DIV/0!</v>
      </c>
      <c r="Z170" s="55" t="e">
        <f>Z169+ATM_Conf!$C$5*(K169-J169)/(Links!K$191*Links!Z$191)</f>
        <v>#DIV/0!</v>
      </c>
      <c r="AA170" s="55" t="e">
        <f>AA169+ATM_Conf!$C$5*(L169-K169)/(Links!L$191*Links!AA$191)</f>
        <v>#DIV/0!</v>
      </c>
      <c r="AB170" s="55" t="e">
        <f>AB169+ATM_Conf!$C$5*(M169-L169)/(Links!M$191*Links!AB$191)</f>
        <v>#DIV/0!</v>
      </c>
      <c r="AC170" s="55" t="e">
        <f>AC169+ATM_Conf!$C$5*(N169-M169)/(Links!N$191*Links!AC$191)</f>
        <v>#DIV/0!</v>
      </c>
      <c r="AD170" s="55" t="e">
        <f>AD169+ATM_Conf!$C$5*(O169-N169)/(Links!O$191*Links!AD$191)</f>
        <v>#DIV/0!</v>
      </c>
      <c r="AE170" s="55" t="e">
        <f>AE169+ATM_Conf!$C$5*(P169-O169)/(Links!P$191*Links!AE$191)</f>
        <v>#DIV/0!</v>
      </c>
      <c r="AF170" s="45" t="e">
        <f>AF169+(ATM_Conf!$C$5/ATM_Conf!$C$8)*(Links!AU169*EXP((-(Links!Q169/Links!BJ169)^Links!BY169)/Links!BY169)-Links!AF169)-(ATM_Conf!$C$9*ATM_Conf!$C$5/(ATM_Conf!$C$8*Links!Q$191))*(Nodes!BO169-Links!Q169)/(Links!Q169/ATM_Conf!$C$10)</f>
        <v>#DIV/0!</v>
      </c>
      <c r="AG170" s="45" t="e">
        <f>AG169+(ATM_Conf!$C$5/ATM_Conf!$C$8)*(Links!AV169*EXP((-(Links!R169/Links!BK169)^Links!BZ169)/Links!BZ169)-Links!AG169)+(ATM_Conf!$C$5/Links!R$191)*Links!AG169*(Nodes!BB169-Links!AG169)-(ATM_Conf!$C$9*ATM_Conf!$C$5/(ATM_Conf!$C$8*Links!R$191))*(Nodes!BP169-Links!R169)/(Links!R169/ATM_Conf!$C$10)</f>
        <v>#DIV/0!</v>
      </c>
      <c r="AH170" s="45" t="e">
        <f>AH169+(ATM_Conf!$C$5/ATM_Conf!$C$8)*(Links!AW169*EXP((-(Links!S169/Links!BL169)^Links!CA169)/Links!CA169)-Links!AH169)+(ATM_Conf!$C$5/Links!S$191)*Links!AH169*(Nodes!BC169-Links!AH169)-(ATM_Conf!$C$9*ATM_Conf!$C$5/(ATM_Conf!$C$8*Links!S$191))*(Nodes!BQ169-Links!S169)/(Links!S169/ATM_Conf!$C$10)</f>
        <v>#DIV/0!</v>
      </c>
      <c r="AI170" s="45" t="e">
        <f>AI169+(ATM_Conf!$C$5/ATM_Conf!$C$8)*(Links!AX169*EXP((-(Links!T169/Links!BM169)^Links!CB169)/Links!CB169)-Links!AI169)+(ATM_Conf!$C$5/Links!T$191)*Links!AI169*(Nodes!BD169-Links!AI169)-(ATM_Conf!$C$9*ATM_Conf!$C$5/(ATM_Conf!$C$8*Links!T$191))*(Nodes!BR169-Links!T169)/(Links!T169/ATM_Conf!$C$10)</f>
        <v>#DIV/0!</v>
      </c>
      <c r="AJ170" s="45" t="e">
        <f>AJ169+(ATM_Conf!$C$5/ATM_Conf!$C$8)*(Links!AY169*EXP((-(Links!U169/Links!BN169)^Links!CC169)/Links!CC169)-Links!AJ169)+(ATM_Conf!$C$5/Links!U$191)*Links!AJ169*(Nodes!BE169-Links!AJ169)-(ATM_Conf!$C$9*ATM_Conf!$C$5/(ATM_Conf!$C$8*Links!U$191))*(Nodes!BS169-Links!U169)/(Links!U169/ATM_Conf!$C$10)</f>
        <v>#DIV/0!</v>
      </c>
      <c r="AK170" s="45" t="e">
        <f>AK169+(ATM_Conf!$C$5/ATM_Conf!$C$8)*(Links!AZ169*EXP((-(Links!V169/Links!BO169)^Links!CD169)/Links!CD169)-Links!AK169)+(ATM_Conf!$C$5/Links!V$191)*Links!AK169*(Nodes!BF169-Links!AK169)-(ATM_Conf!$C$9*ATM_Conf!$C$5/(ATM_Conf!$C$8*Links!V$191))*(Nodes!BT169-Links!V169)/(Links!V169/ATM_Conf!$C$10)</f>
        <v>#DIV/0!</v>
      </c>
      <c r="AL170" s="45" t="e">
        <f>AL169+(ATM_Conf!$C$5/ATM_Conf!$C$8)*(Links!BA169*EXP((-(Links!W169/Links!BP169)^Links!CE169)/Links!CE169)-Links!AL169)+(ATM_Conf!$C$5/Links!W$191)*Links!AL169*(Nodes!BG169-Links!AL169)-(ATM_Conf!$C$9*ATM_Conf!$C$5/(ATM_Conf!$C$8*Links!W$191))*(Nodes!BU169-Links!W169)/(Links!W169/ATM_Conf!$C$10)</f>
        <v>#DIV/0!</v>
      </c>
      <c r="AM170" s="45" t="e">
        <f>AM169+(ATM_Conf!$C$5/ATM_Conf!$C$8)*(Links!BB169*EXP((-(Links!X169/Links!BQ169)^Links!CF169)/Links!CF169)-Links!AM169)+(ATM_Conf!$C$5/Links!X$191)*Links!AM169*(Nodes!BH169-Links!AM169)</f>
        <v>#DIV/0!</v>
      </c>
      <c r="AN170" s="45" t="e">
        <f>AN169+(ATM_Conf!$C$5/ATM_Conf!$C$8)*(Links!BC169*EXP((-(Links!Y169/Links!BR169)^Links!CG169)/Links!CG169)-Links!AN169)-(ATM_Conf!$C$9*ATM_Conf!$C$5/(ATM_Conf!$C$8*Links!Y$191))*(Nodes!BV169-Links!Y169)/(Links!Y169/ATM_Conf!$C$10)</f>
        <v>#DIV/0!</v>
      </c>
      <c r="AO170" s="45" t="e">
        <f>AO169+(ATM_Conf!$C$5/ATM_Conf!$C$8)*(Links!BD169*EXP((-(Links!Z169/Links!BS169)^Links!CH169)/Links!CH169)-Links!AO169)+(ATM_Conf!$C$5/Links!Z$191)*Links!AO169*(Nodes!BI169-Links!AO169)-(ATM_Conf!$C$9*ATM_Conf!$C$5/(ATM_Conf!$C$8*Links!Z$191))*(Nodes!BW169-Links!Z169)/(Links!Z169/ATM_Conf!$C$10)</f>
        <v>#DIV/0!</v>
      </c>
      <c r="AP170" s="45" t="e">
        <f>AP169+(ATM_Conf!$C$5/ATM_Conf!$C$8)*(Links!BE169*EXP((-(Links!AA169/Links!BT169)^Links!CI169)/Links!CI169)-Links!AP169)+(ATM_Conf!$C$5/Links!AA$191)*Links!AP169*(Nodes!BJ169-Links!AP169)-(ATM_Conf!$C$9*ATM_Conf!$C$5/(ATM_Conf!$C$8*Links!AA$191))*(Nodes!BX169-Links!AA169)/(Links!AA169/ATM_Conf!$C$10)</f>
        <v>#DIV/0!</v>
      </c>
      <c r="AQ170" s="45" t="e">
        <f>AQ169+(ATM_Conf!$C$5/ATM_Conf!$C$8)*(Links!BF169*EXP((-(Links!AB169/Links!BU169)^Links!CJ169)/Links!CJ169)-Links!AQ169)+(ATM_Conf!$C$5/Links!AB$191)*Links!AQ169*(Nodes!BK169-Links!AQ169)-(ATM_Conf!$C$9*ATM_Conf!$C$5/(ATM_Conf!$C$8*Links!AB$191))*(Nodes!BY169-Links!AB169)/(Links!AB169/ATM_Conf!$C$10)</f>
        <v>#DIV/0!</v>
      </c>
      <c r="AR170" s="45" t="e">
        <f>AR169+(ATM_Conf!$C$5/ATM_Conf!$C$8)*(Links!BG169*EXP((-(Links!AC169/Links!BV169)^Links!CK169)/Links!CK169)-Links!AR169)+(ATM_Conf!$C$5/Links!AC$191)*Links!AR169*(Nodes!BL169-Links!AR169)-(ATM_Conf!$C$9*ATM_Conf!$C$5/(ATM_Conf!$C$8*Links!AC$191))*(Nodes!BZ169-Links!AC169)/(Links!AC169/ATM_Conf!$C$10)</f>
        <v>#DIV/0!</v>
      </c>
      <c r="AS170" s="45" t="e">
        <f>AS169+(ATM_Conf!$C$5/ATM_Conf!$C$8)*(Links!BH169*EXP((-(Links!AD169/Links!BW169)^Links!CL169)/Links!CL169)-Links!AS169)+(ATM_Conf!$C$5/Links!AD$191)*Links!AS169*(Nodes!BM169-Links!AS169)-(ATM_Conf!$C$9*ATM_Conf!$C$5/(ATM_Conf!$C$8*Links!AD$191))*(Nodes!CA169-Links!AD169)/(Links!AD169/ATM_Conf!$C$10)</f>
        <v>#DIV/0!</v>
      </c>
      <c r="AT170" s="45" t="e">
        <f>AT169+(ATM_Conf!$C$5/ATM_Conf!$C$8)*(Links!BI169*EXP((-(Links!AE169/Links!BX169)^Links!CM169)/Links!CM169)-Links!AT169)+(ATM_Conf!$C$5/Links!AE$191)*Links!AT169*(Nodes!BN169-Links!AT169)</f>
        <v>#DIV/0!</v>
      </c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  <c r="BI170" s="55"/>
      <c r="BJ170" s="45"/>
      <c r="BK170" s="45"/>
      <c r="BL170" s="45"/>
      <c r="BM170" s="45"/>
      <c r="BN170" s="45"/>
      <c r="BO170" s="45"/>
      <c r="BP170" s="45"/>
      <c r="BQ170" s="45"/>
      <c r="BR170" s="45"/>
      <c r="BS170" s="45"/>
      <c r="BT170" s="45"/>
      <c r="BU170" s="45"/>
      <c r="BV170" s="45"/>
      <c r="BW170" s="45"/>
      <c r="BX170" s="45"/>
      <c r="BY170" s="55"/>
      <c r="BZ170" s="55"/>
      <c r="CA170" s="55"/>
      <c r="CB170" s="55"/>
      <c r="CC170" s="55"/>
      <c r="CD170" s="55"/>
      <c r="CE170" s="55"/>
      <c r="CF170" s="55"/>
      <c r="CG170" s="55"/>
      <c r="CH170" s="55"/>
      <c r="CI170" s="55"/>
      <c r="CJ170" s="55"/>
      <c r="CK170" s="55"/>
      <c r="CL170" s="55"/>
      <c r="CM170" s="55"/>
      <c r="CN170" s="45">
        <f t="shared" si="87"/>
        <v>0</v>
      </c>
      <c r="CO170" s="45">
        <f t="shared" si="87"/>
        <v>0</v>
      </c>
      <c r="CP170" s="45">
        <f t="shared" si="87"/>
        <v>0</v>
      </c>
      <c r="CQ170" s="45">
        <f t="shared" si="87"/>
        <v>0</v>
      </c>
      <c r="CR170" s="45">
        <f t="shared" si="87"/>
        <v>0</v>
      </c>
      <c r="CS170" s="45">
        <f t="shared" si="87"/>
        <v>0</v>
      </c>
      <c r="CT170" s="45">
        <f t="shared" si="87"/>
        <v>0</v>
      </c>
      <c r="CU170" s="45">
        <f t="shared" si="87"/>
        <v>0</v>
      </c>
      <c r="CV170" s="45">
        <f t="shared" si="87"/>
        <v>0</v>
      </c>
      <c r="CW170" s="45">
        <f t="shared" si="87"/>
        <v>0</v>
      </c>
      <c r="CX170" s="45">
        <f t="shared" si="87"/>
        <v>0</v>
      </c>
      <c r="CY170" s="45">
        <f t="shared" si="87"/>
        <v>0</v>
      </c>
      <c r="CZ170" s="45">
        <f t="shared" si="87"/>
        <v>0</v>
      </c>
      <c r="DA170" s="45">
        <f t="shared" si="87"/>
        <v>0</v>
      </c>
      <c r="DB170" s="45">
        <f t="shared" si="87"/>
        <v>0</v>
      </c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</row>
    <row r="171" spans="1:121" ht="14.25" x14ac:dyDescent="0.15">
      <c r="A171" s="48">
        <v>169</v>
      </c>
      <c r="B171" s="45" t="e">
        <f t="shared" si="64"/>
        <v>#DIV/0!</v>
      </c>
      <c r="C171" s="45" t="e">
        <f t="shared" si="65"/>
        <v>#DIV/0!</v>
      </c>
      <c r="D171" s="45" t="e">
        <f t="shared" si="66"/>
        <v>#DIV/0!</v>
      </c>
      <c r="E171" s="45" t="e">
        <f t="shared" si="67"/>
        <v>#DIV/0!</v>
      </c>
      <c r="F171" s="45" t="e">
        <f t="shared" si="68"/>
        <v>#DIV/0!</v>
      </c>
      <c r="G171" s="45" t="e">
        <f t="shared" si="69"/>
        <v>#DIV/0!</v>
      </c>
      <c r="H171" s="45" t="e">
        <f t="shared" si="70"/>
        <v>#DIV/0!</v>
      </c>
      <c r="I171" s="45" t="e">
        <f t="shared" si="71"/>
        <v>#DIV/0!</v>
      </c>
      <c r="J171" s="45" t="e">
        <f t="shared" si="72"/>
        <v>#DIV/0!</v>
      </c>
      <c r="K171" s="45" t="e">
        <f t="shared" si="73"/>
        <v>#DIV/0!</v>
      </c>
      <c r="L171" s="45" t="e">
        <f t="shared" si="74"/>
        <v>#DIV/0!</v>
      </c>
      <c r="M171" s="45" t="e">
        <f t="shared" si="75"/>
        <v>#DIV/0!</v>
      </c>
      <c r="N171" s="45" t="e">
        <f t="shared" si="76"/>
        <v>#DIV/0!</v>
      </c>
      <c r="O171" s="45" t="e">
        <f t="shared" si="77"/>
        <v>#DIV/0!</v>
      </c>
      <c r="P171" s="45" t="e">
        <f t="shared" si="78"/>
        <v>#DIV/0!</v>
      </c>
      <c r="Q171" s="55" t="e">
        <f>Q170+ATM_Conf!$C$5*(B170)/(Links!B$191*Links!Q$191)</f>
        <v>#DIV/0!</v>
      </c>
      <c r="R171" s="55" t="e">
        <f>R170+ATM_Conf!$C$5*(C170-B170)/(Links!C$191*Links!R$191)</f>
        <v>#DIV/0!</v>
      </c>
      <c r="S171" s="55" t="e">
        <f>S170+ATM_Conf!$C$5*(D170-C170)/(Links!D$191*Links!S$191)</f>
        <v>#DIV/0!</v>
      </c>
      <c r="T171" s="55" t="e">
        <f>T170+ATM_Conf!$C$5*(E170-D170)/(Links!E$191*Links!T$191)</f>
        <v>#DIV/0!</v>
      </c>
      <c r="U171" s="55" t="e">
        <f>U170+ATM_Conf!$C$5*(F170-E170)/(Links!F$191*Links!U$191)</f>
        <v>#DIV/0!</v>
      </c>
      <c r="V171" s="55" t="e">
        <f>V170+ATM_Conf!$C$5*(G170-F170)/(Links!G$191*Links!V$191)</f>
        <v>#DIV/0!</v>
      </c>
      <c r="W171" s="55" t="e">
        <f>W170+ATM_Conf!$C$5*(H170-G170)/(Links!H$191*Links!W$191)</f>
        <v>#DIV/0!</v>
      </c>
      <c r="X171" s="55" t="e">
        <f>X170+ATM_Conf!$C$5*(I170-H170)/(Links!I$191*Links!X$191)</f>
        <v>#DIV/0!</v>
      </c>
      <c r="Y171" s="55" t="e">
        <f>Y170+ATM_Conf!$C$5*(J170)/(Links!J$191*Links!Y$191)</f>
        <v>#DIV/0!</v>
      </c>
      <c r="Z171" s="55" t="e">
        <f>Z170+ATM_Conf!$C$5*(K170-J170)/(Links!K$191*Links!Z$191)</f>
        <v>#DIV/0!</v>
      </c>
      <c r="AA171" s="55" t="e">
        <f>AA170+ATM_Conf!$C$5*(L170-K170)/(Links!L$191*Links!AA$191)</f>
        <v>#DIV/0!</v>
      </c>
      <c r="AB171" s="55" t="e">
        <f>AB170+ATM_Conf!$C$5*(M170-L170)/(Links!M$191*Links!AB$191)</f>
        <v>#DIV/0!</v>
      </c>
      <c r="AC171" s="55" t="e">
        <f>AC170+ATM_Conf!$C$5*(N170-M170)/(Links!N$191*Links!AC$191)</f>
        <v>#DIV/0!</v>
      </c>
      <c r="AD171" s="55" t="e">
        <f>AD170+ATM_Conf!$C$5*(O170-N170)/(Links!O$191*Links!AD$191)</f>
        <v>#DIV/0!</v>
      </c>
      <c r="AE171" s="55" t="e">
        <f>AE170+ATM_Conf!$C$5*(P170-O170)/(Links!P$191*Links!AE$191)</f>
        <v>#DIV/0!</v>
      </c>
      <c r="AF171" s="45" t="e">
        <f>AF170+(ATM_Conf!$C$5/ATM_Conf!$C$8)*(Links!AU170*EXP((-(Links!Q170/Links!BJ170)^Links!BY170)/Links!BY170)-Links!AF170)-(ATM_Conf!$C$9*ATM_Conf!$C$5/(ATM_Conf!$C$8*Links!Q$191))*(Nodes!BO170-Links!Q170)/(Links!Q170/ATM_Conf!$C$10)</f>
        <v>#DIV/0!</v>
      </c>
      <c r="AG171" s="45" t="e">
        <f>AG170+(ATM_Conf!$C$5/ATM_Conf!$C$8)*(Links!AV170*EXP((-(Links!R170/Links!BK170)^Links!BZ170)/Links!BZ170)-Links!AG170)+(ATM_Conf!$C$5/Links!R$191)*Links!AG170*(Nodes!BB170-Links!AG170)-(ATM_Conf!$C$9*ATM_Conf!$C$5/(ATM_Conf!$C$8*Links!R$191))*(Nodes!BP170-Links!R170)/(Links!R170/ATM_Conf!$C$10)</f>
        <v>#DIV/0!</v>
      </c>
      <c r="AH171" s="45" t="e">
        <f>AH170+(ATM_Conf!$C$5/ATM_Conf!$C$8)*(Links!AW170*EXP((-(Links!S170/Links!BL170)^Links!CA170)/Links!CA170)-Links!AH170)+(ATM_Conf!$C$5/Links!S$191)*Links!AH170*(Nodes!BC170-Links!AH170)-(ATM_Conf!$C$9*ATM_Conf!$C$5/(ATM_Conf!$C$8*Links!S$191))*(Nodes!BQ170-Links!S170)/(Links!S170/ATM_Conf!$C$10)</f>
        <v>#DIV/0!</v>
      </c>
      <c r="AI171" s="45" t="e">
        <f>AI170+(ATM_Conf!$C$5/ATM_Conf!$C$8)*(Links!AX170*EXP((-(Links!T170/Links!BM170)^Links!CB170)/Links!CB170)-Links!AI170)+(ATM_Conf!$C$5/Links!T$191)*Links!AI170*(Nodes!BD170-Links!AI170)-(ATM_Conf!$C$9*ATM_Conf!$C$5/(ATM_Conf!$C$8*Links!T$191))*(Nodes!BR170-Links!T170)/(Links!T170/ATM_Conf!$C$10)</f>
        <v>#DIV/0!</v>
      </c>
      <c r="AJ171" s="45" t="e">
        <f>AJ170+(ATM_Conf!$C$5/ATM_Conf!$C$8)*(Links!AY170*EXP((-(Links!U170/Links!BN170)^Links!CC170)/Links!CC170)-Links!AJ170)+(ATM_Conf!$C$5/Links!U$191)*Links!AJ170*(Nodes!BE170-Links!AJ170)-(ATM_Conf!$C$9*ATM_Conf!$C$5/(ATM_Conf!$C$8*Links!U$191))*(Nodes!BS170-Links!U170)/(Links!U170/ATM_Conf!$C$10)</f>
        <v>#DIV/0!</v>
      </c>
      <c r="AK171" s="45" t="e">
        <f>AK170+(ATM_Conf!$C$5/ATM_Conf!$C$8)*(Links!AZ170*EXP((-(Links!V170/Links!BO170)^Links!CD170)/Links!CD170)-Links!AK170)+(ATM_Conf!$C$5/Links!V$191)*Links!AK170*(Nodes!BF170-Links!AK170)-(ATM_Conf!$C$9*ATM_Conf!$C$5/(ATM_Conf!$C$8*Links!V$191))*(Nodes!BT170-Links!V170)/(Links!V170/ATM_Conf!$C$10)</f>
        <v>#DIV/0!</v>
      </c>
      <c r="AL171" s="45" t="e">
        <f>AL170+(ATM_Conf!$C$5/ATM_Conf!$C$8)*(Links!BA170*EXP((-(Links!W170/Links!BP170)^Links!CE170)/Links!CE170)-Links!AL170)+(ATM_Conf!$C$5/Links!W$191)*Links!AL170*(Nodes!BG170-Links!AL170)-(ATM_Conf!$C$9*ATM_Conf!$C$5/(ATM_Conf!$C$8*Links!W$191))*(Nodes!BU170-Links!W170)/(Links!W170/ATM_Conf!$C$10)</f>
        <v>#DIV/0!</v>
      </c>
      <c r="AM171" s="45" t="e">
        <f>AM170+(ATM_Conf!$C$5/ATM_Conf!$C$8)*(Links!BB170*EXP((-(Links!X170/Links!BQ170)^Links!CF170)/Links!CF170)-Links!AM170)+(ATM_Conf!$C$5/Links!X$191)*Links!AM170*(Nodes!BH170-Links!AM170)</f>
        <v>#DIV/0!</v>
      </c>
      <c r="AN171" s="45" t="e">
        <f>AN170+(ATM_Conf!$C$5/ATM_Conf!$C$8)*(Links!BC170*EXP((-(Links!Y170/Links!BR170)^Links!CG170)/Links!CG170)-Links!AN170)-(ATM_Conf!$C$9*ATM_Conf!$C$5/(ATM_Conf!$C$8*Links!Y$191))*(Nodes!BV170-Links!Y170)/(Links!Y170/ATM_Conf!$C$10)</f>
        <v>#DIV/0!</v>
      </c>
      <c r="AO171" s="45" t="e">
        <f>AO170+(ATM_Conf!$C$5/ATM_Conf!$C$8)*(Links!BD170*EXP((-(Links!Z170/Links!BS170)^Links!CH170)/Links!CH170)-Links!AO170)+(ATM_Conf!$C$5/Links!Z$191)*Links!AO170*(Nodes!BI170-Links!AO170)-(ATM_Conf!$C$9*ATM_Conf!$C$5/(ATM_Conf!$C$8*Links!Z$191))*(Nodes!BW170-Links!Z170)/(Links!Z170/ATM_Conf!$C$10)</f>
        <v>#DIV/0!</v>
      </c>
      <c r="AP171" s="45" t="e">
        <f>AP170+(ATM_Conf!$C$5/ATM_Conf!$C$8)*(Links!BE170*EXP((-(Links!AA170/Links!BT170)^Links!CI170)/Links!CI170)-Links!AP170)+(ATM_Conf!$C$5/Links!AA$191)*Links!AP170*(Nodes!BJ170-Links!AP170)-(ATM_Conf!$C$9*ATM_Conf!$C$5/(ATM_Conf!$C$8*Links!AA$191))*(Nodes!BX170-Links!AA170)/(Links!AA170/ATM_Conf!$C$10)</f>
        <v>#DIV/0!</v>
      </c>
      <c r="AQ171" s="45" t="e">
        <f>AQ170+(ATM_Conf!$C$5/ATM_Conf!$C$8)*(Links!BF170*EXP((-(Links!AB170/Links!BU170)^Links!CJ170)/Links!CJ170)-Links!AQ170)+(ATM_Conf!$C$5/Links!AB$191)*Links!AQ170*(Nodes!BK170-Links!AQ170)-(ATM_Conf!$C$9*ATM_Conf!$C$5/(ATM_Conf!$C$8*Links!AB$191))*(Nodes!BY170-Links!AB170)/(Links!AB170/ATM_Conf!$C$10)</f>
        <v>#DIV/0!</v>
      </c>
      <c r="AR171" s="45" t="e">
        <f>AR170+(ATM_Conf!$C$5/ATM_Conf!$C$8)*(Links!BG170*EXP((-(Links!AC170/Links!BV170)^Links!CK170)/Links!CK170)-Links!AR170)+(ATM_Conf!$C$5/Links!AC$191)*Links!AR170*(Nodes!BL170-Links!AR170)-(ATM_Conf!$C$9*ATM_Conf!$C$5/(ATM_Conf!$C$8*Links!AC$191))*(Nodes!BZ170-Links!AC170)/(Links!AC170/ATM_Conf!$C$10)</f>
        <v>#DIV/0!</v>
      </c>
      <c r="AS171" s="45" t="e">
        <f>AS170+(ATM_Conf!$C$5/ATM_Conf!$C$8)*(Links!BH170*EXP((-(Links!AD170/Links!BW170)^Links!CL170)/Links!CL170)-Links!AS170)+(ATM_Conf!$C$5/Links!AD$191)*Links!AS170*(Nodes!BM170-Links!AS170)-(ATM_Conf!$C$9*ATM_Conf!$C$5/(ATM_Conf!$C$8*Links!AD$191))*(Nodes!CA170-Links!AD170)/(Links!AD170/ATM_Conf!$C$10)</f>
        <v>#DIV/0!</v>
      </c>
      <c r="AT171" s="45" t="e">
        <f>AT170+(ATM_Conf!$C$5/ATM_Conf!$C$8)*(Links!BI170*EXP((-(Links!AE170/Links!BX170)^Links!CM170)/Links!CM170)-Links!AT170)+(ATM_Conf!$C$5/Links!AE$191)*Links!AT170*(Nodes!BN170-Links!AT170)</f>
        <v>#DIV/0!</v>
      </c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  <c r="BI171" s="55"/>
      <c r="BJ171" s="45"/>
      <c r="BK171" s="45"/>
      <c r="BL171" s="45"/>
      <c r="BM171" s="45"/>
      <c r="BN171" s="45"/>
      <c r="BO171" s="45"/>
      <c r="BP171" s="45"/>
      <c r="BQ171" s="45"/>
      <c r="BR171" s="45"/>
      <c r="BS171" s="45"/>
      <c r="BT171" s="45"/>
      <c r="BU171" s="45"/>
      <c r="BV171" s="45"/>
      <c r="BW171" s="45"/>
      <c r="BX171" s="45"/>
      <c r="BY171" s="55"/>
      <c r="BZ171" s="55"/>
      <c r="CA171" s="55"/>
      <c r="CB171" s="55"/>
      <c r="CC171" s="55"/>
      <c r="CD171" s="55"/>
      <c r="CE171" s="55"/>
      <c r="CF171" s="55"/>
      <c r="CG171" s="55"/>
      <c r="CH171" s="55"/>
      <c r="CI171" s="55"/>
      <c r="CJ171" s="55"/>
      <c r="CK171" s="55"/>
      <c r="CL171" s="55"/>
      <c r="CM171" s="55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53">
        <f>(CN171-CN159)^2</f>
        <v>0</v>
      </c>
      <c r="DD171" s="53">
        <f t="shared" ref="DD171:DQ171" si="88">(CO171-CO159)^2</f>
        <v>0</v>
      </c>
      <c r="DE171" s="53">
        <f t="shared" si="88"/>
        <v>0</v>
      </c>
      <c r="DF171" s="53">
        <f t="shared" si="88"/>
        <v>0</v>
      </c>
      <c r="DG171" s="53">
        <f t="shared" si="88"/>
        <v>0</v>
      </c>
      <c r="DH171" s="53">
        <f t="shared" si="88"/>
        <v>0</v>
      </c>
      <c r="DI171" s="53">
        <f t="shared" si="88"/>
        <v>0</v>
      </c>
      <c r="DJ171" s="53">
        <f t="shared" si="88"/>
        <v>0</v>
      </c>
      <c r="DK171" s="53">
        <f t="shared" si="88"/>
        <v>0</v>
      </c>
      <c r="DL171" s="53">
        <f t="shared" si="88"/>
        <v>0</v>
      </c>
      <c r="DM171" s="53">
        <f t="shared" si="88"/>
        <v>0</v>
      </c>
      <c r="DN171" s="53">
        <f t="shared" si="88"/>
        <v>0</v>
      </c>
      <c r="DO171" s="53">
        <f t="shared" si="88"/>
        <v>0</v>
      </c>
      <c r="DP171" s="53">
        <f t="shared" si="88"/>
        <v>0</v>
      </c>
      <c r="DQ171" s="53">
        <f t="shared" si="88"/>
        <v>0</v>
      </c>
    </row>
    <row r="172" spans="1:121" ht="14.25" x14ac:dyDescent="0.15">
      <c r="A172" s="48">
        <v>170</v>
      </c>
      <c r="B172" s="45" t="e">
        <f t="shared" si="64"/>
        <v>#DIV/0!</v>
      </c>
      <c r="C172" s="45" t="e">
        <f t="shared" si="65"/>
        <v>#DIV/0!</v>
      </c>
      <c r="D172" s="45" t="e">
        <f t="shared" si="66"/>
        <v>#DIV/0!</v>
      </c>
      <c r="E172" s="45" t="e">
        <f t="shared" si="67"/>
        <v>#DIV/0!</v>
      </c>
      <c r="F172" s="45" t="e">
        <f t="shared" si="68"/>
        <v>#DIV/0!</v>
      </c>
      <c r="G172" s="45" t="e">
        <f t="shared" si="69"/>
        <v>#DIV/0!</v>
      </c>
      <c r="H172" s="45" t="e">
        <f t="shared" si="70"/>
        <v>#DIV/0!</v>
      </c>
      <c r="I172" s="45" t="e">
        <f t="shared" si="71"/>
        <v>#DIV/0!</v>
      </c>
      <c r="J172" s="45" t="e">
        <f t="shared" si="72"/>
        <v>#DIV/0!</v>
      </c>
      <c r="K172" s="45" t="e">
        <f t="shared" si="73"/>
        <v>#DIV/0!</v>
      </c>
      <c r="L172" s="45" t="e">
        <f t="shared" si="74"/>
        <v>#DIV/0!</v>
      </c>
      <c r="M172" s="45" t="e">
        <f t="shared" si="75"/>
        <v>#DIV/0!</v>
      </c>
      <c r="N172" s="45" t="e">
        <f t="shared" si="76"/>
        <v>#DIV/0!</v>
      </c>
      <c r="O172" s="45" t="e">
        <f t="shared" si="77"/>
        <v>#DIV/0!</v>
      </c>
      <c r="P172" s="45" t="e">
        <f t="shared" si="78"/>
        <v>#DIV/0!</v>
      </c>
      <c r="Q172" s="55" t="e">
        <f>Q171+ATM_Conf!$C$5*(B171)/(Links!B$191*Links!Q$191)</f>
        <v>#DIV/0!</v>
      </c>
      <c r="R172" s="55" t="e">
        <f>R171+ATM_Conf!$C$5*(C171-B171)/(Links!C$191*Links!R$191)</f>
        <v>#DIV/0!</v>
      </c>
      <c r="S172" s="55" t="e">
        <f>S171+ATM_Conf!$C$5*(D171-C171)/(Links!D$191*Links!S$191)</f>
        <v>#DIV/0!</v>
      </c>
      <c r="T172" s="55" t="e">
        <f>T171+ATM_Conf!$C$5*(E171-D171)/(Links!E$191*Links!T$191)</f>
        <v>#DIV/0!</v>
      </c>
      <c r="U172" s="55" t="e">
        <f>U171+ATM_Conf!$C$5*(F171-E171)/(Links!F$191*Links!U$191)</f>
        <v>#DIV/0!</v>
      </c>
      <c r="V172" s="55" t="e">
        <f>V171+ATM_Conf!$C$5*(G171-F171)/(Links!G$191*Links!V$191)</f>
        <v>#DIV/0!</v>
      </c>
      <c r="W172" s="55" t="e">
        <f>W171+ATM_Conf!$C$5*(H171-G171)/(Links!H$191*Links!W$191)</f>
        <v>#DIV/0!</v>
      </c>
      <c r="X172" s="55" t="e">
        <f>X171+ATM_Conf!$C$5*(I171-H171)/(Links!I$191*Links!X$191)</f>
        <v>#DIV/0!</v>
      </c>
      <c r="Y172" s="55" t="e">
        <f>Y171+ATM_Conf!$C$5*(J171)/(Links!J$191*Links!Y$191)</f>
        <v>#DIV/0!</v>
      </c>
      <c r="Z172" s="55" t="e">
        <f>Z171+ATM_Conf!$C$5*(K171-J171)/(Links!K$191*Links!Z$191)</f>
        <v>#DIV/0!</v>
      </c>
      <c r="AA172" s="55" t="e">
        <f>AA171+ATM_Conf!$C$5*(L171-K171)/(Links!L$191*Links!AA$191)</f>
        <v>#DIV/0!</v>
      </c>
      <c r="AB172" s="55" t="e">
        <f>AB171+ATM_Conf!$C$5*(M171-L171)/(Links!M$191*Links!AB$191)</f>
        <v>#DIV/0!</v>
      </c>
      <c r="AC172" s="55" t="e">
        <f>AC171+ATM_Conf!$C$5*(N171-M171)/(Links!N$191*Links!AC$191)</f>
        <v>#DIV/0!</v>
      </c>
      <c r="AD172" s="55" t="e">
        <f>AD171+ATM_Conf!$C$5*(O171-N171)/(Links!O$191*Links!AD$191)</f>
        <v>#DIV/0!</v>
      </c>
      <c r="AE172" s="55" t="e">
        <f>AE171+ATM_Conf!$C$5*(P171-O171)/(Links!P$191*Links!AE$191)</f>
        <v>#DIV/0!</v>
      </c>
      <c r="AF172" s="45" t="e">
        <f>AF171+(ATM_Conf!$C$5/ATM_Conf!$C$8)*(Links!AU171*EXP((-(Links!Q171/Links!BJ171)^Links!BY171)/Links!BY171)-Links!AF171)-(ATM_Conf!$C$9*ATM_Conf!$C$5/(ATM_Conf!$C$8*Links!Q$191))*(Nodes!BO171-Links!Q171)/(Links!Q171/ATM_Conf!$C$10)</f>
        <v>#DIV/0!</v>
      </c>
      <c r="AG172" s="45" t="e">
        <f>AG171+(ATM_Conf!$C$5/ATM_Conf!$C$8)*(Links!AV171*EXP((-(Links!R171/Links!BK171)^Links!BZ171)/Links!BZ171)-Links!AG171)+(ATM_Conf!$C$5/Links!R$191)*Links!AG171*(Nodes!BB171-Links!AG171)-(ATM_Conf!$C$9*ATM_Conf!$C$5/(ATM_Conf!$C$8*Links!R$191))*(Nodes!BP171-Links!R171)/(Links!R171/ATM_Conf!$C$10)</f>
        <v>#DIV/0!</v>
      </c>
      <c r="AH172" s="45" t="e">
        <f>AH171+(ATM_Conf!$C$5/ATM_Conf!$C$8)*(Links!AW171*EXP((-(Links!S171/Links!BL171)^Links!CA171)/Links!CA171)-Links!AH171)+(ATM_Conf!$C$5/Links!S$191)*Links!AH171*(Nodes!BC171-Links!AH171)-(ATM_Conf!$C$9*ATM_Conf!$C$5/(ATM_Conf!$C$8*Links!S$191))*(Nodes!BQ171-Links!S171)/(Links!S171/ATM_Conf!$C$10)</f>
        <v>#DIV/0!</v>
      </c>
      <c r="AI172" s="45" t="e">
        <f>AI171+(ATM_Conf!$C$5/ATM_Conf!$C$8)*(Links!AX171*EXP((-(Links!T171/Links!BM171)^Links!CB171)/Links!CB171)-Links!AI171)+(ATM_Conf!$C$5/Links!T$191)*Links!AI171*(Nodes!BD171-Links!AI171)-(ATM_Conf!$C$9*ATM_Conf!$C$5/(ATM_Conf!$C$8*Links!T$191))*(Nodes!BR171-Links!T171)/(Links!T171/ATM_Conf!$C$10)</f>
        <v>#DIV/0!</v>
      </c>
      <c r="AJ172" s="45" t="e">
        <f>AJ171+(ATM_Conf!$C$5/ATM_Conf!$C$8)*(Links!AY171*EXP((-(Links!U171/Links!BN171)^Links!CC171)/Links!CC171)-Links!AJ171)+(ATM_Conf!$C$5/Links!U$191)*Links!AJ171*(Nodes!BE171-Links!AJ171)-(ATM_Conf!$C$9*ATM_Conf!$C$5/(ATM_Conf!$C$8*Links!U$191))*(Nodes!BS171-Links!U171)/(Links!U171/ATM_Conf!$C$10)</f>
        <v>#DIV/0!</v>
      </c>
      <c r="AK172" s="45" t="e">
        <f>AK171+(ATM_Conf!$C$5/ATM_Conf!$C$8)*(Links!AZ171*EXP((-(Links!V171/Links!BO171)^Links!CD171)/Links!CD171)-Links!AK171)+(ATM_Conf!$C$5/Links!V$191)*Links!AK171*(Nodes!BF171-Links!AK171)-(ATM_Conf!$C$9*ATM_Conf!$C$5/(ATM_Conf!$C$8*Links!V$191))*(Nodes!BT171-Links!V171)/(Links!V171/ATM_Conf!$C$10)</f>
        <v>#DIV/0!</v>
      </c>
      <c r="AL172" s="45" t="e">
        <f>AL171+(ATM_Conf!$C$5/ATM_Conf!$C$8)*(Links!BA171*EXP((-(Links!W171/Links!BP171)^Links!CE171)/Links!CE171)-Links!AL171)+(ATM_Conf!$C$5/Links!W$191)*Links!AL171*(Nodes!BG171-Links!AL171)-(ATM_Conf!$C$9*ATM_Conf!$C$5/(ATM_Conf!$C$8*Links!W$191))*(Nodes!BU171-Links!W171)/(Links!W171/ATM_Conf!$C$10)</f>
        <v>#DIV/0!</v>
      </c>
      <c r="AM172" s="45" t="e">
        <f>AM171+(ATM_Conf!$C$5/ATM_Conf!$C$8)*(Links!BB171*EXP((-(Links!X171/Links!BQ171)^Links!CF171)/Links!CF171)-Links!AM171)+(ATM_Conf!$C$5/Links!X$191)*Links!AM171*(Nodes!BH171-Links!AM171)</f>
        <v>#DIV/0!</v>
      </c>
      <c r="AN172" s="45" t="e">
        <f>AN171+(ATM_Conf!$C$5/ATM_Conf!$C$8)*(Links!BC171*EXP((-(Links!Y171/Links!BR171)^Links!CG171)/Links!CG171)-Links!AN171)-(ATM_Conf!$C$9*ATM_Conf!$C$5/(ATM_Conf!$C$8*Links!Y$191))*(Nodes!BV171-Links!Y171)/(Links!Y171/ATM_Conf!$C$10)</f>
        <v>#DIV/0!</v>
      </c>
      <c r="AO172" s="45" t="e">
        <f>AO171+(ATM_Conf!$C$5/ATM_Conf!$C$8)*(Links!BD171*EXP((-(Links!Z171/Links!BS171)^Links!CH171)/Links!CH171)-Links!AO171)+(ATM_Conf!$C$5/Links!Z$191)*Links!AO171*(Nodes!BI171-Links!AO171)-(ATM_Conf!$C$9*ATM_Conf!$C$5/(ATM_Conf!$C$8*Links!Z$191))*(Nodes!BW171-Links!Z171)/(Links!Z171/ATM_Conf!$C$10)</f>
        <v>#DIV/0!</v>
      </c>
      <c r="AP172" s="45" t="e">
        <f>AP171+(ATM_Conf!$C$5/ATM_Conf!$C$8)*(Links!BE171*EXP((-(Links!AA171/Links!BT171)^Links!CI171)/Links!CI171)-Links!AP171)+(ATM_Conf!$C$5/Links!AA$191)*Links!AP171*(Nodes!BJ171-Links!AP171)-(ATM_Conf!$C$9*ATM_Conf!$C$5/(ATM_Conf!$C$8*Links!AA$191))*(Nodes!BX171-Links!AA171)/(Links!AA171/ATM_Conf!$C$10)</f>
        <v>#DIV/0!</v>
      </c>
      <c r="AQ172" s="45" t="e">
        <f>AQ171+(ATM_Conf!$C$5/ATM_Conf!$C$8)*(Links!BF171*EXP((-(Links!AB171/Links!BU171)^Links!CJ171)/Links!CJ171)-Links!AQ171)+(ATM_Conf!$C$5/Links!AB$191)*Links!AQ171*(Nodes!BK171-Links!AQ171)-(ATM_Conf!$C$9*ATM_Conf!$C$5/(ATM_Conf!$C$8*Links!AB$191))*(Nodes!BY171-Links!AB171)/(Links!AB171/ATM_Conf!$C$10)</f>
        <v>#DIV/0!</v>
      </c>
      <c r="AR172" s="45" t="e">
        <f>AR171+(ATM_Conf!$C$5/ATM_Conf!$C$8)*(Links!BG171*EXP((-(Links!AC171/Links!BV171)^Links!CK171)/Links!CK171)-Links!AR171)+(ATM_Conf!$C$5/Links!AC$191)*Links!AR171*(Nodes!BL171-Links!AR171)-(ATM_Conf!$C$9*ATM_Conf!$C$5/(ATM_Conf!$C$8*Links!AC$191))*(Nodes!BZ171-Links!AC171)/(Links!AC171/ATM_Conf!$C$10)</f>
        <v>#DIV/0!</v>
      </c>
      <c r="AS172" s="45" t="e">
        <f>AS171+(ATM_Conf!$C$5/ATM_Conf!$C$8)*(Links!BH171*EXP((-(Links!AD171/Links!BW171)^Links!CL171)/Links!CL171)-Links!AS171)+(ATM_Conf!$C$5/Links!AD$191)*Links!AS171*(Nodes!BM171-Links!AS171)-(ATM_Conf!$C$9*ATM_Conf!$C$5/(ATM_Conf!$C$8*Links!AD$191))*(Nodes!CA171-Links!AD171)/(Links!AD171/ATM_Conf!$C$10)</f>
        <v>#DIV/0!</v>
      </c>
      <c r="AT172" s="45" t="e">
        <f>AT171+(ATM_Conf!$C$5/ATM_Conf!$C$8)*(Links!BI171*EXP((-(Links!AE171/Links!BX171)^Links!CM171)/Links!CM171)-Links!AT171)+(ATM_Conf!$C$5/Links!AE$191)*Links!AT171*(Nodes!BN171-Links!AT171)</f>
        <v>#DIV/0!</v>
      </c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  <c r="BI172" s="55"/>
      <c r="BJ172" s="45"/>
      <c r="BK172" s="45"/>
      <c r="BL172" s="45"/>
      <c r="BM172" s="45"/>
      <c r="BN172" s="45"/>
      <c r="BO172" s="45"/>
      <c r="BP172" s="45"/>
      <c r="BQ172" s="45"/>
      <c r="BR172" s="45"/>
      <c r="BS172" s="45"/>
      <c r="BT172" s="45"/>
      <c r="BU172" s="45"/>
      <c r="BV172" s="45"/>
      <c r="BW172" s="45"/>
      <c r="BX172" s="45"/>
      <c r="BY172" s="55"/>
      <c r="BZ172" s="55"/>
      <c r="CA172" s="55"/>
      <c r="CB172" s="55"/>
      <c r="CC172" s="55"/>
      <c r="CD172" s="55"/>
      <c r="CE172" s="55"/>
      <c r="CF172" s="55"/>
      <c r="CG172" s="55"/>
      <c r="CH172" s="55"/>
      <c r="CI172" s="55"/>
      <c r="CJ172" s="55"/>
      <c r="CK172" s="55"/>
      <c r="CL172" s="55"/>
      <c r="CM172" s="55"/>
      <c r="CN172" s="45">
        <f>CN$171</f>
        <v>0</v>
      </c>
      <c r="CO172" s="45">
        <f t="shared" ref="CO172:DB172" si="89">CO$171</f>
        <v>0</v>
      </c>
      <c r="CP172" s="45">
        <f t="shared" si="89"/>
        <v>0</v>
      </c>
      <c r="CQ172" s="45">
        <f t="shared" si="89"/>
        <v>0</v>
      </c>
      <c r="CR172" s="45">
        <f t="shared" si="89"/>
        <v>0</v>
      </c>
      <c r="CS172" s="45">
        <f t="shared" si="89"/>
        <v>0</v>
      </c>
      <c r="CT172" s="45">
        <f t="shared" si="89"/>
        <v>0</v>
      </c>
      <c r="CU172" s="45">
        <f t="shared" si="89"/>
        <v>0</v>
      </c>
      <c r="CV172" s="45">
        <f t="shared" si="89"/>
        <v>0</v>
      </c>
      <c r="CW172" s="45">
        <f t="shared" si="89"/>
        <v>0</v>
      </c>
      <c r="CX172" s="45">
        <f t="shared" si="89"/>
        <v>0</v>
      </c>
      <c r="CY172" s="45">
        <f t="shared" si="89"/>
        <v>0</v>
      </c>
      <c r="CZ172" s="45">
        <f t="shared" si="89"/>
        <v>0</v>
      </c>
      <c r="DA172" s="45">
        <f t="shared" si="89"/>
        <v>0</v>
      </c>
      <c r="DB172" s="45">
        <f t="shared" si="89"/>
        <v>0</v>
      </c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</row>
    <row r="173" spans="1:121" ht="14.25" x14ac:dyDescent="0.15">
      <c r="A173" s="48">
        <v>171</v>
      </c>
      <c r="B173" s="45" t="e">
        <f t="shared" si="64"/>
        <v>#DIV/0!</v>
      </c>
      <c r="C173" s="45" t="e">
        <f t="shared" si="65"/>
        <v>#DIV/0!</v>
      </c>
      <c r="D173" s="45" t="e">
        <f t="shared" si="66"/>
        <v>#DIV/0!</v>
      </c>
      <c r="E173" s="45" t="e">
        <f t="shared" si="67"/>
        <v>#DIV/0!</v>
      </c>
      <c r="F173" s="45" t="e">
        <f t="shared" si="68"/>
        <v>#DIV/0!</v>
      </c>
      <c r="G173" s="45" t="e">
        <f t="shared" si="69"/>
        <v>#DIV/0!</v>
      </c>
      <c r="H173" s="45" t="e">
        <f t="shared" si="70"/>
        <v>#DIV/0!</v>
      </c>
      <c r="I173" s="45" t="e">
        <f t="shared" si="71"/>
        <v>#DIV/0!</v>
      </c>
      <c r="J173" s="45" t="e">
        <f t="shared" si="72"/>
        <v>#DIV/0!</v>
      </c>
      <c r="K173" s="45" t="e">
        <f t="shared" si="73"/>
        <v>#DIV/0!</v>
      </c>
      <c r="L173" s="45" t="e">
        <f t="shared" si="74"/>
        <v>#DIV/0!</v>
      </c>
      <c r="M173" s="45" t="e">
        <f t="shared" si="75"/>
        <v>#DIV/0!</v>
      </c>
      <c r="N173" s="45" t="e">
        <f t="shared" si="76"/>
        <v>#DIV/0!</v>
      </c>
      <c r="O173" s="45" t="e">
        <f t="shared" si="77"/>
        <v>#DIV/0!</v>
      </c>
      <c r="P173" s="45" t="e">
        <f t="shared" si="78"/>
        <v>#DIV/0!</v>
      </c>
      <c r="Q173" s="55" t="e">
        <f>Q172+ATM_Conf!$C$5*(B172)/(Links!B$191*Links!Q$191)</f>
        <v>#DIV/0!</v>
      </c>
      <c r="R173" s="55" t="e">
        <f>R172+ATM_Conf!$C$5*(C172-B172)/(Links!C$191*Links!R$191)</f>
        <v>#DIV/0!</v>
      </c>
      <c r="S173" s="55" t="e">
        <f>S172+ATM_Conf!$C$5*(D172-C172)/(Links!D$191*Links!S$191)</f>
        <v>#DIV/0!</v>
      </c>
      <c r="T173" s="55" t="e">
        <f>T172+ATM_Conf!$C$5*(E172-D172)/(Links!E$191*Links!T$191)</f>
        <v>#DIV/0!</v>
      </c>
      <c r="U173" s="55" t="e">
        <f>U172+ATM_Conf!$C$5*(F172-E172)/(Links!F$191*Links!U$191)</f>
        <v>#DIV/0!</v>
      </c>
      <c r="V173" s="55" t="e">
        <f>V172+ATM_Conf!$C$5*(G172-F172)/(Links!G$191*Links!V$191)</f>
        <v>#DIV/0!</v>
      </c>
      <c r="W173" s="55" t="e">
        <f>W172+ATM_Conf!$C$5*(H172-G172)/(Links!H$191*Links!W$191)</f>
        <v>#DIV/0!</v>
      </c>
      <c r="X173" s="55" t="e">
        <f>X172+ATM_Conf!$C$5*(I172-H172)/(Links!I$191*Links!X$191)</f>
        <v>#DIV/0!</v>
      </c>
      <c r="Y173" s="55" t="e">
        <f>Y172+ATM_Conf!$C$5*(J172)/(Links!J$191*Links!Y$191)</f>
        <v>#DIV/0!</v>
      </c>
      <c r="Z173" s="55" t="e">
        <f>Z172+ATM_Conf!$C$5*(K172-J172)/(Links!K$191*Links!Z$191)</f>
        <v>#DIV/0!</v>
      </c>
      <c r="AA173" s="55" t="e">
        <f>AA172+ATM_Conf!$C$5*(L172-K172)/(Links!L$191*Links!AA$191)</f>
        <v>#DIV/0!</v>
      </c>
      <c r="AB173" s="55" t="e">
        <f>AB172+ATM_Conf!$C$5*(M172-L172)/(Links!M$191*Links!AB$191)</f>
        <v>#DIV/0!</v>
      </c>
      <c r="AC173" s="55" t="e">
        <f>AC172+ATM_Conf!$C$5*(N172-M172)/(Links!N$191*Links!AC$191)</f>
        <v>#DIV/0!</v>
      </c>
      <c r="AD173" s="55" t="e">
        <f>AD172+ATM_Conf!$C$5*(O172-N172)/(Links!O$191*Links!AD$191)</f>
        <v>#DIV/0!</v>
      </c>
      <c r="AE173" s="55" t="e">
        <f>AE172+ATM_Conf!$C$5*(P172-O172)/(Links!P$191*Links!AE$191)</f>
        <v>#DIV/0!</v>
      </c>
      <c r="AF173" s="45" t="e">
        <f>AF172+(ATM_Conf!$C$5/ATM_Conf!$C$8)*(Links!AU172*EXP((-(Links!Q172/Links!BJ172)^Links!BY172)/Links!BY172)-Links!AF172)-(ATM_Conf!$C$9*ATM_Conf!$C$5/(ATM_Conf!$C$8*Links!Q$191))*(Nodes!BO172-Links!Q172)/(Links!Q172/ATM_Conf!$C$10)</f>
        <v>#DIV/0!</v>
      </c>
      <c r="AG173" s="45" t="e">
        <f>AG172+(ATM_Conf!$C$5/ATM_Conf!$C$8)*(Links!AV172*EXP((-(Links!R172/Links!BK172)^Links!BZ172)/Links!BZ172)-Links!AG172)+(ATM_Conf!$C$5/Links!R$191)*Links!AG172*(Nodes!BB172-Links!AG172)-(ATM_Conf!$C$9*ATM_Conf!$C$5/(ATM_Conf!$C$8*Links!R$191))*(Nodes!BP172-Links!R172)/(Links!R172/ATM_Conf!$C$10)</f>
        <v>#DIV/0!</v>
      </c>
      <c r="AH173" s="45" t="e">
        <f>AH172+(ATM_Conf!$C$5/ATM_Conf!$C$8)*(Links!AW172*EXP((-(Links!S172/Links!BL172)^Links!CA172)/Links!CA172)-Links!AH172)+(ATM_Conf!$C$5/Links!S$191)*Links!AH172*(Nodes!BC172-Links!AH172)-(ATM_Conf!$C$9*ATM_Conf!$C$5/(ATM_Conf!$C$8*Links!S$191))*(Nodes!BQ172-Links!S172)/(Links!S172/ATM_Conf!$C$10)</f>
        <v>#DIV/0!</v>
      </c>
      <c r="AI173" s="45" t="e">
        <f>AI172+(ATM_Conf!$C$5/ATM_Conf!$C$8)*(Links!AX172*EXP((-(Links!T172/Links!BM172)^Links!CB172)/Links!CB172)-Links!AI172)+(ATM_Conf!$C$5/Links!T$191)*Links!AI172*(Nodes!BD172-Links!AI172)-(ATM_Conf!$C$9*ATM_Conf!$C$5/(ATM_Conf!$C$8*Links!T$191))*(Nodes!BR172-Links!T172)/(Links!T172/ATM_Conf!$C$10)</f>
        <v>#DIV/0!</v>
      </c>
      <c r="AJ173" s="45" t="e">
        <f>AJ172+(ATM_Conf!$C$5/ATM_Conf!$C$8)*(Links!AY172*EXP((-(Links!U172/Links!BN172)^Links!CC172)/Links!CC172)-Links!AJ172)+(ATM_Conf!$C$5/Links!U$191)*Links!AJ172*(Nodes!BE172-Links!AJ172)-(ATM_Conf!$C$9*ATM_Conf!$C$5/(ATM_Conf!$C$8*Links!U$191))*(Nodes!BS172-Links!U172)/(Links!U172/ATM_Conf!$C$10)</f>
        <v>#DIV/0!</v>
      </c>
      <c r="AK173" s="45" t="e">
        <f>AK172+(ATM_Conf!$C$5/ATM_Conf!$C$8)*(Links!AZ172*EXP((-(Links!V172/Links!BO172)^Links!CD172)/Links!CD172)-Links!AK172)+(ATM_Conf!$C$5/Links!V$191)*Links!AK172*(Nodes!BF172-Links!AK172)-(ATM_Conf!$C$9*ATM_Conf!$C$5/(ATM_Conf!$C$8*Links!V$191))*(Nodes!BT172-Links!V172)/(Links!V172/ATM_Conf!$C$10)</f>
        <v>#DIV/0!</v>
      </c>
      <c r="AL173" s="45" t="e">
        <f>AL172+(ATM_Conf!$C$5/ATM_Conf!$C$8)*(Links!BA172*EXP((-(Links!W172/Links!BP172)^Links!CE172)/Links!CE172)-Links!AL172)+(ATM_Conf!$C$5/Links!W$191)*Links!AL172*(Nodes!BG172-Links!AL172)-(ATM_Conf!$C$9*ATM_Conf!$C$5/(ATM_Conf!$C$8*Links!W$191))*(Nodes!BU172-Links!W172)/(Links!W172/ATM_Conf!$C$10)</f>
        <v>#DIV/0!</v>
      </c>
      <c r="AM173" s="45" t="e">
        <f>AM172+(ATM_Conf!$C$5/ATM_Conf!$C$8)*(Links!BB172*EXP((-(Links!X172/Links!BQ172)^Links!CF172)/Links!CF172)-Links!AM172)+(ATM_Conf!$C$5/Links!X$191)*Links!AM172*(Nodes!BH172-Links!AM172)</f>
        <v>#DIV/0!</v>
      </c>
      <c r="AN173" s="45" t="e">
        <f>AN172+(ATM_Conf!$C$5/ATM_Conf!$C$8)*(Links!BC172*EXP((-(Links!Y172/Links!BR172)^Links!CG172)/Links!CG172)-Links!AN172)-(ATM_Conf!$C$9*ATM_Conf!$C$5/(ATM_Conf!$C$8*Links!Y$191))*(Nodes!BV172-Links!Y172)/(Links!Y172/ATM_Conf!$C$10)</f>
        <v>#DIV/0!</v>
      </c>
      <c r="AO173" s="45" t="e">
        <f>AO172+(ATM_Conf!$C$5/ATM_Conf!$C$8)*(Links!BD172*EXP((-(Links!Z172/Links!BS172)^Links!CH172)/Links!CH172)-Links!AO172)+(ATM_Conf!$C$5/Links!Z$191)*Links!AO172*(Nodes!BI172-Links!AO172)-(ATM_Conf!$C$9*ATM_Conf!$C$5/(ATM_Conf!$C$8*Links!Z$191))*(Nodes!BW172-Links!Z172)/(Links!Z172/ATM_Conf!$C$10)</f>
        <v>#DIV/0!</v>
      </c>
      <c r="AP173" s="45" t="e">
        <f>AP172+(ATM_Conf!$C$5/ATM_Conf!$C$8)*(Links!BE172*EXP((-(Links!AA172/Links!BT172)^Links!CI172)/Links!CI172)-Links!AP172)+(ATM_Conf!$C$5/Links!AA$191)*Links!AP172*(Nodes!BJ172-Links!AP172)-(ATM_Conf!$C$9*ATM_Conf!$C$5/(ATM_Conf!$C$8*Links!AA$191))*(Nodes!BX172-Links!AA172)/(Links!AA172/ATM_Conf!$C$10)</f>
        <v>#DIV/0!</v>
      </c>
      <c r="AQ173" s="45" t="e">
        <f>AQ172+(ATM_Conf!$C$5/ATM_Conf!$C$8)*(Links!BF172*EXP((-(Links!AB172/Links!BU172)^Links!CJ172)/Links!CJ172)-Links!AQ172)+(ATM_Conf!$C$5/Links!AB$191)*Links!AQ172*(Nodes!BK172-Links!AQ172)-(ATM_Conf!$C$9*ATM_Conf!$C$5/(ATM_Conf!$C$8*Links!AB$191))*(Nodes!BY172-Links!AB172)/(Links!AB172/ATM_Conf!$C$10)</f>
        <v>#DIV/0!</v>
      </c>
      <c r="AR173" s="45" t="e">
        <f>AR172+(ATM_Conf!$C$5/ATM_Conf!$C$8)*(Links!BG172*EXP((-(Links!AC172/Links!BV172)^Links!CK172)/Links!CK172)-Links!AR172)+(ATM_Conf!$C$5/Links!AC$191)*Links!AR172*(Nodes!BL172-Links!AR172)-(ATM_Conf!$C$9*ATM_Conf!$C$5/(ATM_Conf!$C$8*Links!AC$191))*(Nodes!BZ172-Links!AC172)/(Links!AC172/ATM_Conf!$C$10)</f>
        <v>#DIV/0!</v>
      </c>
      <c r="AS173" s="45" t="e">
        <f>AS172+(ATM_Conf!$C$5/ATM_Conf!$C$8)*(Links!BH172*EXP((-(Links!AD172/Links!BW172)^Links!CL172)/Links!CL172)-Links!AS172)+(ATM_Conf!$C$5/Links!AD$191)*Links!AS172*(Nodes!BM172-Links!AS172)-(ATM_Conf!$C$9*ATM_Conf!$C$5/(ATM_Conf!$C$8*Links!AD$191))*(Nodes!CA172-Links!AD172)/(Links!AD172/ATM_Conf!$C$10)</f>
        <v>#DIV/0!</v>
      </c>
      <c r="AT173" s="45" t="e">
        <f>AT172+(ATM_Conf!$C$5/ATM_Conf!$C$8)*(Links!BI172*EXP((-(Links!AE172/Links!BX172)^Links!CM172)/Links!CM172)-Links!AT172)+(ATM_Conf!$C$5/Links!AE$191)*Links!AT172*(Nodes!BN172-Links!AT172)</f>
        <v>#DIV/0!</v>
      </c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45"/>
      <c r="BK173" s="45"/>
      <c r="BL173" s="45"/>
      <c r="BM173" s="45"/>
      <c r="BN173" s="45"/>
      <c r="BO173" s="45"/>
      <c r="BP173" s="45"/>
      <c r="BQ173" s="45"/>
      <c r="BR173" s="45"/>
      <c r="BS173" s="45"/>
      <c r="BT173" s="45"/>
      <c r="BU173" s="45"/>
      <c r="BV173" s="45"/>
      <c r="BW173" s="45"/>
      <c r="BX173" s="45"/>
      <c r="BY173" s="55"/>
      <c r="BZ173" s="55"/>
      <c r="CA173" s="55"/>
      <c r="CB173" s="55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45">
        <f t="shared" ref="CN173:DB182" si="90">CN$171</f>
        <v>0</v>
      </c>
      <c r="CO173" s="45">
        <f t="shared" si="90"/>
        <v>0</v>
      </c>
      <c r="CP173" s="45">
        <f t="shared" si="90"/>
        <v>0</v>
      </c>
      <c r="CQ173" s="45">
        <f t="shared" si="90"/>
        <v>0</v>
      </c>
      <c r="CR173" s="45">
        <f t="shared" si="90"/>
        <v>0</v>
      </c>
      <c r="CS173" s="45">
        <f t="shared" si="90"/>
        <v>0</v>
      </c>
      <c r="CT173" s="45">
        <f t="shared" si="90"/>
        <v>0</v>
      </c>
      <c r="CU173" s="45">
        <f t="shared" si="90"/>
        <v>0</v>
      </c>
      <c r="CV173" s="45">
        <f t="shared" si="90"/>
        <v>0</v>
      </c>
      <c r="CW173" s="45">
        <f t="shared" si="90"/>
        <v>0</v>
      </c>
      <c r="CX173" s="45">
        <f t="shared" si="90"/>
        <v>0</v>
      </c>
      <c r="CY173" s="45">
        <f t="shared" si="90"/>
        <v>0</v>
      </c>
      <c r="CZ173" s="45">
        <f t="shared" si="90"/>
        <v>0</v>
      </c>
      <c r="DA173" s="45">
        <f t="shared" si="90"/>
        <v>0</v>
      </c>
      <c r="DB173" s="45">
        <f t="shared" si="90"/>
        <v>0</v>
      </c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</row>
    <row r="174" spans="1:121" ht="14.25" x14ac:dyDescent="0.15">
      <c r="A174" s="48">
        <v>172</v>
      </c>
      <c r="B174" s="45" t="e">
        <f t="shared" si="64"/>
        <v>#DIV/0!</v>
      </c>
      <c r="C174" s="45" t="e">
        <f t="shared" si="65"/>
        <v>#DIV/0!</v>
      </c>
      <c r="D174" s="45" t="e">
        <f t="shared" si="66"/>
        <v>#DIV/0!</v>
      </c>
      <c r="E174" s="45" t="e">
        <f t="shared" si="67"/>
        <v>#DIV/0!</v>
      </c>
      <c r="F174" s="45" t="e">
        <f t="shared" si="68"/>
        <v>#DIV/0!</v>
      </c>
      <c r="G174" s="45" t="e">
        <f t="shared" si="69"/>
        <v>#DIV/0!</v>
      </c>
      <c r="H174" s="45" t="e">
        <f t="shared" si="70"/>
        <v>#DIV/0!</v>
      </c>
      <c r="I174" s="45" t="e">
        <f t="shared" si="71"/>
        <v>#DIV/0!</v>
      </c>
      <c r="J174" s="45" t="e">
        <f t="shared" si="72"/>
        <v>#DIV/0!</v>
      </c>
      <c r="K174" s="45" t="e">
        <f t="shared" si="73"/>
        <v>#DIV/0!</v>
      </c>
      <c r="L174" s="45" t="e">
        <f t="shared" si="74"/>
        <v>#DIV/0!</v>
      </c>
      <c r="M174" s="45" t="e">
        <f t="shared" si="75"/>
        <v>#DIV/0!</v>
      </c>
      <c r="N174" s="45" t="e">
        <f t="shared" si="76"/>
        <v>#DIV/0!</v>
      </c>
      <c r="O174" s="45" t="e">
        <f t="shared" si="77"/>
        <v>#DIV/0!</v>
      </c>
      <c r="P174" s="45" t="e">
        <f t="shared" si="78"/>
        <v>#DIV/0!</v>
      </c>
      <c r="Q174" s="55" t="e">
        <f>Q173+ATM_Conf!$C$5*(B173)/(Links!B$191*Links!Q$191)</f>
        <v>#DIV/0!</v>
      </c>
      <c r="R174" s="55" t="e">
        <f>R173+ATM_Conf!$C$5*(C173-B173)/(Links!C$191*Links!R$191)</f>
        <v>#DIV/0!</v>
      </c>
      <c r="S174" s="55" t="e">
        <f>S173+ATM_Conf!$C$5*(D173-C173)/(Links!D$191*Links!S$191)</f>
        <v>#DIV/0!</v>
      </c>
      <c r="T174" s="55" t="e">
        <f>T173+ATM_Conf!$C$5*(E173-D173)/(Links!E$191*Links!T$191)</f>
        <v>#DIV/0!</v>
      </c>
      <c r="U174" s="55" t="e">
        <f>U173+ATM_Conf!$C$5*(F173-E173)/(Links!F$191*Links!U$191)</f>
        <v>#DIV/0!</v>
      </c>
      <c r="V174" s="55" t="e">
        <f>V173+ATM_Conf!$C$5*(G173-F173)/(Links!G$191*Links!V$191)</f>
        <v>#DIV/0!</v>
      </c>
      <c r="W174" s="55" t="e">
        <f>W173+ATM_Conf!$C$5*(H173-G173)/(Links!H$191*Links!W$191)</f>
        <v>#DIV/0!</v>
      </c>
      <c r="X174" s="55" t="e">
        <f>X173+ATM_Conf!$C$5*(I173-H173)/(Links!I$191*Links!X$191)</f>
        <v>#DIV/0!</v>
      </c>
      <c r="Y174" s="55" t="e">
        <f>Y173+ATM_Conf!$C$5*(J173)/(Links!J$191*Links!Y$191)</f>
        <v>#DIV/0!</v>
      </c>
      <c r="Z174" s="55" t="e">
        <f>Z173+ATM_Conf!$C$5*(K173-J173)/(Links!K$191*Links!Z$191)</f>
        <v>#DIV/0!</v>
      </c>
      <c r="AA174" s="55" t="e">
        <f>AA173+ATM_Conf!$C$5*(L173-K173)/(Links!L$191*Links!AA$191)</f>
        <v>#DIV/0!</v>
      </c>
      <c r="AB174" s="55" t="e">
        <f>AB173+ATM_Conf!$C$5*(M173-L173)/(Links!M$191*Links!AB$191)</f>
        <v>#DIV/0!</v>
      </c>
      <c r="AC174" s="55" t="e">
        <f>AC173+ATM_Conf!$C$5*(N173-M173)/(Links!N$191*Links!AC$191)</f>
        <v>#DIV/0!</v>
      </c>
      <c r="AD174" s="55" t="e">
        <f>AD173+ATM_Conf!$C$5*(O173-N173)/(Links!O$191*Links!AD$191)</f>
        <v>#DIV/0!</v>
      </c>
      <c r="AE174" s="55" t="e">
        <f>AE173+ATM_Conf!$C$5*(P173-O173)/(Links!P$191*Links!AE$191)</f>
        <v>#DIV/0!</v>
      </c>
      <c r="AF174" s="45" t="e">
        <f>AF173+(ATM_Conf!$C$5/ATM_Conf!$C$8)*(Links!AU173*EXP((-(Links!Q173/Links!BJ173)^Links!BY173)/Links!BY173)-Links!AF173)-(ATM_Conf!$C$9*ATM_Conf!$C$5/(ATM_Conf!$C$8*Links!Q$191))*(Nodes!BO173-Links!Q173)/(Links!Q173/ATM_Conf!$C$10)</f>
        <v>#DIV/0!</v>
      </c>
      <c r="AG174" s="45" t="e">
        <f>AG173+(ATM_Conf!$C$5/ATM_Conf!$C$8)*(Links!AV173*EXP((-(Links!R173/Links!BK173)^Links!BZ173)/Links!BZ173)-Links!AG173)+(ATM_Conf!$C$5/Links!R$191)*Links!AG173*(Nodes!BB173-Links!AG173)-(ATM_Conf!$C$9*ATM_Conf!$C$5/(ATM_Conf!$C$8*Links!R$191))*(Nodes!BP173-Links!R173)/(Links!R173/ATM_Conf!$C$10)</f>
        <v>#DIV/0!</v>
      </c>
      <c r="AH174" s="45" t="e">
        <f>AH173+(ATM_Conf!$C$5/ATM_Conf!$C$8)*(Links!AW173*EXP((-(Links!S173/Links!BL173)^Links!CA173)/Links!CA173)-Links!AH173)+(ATM_Conf!$C$5/Links!S$191)*Links!AH173*(Nodes!BC173-Links!AH173)-(ATM_Conf!$C$9*ATM_Conf!$C$5/(ATM_Conf!$C$8*Links!S$191))*(Nodes!BQ173-Links!S173)/(Links!S173/ATM_Conf!$C$10)</f>
        <v>#DIV/0!</v>
      </c>
      <c r="AI174" s="45" t="e">
        <f>AI173+(ATM_Conf!$C$5/ATM_Conf!$C$8)*(Links!AX173*EXP((-(Links!T173/Links!BM173)^Links!CB173)/Links!CB173)-Links!AI173)+(ATM_Conf!$C$5/Links!T$191)*Links!AI173*(Nodes!BD173-Links!AI173)-(ATM_Conf!$C$9*ATM_Conf!$C$5/(ATM_Conf!$C$8*Links!T$191))*(Nodes!BR173-Links!T173)/(Links!T173/ATM_Conf!$C$10)</f>
        <v>#DIV/0!</v>
      </c>
      <c r="AJ174" s="45" t="e">
        <f>AJ173+(ATM_Conf!$C$5/ATM_Conf!$C$8)*(Links!AY173*EXP((-(Links!U173/Links!BN173)^Links!CC173)/Links!CC173)-Links!AJ173)+(ATM_Conf!$C$5/Links!U$191)*Links!AJ173*(Nodes!BE173-Links!AJ173)-(ATM_Conf!$C$9*ATM_Conf!$C$5/(ATM_Conf!$C$8*Links!U$191))*(Nodes!BS173-Links!U173)/(Links!U173/ATM_Conf!$C$10)</f>
        <v>#DIV/0!</v>
      </c>
      <c r="AK174" s="45" t="e">
        <f>AK173+(ATM_Conf!$C$5/ATM_Conf!$C$8)*(Links!AZ173*EXP((-(Links!V173/Links!BO173)^Links!CD173)/Links!CD173)-Links!AK173)+(ATM_Conf!$C$5/Links!V$191)*Links!AK173*(Nodes!BF173-Links!AK173)-(ATM_Conf!$C$9*ATM_Conf!$C$5/(ATM_Conf!$C$8*Links!V$191))*(Nodes!BT173-Links!V173)/(Links!V173/ATM_Conf!$C$10)</f>
        <v>#DIV/0!</v>
      </c>
      <c r="AL174" s="45" t="e">
        <f>AL173+(ATM_Conf!$C$5/ATM_Conf!$C$8)*(Links!BA173*EXP((-(Links!W173/Links!BP173)^Links!CE173)/Links!CE173)-Links!AL173)+(ATM_Conf!$C$5/Links!W$191)*Links!AL173*(Nodes!BG173-Links!AL173)-(ATM_Conf!$C$9*ATM_Conf!$C$5/(ATM_Conf!$C$8*Links!W$191))*(Nodes!BU173-Links!W173)/(Links!W173/ATM_Conf!$C$10)</f>
        <v>#DIV/0!</v>
      </c>
      <c r="AM174" s="45" t="e">
        <f>AM173+(ATM_Conf!$C$5/ATM_Conf!$C$8)*(Links!BB173*EXP((-(Links!X173/Links!BQ173)^Links!CF173)/Links!CF173)-Links!AM173)+(ATM_Conf!$C$5/Links!X$191)*Links!AM173*(Nodes!BH173-Links!AM173)</f>
        <v>#DIV/0!</v>
      </c>
      <c r="AN174" s="45" t="e">
        <f>AN173+(ATM_Conf!$C$5/ATM_Conf!$C$8)*(Links!BC173*EXP((-(Links!Y173/Links!BR173)^Links!CG173)/Links!CG173)-Links!AN173)-(ATM_Conf!$C$9*ATM_Conf!$C$5/(ATM_Conf!$C$8*Links!Y$191))*(Nodes!BV173-Links!Y173)/(Links!Y173/ATM_Conf!$C$10)</f>
        <v>#DIV/0!</v>
      </c>
      <c r="AO174" s="45" t="e">
        <f>AO173+(ATM_Conf!$C$5/ATM_Conf!$C$8)*(Links!BD173*EXP((-(Links!Z173/Links!BS173)^Links!CH173)/Links!CH173)-Links!AO173)+(ATM_Conf!$C$5/Links!Z$191)*Links!AO173*(Nodes!BI173-Links!AO173)-(ATM_Conf!$C$9*ATM_Conf!$C$5/(ATM_Conf!$C$8*Links!Z$191))*(Nodes!BW173-Links!Z173)/(Links!Z173/ATM_Conf!$C$10)</f>
        <v>#DIV/0!</v>
      </c>
      <c r="AP174" s="45" t="e">
        <f>AP173+(ATM_Conf!$C$5/ATM_Conf!$C$8)*(Links!BE173*EXP((-(Links!AA173/Links!BT173)^Links!CI173)/Links!CI173)-Links!AP173)+(ATM_Conf!$C$5/Links!AA$191)*Links!AP173*(Nodes!BJ173-Links!AP173)-(ATM_Conf!$C$9*ATM_Conf!$C$5/(ATM_Conf!$C$8*Links!AA$191))*(Nodes!BX173-Links!AA173)/(Links!AA173/ATM_Conf!$C$10)</f>
        <v>#DIV/0!</v>
      </c>
      <c r="AQ174" s="45" t="e">
        <f>AQ173+(ATM_Conf!$C$5/ATM_Conf!$C$8)*(Links!BF173*EXP((-(Links!AB173/Links!BU173)^Links!CJ173)/Links!CJ173)-Links!AQ173)+(ATM_Conf!$C$5/Links!AB$191)*Links!AQ173*(Nodes!BK173-Links!AQ173)-(ATM_Conf!$C$9*ATM_Conf!$C$5/(ATM_Conf!$C$8*Links!AB$191))*(Nodes!BY173-Links!AB173)/(Links!AB173/ATM_Conf!$C$10)</f>
        <v>#DIV/0!</v>
      </c>
      <c r="AR174" s="45" t="e">
        <f>AR173+(ATM_Conf!$C$5/ATM_Conf!$C$8)*(Links!BG173*EXP((-(Links!AC173/Links!BV173)^Links!CK173)/Links!CK173)-Links!AR173)+(ATM_Conf!$C$5/Links!AC$191)*Links!AR173*(Nodes!BL173-Links!AR173)-(ATM_Conf!$C$9*ATM_Conf!$C$5/(ATM_Conf!$C$8*Links!AC$191))*(Nodes!BZ173-Links!AC173)/(Links!AC173/ATM_Conf!$C$10)</f>
        <v>#DIV/0!</v>
      </c>
      <c r="AS174" s="45" t="e">
        <f>AS173+(ATM_Conf!$C$5/ATM_Conf!$C$8)*(Links!BH173*EXP((-(Links!AD173/Links!BW173)^Links!CL173)/Links!CL173)-Links!AS173)+(ATM_Conf!$C$5/Links!AD$191)*Links!AS173*(Nodes!BM173-Links!AS173)-(ATM_Conf!$C$9*ATM_Conf!$C$5/(ATM_Conf!$C$8*Links!AD$191))*(Nodes!CA173-Links!AD173)/(Links!AD173/ATM_Conf!$C$10)</f>
        <v>#DIV/0!</v>
      </c>
      <c r="AT174" s="45" t="e">
        <f>AT173+(ATM_Conf!$C$5/ATM_Conf!$C$8)*(Links!BI173*EXP((-(Links!AE173/Links!BX173)^Links!CM173)/Links!CM173)-Links!AT173)+(ATM_Conf!$C$5/Links!AE$191)*Links!AT173*(Nodes!BN173-Links!AT173)</f>
        <v>#DIV/0!</v>
      </c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45">
        <f t="shared" si="90"/>
        <v>0</v>
      </c>
      <c r="CO174" s="45">
        <f t="shared" si="90"/>
        <v>0</v>
      </c>
      <c r="CP174" s="45">
        <f t="shared" si="90"/>
        <v>0</v>
      </c>
      <c r="CQ174" s="45">
        <f t="shared" si="90"/>
        <v>0</v>
      </c>
      <c r="CR174" s="45">
        <f t="shared" si="90"/>
        <v>0</v>
      </c>
      <c r="CS174" s="45">
        <f t="shared" si="90"/>
        <v>0</v>
      </c>
      <c r="CT174" s="45">
        <f t="shared" si="90"/>
        <v>0</v>
      </c>
      <c r="CU174" s="45">
        <f t="shared" si="90"/>
        <v>0</v>
      </c>
      <c r="CV174" s="45">
        <f t="shared" si="90"/>
        <v>0</v>
      </c>
      <c r="CW174" s="45">
        <f t="shared" si="90"/>
        <v>0</v>
      </c>
      <c r="CX174" s="45">
        <f t="shared" si="90"/>
        <v>0</v>
      </c>
      <c r="CY174" s="45">
        <f t="shared" si="90"/>
        <v>0</v>
      </c>
      <c r="CZ174" s="45">
        <f t="shared" si="90"/>
        <v>0</v>
      </c>
      <c r="DA174" s="45">
        <f t="shared" si="90"/>
        <v>0</v>
      </c>
      <c r="DB174" s="45">
        <f t="shared" si="90"/>
        <v>0</v>
      </c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</row>
    <row r="175" spans="1:121" ht="14.25" x14ac:dyDescent="0.15">
      <c r="A175" s="48">
        <v>173</v>
      </c>
      <c r="B175" s="45" t="e">
        <f t="shared" si="64"/>
        <v>#DIV/0!</v>
      </c>
      <c r="C175" s="45" t="e">
        <f t="shared" si="65"/>
        <v>#DIV/0!</v>
      </c>
      <c r="D175" s="45" t="e">
        <f t="shared" si="66"/>
        <v>#DIV/0!</v>
      </c>
      <c r="E175" s="45" t="e">
        <f t="shared" si="67"/>
        <v>#DIV/0!</v>
      </c>
      <c r="F175" s="45" t="e">
        <f t="shared" si="68"/>
        <v>#DIV/0!</v>
      </c>
      <c r="G175" s="45" t="e">
        <f t="shared" si="69"/>
        <v>#DIV/0!</v>
      </c>
      <c r="H175" s="45" t="e">
        <f t="shared" si="70"/>
        <v>#DIV/0!</v>
      </c>
      <c r="I175" s="45" t="e">
        <f t="shared" si="71"/>
        <v>#DIV/0!</v>
      </c>
      <c r="J175" s="45" t="e">
        <f t="shared" si="72"/>
        <v>#DIV/0!</v>
      </c>
      <c r="K175" s="45" t="e">
        <f t="shared" si="73"/>
        <v>#DIV/0!</v>
      </c>
      <c r="L175" s="45" t="e">
        <f t="shared" si="74"/>
        <v>#DIV/0!</v>
      </c>
      <c r="M175" s="45" t="e">
        <f t="shared" si="75"/>
        <v>#DIV/0!</v>
      </c>
      <c r="N175" s="45" t="e">
        <f t="shared" si="76"/>
        <v>#DIV/0!</v>
      </c>
      <c r="O175" s="45" t="e">
        <f t="shared" si="77"/>
        <v>#DIV/0!</v>
      </c>
      <c r="P175" s="45" t="e">
        <f t="shared" si="78"/>
        <v>#DIV/0!</v>
      </c>
      <c r="Q175" s="55" t="e">
        <f>Q174+ATM_Conf!$C$5*(B174)/(Links!B$191*Links!Q$191)</f>
        <v>#DIV/0!</v>
      </c>
      <c r="R175" s="55" t="e">
        <f>R174+ATM_Conf!$C$5*(C174-B174)/(Links!C$191*Links!R$191)</f>
        <v>#DIV/0!</v>
      </c>
      <c r="S175" s="55" t="e">
        <f>S174+ATM_Conf!$C$5*(D174-C174)/(Links!D$191*Links!S$191)</f>
        <v>#DIV/0!</v>
      </c>
      <c r="T175" s="55" t="e">
        <f>T174+ATM_Conf!$C$5*(E174-D174)/(Links!E$191*Links!T$191)</f>
        <v>#DIV/0!</v>
      </c>
      <c r="U175" s="55" t="e">
        <f>U174+ATM_Conf!$C$5*(F174-E174)/(Links!F$191*Links!U$191)</f>
        <v>#DIV/0!</v>
      </c>
      <c r="V175" s="55" t="e">
        <f>V174+ATM_Conf!$C$5*(G174-F174)/(Links!G$191*Links!V$191)</f>
        <v>#DIV/0!</v>
      </c>
      <c r="W175" s="55" t="e">
        <f>W174+ATM_Conf!$C$5*(H174-G174)/(Links!H$191*Links!W$191)</f>
        <v>#DIV/0!</v>
      </c>
      <c r="X175" s="55" t="e">
        <f>X174+ATM_Conf!$C$5*(I174-H174)/(Links!I$191*Links!X$191)</f>
        <v>#DIV/0!</v>
      </c>
      <c r="Y175" s="55" t="e">
        <f>Y174+ATM_Conf!$C$5*(J174)/(Links!J$191*Links!Y$191)</f>
        <v>#DIV/0!</v>
      </c>
      <c r="Z175" s="55" t="e">
        <f>Z174+ATM_Conf!$C$5*(K174-J174)/(Links!K$191*Links!Z$191)</f>
        <v>#DIV/0!</v>
      </c>
      <c r="AA175" s="55" t="e">
        <f>AA174+ATM_Conf!$C$5*(L174-K174)/(Links!L$191*Links!AA$191)</f>
        <v>#DIV/0!</v>
      </c>
      <c r="AB175" s="55" t="e">
        <f>AB174+ATM_Conf!$C$5*(M174-L174)/(Links!M$191*Links!AB$191)</f>
        <v>#DIV/0!</v>
      </c>
      <c r="AC175" s="55" t="e">
        <f>AC174+ATM_Conf!$C$5*(N174-M174)/(Links!N$191*Links!AC$191)</f>
        <v>#DIV/0!</v>
      </c>
      <c r="AD175" s="55" t="e">
        <f>AD174+ATM_Conf!$C$5*(O174-N174)/(Links!O$191*Links!AD$191)</f>
        <v>#DIV/0!</v>
      </c>
      <c r="AE175" s="55" t="e">
        <f>AE174+ATM_Conf!$C$5*(P174-O174)/(Links!P$191*Links!AE$191)</f>
        <v>#DIV/0!</v>
      </c>
      <c r="AF175" s="45" t="e">
        <f>AF174+(ATM_Conf!$C$5/ATM_Conf!$C$8)*(Links!AU174*EXP((-(Links!Q174/Links!BJ174)^Links!BY174)/Links!BY174)-Links!AF174)-(ATM_Conf!$C$9*ATM_Conf!$C$5/(ATM_Conf!$C$8*Links!Q$191))*(Nodes!BO174-Links!Q174)/(Links!Q174/ATM_Conf!$C$10)</f>
        <v>#DIV/0!</v>
      </c>
      <c r="AG175" s="45" t="e">
        <f>AG174+(ATM_Conf!$C$5/ATM_Conf!$C$8)*(Links!AV174*EXP((-(Links!R174/Links!BK174)^Links!BZ174)/Links!BZ174)-Links!AG174)+(ATM_Conf!$C$5/Links!R$191)*Links!AG174*(Nodes!BB174-Links!AG174)-(ATM_Conf!$C$9*ATM_Conf!$C$5/(ATM_Conf!$C$8*Links!R$191))*(Nodes!BP174-Links!R174)/(Links!R174/ATM_Conf!$C$10)</f>
        <v>#DIV/0!</v>
      </c>
      <c r="AH175" s="45" t="e">
        <f>AH174+(ATM_Conf!$C$5/ATM_Conf!$C$8)*(Links!AW174*EXP((-(Links!S174/Links!BL174)^Links!CA174)/Links!CA174)-Links!AH174)+(ATM_Conf!$C$5/Links!S$191)*Links!AH174*(Nodes!BC174-Links!AH174)-(ATM_Conf!$C$9*ATM_Conf!$C$5/(ATM_Conf!$C$8*Links!S$191))*(Nodes!BQ174-Links!S174)/(Links!S174/ATM_Conf!$C$10)</f>
        <v>#DIV/0!</v>
      </c>
      <c r="AI175" s="45" t="e">
        <f>AI174+(ATM_Conf!$C$5/ATM_Conf!$C$8)*(Links!AX174*EXP((-(Links!T174/Links!BM174)^Links!CB174)/Links!CB174)-Links!AI174)+(ATM_Conf!$C$5/Links!T$191)*Links!AI174*(Nodes!BD174-Links!AI174)-(ATM_Conf!$C$9*ATM_Conf!$C$5/(ATM_Conf!$C$8*Links!T$191))*(Nodes!BR174-Links!T174)/(Links!T174/ATM_Conf!$C$10)</f>
        <v>#DIV/0!</v>
      </c>
      <c r="AJ175" s="45" t="e">
        <f>AJ174+(ATM_Conf!$C$5/ATM_Conf!$C$8)*(Links!AY174*EXP((-(Links!U174/Links!BN174)^Links!CC174)/Links!CC174)-Links!AJ174)+(ATM_Conf!$C$5/Links!U$191)*Links!AJ174*(Nodes!BE174-Links!AJ174)-(ATM_Conf!$C$9*ATM_Conf!$C$5/(ATM_Conf!$C$8*Links!U$191))*(Nodes!BS174-Links!U174)/(Links!U174/ATM_Conf!$C$10)</f>
        <v>#DIV/0!</v>
      </c>
      <c r="AK175" s="45" t="e">
        <f>AK174+(ATM_Conf!$C$5/ATM_Conf!$C$8)*(Links!AZ174*EXP((-(Links!V174/Links!BO174)^Links!CD174)/Links!CD174)-Links!AK174)+(ATM_Conf!$C$5/Links!V$191)*Links!AK174*(Nodes!BF174-Links!AK174)-(ATM_Conf!$C$9*ATM_Conf!$C$5/(ATM_Conf!$C$8*Links!V$191))*(Nodes!BT174-Links!V174)/(Links!V174/ATM_Conf!$C$10)</f>
        <v>#DIV/0!</v>
      </c>
      <c r="AL175" s="45" t="e">
        <f>AL174+(ATM_Conf!$C$5/ATM_Conf!$C$8)*(Links!BA174*EXP((-(Links!W174/Links!BP174)^Links!CE174)/Links!CE174)-Links!AL174)+(ATM_Conf!$C$5/Links!W$191)*Links!AL174*(Nodes!BG174-Links!AL174)-(ATM_Conf!$C$9*ATM_Conf!$C$5/(ATM_Conf!$C$8*Links!W$191))*(Nodes!BU174-Links!W174)/(Links!W174/ATM_Conf!$C$10)</f>
        <v>#DIV/0!</v>
      </c>
      <c r="AM175" s="45" t="e">
        <f>AM174+(ATM_Conf!$C$5/ATM_Conf!$C$8)*(Links!BB174*EXP((-(Links!X174/Links!BQ174)^Links!CF174)/Links!CF174)-Links!AM174)+(ATM_Conf!$C$5/Links!X$191)*Links!AM174*(Nodes!BH174-Links!AM174)</f>
        <v>#DIV/0!</v>
      </c>
      <c r="AN175" s="45" t="e">
        <f>AN174+(ATM_Conf!$C$5/ATM_Conf!$C$8)*(Links!BC174*EXP((-(Links!Y174/Links!BR174)^Links!CG174)/Links!CG174)-Links!AN174)-(ATM_Conf!$C$9*ATM_Conf!$C$5/(ATM_Conf!$C$8*Links!Y$191))*(Nodes!BV174-Links!Y174)/(Links!Y174/ATM_Conf!$C$10)</f>
        <v>#DIV/0!</v>
      </c>
      <c r="AO175" s="45" t="e">
        <f>AO174+(ATM_Conf!$C$5/ATM_Conf!$C$8)*(Links!BD174*EXP((-(Links!Z174/Links!BS174)^Links!CH174)/Links!CH174)-Links!AO174)+(ATM_Conf!$C$5/Links!Z$191)*Links!AO174*(Nodes!BI174-Links!AO174)-(ATM_Conf!$C$9*ATM_Conf!$C$5/(ATM_Conf!$C$8*Links!Z$191))*(Nodes!BW174-Links!Z174)/(Links!Z174/ATM_Conf!$C$10)</f>
        <v>#DIV/0!</v>
      </c>
      <c r="AP175" s="45" t="e">
        <f>AP174+(ATM_Conf!$C$5/ATM_Conf!$C$8)*(Links!BE174*EXP((-(Links!AA174/Links!BT174)^Links!CI174)/Links!CI174)-Links!AP174)+(ATM_Conf!$C$5/Links!AA$191)*Links!AP174*(Nodes!BJ174-Links!AP174)-(ATM_Conf!$C$9*ATM_Conf!$C$5/(ATM_Conf!$C$8*Links!AA$191))*(Nodes!BX174-Links!AA174)/(Links!AA174/ATM_Conf!$C$10)</f>
        <v>#DIV/0!</v>
      </c>
      <c r="AQ175" s="45" t="e">
        <f>AQ174+(ATM_Conf!$C$5/ATM_Conf!$C$8)*(Links!BF174*EXP((-(Links!AB174/Links!BU174)^Links!CJ174)/Links!CJ174)-Links!AQ174)+(ATM_Conf!$C$5/Links!AB$191)*Links!AQ174*(Nodes!BK174-Links!AQ174)-(ATM_Conf!$C$9*ATM_Conf!$C$5/(ATM_Conf!$C$8*Links!AB$191))*(Nodes!BY174-Links!AB174)/(Links!AB174/ATM_Conf!$C$10)</f>
        <v>#DIV/0!</v>
      </c>
      <c r="AR175" s="45" t="e">
        <f>AR174+(ATM_Conf!$C$5/ATM_Conf!$C$8)*(Links!BG174*EXP((-(Links!AC174/Links!BV174)^Links!CK174)/Links!CK174)-Links!AR174)+(ATM_Conf!$C$5/Links!AC$191)*Links!AR174*(Nodes!BL174-Links!AR174)-(ATM_Conf!$C$9*ATM_Conf!$C$5/(ATM_Conf!$C$8*Links!AC$191))*(Nodes!BZ174-Links!AC174)/(Links!AC174/ATM_Conf!$C$10)</f>
        <v>#DIV/0!</v>
      </c>
      <c r="AS175" s="45" t="e">
        <f>AS174+(ATM_Conf!$C$5/ATM_Conf!$C$8)*(Links!BH174*EXP((-(Links!AD174/Links!BW174)^Links!CL174)/Links!CL174)-Links!AS174)+(ATM_Conf!$C$5/Links!AD$191)*Links!AS174*(Nodes!BM174-Links!AS174)-(ATM_Conf!$C$9*ATM_Conf!$C$5/(ATM_Conf!$C$8*Links!AD$191))*(Nodes!CA174-Links!AD174)/(Links!AD174/ATM_Conf!$C$10)</f>
        <v>#DIV/0!</v>
      </c>
      <c r="AT175" s="45" t="e">
        <f>AT174+(ATM_Conf!$C$5/ATM_Conf!$C$8)*(Links!BI174*EXP((-(Links!AE174/Links!BX174)^Links!CM174)/Links!CM174)-Links!AT174)+(ATM_Conf!$C$5/Links!AE$191)*Links!AT174*(Nodes!BN174-Links!AT174)</f>
        <v>#DIV/0!</v>
      </c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45"/>
      <c r="BK175" s="45"/>
      <c r="BL175" s="45"/>
      <c r="BM175" s="45"/>
      <c r="BN175" s="45"/>
      <c r="BO175" s="45"/>
      <c r="BP175" s="45"/>
      <c r="BQ175" s="45"/>
      <c r="BR175" s="45"/>
      <c r="BS175" s="45"/>
      <c r="BT175" s="45"/>
      <c r="BU175" s="45"/>
      <c r="BV175" s="45"/>
      <c r="BW175" s="45"/>
      <c r="BX175" s="4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45">
        <f t="shared" si="90"/>
        <v>0</v>
      </c>
      <c r="CO175" s="45">
        <f t="shared" si="90"/>
        <v>0</v>
      </c>
      <c r="CP175" s="45">
        <f t="shared" si="90"/>
        <v>0</v>
      </c>
      <c r="CQ175" s="45">
        <f t="shared" si="90"/>
        <v>0</v>
      </c>
      <c r="CR175" s="45">
        <f t="shared" si="90"/>
        <v>0</v>
      </c>
      <c r="CS175" s="45">
        <f t="shared" si="90"/>
        <v>0</v>
      </c>
      <c r="CT175" s="45">
        <f t="shared" si="90"/>
        <v>0</v>
      </c>
      <c r="CU175" s="45">
        <f t="shared" si="90"/>
        <v>0</v>
      </c>
      <c r="CV175" s="45">
        <f t="shared" si="90"/>
        <v>0</v>
      </c>
      <c r="CW175" s="45">
        <f t="shared" si="90"/>
        <v>0</v>
      </c>
      <c r="CX175" s="45">
        <f t="shared" si="90"/>
        <v>0</v>
      </c>
      <c r="CY175" s="45">
        <f t="shared" si="90"/>
        <v>0</v>
      </c>
      <c r="CZ175" s="45">
        <f t="shared" si="90"/>
        <v>0</v>
      </c>
      <c r="DA175" s="45">
        <f t="shared" si="90"/>
        <v>0</v>
      </c>
      <c r="DB175" s="45">
        <f t="shared" si="90"/>
        <v>0</v>
      </c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</row>
    <row r="176" spans="1:121" ht="14.25" x14ac:dyDescent="0.15">
      <c r="A176" s="48">
        <v>174</v>
      </c>
      <c r="B176" s="45" t="e">
        <f t="shared" si="64"/>
        <v>#DIV/0!</v>
      </c>
      <c r="C176" s="45" t="e">
        <f t="shared" si="65"/>
        <v>#DIV/0!</v>
      </c>
      <c r="D176" s="45" t="e">
        <f t="shared" si="66"/>
        <v>#DIV/0!</v>
      </c>
      <c r="E176" s="45" t="e">
        <f t="shared" si="67"/>
        <v>#DIV/0!</v>
      </c>
      <c r="F176" s="45" t="e">
        <f t="shared" si="68"/>
        <v>#DIV/0!</v>
      </c>
      <c r="G176" s="45" t="e">
        <f t="shared" si="69"/>
        <v>#DIV/0!</v>
      </c>
      <c r="H176" s="45" t="e">
        <f t="shared" si="70"/>
        <v>#DIV/0!</v>
      </c>
      <c r="I176" s="45" t="e">
        <f t="shared" si="71"/>
        <v>#DIV/0!</v>
      </c>
      <c r="J176" s="45" t="e">
        <f t="shared" si="72"/>
        <v>#DIV/0!</v>
      </c>
      <c r="K176" s="45" t="e">
        <f t="shared" si="73"/>
        <v>#DIV/0!</v>
      </c>
      <c r="L176" s="45" t="e">
        <f t="shared" si="74"/>
        <v>#DIV/0!</v>
      </c>
      <c r="M176" s="45" t="e">
        <f t="shared" si="75"/>
        <v>#DIV/0!</v>
      </c>
      <c r="N176" s="45" t="e">
        <f t="shared" si="76"/>
        <v>#DIV/0!</v>
      </c>
      <c r="O176" s="45" t="e">
        <f t="shared" si="77"/>
        <v>#DIV/0!</v>
      </c>
      <c r="P176" s="45" t="e">
        <f t="shared" si="78"/>
        <v>#DIV/0!</v>
      </c>
      <c r="Q176" s="55" t="e">
        <f>Q175+ATM_Conf!$C$5*(B175)/(Links!B$191*Links!Q$191)</f>
        <v>#DIV/0!</v>
      </c>
      <c r="R176" s="55" t="e">
        <f>R175+ATM_Conf!$C$5*(C175-B175)/(Links!C$191*Links!R$191)</f>
        <v>#DIV/0!</v>
      </c>
      <c r="S176" s="55" t="e">
        <f>S175+ATM_Conf!$C$5*(D175-C175)/(Links!D$191*Links!S$191)</f>
        <v>#DIV/0!</v>
      </c>
      <c r="T176" s="55" t="e">
        <f>T175+ATM_Conf!$C$5*(E175-D175)/(Links!E$191*Links!T$191)</f>
        <v>#DIV/0!</v>
      </c>
      <c r="U176" s="55" t="e">
        <f>U175+ATM_Conf!$C$5*(F175-E175)/(Links!F$191*Links!U$191)</f>
        <v>#DIV/0!</v>
      </c>
      <c r="V176" s="55" t="e">
        <f>V175+ATM_Conf!$C$5*(G175-F175)/(Links!G$191*Links!V$191)</f>
        <v>#DIV/0!</v>
      </c>
      <c r="W176" s="55" t="e">
        <f>W175+ATM_Conf!$C$5*(H175-G175)/(Links!H$191*Links!W$191)</f>
        <v>#DIV/0!</v>
      </c>
      <c r="X176" s="55" t="e">
        <f>X175+ATM_Conf!$C$5*(I175-H175)/(Links!I$191*Links!X$191)</f>
        <v>#DIV/0!</v>
      </c>
      <c r="Y176" s="55" t="e">
        <f>Y175+ATM_Conf!$C$5*(J175)/(Links!J$191*Links!Y$191)</f>
        <v>#DIV/0!</v>
      </c>
      <c r="Z176" s="55" t="e">
        <f>Z175+ATM_Conf!$C$5*(K175-J175)/(Links!K$191*Links!Z$191)</f>
        <v>#DIV/0!</v>
      </c>
      <c r="AA176" s="55" t="e">
        <f>AA175+ATM_Conf!$C$5*(L175-K175)/(Links!L$191*Links!AA$191)</f>
        <v>#DIV/0!</v>
      </c>
      <c r="AB176" s="55" t="e">
        <f>AB175+ATM_Conf!$C$5*(M175-L175)/(Links!M$191*Links!AB$191)</f>
        <v>#DIV/0!</v>
      </c>
      <c r="AC176" s="55" t="e">
        <f>AC175+ATM_Conf!$C$5*(N175-M175)/(Links!N$191*Links!AC$191)</f>
        <v>#DIV/0!</v>
      </c>
      <c r="AD176" s="55" t="e">
        <f>AD175+ATM_Conf!$C$5*(O175-N175)/(Links!O$191*Links!AD$191)</f>
        <v>#DIV/0!</v>
      </c>
      <c r="AE176" s="55" t="e">
        <f>AE175+ATM_Conf!$C$5*(P175-O175)/(Links!P$191*Links!AE$191)</f>
        <v>#DIV/0!</v>
      </c>
      <c r="AF176" s="45" t="e">
        <f>AF175+(ATM_Conf!$C$5/ATM_Conf!$C$8)*(Links!AU175*EXP((-(Links!Q175/Links!BJ175)^Links!BY175)/Links!BY175)-Links!AF175)-(ATM_Conf!$C$9*ATM_Conf!$C$5/(ATM_Conf!$C$8*Links!Q$191))*(Nodes!BO175-Links!Q175)/(Links!Q175/ATM_Conf!$C$10)</f>
        <v>#DIV/0!</v>
      </c>
      <c r="AG176" s="45" t="e">
        <f>AG175+(ATM_Conf!$C$5/ATM_Conf!$C$8)*(Links!AV175*EXP((-(Links!R175/Links!BK175)^Links!BZ175)/Links!BZ175)-Links!AG175)+(ATM_Conf!$C$5/Links!R$191)*Links!AG175*(Nodes!BB175-Links!AG175)-(ATM_Conf!$C$9*ATM_Conf!$C$5/(ATM_Conf!$C$8*Links!R$191))*(Nodes!BP175-Links!R175)/(Links!R175/ATM_Conf!$C$10)</f>
        <v>#DIV/0!</v>
      </c>
      <c r="AH176" s="45" t="e">
        <f>AH175+(ATM_Conf!$C$5/ATM_Conf!$C$8)*(Links!AW175*EXP((-(Links!S175/Links!BL175)^Links!CA175)/Links!CA175)-Links!AH175)+(ATM_Conf!$C$5/Links!S$191)*Links!AH175*(Nodes!BC175-Links!AH175)-(ATM_Conf!$C$9*ATM_Conf!$C$5/(ATM_Conf!$C$8*Links!S$191))*(Nodes!BQ175-Links!S175)/(Links!S175/ATM_Conf!$C$10)</f>
        <v>#DIV/0!</v>
      </c>
      <c r="AI176" s="45" t="e">
        <f>AI175+(ATM_Conf!$C$5/ATM_Conf!$C$8)*(Links!AX175*EXP((-(Links!T175/Links!BM175)^Links!CB175)/Links!CB175)-Links!AI175)+(ATM_Conf!$C$5/Links!T$191)*Links!AI175*(Nodes!BD175-Links!AI175)-(ATM_Conf!$C$9*ATM_Conf!$C$5/(ATM_Conf!$C$8*Links!T$191))*(Nodes!BR175-Links!T175)/(Links!T175/ATM_Conf!$C$10)</f>
        <v>#DIV/0!</v>
      </c>
      <c r="AJ176" s="45" t="e">
        <f>AJ175+(ATM_Conf!$C$5/ATM_Conf!$C$8)*(Links!AY175*EXP((-(Links!U175/Links!BN175)^Links!CC175)/Links!CC175)-Links!AJ175)+(ATM_Conf!$C$5/Links!U$191)*Links!AJ175*(Nodes!BE175-Links!AJ175)-(ATM_Conf!$C$9*ATM_Conf!$C$5/(ATM_Conf!$C$8*Links!U$191))*(Nodes!BS175-Links!U175)/(Links!U175/ATM_Conf!$C$10)</f>
        <v>#DIV/0!</v>
      </c>
      <c r="AK176" s="45" t="e">
        <f>AK175+(ATM_Conf!$C$5/ATM_Conf!$C$8)*(Links!AZ175*EXP((-(Links!V175/Links!BO175)^Links!CD175)/Links!CD175)-Links!AK175)+(ATM_Conf!$C$5/Links!V$191)*Links!AK175*(Nodes!BF175-Links!AK175)-(ATM_Conf!$C$9*ATM_Conf!$C$5/(ATM_Conf!$C$8*Links!V$191))*(Nodes!BT175-Links!V175)/(Links!V175/ATM_Conf!$C$10)</f>
        <v>#DIV/0!</v>
      </c>
      <c r="AL176" s="45" t="e">
        <f>AL175+(ATM_Conf!$C$5/ATM_Conf!$C$8)*(Links!BA175*EXP((-(Links!W175/Links!BP175)^Links!CE175)/Links!CE175)-Links!AL175)+(ATM_Conf!$C$5/Links!W$191)*Links!AL175*(Nodes!BG175-Links!AL175)-(ATM_Conf!$C$9*ATM_Conf!$C$5/(ATM_Conf!$C$8*Links!W$191))*(Nodes!BU175-Links!W175)/(Links!W175/ATM_Conf!$C$10)</f>
        <v>#DIV/0!</v>
      </c>
      <c r="AM176" s="45" t="e">
        <f>AM175+(ATM_Conf!$C$5/ATM_Conf!$C$8)*(Links!BB175*EXP((-(Links!X175/Links!BQ175)^Links!CF175)/Links!CF175)-Links!AM175)+(ATM_Conf!$C$5/Links!X$191)*Links!AM175*(Nodes!BH175-Links!AM175)</f>
        <v>#DIV/0!</v>
      </c>
      <c r="AN176" s="45" t="e">
        <f>AN175+(ATM_Conf!$C$5/ATM_Conf!$C$8)*(Links!BC175*EXP((-(Links!Y175/Links!BR175)^Links!CG175)/Links!CG175)-Links!AN175)-(ATM_Conf!$C$9*ATM_Conf!$C$5/(ATM_Conf!$C$8*Links!Y$191))*(Nodes!BV175-Links!Y175)/(Links!Y175/ATM_Conf!$C$10)</f>
        <v>#DIV/0!</v>
      </c>
      <c r="AO176" s="45" t="e">
        <f>AO175+(ATM_Conf!$C$5/ATM_Conf!$C$8)*(Links!BD175*EXP((-(Links!Z175/Links!BS175)^Links!CH175)/Links!CH175)-Links!AO175)+(ATM_Conf!$C$5/Links!Z$191)*Links!AO175*(Nodes!BI175-Links!AO175)-(ATM_Conf!$C$9*ATM_Conf!$C$5/(ATM_Conf!$C$8*Links!Z$191))*(Nodes!BW175-Links!Z175)/(Links!Z175/ATM_Conf!$C$10)</f>
        <v>#DIV/0!</v>
      </c>
      <c r="AP176" s="45" t="e">
        <f>AP175+(ATM_Conf!$C$5/ATM_Conf!$C$8)*(Links!BE175*EXP((-(Links!AA175/Links!BT175)^Links!CI175)/Links!CI175)-Links!AP175)+(ATM_Conf!$C$5/Links!AA$191)*Links!AP175*(Nodes!BJ175-Links!AP175)-(ATM_Conf!$C$9*ATM_Conf!$C$5/(ATM_Conf!$C$8*Links!AA$191))*(Nodes!BX175-Links!AA175)/(Links!AA175/ATM_Conf!$C$10)</f>
        <v>#DIV/0!</v>
      </c>
      <c r="AQ176" s="45" t="e">
        <f>AQ175+(ATM_Conf!$C$5/ATM_Conf!$C$8)*(Links!BF175*EXP((-(Links!AB175/Links!BU175)^Links!CJ175)/Links!CJ175)-Links!AQ175)+(ATM_Conf!$C$5/Links!AB$191)*Links!AQ175*(Nodes!BK175-Links!AQ175)-(ATM_Conf!$C$9*ATM_Conf!$C$5/(ATM_Conf!$C$8*Links!AB$191))*(Nodes!BY175-Links!AB175)/(Links!AB175/ATM_Conf!$C$10)</f>
        <v>#DIV/0!</v>
      </c>
      <c r="AR176" s="45" t="e">
        <f>AR175+(ATM_Conf!$C$5/ATM_Conf!$C$8)*(Links!BG175*EXP((-(Links!AC175/Links!BV175)^Links!CK175)/Links!CK175)-Links!AR175)+(ATM_Conf!$C$5/Links!AC$191)*Links!AR175*(Nodes!BL175-Links!AR175)-(ATM_Conf!$C$9*ATM_Conf!$C$5/(ATM_Conf!$C$8*Links!AC$191))*(Nodes!BZ175-Links!AC175)/(Links!AC175/ATM_Conf!$C$10)</f>
        <v>#DIV/0!</v>
      </c>
      <c r="AS176" s="45" t="e">
        <f>AS175+(ATM_Conf!$C$5/ATM_Conf!$C$8)*(Links!BH175*EXP((-(Links!AD175/Links!BW175)^Links!CL175)/Links!CL175)-Links!AS175)+(ATM_Conf!$C$5/Links!AD$191)*Links!AS175*(Nodes!BM175-Links!AS175)-(ATM_Conf!$C$9*ATM_Conf!$C$5/(ATM_Conf!$C$8*Links!AD$191))*(Nodes!CA175-Links!AD175)/(Links!AD175/ATM_Conf!$C$10)</f>
        <v>#DIV/0!</v>
      </c>
      <c r="AT176" s="45" t="e">
        <f>AT175+(ATM_Conf!$C$5/ATM_Conf!$C$8)*(Links!BI175*EXP((-(Links!AE175/Links!BX175)^Links!CM175)/Links!CM175)-Links!AT175)+(ATM_Conf!$C$5/Links!AE$191)*Links!AT175*(Nodes!BN175-Links!AT175)</f>
        <v>#DIV/0!</v>
      </c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  <c r="BI176" s="55"/>
      <c r="BJ176" s="45"/>
      <c r="BK176" s="45"/>
      <c r="BL176" s="45"/>
      <c r="BM176" s="45"/>
      <c r="BN176" s="45"/>
      <c r="BO176" s="45"/>
      <c r="BP176" s="45"/>
      <c r="BQ176" s="45"/>
      <c r="BR176" s="45"/>
      <c r="BS176" s="45"/>
      <c r="BT176" s="45"/>
      <c r="BU176" s="45"/>
      <c r="BV176" s="45"/>
      <c r="BW176" s="45"/>
      <c r="BX176" s="45"/>
      <c r="BY176" s="55"/>
      <c r="BZ176" s="55"/>
      <c r="CA176" s="55"/>
      <c r="CB176" s="55"/>
      <c r="CC176" s="55"/>
      <c r="CD176" s="55"/>
      <c r="CE176" s="55"/>
      <c r="CF176" s="55"/>
      <c r="CG176" s="55"/>
      <c r="CH176" s="55"/>
      <c r="CI176" s="55"/>
      <c r="CJ176" s="55"/>
      <c r="CK176" s="55"/>
      <c r="CL176" s="55"/>
      <c r="CM176" s="55"/>
      <c r="CN176" s="45">
        <f t="shared" si="90"/>
        <v>0</v>
      </c>
      <c r="CO176" s="45">
        <f t="shared" si="90"/>
        <v>0</v>
      </c>
      <c r="CP176" s="45">
        <f t="shared" si="90"/>
        <v>0</v>
      </c>
      <c r="CQ176" s="45">
        <f t="shared" si="90"/>
        <v>0</v>
      </c>
      <c r="CR176" s="45">
        <f t="shared" si="90"/>
        <v>0</v>
      </c>
      <c r="CS176" s="45">
        <f t="shared" si="90"/>
        <v>0</v>
      </c>
      <c r="CT176" s="45">
        <f t="shared" si="90"/>
        <v>0</v>
      </c>
      <c r="CU176" s="45">
        <f t="shared" si="90"/>
        <v>0</v>
      </c>
      <c r="CV176" s="45">
        <f t="shared" si="90"/>
        <v>0</v>
      </c>
      <c r="CW176" s="45">
        <f t="shared" si="90"/>
        <v>0</v>
      </c>
      <c r="CX176" s="45">
        <f t="shared" si="90"/>
        <v>0</v>
      </c>
      <c r="CY176" s="45">
        <f t="shared" si="90"/>
        <v>0</v>
      </c>
      <c r="CZ176" s="45">
        <f t="shared" si="90"/>
        <v>0</v>
      </c>
      <c r="DA176" s="45">
        <f t="shared" si="90"/>
        <v>0</v>
      </c>
      <c r="DB176" s="45">
        <f t="shared" si="90"/>
        <v>0</v>
      </c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</row>
    <row r="177" spans="1:121" ht="14.25" x14ac:dyDescent="0.15">
      <c r="A177" s="48">
        <v>175</v>
      </c>
      <c r="B177" s="45" t="e">
        <f t="shared" si="64"/>
        <v>#DIV/0!</v>
      </c>
      <c r="C177" s="45" t="e">
        <f t="shared" si="65"/>
        <v>#DIV/0!</v>
      </c>
      <c r="D177" s="45" t="e">
        <f t="shared" si="66"/>
        <v>#DIV/0!</v>
      </c>
      <c r="E177" s="45" t="e">
        <f t="shared" si="67"/>
        <v>#DIV/0!</v>
      </c>
      <c r="F177" s="45" t="e">
        <f t="shared" si="68"/>
        <v>#DIV/0!</v>
      </c>
      <c r="G177" s="45" t="e">
        <f t="shared" si="69"/>
        <v>#DIV/0!</v>
      </c>
      <c r="H177" s="45" t="e">
        <f t="shared" si="70"/>
        <v>#DIV/0!</v>
      </c>
      <c r="I177" s="45" t="e">
        <f t="shared" si="71"/>
        <v>#DIV/0!</v>
      </c>
      <c r="J177" s="45" t="e">
        <f t="shared" si="72"/>
        <v>#DIV/0!</v>
      </c>
      <c r="K177" s="45" t="e">
        <f t="shared" si="73"/>
        <v>#DIV/0!</v>
      </c>
      <c r="L177" s="45" t="e">
        <f t="shared" si="74"/>
        <v>#DIV/0!</v>
      </c>
      <c r="M177" s="45" t="e">
        <f t="shared" si="75"/>
        <v>#DIV/0!</v>
      </c>
      <c r="N177" s="45" t="e">
        <f t="shared" si="76"/>
        <v>#DIV/0!</v>
      </c>
      <c r="O177" s="45" t="e">
        <f t="shared" si="77"/>
        <v>#DIV/0!</v>
      </c>
      <c r="P177" s="45" t="e">
        <f t="shared" si="78"/>
        <v>#DIV/0!</v>
      </c>
      <c r="Q177" s="55" t="e">
        <f>Q176+ATM_Conf!$C$5*(B176)/(Links!B$191*Links!Q$191)</f>
        <v>#DIV/0!</v>
      </c>
      <c r="R177" s="55" t="e">
        <f>R176+ATM_Conf!$C$5*(C176-B176)/(Links!C$191*Links!R$191)</f>
        <v>#DIV/0!</v>
      </c>
      <c r="S177" s="55" t="e">
        <f>S176+ATM_Conf!$C$5*(D176-C176)/(Links!D$191*Links!S$191)</f>
        <v>#DIV/0!</v>
      </c>
      <c r="T177" s="55" t="e">
        <f>T176+ATM_Conf!$C$5*(E176-D176)/(Links!E$191*Links!T$191)</f>
        <v>#DIV/0!</v>
      </c>
      <c r="U177" s="55" t="e">
        <f>U176+ATM_Conf!$C$5*(F176-E176)/(Links!F$191*Links!U$191)</f>
        <v>#DIV/0!</v>
      </c>
      <c r="V177" s="55" t="e">
        <f>V176+ATM_Conf!$C$5*(G176-F176)/(Links!G$191*Links!V$191)</f>
        <v>#DIV/0!</v>
      </c>
      <c r="W177" s="55" t="e">
        <f>W176+ATM_Conf!$C$5*(H176-G176)/(Links!H$191*Links!W$191)</f>
        <v>#DIV/0!</v>
      </c>
      <c r="X177" s="55" t="e">
        <f>X176+ATM_Conf!$C$5*(I176-H176)/(Links!I$191*Links!X$191)</f>
        <v>#DIV/0!</v>
      </c>
      <c r="Y177" s="55" t="e">
        <f>Y176+ATM_Conf!$C$5*(J176)/(Links!J$191*Links!Y$191)</f>
        <v>#DIV/0!</v>
      </c>
      <c r="Z177" s="55" t="e">
        <f>Z176+ATM_Conf!$C$5*(K176-J176)/(Links!K$191*Links!Z$191)</f>
        <v>#DIV/0!</v>
      </c>
      <c r="AA177" s="55" t="e">
        <f>AA176+ATM_Conf!$C$5*(L176-K176)/(Links!L$191*Links!AA$191)</f>
        <v>#DIV/0!</v>
      </c>
      <c r="AB177" s="55" t="e">
        <f>AB176+ATM_Conf!$C$5*(M176-L176)/(Links!M$191*Links!AB$191)</f>
        <v>#DIV/0!</v>
      </c>
      <c r="AC177" s="55" t="e">
        <f>AC176+ATM_Conf!$C$5*(N176-M176)/(Links!N$191*Links!AC$191)</f>
        <v>#DIV/0!</v>
      </c>
      <c r="AD177" s="55" t="e">
        <f>AD176+ATM_Conf!$C$5*(O176-N176)/(Links!O$191*Links!AD$191)</f>
        <v>#DIV/0!</v>
      </c>
      <c r="AE177" s="55" t="e">
        <f>AE176+ATM_Conf!$C$5*(P176-O176)/(Links!P$191*Links!AE$191)</f>
        <v>#DIV/0!</v>
      </c>
      <c r="AF177" s="45" t="e">
        <f>AF176+(ATM_Conf!$C$5/ATM_Conf!$C$8)*(Links!AU176*EXP((-(Links!Q176/Links!BJ176)^Links!BY176)/Links!BY176)-Links!AF176)-(ATM_Conf!$C$9*ATM_Conf!$C$5/(ATM_Conf!$C$8*Links!Q$191))*(Nodes!BO176-Links!Q176)/(Links!Q176/ATM_Conf!$C$10)</f>
        <v>#DIV/0!</v>
      </c>
      <c r="AG177" s="45" t="e">
        <f>AG176+(ATM_Conf!$C$5/ATM_Conf!$C$8)*(Links!AV176*EXP((-(Links!R176/Links!BK176)^Links!BZ176)/Links!BZ176)-Links!AG176)+(ATM_Conf!$C$5/Links!R$191)*Links!AG176*(Nodes!BB176-Links!AG176)-(ATM_Conf!$C$9*ATM_Conf!$C$5/(ATM_Conf!$C$8*Links!R$191))*(Nodes!BP176-Links!R176)/(Links!R176/ATM_Conf!$C$10)</f>
        <v>#DIV/0!</v>
      </c>
      <c r="AH177" s="45" t="e">
        <f>AH176+(ATM_Conf!$C$5/ATM_Conf!$C$8)*(Links!AW176*EXP((-(Links!S176/Links!BL176)^Links!CA176)/Links!CA176)-Links!AH176)+(ATM_Conf!$C$5/Links!S$191)*Links!AH176*(Nodes!BC176-Links!AH176)-(ATM_Conf!$C$9*ATM_Conf!$C$5/(ATM_Conf!$C$8*Links!S$191))*(Nodes!BQ176-Links!S176)/(Links!S176/ATM_Conf!$C$10)</f>
        <v>#DIV/0!</v>
      </c>
      <c r="AI177" s="45" t="e">
        <f>AI176+(ATM_Conf!$C$5/ATM_Conf!$C$8)*(Links!AX176*EXP((-(Links!T176/Links!BM176)^Links!CB176)/Links!CB176)-Links!AI176)+(ATM_Conf!$C$5/Links!T$191)*Links!AI176*(Nodes!BD176-Links!AI176)-(ATM_Conf!$C$9*ATM_Conf!$C$5/(ATM_Conf!$C$8*Links!T$191))*(Nodes!BR176-Links!T176)/(Links!T176/ATM_Conf!$C$10)</f>
        <v>#DIV/0!</v>
      </c>
      <c r="AJ177" s="45" t="e">
        <f>AJ176+(ATM_Conf!$C$5/ATM_Conf!$C$8)*(Links!AY176*EXP((-(Links!U176/Links!BN176)^Links!CC176)/Links!CC176)-Links!AJ176)+(ATM_Conf!$C$5/Links!U$191)*Links!AJ176*(Nodes!BE176-Links!AJ176)-(ATM_Conf!$C$9*ATM_Conf!$C$5/(ATM_Conf!$C$8*Links!U$191))*(Nodes!BS176-Links!U176)/(Links!U176/ATM_Conf!$C$10)</f>
        <v>#DIV/0!</v>
      </c>
      <c r="AK177" s="45" t="e">
        <f>AK176+(ATM_Conf!$C$5/ATM_Conf!$C$8)*(Links!AZ176*EXP((-(Links!V176/Links!BO176)^Links!CD176)/Links!CD176)-Links!AK176)+(ATM_Conf!$C$5/Links!V$191)*Links!AK176*(Nodes!BF176-Links!AK176)-(ATM_Conf!$C$9*ATM_Conf!$C$5/(ATM_Conf!$C$8*Links!V$191))*(Nodes!BT176-Links!V176)/(Links!V176/ATM_Conf!$C$10)</f>
        <v>#DIV/0!</v>
      </c>
      <c r="AL177" s="45" t="e">
        <f>AL176+(ATM_Conf!$C$5/ATM_Conf!$C$8)*(Links!BA176*EXP((-(Links!W176/Links!BP176)^Links!CE176)/Links!CE176)-Links!AL176)+(ATM_Conf!$C$5/Links!W$191)*Links!AL176*(Nodes!BG176-Links!AL176)-(ATM_Conf!$C$9*ATM_Conf!$C$5/(ATM_Conf!$C$8*Links!W$191))*(Nodes!BU176-Links!W176)/(Links!W176/ATM_Conf!$C$10)</f>
        <v>#DIV/0!</v>
      </c>
      <c r="AM177" s="45" t="e">
        <f>AM176+(ATM_Conf!$C$5/ATM_Conf!$C$8)*(Links!BB176*EXP((-(Links!X176/Links!BQ176)^Links!CF176)/Links!CF176)-Links!AM176)+(ATM_Conf!$C$5/Links!X$191)*Links!AM176*(Nodes!BH176-Links!AM176)</f>
        <v>#DIV/0!</v>
      </c>
      <c r="AN177" s="45" t="e">
        <f>AN176+(ATM_Conf!$C$5/ATM_Conf!$C$8)*(Links!BC176*EXP((-(Links!Y176/Links!BR176)^Links!CG176)/Links!CG176)-Links!AN176)-(ATM_Conf!$C$9*ATM_Conf!$C$5/(ATM_Conf!$C$8*Links!Y$191))*(Nodes!BV176-Links!Y176)/(Links!Y176/ATM_Conf!$C$10)</f>
        <v>#DIV/0!</v>
      </c>
      <c r="AO177" s="45" t="e">
        <f>AO176+(ATM_Conf!$C$5/ATM_Conf!$C$8)*(Links!BD176*EXP((-(Links!Z176/Links!BS176)^Links!CH176)/Links!CH176)-Links!AO176)+(ATM_Conf!$C$5/Links!Z$191)*Links!AO176*(Nodes!BI176-Links!AO176)-(ATM_Conf!$C$9*ATM_Conf!$C$5/(ATM_Conf!$C$8*Links!Z$191))*(Nodes!BW176-Links!Z176)/(Links!Z176/ATM_Conf!$C$10)</f>
        <v>#DIV/0!</v>
      </c>
      <c r="AP177" s="45" t="e">
        <f>AP176+(ATM_Conf!$C$5/ATM_Conf!$C$8)*(Links!BE176*EXP((-(Links!AA176/Links!BT176)^Links!CI176)/Links!CI176)-Links!AP176)+(ATM_Conf!$C$5/Links!AA$191)*Links!AP176*(Nodes!BJ176-Links!AP176)-(ATM_Conf!$C$9*ATM_Conf!$C$5/(ATM_Conf!$C$8*Links!AA$191))*(Nodes!BX176-Links!AA176)/(Links!AA176/ATM_Conf!$C$10)</f>
        <v>#DIV/0!</v>
      </c>
      <c r="AQ177" s="45" t="e">
        <f>AQ176+(ATM_Conf!$C$5/ATM_Conf!$C$8)*(Links!BF176*EXP((-(Links!AB176/Links!BU176)^Links!CJ176)/Links!CJ176)-Links!AQ176)+(ATM_Conf!$C$5/Links!AB$191)*Links!AQ176*(Nodes!BK176-Links!AQ176)-(ATM_Conf!$C$9*ATM_Conf!$C$5/(ATM_Conf!$C$8*Links!AB$191))*(Nodes!BY176-Links!AB176)/(Links!AB176/ATM_Conf!$C$10)</f>
        <v>#DIV/0!</v>
      </c>
      <c r="AR177" s="45" t="e">
        <f>AR176+(ATM_Conf!$C$5/ATM_Conf!$C$8)*(Links!BG176*EXP((-(Links!AC176/Links!BV176)^Links!CK176)/Links!CK176)-Links!AR176)+(ATM_Conf!$C$5/Links!AC$191)*Links!AR176*(Nodes!BL176-Links!AR176)-(ATM_Conf!$C$9*ATM_Conf!$C$5/(ATM_Conf!$C$8*Links!AC$191))*(Nodes!BZ176-Links!AC176)/(Links!AC176/ATM_Conf!$C$10)</f>
        <v>#DIV/0!</v>
      </c>
      <c r="AS177" s="45" t="e">
        <f>AS176+(ATM_Conf!$C$5/ATM_Conf!$C$8)*(Links!BH176*EXP((-(Links!AD176/Links!BW176)^Links!CL176)/Links!CL176)-Links!AS176)+(ATM_Conf!$C$5/Links!AD$191)*Links!AS176*(Nodes!BM176-Links!AS176)-(ATM_Conf!$C$9*ATM_Conf!$C$5/(ATM_Conf!$C$8*Links!AD$191))*(Nodes!CA176-Links!AD176)/(Links!AD176/ATM_Conf!$C$10)</f>
        <v>#DIV/0!</v>
      </c>
      <c r="AT177" s="45" t="e">
        <f>AT176+(ATM_Conf!$C$5/ATM_Conf!$C$8)*(Links!BI176*EXP((-(Links!AE176/Links!BX176)^Links!CM176)/Links!CM176)-Links!AT176)+(ATM_Conf!$C$5/Links!AE$191)*Links!AT176*(Nodes!BN176-Links!AT176)</f>
        <v>#DIV/0!</v>
      </c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  <c r="BI177" s="55"/>
      <c r="BJ177" s="45"/>
      <c r="BK177" s="45"/>
      <c r="BL177" s="45"/>
      <c r="BM177" s="45"/>
      <c r="BN177" s="45"/>
      <c r="BO177" s="45"/>
      <c r="BP177" s="45"/>
      <c r="BQ177" s="45"/>
      <c r="BR177" s="45"/>
      <c r="BS177" s="45"/>
      <c r="BT177" s="45"/>
      <c r="BU177" s="45"/>
      <c r="BV177" s="45"/>
      <c r="BW177" s="45"/>
      <c r="BX177" s="45"/>
      <c r="BY177" s="55"/>
      <c r="BZ177" s="55"/>
      <c r="CA177" s="55"/>
      <c r="CB177" s="55"/>
      <c r="CC177" s="55"/>
      <c r="CD177" s="55"/>
      <c r="CE177" s="55"/>
      <c r="CF177" s="55"/>
      <c r="CG177" s="55"/>
      <c r="CH177" s="55"/>
      <c r="CI177" s="55"/>
      <c r="CJ177" s="55"/>
      <c r="CK177" s="55"/>
      <c r="CL177" s="55"/>
      <c r="CM177" s="55"/>
      <c r="CN177" s="45">
        <f t="shared" si="90"/>
        <v>0</v>
      </c>
      <c r="CO177" s="45">
        <f t="shared" si="90"/>
        <v>0</v>
      </c>
      <c r="CP177" s="45">
        <f t="shared" si="90"/>
        <v>0</v>
      </c>
      <c r="CQ177" s="45">
        <f t="shared" si="90"/>
        <v>0</v>
      </c>
      <c r="CR177" s="45">
        <f t="shared" si="90"/>
        <v>0</v>
      </c>
      <c r="CS177" s="45">
        <f t="shared" si="90"/>
        <v>0</v>
      </c>
      <c r="CT177" s="45">
        <f t="shared" si="90"/>
        <v>0</v>
      </c>
      <c r="CU177" s="45">
        <f t="shared" si="90"/>
        <v>0</v>
      </c>
      <c r="CV177" s="45">
        <f t="shared" si="90"/>
        <v>0</v>
      </c>
      <c r="CW177" s="45">
        <f t="shared" si="90"/>
        <v>0</v>
      </c>
      <c r="CX177" s="45">
        <f t="shared" si="90"/>
        <v>0</v>
      </c>
      <c r="CY177" s="45">
        <f t="shared" si="90"/>
        <v>0</v>
      </c>
      <c r="CZ177" s="45">
        <f t="shared" si="90"/>
        <v>0</v>
      </c>
      <c r="DA177" s="45">
        <f t="shared" si="90"/>
        <v>0</v>
      </c>
      <c r="DB177" s="45">
        <f t="shared" si="90"/>
        <v>0</v>
      </c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</row>
    <row r="178" spans="1:121" ht="14.25" x14ac:dyDescent="0.15">
      <c r="A178" s="48">
        <v>176</v>
      </c>
      <c r="B178" s="45" t="e">
        <f t="shared" si="64"/>
        <v>#DIV/0!</v>
      </c>
      <c r="C178" s="45" t="e">
        <f t="shared" si="65"/>
        <v>#DIV/0!</v>
      </c>
      <c r="D178" s="45" t="e">
        <f t="shared" si="66"/>
        <v>#DIV/0!</v>
      </c>
      <c r="E178" s="45" t="e">
        <f t="shared" si="67"/>
        <v>#DIV/0!</v>
      </c>
      <c r="F178" s="45" t="e">
        <f t="shared" si="68"/>
        <v>#DIV/0!</v>
      </c>
      <c r="G178" s="45" t="e">
        <f t="shared" si="69"/>
        <v>#DIV/0!</v>
      </c>
      <c r="H178" s="45" t="e">
        <f t="shared" si="70"/>
        <v>#DIV/0!</v>
      </c>
      <c r="I178" s="45" t="e">
        <f t="shared" si="71"/>
        <v>#DIV/0!</v>
      </c>
      <c r="J178" s="45" t="e">
        <f t="shared" si="72"/>
        <v>#DIV/0!</v>
      </c>
      <c r="K178" s="45" t="e">
        <f t="shared" si="73"/>
        <v>#DIV/0!</v>
      </c>
      <c r="L178" s="45" t="e">
        <f t="shared" si="74"/>
        <v>#DIV/0!</v>
      </c>
      <c r="M178" s="45" t="e">
        <f t="shared" si="75"/>
        <v>#DIV/0!</v>
      </c>
      <c r="N178" s="45" t="e">
        <f t="shared" si="76"/>
        <v>#DIV/0!</v>
      </c>
      <c r="O178" s="45" t="e">
        <f t="shared" si="77"/>
        <v>#DIV/0!</v>
      </c>
      <c r="P178" s="45" t="e">
        <f t="shared" si="78"/>
        <v>#DIV/0!</v>
      </c>
      <c r="Q178" s="55" t="e">
        <f>Q177+ATM_Conf!$C$5*(B177)/(Links!B$191*Links!Q$191)</f>
        <v>#DIV/0!</v>
      </c>
      <c r="R178" s="55" t="e">
        <f>R177+ATM_Conf!$C$5*(C177-B177)/(Links!C$191*Links!R$191)</f>
        <v>#DIV/0!</v>
      </c>
      <c r="S178" s="55" t="e">
        <f>S177+ATM_Conf!$C$5*(D177-C177)/(Links!D$191*Links!S$191)</f>
        <v>#DIV/0!</v>
      </c>
      <c r="T178" s="55" t="e">
        <f>T177+ATM_Conf!$C$5*(E177-D177)/(Links!E$191*Links!T$191)</f>
        <v>#DIV/0!</v>
      </c>
      <c r="U178" s="55" t="e">
        <f>U177+ATM_Conf!$C$5*(F177-E177)/(Links!F$191*Links!U$191)</f>
        <v>#DIV/0!</v>
      </c>
      <c r="V178" s="55" t="e">
        <f>V177+ATM_Conf!$C$5*(G177-F177)/(Links!G$191*Links!V$191)</f>
        <v>#DIV/0!</v>
      </c>
      <c r="W178" s="55" t="e">
        <f>W177+ATM_Conf!$C$5*(H177-G177)/(Links!H$191*Links!W$191)</f>
        <v>#DIV/0!</v>
      </c>
      <c r="X178" s="55" t="e">
        <f>X177+ATM_Conf!$C$5*(I177-H177)/(Links!I$191*Links!X$191)</f>
        <v>#DIV/0!</v>
      </c>
      <c r="Y178" s="55" t="e">
        <f>Y177+ATM_Conf!$C$5*(J177)/(Links!J$191*Links!Y$191)</f>
        <v>#DIV/0!</v>
      </c>
      <c r="Z178" s="55" t="e">
        <f>Z177+ATM_Conf!$C$5*(K177-J177)/(Links!K$191*Links!Z$191)</f>
        <v>#DIV/0!</v>
      </c>
      <c r="AA178" s="55" t="e">
        <f>AA177+ATM_Conf!$C$5*(L177-K177)/(Links!L$191*Links!AA$191)</f>
        <v>#DIV/0!</v>
      </c>
      <c r="AB178" s="55" t="e">
        <f>AB177+ATM_Conf!$C$5*(M177-L177)/(Links!M$191*Links!AB$191)</f>
        <v>#DIV/0!</v>
      </c>
      <c r="AC178" s="55" t="e">
        <f>AC177+ATM_Conf!$C$5*(N177-M177)/(Links!N$191*Links!AC$191)</f>
        <v>#DIV/0!</v>
      </c>
      <c r="AD178" s="55" t="e">
        <f>AD177+ATM_Conf!$C$5*(O177-N177)/(Links!O$191*Links!AD$191)</f>
        <v>#DIV/0!</v>
      </c>
      <c r="AE178" s="55" t="e">
        <f>AE177+ATM_Conf!$C$5*(P177-O177)/(Links!P$191*Links!AE$191)</f>
        <v>#DIV/0!</v>
      </c>
      <c r="AF178" s="45" t="e">
        <f>AF177+(ATM_Conf!$C$5/ATM_Conf!$C$8)*(Links!AU177*EXP((-(Links!Q177/Links!BJ177)^Links!BY177)/Links!BY177)-Links!AF177)-(ATM_Conf!$C$9*ATM_Conf!$C$5/(ATM_Conf!$C$8*Links!Q$191))*(Nodes!BO177-Links!Q177)/(Links!Q177/ATM_Conf!$C$10)</f>
        <v>#DIV/0!</v>
      </c>
      <c r="AG178" s="45" t="e">
        <f>AG177+(ATM_Conf!$C$5/ATM_Conf!$C$8)*(Links!AV177*EXP((-(Links!R177/Links!BK177)^Links!BZ177)/Links!BZ177)-Links!AG177)+(ATM_Conf!$C$5/Links!R$191)*Links!AG177*(Nodes!BB177-Links!AG177)-(ATM_Conf!$C$9*ATM_Conf!$C$5/(ATM_Conf!$C$8*Links!R$191))*(Nodes!BP177-Links!R177)/(Links!R177/ATM_Conf!$C$10)</f>
        <v>#DIV/0!</v>
      </c>
      <c r="AH178" s="45" t="e">
        <f>AH177+(ATM_Conf!$C$5/ATM_Conf!$C$8)*(Links!AW177*EXP((-(Links!S177/Links!BL177)^Links!CA177)/Links!CA177)-Links!AH177)+(ATM_Conf!$C$5/Links!S$191)*Links!AH177*(Nodes!BC177-Links!AH177)-(ATM_Conf!$C$9*ATM_Conf!$C$5/(ATM_Conf!$C$8*Links!S$191))*(Nodes!BQ177-Links!S177)/(Links!S177/ATM_Conf!$C$10)</f>
        <v>#DIV/0!</v>
      </c>
      <c r="AI178" s="45" t="e">
        <f>AI177+(ATM_Conf!$C$5/ATM_Conf!$C$8)*(Links!AX177*EXP((-(Links!T177/Links!BM177)^Links!CB177)/Links!CB177)-Links!AI177)+(ATM_Conf!$C$5/Links!T$191)*Links!AI177*(Nodes!BD177-Links!AI177)-(ATM_Conf!$C$9*ATM_Conf!$C$5/(ATM_Conf!$C$8*Links!T$191))*(Nodes!BR177-Links!T177)/(Links!T177/ATM_Conf!$C$10)</f>
        <v>#DIV/0!</v>
      </c>
      <c r="AJ178" s="45" t="e">
        <f>AJ177+(ATM_Conf!$C$5/ATM_Conf!$C$8)*(Links!AY177*EXP((-(Links!U177/Links!BN177)^Links!CC177)/Links!CC177)-Links!AJ177)+(ATM_Conf!$C$5/Links!U$191)*Links!AJ177*(Nodes!BE177-Links!AJ177)-(ATM_Conf!$C$9*ATM_Conf!$C$5/(ATM_Conf!$C$8*Links!U$191))*(Nodes!BS177-Links!U177)/(Links!U177/ATM_Conf!$C$10)</f>
        <v>#DIV/0!</v>
      </c>
      <c r="AK178" s="45" t="e">
        <f>AK177+(ATM_Conf!$C$5/ATM_Conf!$C$8)*(Links!AZ177*EXP((-(Links!V177/Links!BO177)^Links!CD177)/Links!CD177)-Links!AK177)+(ATM_Conf!$C$5/Links!V$191)*Links!AK177*(Nodes!BF177-Links!AK177)-(ATM_Conf!$C$9*ATM_Conf!$C$5/(ATM_Conf!$C$8*Links!V$191))*(Nodes!BT177-Links!V177)/(Links!V177/ATM_Conf!$C$10)</f>
        <v>#DIV/0!</v>
      </c>
      <c r="AL178" s="45" t="e">
        <f>AL177+(ATM_Conf!$C$5/ATM_Conf!$C$8)*(Links!BA177*EXP((-(Links!W177/Links!BP177)^Links!CE177)/Links!CE177)-Links!AL177)+(ATM_Conf!$C$5/Links!W$191)*Links!AL177*(Nodes!BG177-Links!AL177)-(ATM_Conf!$C$9*ATM_Conf!$C$5/(ATM_Conf!$C$8*Links!W$191))*(Nodes!BU177-Links!W177)/(Links!W177/ATM_Conf!$C$10)</f>
        <v>#DIV/0!</v>
      </c>
      <c r="AM178" s="45" t="e">
        <f>AM177+(ATM_Conf!$C$5/ATM_Conf!$C$8)*(Links!BB177*EXP((-(Links!X177/Links!BQ177)^Links!CF177)/Links!CF177)-Links!AM177)+(ATM_Conf!$C$5/Links!X$191)*Links!AM177*(Nodes!BH177-Links!AM177)</f>
        <v>#DIV/0!</v>
      </c>
      <c r="AN178" s="45" t="e">
        <f>AN177+(ATM_Conf!$C$5/ATM_Conf!$C$8)*(Links!BC177*EXP((-(Links!Y177/Links!BR177)^Links!CG177)/Links!CG177)-Links!AN177)-(ATM_Conf!$C$9*ATM_Conf!$C$5/(ATM_Conf!$C$8*Links!Y$191))*(Nodes!BV177-Links!Y177)/(Links!Y177/ATM_Conf!$C$10)</f>
        <v>#DIV/0!</v>
      </c>
      <c r="AO178" s="45" t="e">
        <f>AO177+(ATM_Conf!$C$5/ATM_Conf!$C$8)*(Links!BD177*EXP((-(Links!Z177/Links!BS177)^Links!CH177)/Links!CH177)-Links!AO177)+(ATM_Conf!$C$5/Links!Z$191)*Links!AO177*(Nodes!BI177-Links!AO177)-(ATM_Conf!$C$9*ATM_Conf!$C$5/(ATM_Conf!$C$8*Links!Z$191))*(Nodes!BW177-Links!Z177)/(Links!Z177/ATM_Conf!$C$10)</f>
        <v>#DIV/0!</v>
      </c>
      <c r="AP178" s="45" t="e">
        <f>AP177+(ATM_Conf!$C$5/ATM_Conf!$C$8)*(Links!BE177*EXP((-(Links!AA177/Links!BT177)^Links!CI177)/Links!CI177)-Links!AP177)+(ATM_Conf!$C$5/Links!AA$191)*Links!AP177*(Nodes!BJ177-Links!AP177)-(ATM_Conf!$C$9*ATM_Conf!$C$5/(ATM_Conf!$C$8*Links!AA$191))*(Nodes!BX177-Links!AA177)/(Links!AA177/ATM_Conf!$C$10)</f>
        <v>#DIV/0!</v>
      </c>
      <c r="AQ178" s="45" t="e">
        <f>AQ177+(ATM_Conf!$C$5/ATM_Conf!$C$8)*(Links!BF177*EXP((-(Links!AB177/Links!BU177)^Links!CJ177)/Links!CJ177)-Links!AQ177)+(ATM_Conf!$C$5/Links!AB$191)*Links!AQ177*(Nodes!BK177-Links!AQ177)-(ATM_Conf!$C$9*ATM_Conf!$C$5/(ATM_Conf!$C$8*Links!AB$191))*(Nodes!BY177-Links!AB177)/(Links!AB177/ATM_Conf!$C$10)</f>
        <v>#DIV/0!</v>
      </c>
      <c r="AR178" s="45" t="e">
        <f>AR177+(ATM_Conf!$C$5/ATM_Conf!$C$8)*(Links!BG177*EXP((-(Links!AC177/Links!BV177)^Links!CK177)/Links!CK177)-Links!AR177)+(ATM_Conf!$C$5/Links!AC$191)*Links!AR177*(Nodes!BL177-Links!AR177)-(ATM_Conf!$C$9*ATM_Conf!$C$5/(ATM_Conf!$C$8*Links!AC$191))*(Nodes!BZ177-Links!AC177)/(Links!AC177/ATM_Conf!$C$10)</f>
        <v>#DIV/0!</v>
      </c>
      <c r="AS178" s="45" t="e">
        <f>AS177+(ATM_Conf!$C$5/ATM_Conf!$C$8)*(Links!BH177*EXP((-(Links!AD177/Links!BW177)^Links!CL177)/Links!CL177)-Links!AS177)+(ATM_Conf!$C$5/Links!AD$191)*Links!AS177*(Nodes!BM177-Links!AS177)-(ATM_Conf!$C$9*ATM_Conf!$C$5/(ATM_Conf!$C$8*Links!AD$191))*(Nodes!CA177-Links!AD177)/(Links!AD177/ATM_Conf!$C$10)</f>
        <v>#DIV/0!</v>
      </c>
      <c r="AT178" s="45" t="e">
        <f>AT177+(ATM_Conf!$C$5/ATM_Conf!$C$8)*(Links!BI177*EXP((-(Links!AE177/Links!BX177)^Links!CM177)/Links!CM177)-Links!AT177)+(ATM_Conf!$C$5/Links!AE$191)*Links!AT177*(Nodes!BN177-Links!AT177)</f>
        <v>#DIV/0!</v>
      </c>
      <c r="AU178" s="55"/>
      <c r="AV178" s="55"/>
      <c r="AW178" s="55"/>
      <c r="AX178" s="55"/>
      <c r="AY178" s="55"/>
      <c r="AZ178" s="55"/>
      <c r="BA178" s="55"/>
      <c r="BB178" s="55"/>
      <c r="BC178" s="55"/>
      <c r="BD178" s="55"/>
      <c r="BE178" s="55"/>
      <c r="BF178" s="55"/>
      <c r="BG178" s="55"/>
      <c r="BH178" s="55"/>
      <c r="BI178" s="5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45">
        <f t="shared" si="90"/>
        <v>0</v>
      </c>
      <c r="CO178" s="45">
        <f t="shared" si="90"/>
        <v>0</v>
      </c>
      <c r="CP178" s="45">
        <f t="shared" si="90"/>
        <v>0</v>
      </c>
      <c r="CQ178" s="45">
        <f t="shared" si="90"/>
        <v>0</v>
      </c>
      <c r="CR178" s="45">
        <f t="shared" si="90"/>
        <v>0</v>
      </c>
      <c r="CS178" s="45">
        <f t="shared" si="90"/>
        <v>0</v>
      </c>
      <c r="CT178" s="45">
        <f t="shared" si="90"/>
        <v>0</v>
      </c>
      <c r="CU178" s="45">
        <f t="shared" si="90"/>
        <v>0</v>
      </c>
      <c r="CV178" s="45">
        <f t="shared" si="90"/>
        <v>0</v>
      </c>
      <c r="CW178" s="45">
        <f t="shared" si="90"/>
        <v>0</v>
      </c>
      <c r="CX178" s="45">
        <f t="shared" si="90"/>
        <v>0</v>
      </c>
      <c r="CY178" s="45">
        <f t="shared" si="90"/>
        <v>0</v>
      </c>
      <c r="CZ178" s="45">
        <f t="shared" si="90"/>
        <v>0</v>
      </c>
      <c r="DA178" s="45">
        <f t="shared" si="90"/>
        <v>0</v>
      </c>
      <c r="DB178" s="45">
        <f t="shared" si="90"/>
        <v>0</v>
      </c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</row>
    <row r="179" spans="1:121" ht="14.25" x14ac:dyDescent="0.15">
      <c r="A179" s="48">
        <v>177</v>
      </c>
      <c r="B179" s="45" t="e">
        <f t="shared" si="64"/>
        <v>#DIV/0!</v>
      </c>
      <c r="C179" s="45" t="e">
        <f t="shared" si="65"/>
        <v>#DIV/0!</v>
      </c>
      <c r="D179" s="45" t="e">
        <f t="shared" si="66"/>
        <v>#DIV/0!</v>
      </c>
      <c r="E179" s="45" t="e">
        <f t="shared" si="67"/>
        <v>#DIV/0!</v>
      </c>
      <c r="F179" s="45" t="e">
        <f t="shared" si="68"/>
        <v>#DIV/0!</v>
      </c>
      <c r="G179" s="45" t="e">
        <f t="shared" si="69"/>
        <v>#DIV/0!</v>
      </c>
      <c r="H179" s="45" t="e">
        <f t="shared" si="70"/>
        <v>#DIV/0!</v>
      </c>
      <c r="I179" s="45" t="e">
        <f t="shared" si="71"/>
        <v>#DIV/0!</v>
      </c>
      <c r="J179" s="45" t="e">
        <f t="shared" si="72"/>
        <v>#DIV/0!</v>
      </c>
      <c r="K179" s="45" t="e">
        <f t="shared" si="73"/>
        <v>#DIV/0!</v>
      </c>
      <c r="L179" s="45" t="e">
        <f t="shared" si="74"/>
        <v>#DIV/0!</v>
      </c>
      <c r="M179" s="45" t="e">
        <f t="shared" si="75"/>
        <v>#DIV/0!</v>
      </c>
      <c r="N179" s="45" t="e">
        <f t="shared" si="76"/>
        <v>#DIV/0!</v>
      </c>
      <c r="O179" s="45" t="e">
        <f t="shared" si="77"/>
        <v>#DIV/0!</v>
      </c>
      <c r="P179" s="45" t="e">
        <f t="shared" si="78"/>
        <v>#DIV/0!</v>
      </c>
      <c r="Q179" s="55" t="e">
        <f>Q178+ATM_Conf!$C$5*(B178)/(Links!B$191*Links!Q$191)</f>
        <v>#DIV/0!</v>
      </c>
      <c r="R179" s="55" t="e">
        <f>R178+ATM_Conf!$C$5*(C178-B178)/(Links!C$191*Links!R$191)</f>
        <v>#DIV/0!</v>
      </c>
      <c r="S179" s="55" t="e">
        <f>S178+ATM_Conf!$C$5*(D178-C178)/(Links!D$191*Links!S$191)</f>
        <v>#DIV/0!</v>
      </c>
      <c r="T179" s="55" t="e">
        <f>T178+ATM_Conf!$C$5*(E178-D178)/(Links!E$191*Links!T$191)</f>
        <v>#DIV/0!</v>
      </c>
      <c r="U179" s="55" t="e">
        <f>U178+ATM_Conf!$C$5*(F178-E178)/(Links!F$191*Links!U$191)</f>
        <v>#DIV/0!</v>
      </c>
      <c r="V179" s="55" t="e">
        <f>V178+ATM_Conf!$C$5*(G178-F178)/(Links!G$191*Links!V$191)</f>
        <v>#DIV/0!</v>
      </c>
      <c r="W179" s="55" t="e">
        <f>W178+ATM_Conf!$C$5*(H178-G178)/(Links!H$191*Links!W$191)</f>
        <v>#DIV/0!</v>
      </c>
      <c r="X179" s="55" t="e">
        <f>X178+ATM_Conf!$C$5*(I178-H178)/(Links!I$191*Links!X$191)</f>
        <v>#DIV/0!</v>
      </c>
      <c r="Y179" s="55" t="e">
        <f>Y178+ATM_Conf!$C$5*(J178)/(Links!J$191*Links!Y$191)</f>
        <v>#DIV/0!</v>
      </c>
      <c r="Z179" s="55" t="e">
        <f>Z178+ATM_Conf!$C$5*(K178-J178)/(Links!K$191*Links!Z$191)</f>
        <v>#DIV/0!</v>
      </c>
      <c r="AA179" s="55" t="e">
        <f>AA178+ATM_Conf!$C$5*(L178-K178)/(Links!L$191*Links!AA$191)</f>
        <v>#DIV/0!</v>
      </c>
      <c r="AB179" s="55" t="e">
        <f>AB178+ATM_Conf!$C$5*(M178-L178)/(Links!M$191*Links!AB$191)</f>
        <v>#DIV/0!</v>
      </c>
      <c r="AC179" s="55" t="e">
        <f>AC178+ATM_Conf!$C$5*(N178-M178)/(Links!N$191*Links!AC$191)</f>
        <v>#DIV/0!</v>
      </c>
      <c r="AD179" s="55" t="e">
        <f>AD178+ATM_Conf!$C$5*(O178-N178)/(Links!O$191*Links!AD$191)</f>
        <v>#DIV/0!</v>
      </c>
      <c r="AE179" s="55" t="e">
        <f>AE178+ATM_Conf!$C$5*(P178-O178)/(Links!P$191*Links!AE$191)</f>
        <v>#DIV/0!</v>
      </c>
      <c r="AF179" s="45" t="e">
        <f>AF178+(ATM_Conf!$C$5/ATM_Conf!$C$8)*(Links!AU178*EXP((-(Links!Q178/Links!BJ178)^Links!BY178)/Links!BY178)-Links!AF178)-(ATM_Conf!$C$9*ATM_Conf!$C$5/(ATM_Conf!$C$8*Links!Q$191))*(Nodes!BO178-Links!Q178)/(Links!Q178/ATM_Conf!$C$10)</f>
        <v>#DIV/0!</v>
      </c>
      <c r="AG179" s="45" t="e">
        <f>AG178+(ATM_Conf!$C$5/ATM_Conf!$C$8)*(Links!AV178*EXP((-(Links!R178/Links!BK178)^Links!BZ178)/Links!BZ178)-Links!AG178)+(ATM_Conf!$C$5/Links!R$191)*Links!AG178*(Nodes!BB178-Links!AG178)-(ATM_Conf!$C$9*ATM_Conf!$C$5/(ATM_Conf!$C$8*Links!R$191))*(Nodes!BP178-Links!R178)/(Links!R178/ATM_Conf!$C$10)</f>
        <v>#DIV/0!</v>
      </c>
      <c r="AH179" s="45" t="e">
        <f>AH178+(ATM_Conf!$C$5/ATM_Conf!$C$8)*(Links!AW178*EXP((-(Links!S178/Links!BL178)^Links!CA178)/Links!CA178)-Links!AH178)+(ATM_Conf!$C$5/Links!S$191)*Links!AH178*(Nodes!BC178-Links!AH178)-(ATM_Conf!$C$9*ATM_Conf!$C$5/(ATM_Conf!$C$8*Links!S$191))*(Nodes!BQ178-Links!S178)/(Links!S178/ATM_Conf!$C$10)</f>
        <v>#DIV/0!</v>
      </c>
      <c r="AI179" s="45" t="e">
        <f>AI178+(ATM_Conf!$C$5/ATM_Conf!$C$8)*(Links!AX178*EXP((-(Links!T178/Links!BM178)^Links!CB178)/Links!CB178)-Links!AI178)+(ATM_Conf!$C$5/Links!T$191)*Links!AI178*(Nodes!BD178-Links!AI178)-(ATM_Conf!$C$9*ATM_Conf!$C$5/(ATM_Conf!$C$8*Links!T$191))*(Nodes!BR178-Links!T178)/(Links!T178/ATM_Conf!$C$10)</f>
        <v>#DIV/0!</v>
      </c>
      <c r="AJ179" s="45" t="e">
        <f>AJ178+(ATM_Conf!$C$5/ATM_Conf!$C$8)*(Links!AY178*EXP((-(Links!U178/Links!BN178)^Links!CC178)/Links!CC178)-Links!AJ178)+(ATM_Conf!$C$5/Links!U$191)*Links!AJ178*(Nodes!BE178-Links!AJ178)-(ATM_Conf!$C$9*ATM_Conf!$C$5/(ATM_Conf!$C$8*Links!U$191))*(Nodes!BS178-Links!U178)/(Links!U178/ATM_Conf!$C$10)</f>
        <v>#DIV/0!</v>
      </c>
      <c r="AK179" s="45" t="e">
        <f>AK178+(ATM_Conf!$C$5/ATM_Conf!$C$8)*(Links!AZ178*EXP((-(Links!V178/Links!BO178)^Links!CD178)/Links!CD178)-Links!AK178)+(ATM_Conf!$C$5/Links!V$191)*Links!AK178*(Nodes!BF178-Links!AK178)-(ATM_Conf!$C$9*ATM_Conf!$C$5/(ATM_Conf!$C$8*Links!V$191))*(Nodes!BT178-Links!V178)/(Links!V178/ATM_Conf!$C$10)</f>
        <v>#DIV/0!</v>
      </c>
      <c r="AL179" s="45" t="e">
        <f>AL178+(ATM_Conf!$C$5/ATM_Conf!$C$8)*(Links!BA178*EXP((-(Links!W178/Links!BP178)^Links!CE178)/Links!CE178)-Links!AL178)+(ATM_Conf!$C$5/Links!W$191)*Links!AL178*(Nodes!BG178-Links!AL178)-(ATM_Conf!$C$9*ATM_Conf!$C$5/(ATM_Conf!$C$8*Links!W$191))*(Nodes!BU178-Links!W178)/(Links!W178/ATM_Conf!$C$10)</f>
        <v>#DIV/0!</v>
      </c>
      <c r="AM179" s="45" t="e">
        <f>AM178+(ATM_Conf!$C$5/ATM_Conf!$C$8)*(Links!BB178*EXP((-(Links!X178/Links!BQ178)^Links!CF178)/Links!CF178)-Links!AM178)+(ATM_Conf!$C$5/Links!X$191)*Links!AM178*(Nodes!BH178-Links!AM178)</f>
        <v>#DIV/0!</v>
      </c>
      <c r="AN179" s="45" t="e">
        <f>AN178+(ATM_Conf!$C$5/ATM_Conf!$C$8)*(Links!BC178*EXP((-(Links!Y178/Links!BR178)^Links!CG178)/Links!CG178)-Links!AN178)-(ATM_Conf!$C$9*ATM_Conf!$C$5/(ATM_Conf!$C$8*Links!Y$191))*(Nodes!BV178-Links!Y178)/(Links!Y178/ATM_Conf!$C$10)</f>
        <v>#DIV/0!</v>
      </c>
      <c r="AO179" s="45" t="e">
        <f>AO178+(ATM_Conf!$C$5/ATM_Conf!$C$8)*(Links!BD178*EXP((-(Links!Z178/Links!BS178)^Links!CH178)/Links!CH178)-Links!AO178)+(ATM_Conf!$C$5/Links!Z$191)*Links!AO178*(Nodes!BI178-Links!AO178)-(ATM_Conf!$C$9*ATM_Conf!$C$5/(ATM_Conf!$C$8*Links!Z$191))*(Nodes!BW178-Links!Z178)/(Links!Z178/ATM_Conf!$C$10)</f>
        <v>#DIV/0!</v>
      </c>
      <c r="AP179" s="45" t="e">
        <f>AP178+(ATM_Conf!$C$5/ATM_Conf!$C$8)*(Links!BE178*EXP((-(Links!AA178/Links!BT178)^Links!CI178)/Links!CI178)-Links!AP178)+(ATM_Conf!$C$5/Links!AA$191)*Links!AP178*(Nodes!BJ178-Links!AP178)-(ATM_Conf!$C$9*ATM_Conf!$C$5/(ATM_Conf!$C$8*Links!AA$191))*(Nodes!BX178-Links!AA178)/(Links!AA178/ATM_Conf!$C$10)</f>
        <v>#DIV/0!</v>
      </c>
      <c r="AQ179" s="45" t="e">
        <f>AQ178+(ATM_Conf!$C$5/ATM_Conf!$C$8)*(Links!BF178*EXP((-(Links!AB178/Links!BU178)^Links!CJ178)/Links!CJ178)-Links!AQ178)+(ATM_Conf!$C$5/Links!AB$191)*Links!AQ178*(Nodes!BK178-Links!AQ178)-(ATM_Conf!$C$9*ATM_Conf!$C$5/(ATM_Conf!$C$8*Links!AB$191))*(Nodes!BY178-Links!AB178)/(Links!AB178/ATM_Conf!$C$10)</f>
        <v>#DIV/0!</v>
      </c>
      <c r="AR179" s="45" t="e">
        <f>AR178+(ATM_Conf!$C$5/ATM_Conf!$C$8)*(Links!BG178*EXP((-(Links!AC178/Links!BV178)^Links!CK178)/Links!CK178)-Links!AR178)+(ATM_Conf!$C$5/Links!AC$191)*Links!AR178*(Nodes!BL178-Links!AR178)-(ATM_Conf!$C$9*ATM_Conf!$C$5/(ATM_Conf!$C$8*Links!AC$191))*(Nodes!BZ178-Links!AC178)/(Links!AC178/ATM_Conf!$C$10)</f>
        <v>#DIV/0!</v>
      </c>
      <c r="AS179" s="45" t="e">
        <f>AS178+(ATM_Conf!$C$5/ATM_Conf!$C$8)*(Links!BH178*EXP((-(Links!AD178/Links!BW178)^Links!CL178)/Links!CL178)-Links!AS178)+(ATM_Conf!$C$5/Links!AD$191)*Links!AS178*(Nodes!BM178-Links!AS178)-(ATM_Conf!$C$9*ATM_Conf!$C$5/(ATM_Conf!$C$8*Links!AD$191))*(Nodes!CA178-Links!AD178)/(Links!AD178/ATM_Conf!$C$10)</f>
        <v>#DIV/0!</v>
      </c>
      <c r="AT179" s="45" t="e">
        <f>AT178+(ATM_Conf!$C$5/ATM_Conf!$C$8)*(Links!BI178*EXP((-(Links!AE178/Links!BX178)^Links!CM178)/Links!CM178)-Links!AT178)+(ATM_Conf!$C$5/Links!AE$191)*Links!AT178*(Nodes!BN178-Links!AT178)</f>
        <v>#DIV/0!</v>
      </c>
      <c r="AU179" s="55"/>
      <c r="AV179" s="55"/>
      <c r="AW179" s="55"/>
      <c r="AX179" s="55"/>
      <c r="AY179" s="55"/>
      <c r="AZ179" s="55"/>
      <c r="BA179" s="55"/>
      <c r="BB179" s="55"/>
      <c r="BC179" s="55"/>
      <c r="BD179" s="55"/>
      <c r="BE179" s="55"/>
      <c r="BF179" s="55"/>
      <c r="BG179" s="55"/>
      <c r="BH179" s="55"/>
      <c r="BI179" s="55"/>
      <c r="BJ179" s="45"/>
      <c r="BK179" s="45"/>
      <c r="BL179" s="45"/>
      <c r="BM179" s="45"/>
      <c r="BN179" s="45"/>
      <c r="BO179" s="45"/>
      <c r="BP179" s="45"/>
      <c r="BQ179" s="45"/>
      <c r="BR179" s="45"/>
      <c r="BS179" s="45"/>
      <c r="BT179" s="45"/>
      <c r="BU179" s="45"/>
      <c r="BV179" s="45"/>
      <c r="BW179" s="45"/>
      <c r="BX179" s="45"/>
      <c r="BY179" s="55"/>
      <c r="BZ179" s="55"/>
      <c r="CA179" s="55"/>
      <c r="CB179" s="55"/>
      <c r="CC179" s="55"/>
      <c r="CD179" s="55"/>
      <c r="CE179" s="55"/>
      <c r="CF179" s="55"/>
      <c r="CG179" s="55"/>
      <c r="CH179" s="55"/>
      <c r="CI179" s="55"/>
      <c r="CJ179" s="55"/>
      <c r="CK179" s="55"/>
      <c r="CL179" s="55"/>
      <c r="CM179" s="55"/>
      <c r="CN179" s="45">
        <f t="shared" si="90"/>
        <v>0</v>
      </c>
      <c r="CO179" s="45">
        <f t="shared" si="90"/>
        <v>0</v>
      </c>
      <c r="CP179" s="45">
        <f t="shared" si="90"/>
        <v>0</v>
      </c>
      <c r="CQ179" s="45">
        <f t="shared" si="90"/>
        <v>0</v>
      </c>
      <c r="CR179" s="45">
        <f t="shared" si="90"/>
        <v>0</v>
      </c>
      <c r="CS179" s="45">
        <f t="shared" si="90"/>
        <v>0</v>
      </c>
      <c r="CT179" s="45">
        <f t="shared" si="90"/>
        <v>0</v>
      </c>
      <c r="CU179" s="45">
        <f t="shared" si="90"/>
        <v>0</v>
      </c>
      <c r="CV179" s="45">
        <f t="shared" si="90"/>
        <v>0</v>
      </c>
      <c r="CW179" s="45">
        <f t="shared" si="90"/>
        <v>0</v>
      </c>
      <c r="CX179" s="45">
        <f t="shared" si="90"/>
        <v>0</v>
      </c>
      <c r="CY179" s="45">
        <f t="shared" si="90"/>
        <v>0</v>
      </c>
      <c r="CZ179" s="45">
        <f t="shared" si="90"/>
        <v>0</v>
      </c>
      <c r="DA179" s="45">
        <f t="shared" si="90"/>
        <v>0</v>
      </c>
      <c r="DB179" s="45">
        <f t="shared" si="90"/>
        <v>0</v>
      </c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</row>
    <row r="180" spans="1:121" ht="14.25" x14ac:dyDescent="0.15">
      <c r="A180" s="48">
        <v>178</v>
      </c>
      <c r="B180" s="45" t="e">
        <f t="shared" si="64"/>
        <v>#DIV/0!</v>
      </c>
      <c r="C180" s="45" t="e">
        <f t="shared" si="65"/>
        <v>#DIV/0!</v>
      </c>
      <c r="D180" s="45" t="e">
        <f t="shared" si="66"/>
        <v>#DIV/0!</v>
      </c>
      <c r="E180" s="45" t="e">
        <f t="shared" si="67"/>
        <v>#DIV/0!</v>
      </c>
      <c r="F180" s="45" t="e">
        <f t="shared" si="68"/>
        <v>#DIV/0!</v>
      </c>
      <c r="G180" s="45" t="e">
        <f t="shared" si="69"/>
        <v>#DIV/0!</v>
      </c>
      <c r="H180" s="45" t="e">
        <f t="shared" si="70"/>
        <v>#DIV/0!</v>
      </c>
      <c r="I180" s="45" t="e">
        <f t="shared" si="71"/>
        <v>#DIV/0!</v>
      </c>
      <c r="J180" s="45" t="e">
        <f t="shared" si="72"/>
        <v>#DIV/0!</v>
      </c>
      <c r="K180" s="45" t="e">
        <f t="shared" si="73"/>
        <v>#DIV/0!</v>
      </c>
      <c r="L180" s="45" t="e">
        <f t="shared" si="74"/>
        <v>#DIV/0!</v>
      </c>
      <c r="M180" s="45" t="e">
        <f t="shared" si="75"/>
        <v>#DIV/0!</v>
      </c>
      <c r="N180" s="45" t="e">
        <f t="shared" si="76"/>
        <v>#DIV/0!</v>
      </c>
      <c r="O180" s="45" t="e">
        <f t="shared" si="77"/>
        <v>#DIV/0!</v>
      </c>
      <c r="P180" s="45" t="e">
        <f t="shared" si="78"/>
        <v>#DIV/0!</v>
      </c>
      <c r="Q180" s="55" t="e">
        <f>Q179+ATM_Conf!$C$5*(B179)/(Links!B$191*Links!Q$191)</f>
        <v>#DIV/0!</v>
      </c>
      <c r="R180" s="55" t="e">
        <f>R179+ATM_Conf!$C$5*(C179-B179)/(Links!C$191*Links!R$191)</f>
        <v>#DIV/0!</v>
      </c>
      <c r="S180" s="55" t="e">
        <f>S179+ATM_Conf!$C$5*(D179-C179)/(Links!D$191*Links!S$191)</f>
        <v>#DIV/0!</v>
      </c>
      <c r="T180" s="55" t="e">
        <f>T179+ATM_Conf!$C$5*(E179-D179)/(Links!E$191*Links!T$191)</f>
        <v>#DIV/0!</v>
      </c>
      <c r="U180" s="55" t="e">
        <f>U179+ATM_Conf!$C$5*(F179-E179)/(Links!F$191*Links!U$191)</f>
        <v>#DIV/0!</v>
      </c>
      <c r="V180" s="55" t="e">
        <f>V179+ATM_Conf!$C$5*(G179-F179)/(Links!G$191*Links!V$191)</f>
        <v>#DIV/0!</v>
      </c>
      <c r="W180" s="55" t="e">
        <f>W179+ATM_Conf!$C$5*(H179-G179)/(Links!H$191*Links!W$191)</f>
        <v>#DIV/0!</v>
      </c>
      <c r="X180" s="55" t="e">
        <f>X179+ATM_Conf!$C$5*(I179-H179)/(Links!I$191*Links!X$191)</f>
        <v>#DIV/0!</v>
      </c>
      <c r="Y180" s="55" t="e">
        <f>Y179+ATM_Conf!$C$5*(J179)/(Links!J$191*Links!Y$191)</f>
        <v>#DIV/0!</v>
      </c>
      <c r="Z180" s="55" t="e">
        <f>Z179+ATM_Conf!$C$5*(K179-J179)/(Links!K$191*Links!Z$191)</f>
        <v>#DIV/0!</v>
      </c>
      <c r="AA180" s="55" t="e">
        <f>AA179+ATM_Conf!$C$5*(L179-K179)/(Links!L$191*Links!AA$191)</f>
        <v>#DIV/0!</v>
      </c>
      <c r="AB180" s="55" t="e">
        <f>AB179+ATM_Conf!$C$5*(M179-L179)/(Links!M$191*Links!AB$191)</f>
        <v>#DIV/0!</v>
      </c>
      <c r="AC180" s="55" t="e">
        <f>AC179+ATM_Conf!$C$5*(N179-M179)/(Links!N$191*Links!AC$191)</f>
        <v>#DIV/0!</v>
      </c>
      <c r="AD180" s="55" t="e">
        <f>AD179+ATM_Conf!$C$5*(O179-N179)/(Links!O$191*Links!AD$191)</f>
        <v>#DIV/0!</v>
      </c>
      <c r="AE180" s="55" t="e">
        <f>AE179+ATM_Conf!$C$5*(P179-O179)/(Links!P$191*Links!AE$191)</f>
        <v>#DIV/0!</v>
      </c>
      <c r="AF180" s="45" t="e">
        <f>AF179+(ATM_Conf!$C$5/ATM_Conf!$C$8)*(Links!AU179*EXP((-(Links!Q179/Links!BJ179)^Links!BY179)/Links!BY179)-Links!AF179)-(ATM_Conf!$C$9*ATM_Conf!$C$5/(ATM_Conf!$C$8*Links!Q$191))*(Nodes!BO179-Links!Q179)/(Links!Q179/ATM_Conf!$C$10)</f>
        <v>#DIV/0!</v>
      </c>
      <c r="AG180" s="45" t="e">
        <f>AG179+(ATM_Conf!$C$5/ATM_Conf!$C$8)*(Links!AV179*EXP((-(Links!R179/Links!BK179)^Links!BZ179)/Links!BZ179)-Links!AG179)+(ATM_Conf!$C$5/Links!R$191)*Links!AG179*(Nodes!BB179-Links!AG179)-(ATM_Conf!$C$9*ATM_Conf!$C$5/(ATM_Conf!$C$8*Links!R$191))*(Nodes!BP179-Links!R179)/(Links!R179/ATM_Conf!$C$10)</f>
        <v>#DIV/0!</v>
      </c>
      <c r="AH180" s="45" t="e">
        <f>AH179+(ATM_Conf!$C$5/ATM_Conf!$C$8)*(Links!AW179*EXP((-(Links!S179/Links!BL179)^Links!CA179)/Links!CA179)-Links!AH179)+(ATM_Conf!$C$5/Links!S$191)*Links!AH179*(Nodes!BC179-Links!AH179)-(ATM_Conf!$C$9*ATM_Conf!$C$5/(ATM_Conf!$C$8*Links!S$191))*(Nodes!BQ179-Links!S179)/(Links!S179/ATM_Conf!$C$10)</f>
        <v>#DIV/0!</v>
      </c>
      <c r="AI180" s="45" t="e">
        <f>AI179+(ATM_Conf!$C$5/ATM_Conf!$C$8)*(Links!AX179*EXP((-(Links!T179/Links!BM179)^Links!CB179)/Links!CB179)-Links!AI179)+(ATM_Conf!$C$5/Links!T$191)*Links!AI179*(Nodes!BD179-Links!AI179)-(ATM_Conf!$C$9*ATM_Conf!$C$5/(ATM_Conf!$C$8*Links!T$191))*(Nodes!BR179-Links!T179)/(Links!T179/ATM_Conf!$C$10)</f>
        <v>#DIV/0!</v>
      </c>
      <c r="AJ180" s="45" t="e">
        <f>AJ179+(ATM_Conf!$C$5/ATM_Conf!$C$8)*(Links!AY179*EXP((-(Links!U179/Links!BN179)^Links!CC179)/Links!CC179)-Links!AJ179)+(ATM_Conf!$C$5/Links!U$191)*Links!AJ179*(Nodes!BE179-Links!AJ179)-(ATM_Conf!$C$9*ATM_Conf!$C$5/(ATM_Conf!$C$8*Links!U$191))*(Nodes!BS179-Links!U179)/(Links!U179/ATM_Conf!$C$10)</f>
        <v>#DIV/0!</v>
      </c>
      <c r="AK180" s="45" t="e">
        <f>AK179+(ATM_Conf!$C$5/ATM_Conf!$C$8)*(Links!AZ179*EXP((-(Links!V179/Links!BO179)^Links!CD179)/Links!CD179)-Links!AK179)+(ATM_Conf!$C$5/Links!V$191)*Links!AK179*(Nodes!BF179-Links!AK179)-(ATM_Conf!$C$9*ATM_Conf!$C$5/(ATM_Conf!$C$8*Links!V$191))*(Nodes!BT179-Links!V179)/(Links!V179/ATM_Conf!$C$10)</f>
        <v>#DIV/0!</v>
      </c>
      <c r="AL180" s="45" t="e">
        <f>AL179+(ATM_Conf!$C$5/ATM_Conf!$C$8)*(Links!BA179*EXP((-(Links!W179/Links!BP179)^Links!CE179)/Links!CE179)-Links!AL179)+(ATM_Conf!$C$5/Links!W$191)*Links!AL179*(Nodes!BG179-Links!AL179)-(ATM_Conf!$C$9*ATM_Conf!$C$5/(ATM_Conf!$C$8*Links!W$191))*(Nodes!BU179-Links!W179)/(Links!W179/ATM_Conf!$C$10)</f>
        <v>#DIV/0!</v>
      </c>
      <c r="AM180" s="45" t="e">
        <f>AM179+(ATM_Conf!$C$5/ATM_Conf!$C$8)*(Links!BB179*EXP((-(Links!X179/Links!BQ179)^Links!CF179)/Links!CF179)-Links!AM179)+(ATM_Conf!$C$5/Links!X$191)*Links!AM179*(Nodes!BH179-Links!AM179)</f>
        <v>#DIV/0!</v>
      </c>
      <c r="AN180" s="45" t="e">
        <f>AN179+(ATM_Conf!$C$5/ATM_Conf!$C$8)*(Links!BC179*EXP((-(Links!Y179/Links!BR179)^Links!CG179)/Links!CG179)-Links!AN179)-(ATM_Conf!$C$9*ATM_Conf!$C$5/(ATM_Conf!$C$8*Links!Y$191))*(Nodes!BV179-Links!Y179)/(Links!Y179/ATM_Conf!$C$10)</f>
        <v>#DIV/0!</v>
      </c>
      <c r="AO180" s="45" t="e">
        <f>AO179+(ATM_Conf!$C$5/ATM_Conf!$C$8)*(Links!BD179*EXP((-(Links!Z179/Links!BS179)^Links!CH179)/Links!CH179)-Links!AO179)+(ATM_Conf!$C$5/Links!Z$191)*Links!AO179*(Nodes!BI179-Links!AO179)-(ATM_Conf!$C$9*ATM_Conf!$C$5/(ATM_Conf!$C$8*Links!Z$191))*(Nodes!BW179-Links!Z179)/(Links!Z179/ATM_Conf!$C$10)</f>
        <v>#DIV/0!</v>
      </c>
      <c r="AP180" s="45" t="e">
        <f>AP179+(ATM_Conf!$C$5/ATM_Conf!$C$8)*(Links!BE179*EXP((-(Links!AA179/Links!BT179)^Links!CI179)/Links!CI179)-Links!AP179)+(ATM_Conf!$C$5/Links!AA$191)*Links!AP179*(Nodes!BJ179-Links!AP179)-(ATM_Conf!$C$9*ATM_Conf!$C$5/(ATM_Conf!$C$8*Links!AA$191))*(Nodes!BX179-Links!AA179)/(Links!AA179/ATM_Conf!$C$10)</f>
        <v>#DIV/0!</v>
      </c>
      <c r="AQ180" s="45" t="e">
        <f>AQ179+(ATM_Conf!$C$5/ATM_Conf!$C$8)*(Links!BF179*EXP((-(Links!AB179/Links!BU179)^Links!CJ179)/Links!CJ179)-Links!AQ179)+(ATM_Conf!$C$5/Links!AB$191)*Links!AQ179*(Nodes!BK179-Links!AQ179)-(ATM_Conf!$C$9*ATM_Conf!$C$5/(ATM_Conf!$C$8*Links!AB$191))*(Nodes!BY179-Links!AB179)/(Links!AB179/ATM_Conf!$C$10)</f>
        <v>#DIV/0!</v>
      </c>
      <c r="AR180" s="45" t="e">
        <f>AR179+(ATM_Conf!$C$5/ATM_Conf!$C$8)*(Links!BG179*EXP((-(Links!AC179/Links!BV179)^Links!CK179)/Links!CK179)-Links!AR179)+(ATM_Conf!$C$5/Links!AC$191)*Links!AR179*(Nodes!BL179-Links!AR179)-(ATM_Conf!$C$9*ATM_Conf!$C$5/(ATM_Conf!$C$8*Links!AC$191))*(Nodes!BZ179-Links!AC179)/(Links!AC179/ATM_Conf!$C$10)</f>
        <v>#DIV/0!</v>
      </c>
      <c r="AS180" s="45" t="e">
        <f>AS179+(ATM_Conf!$C$5/ATM_Conf!$C$8)*(Links!BH179*EXP((-(Links!AD179/Links!BW179)^Links!CL179)/Links!CL179)-Links!AS179)+(ATM_Conf!$C$5/Links!AD$191)*Links!AS179*(Nodes!BM179-Links!AS179)-(ATM_Conf!$C$9*ATM_Conf!$C$5/(ATM_Conf!$C$8*Links!AD$191))*(Nodes!CA179-Links!AD179)/(Links!AD179/ATM_Conf!$C$10)</f>
        <v>#DIV/0!</v>
      </c>
      <c r="AT180" s="45" t="e">
        <f>AT179+(ATM_Conf!$C$5/ATM_Conf!$C$8)*(Links!BI179*EXP((-(Links!AE179/Links!BX179)^Links!CM179)/Links!CM179)-Links!AT179)+(ATM_Conf!$C$5/Links!AE$191)*Links!AT179*(Nodes!BN179-Links!AT179)</f>
        <v>#DIV/0!</v>
      </c>
      <c r="AU180" s="55"/>
      <c r="AV180" s="55"/>
      <c r="AW180" s="55"/>
      <c r="AX180" s="55"/>
      <c r="AY180" s="55"/>
      <c r="AZ180" s="55"/>
      <c r="BA180" s="55"/>
      <c r="BB180" s="55"/>
      <c r="BC180" s="55"/>
      <c r="BD180" s="55"/>
      <c r="BE180" s="55"/>
      <c r="BF180" s="55"/>
      <c r="BG180" s="55"/>
      <c r="BH180" s="55"/>
      <c r="BI180" s="5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55"/>
      <c r="BZ180" s="55"/>
      <c r="CA180" s="55"/>
      <c r="CB180" s="55"/>
      <c r="CC180" s="55"/>
      <c r="CD180" s="55"/>
      <c r="CE180" s="55"/>
      <c r="CF180" s="55"/>
      <c r="CG180" s="55"/>
      <c r="CH180" s="55"/>
      <c r="CI180" s="55"/>
      <c r="CJ180" s="55"/>
      <c r="CK180" s="55"/>
      <c r="CL180" s="55"/>
      <c r="CM180" s="55"/>
      <c r="CN180" s="45">
        <f t="shared" si="90"/>
        <v>0</v>
      </c>
      <c r="CO180" s="45">
        <f t="shared" si="90"/>
        <v>0</v>
      </c>
      <c r="CP180" s="45">
        <f t="shared" si="90"/>
        <v>0</v>
      </c>
      <c r="CQ180" s="45">
        <f t="shared" si="90"/>
        <v>0</v>
      </c>
      <c r="CR180" s="45">
        <f t="shared" si="90"/>
        <v>0</v>
      </c>
      <c r="CS180" s="45">
        <f t="shared" si="90"/>
        <v>0</v>
      </c>
      <c r="CT180" s="45">
        <f t="shared" si="90"/>
        <v>0</v>
      </c>
      <c r="CU180" s="45">
        <f t="shared" si="90"/>
        <v>0</v>
      </c>
      <c r="CV180" s="45">
        <f t="shared" si="90"/>
        <v>0</v>
      </c>
      <c r="CW180" s="45">
        <f t="shared" si="90"/>
        <v>0</v>
      </c>
      <c r="CX180" s="45">
        <f t="shared" si="90"/>
        <v>0</v>
      </c>
      <c r="CY180" s="45">
        <f t="shared" si="90"/>
        <v>0</v>
      </c>
      <c r="CZ180" s="45">
        <f t="shared" si="90"/>
        <v>0</v>
      </c>
      <c r="DA180" s="45">
        <f t="shared" si="90"/>
        <v>0</v>
      </c>
      <c r="DB180" s="45">
        <f t="shared" si="90"/>
        <v>0</v>
      </c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</row>
    <row r="181" spans="1:121" ht="14.25" x14ac:dyDescent="0.15">
      <c r="A181" s="48">
        <v>179</v>
      </c>
      <c r="B181" s="45" t="e">
        <f t="shared" si="64"/>
        <v>#DIV/0!</v>
      </c>
      <c r="C181" s="45" t="e">
        <f t="shared" si="65"/>
        <v>#DIV/0!</v>
      </c>
      <c r="D181" s="45" t="e">
        <f t="shared" si="66"/>
        <v>#DIV/0!</v>
      </c>
      <c r="E181" s="45" t="e">
        <f t="shared" si="67"/>
        <v>#DIV/0!</v>
      </c>
      <c r="F181" s="45" t="e">
        <f t="shared" si="68"/>
        <v>#DIV/0!</v>
      </c>
      <c r="G181" s="45" t="e">
        <f t="shared" si="69"/>
        <v>#DIV/0!</v>
      </c>
      <c r="H181" s="45" t="e">
        <f t="shared" si="70"/>
        <v>#DIV/0!</v>
      </c>
      <c r="I181" s="45" t="e">
        <f t="shared" si="71"/>
        <v>#DIV/0!</v>
      </c>
      <c r="J181" s="45" t="e">
        <f t="shared" si="72"/>
        <v>#DIV/0!</v>
      </c>
      <c r="K181" s="45" t="e">
        <f t="shared" si="73"/>
        <v>#DIV/0!</v>
      </c>
      <c r="L181" s="45" t="e">
        <f t="shared" si="74"/>
        <v>#DIV/0!</v>
      </c>
      <c r="M181" s="45" t="e">
        <f t="shared" si="75"/>
        <v>#DIV/0!</v>
      </c>
      <c r="N181" s="45" t="e">
        <f t="shared" si="76"/>
        <v>#DIV/0!</v>
      </c>
      <c r="O181" s="45" t="e">
        <f t="shared" si="77"/>
        <v>#DIV/0!</v>
      </c>
      <c r="P181" s="45" t="e">
        <f t="shared" si="78"/>
        <v>#DIV/0!</v>
      </c>
      <c r="Q181" s="55" t="e">
        <f>Q180+ATM_Conf!$C$5*(B180)/(Links!B$191*Links!Q$191)</f>
        <v>#DIV/0!</v>
      </c>
      <c r="R181" s="55" t="e">
        <f>R180+ATM_Conf!$C$5*(C180-B180)/(Links!C$191*Links!R$191)</f>
        <v>#DIV/0!</v>
      </c>
      <c r="S181" s="55" t="e">
        <f>S180+ATM_Conf!$C$5*(D180-C180)/(Links!D$191*Links!S$191)</f>
        <v>#DIV/0!</v>
      </c>
      <c r="T181" s="55" t="e">
        <f>T180+ATM_Conf!$C$5*(E180-D180)/(Links!E$191*Links!T$191)</f>
        <v>#DIV/0!</v>
      </c>
      <c r="U181" s="55" t="e">
        <f>U180+ATM_Conf!$C$5*(F180-E180)/(Links!F$191*Links!U$191)</f>
        <v>#DIV/0!</v>
      </c>
      <c r="V181" s="55" t="e">
        <f>V180+ATM_Conf!$C$5*(G180-F180)/(Links!G$191*Links!V$191)</f>
        <v>#DIV/0!</v>
      </c>
      <c r="W181" s="55" t="e">
        <f>W180+ATM_Conf!$C$5*(H180-G180)/(Links!H$191*Links!W$191)</f>
        <v>#DIV/0!</v>
      </c>
      <c r="X181" s="55" t="e">
        <f>X180+ATM_Conf!$C$5*(I180-H180)/(Links!I$191*Links!X$191)</f>
        <v>#DIV/0!</v>
      </c>
      <c r="Y181" s="55" t="e">
        <f>Y180+ATM_Conf!$C$5*(J180)/(Links!J$191*Links!Y$191)</f>
        <v>#DIV/0!</v>
      </c>
      <c r="Z181" s="55" t="e">
        <f>Z180+ATM_Conf!$C$5*(K180-J180)/(Links!K$191*Links!Z$191)</f>
        <v>#DIV/0!</v>
      </c>
      <c r="AA181" s="55" t="e">
        <f>AA180+ATM_Conf!$C$5*(L180-K180)/(Links!L$191*Links!AA$191)</f>
        <v>#DIV/0!</v>
      </c>
      <c r="AB181" s="55" t="e">
        <f>AB180+ATM_Conf!$C$5*(M180-L180)/(Links!M$191*Links!AB$191)</f>
        <v>#DIV/0!</v>
      </c>
      <c r="AC181" s="55" t="e">
        <f>AC180+ATM_Conf!$C$5*(N180-M180)/(Links!N$191*Links!AC$191)</f>
        <v>#DIV/0!</v>
      </c>
      <c r="AD181" s="55" t="e">
        <f>AD180+ATM_Conf!$C$5*(O180-N180)/(Links!O$191*Links!AD$191)</f>
        <v>#DIV/0!</v>
      </c>
      <c r="AE181" s="55" t="e">
        <f>AE180+ATM_Conf!$C$5*(P180-O180)/(Links!P$191*Links!AE$191)</f>
        <v>#DIV/0!</v>
      </c>
      <c r="AF181" s="45" t="e">
        <f>AF180+(ATM_Conf!$C$5/ATM_Conf!$C$8)*(Links!AU180*EXP((-(Links!Q180/Links!BJ180)^Links!BY180)/Links!BY180)-Links!AF180)-(ATM_Conf!$C$9*ATM_Conf!$C$5/(ATM_Conf!$C$8*Links!Q$191))*(Nodes!BO180-Links!Q180)/(Links!Q180/ATM_Conf!$C$10)</f>
        <v>#DIV/0!</v>
      </c>
      <c r="AG181" s="45" t="e">
        <f>AG180+(ATM_Conf!$C$5/ATM_Conf!$C$8)*(Links!AV180*EXP((-(Links!R180/Links!BK180)^Links!BZ180)/Links!BZ180)-Links!AG180)+(ATM_Conf!$C$5/Links!R$191)*Links!AG180*(Nodes!BB180-Links!AG180)-(ATM_Conf!$C$9*ATM_Conf!$C$5/(ATM_Conf!$C$8*Links!R$191))*(Nodes!BP180-Links!R180)/(Links!R180/ATM_Conf!$C$10)</f>
        <v>#DIV/0!</v>
      </c>
      <c r="AH181" s="45" t="e">
        <f>AH180+(ATM_Conf!$C$5/ATM_Conf!$C$8)*(Links!AW180*EXP((-(Links!S180/Links!BL180)^Links!CA180)/Links!CA180)-Links!AH180)+(ATM_Conf!$C$5/Links!S$191)*Links!AH180*(Nodes!BC180-Links!AH180)-(ATM_Conf!$C$9*ATM_Conf!$C$5/(ATM_Conf!$C$8*Links!S$191))*(Nodes!BQ180-Links!S180)/(Links!S180/ATM_Conf!$C$10)</f>
        <v>#DIV/0!</v>
      </c>
      <c r="AI181" s="45" t="e">
        <f>AI180+(ATM_Conf!$C$5/ATM_Conf!$C$8)*(Links!AX180*EXP((-(Links!T180/Links!BM180)^Links!CB180)/Links!CB180)-Links!AI180)+(ATM_Conf!$C$5/Links!T$191)*Links!AI180*(Nodes!BD180-Links!AI180)-(ATM_Conf!$C$9*ATM_Conf!$C$5/(ATM_Conf!$C$8*Links!T$191))*(Nodes!BR180-Links!T180)/(Links!T180/ATM_Conf!$C$10)</f>
        <v>#DIV/0!</v>
      </c>
      <c r="AJ181" s="45" t="e">
        <f>AJ180+(ATM_Conf!$C$5/ATM_Conf!$C$8)*(Links!AY180*EXP((-(Links!U180/Links!BN180)^Links!CC180)/Links!CC180)-Links!AJ180)+(ATM_Conf!$C$5/Links!U$191)*Links!AJ180*(Nodes!BE180-Links!AJ180)-(ATM_Conf!$C$9*ATM_Conf!$C$5/(ATM_Conf!$C$8*Links!U$191))*(Nodes!BS180-Links!U180)/(Links!U180/ATM_Conf!$C$10)</f>
        <v>#DIV/0!</v>
      </c>
      <c r="AK181" s="45" t="e">
        <f>AK180+(ATM_Conf!$C$5/ATM_Conf!$C$8)*(Links!AZ180*EXP((-(Links!V180/Links!BO180)^Links!CD180)/Links!CD180)-Links!AK180)+(ATM_Conf!$C$5/Links!V$191)*Links!AK180*(Nodes!BF180-Links!AK180)-(ATM_Conf!$C$9*ATM_Conf!$C$5/(ATM_Conf!$C$8*Links!V$191))*(Nodes!BT180-Links!V180)/(Links!V180/ATM_Conf!$C$10)</f>
        <v>#DIV/0!</v>
      </c>
      <c r="AL181" s="45" t="e">
        <f>AL180+(ATM_Conf!$C$5/ATM_Conf!$C$8)*(Links!BA180*EXP((-(Links!W180/Links!BP180)^Links!CE180)/Links!CE180)-Links!AL180)+(ATM_Conf!$C$5/Links!W$191)*Links!AL180*(Nodes!BG180-Links!AL180)-(ATM_Conf!$C$9*ATM_Conf!$C$5/(ATM_Conf!$C$8*Links!W$191))*(Nodes!BU180-Links!W180)/(Links!W180/ATM_Conf!$C$10)</f>
        <v>#DIV/0!</v>
      </c>
      <c r="AM181" s="45" t="e">
        <f>AM180+(ATM_Conf!$C$5/ATM_Conf!$C$8)*(Links!BB180*EXP((-(Links!X180/Links!BQ180)^Links!CF180)/Links!CF180)-Links!AM180)+(ATM_Conf!$C$5/Links!X$191)*Links!AM180*(Nodes!BH180-Links!AM180)</f>
        <v>#DIV/0!</v>
      </c>
      <c r="AN181" s="45" t="e">
        <f>AN180+(ATM_Conf!$C$5/ATM_Conf!$C$8)*(Links!BC180*EXP((-(Links!Y180/Links!BR180)^Links!CG180)/Links!CG180)-Links!AN180)-(ATM_Conf!$C$9*ATM_Conf!$C$5/(ATM_Conf!$C$8*Links!Y$191))*(Nodes!BV180-Links!Y180)/(Links!Y180/ATM_Conf!$C$10)</f>
        <v>#DIV/0!</v>
      </c>
      <c r="AO181" s="45" t="e">
        <f>AO180+(ATM_Conf!$C$5/ATM_Conf!$C$8)*(Links!BD180*EXP((-(Links!Z180/Links!BS180)^Links!CH180)/Links!CH180)-Links!AO180)+(ATM_Conf!$C$5/Links!Z$191)*Links!AO180*(Nodes!BI180-Links!AO180)-(ATM_Conf!$C$9*ATM_Conf!$C$5/(ATM_Conf!$C$8*Links!Z$191))*(Nodes!BW180-Links!Z180)/(Links!Z180/ATM_Conf!$C$10)</f>
        <v>#DIV/0!</v>
      </c>
      <c r="AP181" s="45" t="e">
        <f>AP180+(ATM_Conf!$C$5/ATM_Conf!$C$8)*(Links!BE180*EXP((-(Links!AA180/Links!BT180)^Links!CI180)/Links!CI180)-Links!AP180)+(ATM_Conf!$C$5/Links!AA$191)*Links!AP180*(Nodes!BJ180-Links!AP180)-(ATM_Conf!$C$9*ATM_Conf!$C$5/(ATM_Conf!$C$8*Links!AA$191))*(Nodes!BX180-Links!AA180)/(Links!AA180/ATM_Conf!$C$10)</f>
        <v>#DIV/0!</v>
      </c>
      <c r="AQ181" s="45" t="e">
        <f>AQ180+(ATM_Conf!$C$5/ATM_Conf!$C$8)*(Links!BF180*EXP((-(Links!AB180/Links!BU180)^Links!CJ180)/Links!CJ180)-Links!AQ180)+(ATM_Conf!$C$5/Links!AB$191)*Links!AQ180*(Nodes!BK180-Links!AQ180)-(ATM_Conf!$C$9*ATM_Conf!$C$5/(ATM_Conf!$C$8*Links!AB$191))*(Nodes!BY180-Links!AB180)/(Links!AB180/ATM_Conf!$C$10)</f>
        <v>#DIV/0!</v>
      </c>
      <c r="AR181" s="45" t="e">
        <f>AR180+(ATM_Conf!$C$5/ATM_Conf!$C$8)*(Links!BG180*EXP((-(Links!AC180/Links!BV180)^Links!CK180)/Links!CK180)-Links!AR180)+(ATM_Conf!$C$5/Links!AC$191)*Links!AR180*(Nodes!BL180-Links!AR180)-(ATM_Conf!$C$9*ATM_Conf!$C$5/(ATM_Conf!$C$8*Links!AC$191))*(Nodes!BZ180-Links!AC180)/(Links!AC180/ATM_Conf!$C$10)</f>
        <v>#DIV/0!</v>
      </c>
      <c r="AS181" s="45" t="e">
        <f>AS180+(ATM_Conf!$C$5/ATM_Conf!$C$8)*(Links!BH180*EXP((-(Links!AD180/Links!BW180)^Links!CL180)/Links!CL180)-Links!AS180)+(ATM_Conf!$C$5/Links!AD$191)*Links!AS180*(Nodes!BM180-Links!AS180)-(ATM_Conf!$C$9*ATM_Conf!$C$5/(ATM_Conf!$C$8*Links!AD$191))*(Nodes!CA180-Links!AD180)/(Links!AD180/ATM_Conf!$C$10)</f>
        <v>#DIV/0!</v>
      </c>
      <c r="AT181" s="45" t="e">
        <f>AT180+(ATM_Conf!$C$5/ATM_Conf!$C$8)*(Links!BI180*EXP((-(Links!AE180/Links!BX180)^Links!CM180)/Links!CM180)-Links!AT180)+(ATM_Conf!$C$5/Links!AE$191)*Links!AT180*(Nodes!BN180-Links!AT180)</f>
        <v>#DIV/0!</v>
      </c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45"/>
      <c r="BK181" s="45"/>
      <c r="BL181" s="45"/>
      <c r="BM181" s="45"/>
      <c r="BN181" s="45"/>
      <c r="BO181" s="45"/>
      <c r="BP181" s="45"/>
      <c r="BQ181" s="45"/>
      <c r="BR181" s="45"/>
      <c r="BS181" s="45"/>
      <c r="BT181" s="45"/>
      <c r="BU181" s="45"/>
      <c r="BV181" s="45"/>
      <c r="BW181" s="45"/>
      <c r="BX181" s="4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45">
        <f t="shared" si="90"/>
        <v>0</v>
      </c>
      <c r="CO181" s="45">
        <f t="shared" si="90"/>
        <v>0</v>
      </c>
      <c r="CP181" s="45">
        <f t="shared" si="90"/>
        <v>0</v>
      </c>
      <c r="CQ181" s="45">
        <f t="shared" si="90"/>
        <v>0</v>
      </c>
      <c r="CR181" s="45">
        <f t="shared" si="90"/>
        <v>0</v>
      </c>
      <c r="CS181" s="45">
        <f t="shared" si="90"/>
        <v>0</v>
      </c>
      <c r="CT181" s="45">
        <f t="shared" si="90"/>
        <v>0</v>
      </c>
      <c r="CU181" s="45">
        <f t="shared" si="90"/>
        <v>0</v>
      </c>
      <c r="CV181" s="45">
        <f t="shared" si="90"/>
        <v>0</v>
      </c>
      <c r="CW181" s="45">
        <f t="shared" si="90"/>
        <v>0</v>
      </c>
      <c r="CX181" s="45">
        <f t="shared" si="90"/>
        <v>0</v>
      </c>
      <c r="CY181" s="45">
        <f t="shared" si="90"/>
        <v>0</v>
      </c>
      <c r="CZ181" s="45">
        <f t="shared" si="90"/>
        <v>0</v>
      </c>
      <c r="DA181" s="45">
        <f t="shared" si="90"/>
        <v>0</v>
      </c>
      <c r="DB181" s="45">
        <f t="shared" si="90"/>
        <v>0</v>
      </c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</row>
    <row r="182" spans="1:121" ht="14.25" x14ac:dyDescent="0.15">
      <c r="A182" s="48">
        <v>180</v>
      </c>
      <c r="B182" s="45" t="e">
        <f t="shared" si="64"/>
        <v>#DIV/0!</v>
      </c>
      <c r="C182" s="45" t="e">
        <f t="shared" si="65"/>
        <v>#DIV/0!</v>
      </c>
      <c r="D182" s="45" t="e">
        <f t="shared" si="66"/>
        <v>#DIV/0!</v>
      </c>
      <c r="E182" s="45" t="e">
        <f t="shared" si="67"/>
        <v>#DIV/0!</v>
      </c>
      <c r="F182" s="45" t="e">
        <f t="shared" si="68"/>
        <v>#DIV/0!</v>
      </c>
      <c r="G182" s="45" t="e">
        <f t="shared" si="69"/>
        <v>#DIV/0!</v>
      </c>
      <c r="H182" s="45" t="e">
        <f t="shared" si="70"/>
        <v>#DIV/0!</v>
      </c>
      <c r="I182" s="45" t="e">
        <f t="shared" si="71"/>
        <v>#DIV/0!</v>
      </c>
      <c r="J182" s="45" t="e">
        <f t="shared" si="72"/>
        <v>#DIV/0!</v>
      </c>
      <c r="K182" s="45" t="e">
        <f t="shared" si="73"/>
        <v>#DIV/0!</v>
      </c>
      <c r="L182" s="45" t="e">
        <f t="shared" si="74"/>
        <v>#DIV/0!</v>
      </c>
      <c r="M182" s="45" t="e">
        <f t="shared" si="75"/>
        <v>#DIV/0!</v>
      </c>
      <c r="N182" s="45" t="e">
        <f t="shared" si="76"/>
        <v>#DIV/0!</v>
      </c>
      <c r="O182" s="45" t="e">
        <f t="shared" si="77"/>
        <v>#DIV/0!</v>
      </c>
      <c r="P182" s="45" t="e">
        <f t="shared" si="78"/>
        <v>#DIV/0!</v>
      </c>
      <c r="Q182" s="55" t="e">
        <f>Q181+ATM_Conf!$C$5*(B181)/(Links!B$191*Links!Q$191)</f>
        <v>#DIV/0!</v>
      </c>
      <c r="R182" s="55" t="e">
        <f>R181+ATM_Conf!$C$5*(C181-B181)/(Links!C$191*Links!R$191)</f>
        <v>#DIV/0!</v>
      </c>
      <c r="S182" s="55" t="e">
        <f>S181+ATM_Conf!$C$5*(D181-C181)/(Links!D$191*Links!S$191)</f>
        <v>#DIV/0!</v>
      </c>
      <c r="T182" s="55" t="e">
        <f>T181+ATM_Conf!$C$5*(E181-D181)/(Links!E$191*Links!T$191)</f>
        <v>#DIV/0!</v>
      </c>
      <c r="U182" s="55" t="e">
        <f>U181+ATM_Conf!$C$5*(F181-E181)/(Links!F$191*Links!U$191)</f>
        <v>#DIV/0!</v>
      </c>
      <c r="V182" s="55" t="e">
        <f>V181+ATM_Conf!$C$5*(G181-F181)/(Links!G$191*Links!V$191)</f>
        <v>#DIV/0!</v>
      </c>
      <c r="W182" s="55" t="e">
        <f>W181+ATM_Conf!$C$5*(H181-G181)/(Links!H$191*Links!W$191)</f>
        <v>#DIV/0!</v>
      </c>
      <c r="X182" s="55" t="e">
        <f>X181+ATM_Conf!$C$5*(I181-H181)/(Links!I$191*Links!X$191)</f>
        <v>#DIV/0!</v>
      </c>
      <c r="Y182" s="55" t="e">
        <f>Y181+ATM_Conf!$C$5*(J181)/(Links!J$191*Links!Y$191)</f>
        <v>#DIV/0!</v>
      </c>
      <c r="Z182" s="55" t="e">
        <f>Z181+ATM_Conf!$C$5*(K181-J181)/(Links!K$191*Links!Z$191)</f>
        <v>#DIV/0!</v>
      </c>
      <c r="AA182" s="55" t="e">
        <f>AA181+ATM_Conf!$C$5*(L181-K181)/(Links!L$191*Links!AA$191)</f>
        <v>#DIV/0!</v>
      </c>
      <c r="AB182" s="55" t="e">
        <f>AB181+ATM_Conf!$C$5*(M181-L181)/(Links!M$191*Links!AB$191)</f>
        <v>#DIV/0!</v>
      </c>
      <c r="AC182" s="55" t="e">
        <f>AC181+ATM_Conf!$C$5*(N181-M181)/(Links!N$191*Links!AC$191)</f>
        <v>#DIV/0!</v>
      </c>
      <c r="AD182" s="55" t="e">
        <f>AD181+ATM_Conf!$C$5*(O181-N181)/(Links!O$191*Links!AD$191)</f>
        <v>#DIV/0!</v>
      </c>
      <c r="AE182" s="55" t="e">
        <f>AE181+ATM_Conf!$C$5*(P181-O181)/(Links!P$191*Links!AE$191)</f>
        <v>#DIV/0!</v>
      </c>
      <c r="AF182" s="45" t="e">
        <f>AF181+(ATM_Conf!$C$5/ATM_Conf!$C$8)*(Links!AU181*EXP((-(Links!Q181/Links!BJ181)^Links!BY181)/Links!BY181)-Links!AF181)-(ATM_Conf!$C$9*ATM_Conf!$C$5/(ATM_Conf!$C$8*Links!Q$191))*(Nodes!BO181-Links!Q181)/(Links!Q181/ATM_Conf!$C$10)</f>
        <v>#DIV/0!</v>
      </c>
      <c r="AG182" s="45" t="e">
        <f>AG181+(ATM_Conf!$C$5/ATM_Conf!$C$8)*(Links!AV181*EXP((-(Links!R181/Links!BK181)^Links!BZ181)/Links!BZ181)-Links!AG181)+(ATM_Conf!$C$5/Links!R$191)*Links!AG181*(Nodes!BB181-Links!AG181)-(ATM_Conf!$C$9*ATM_Conf!$C$5/(ATM_Conf!$C$8*Links!R$191))*(Nodes!BP181-Links!R181)/(Links!R181/ATM_Conf!$C$10)</f>
        <v>#DIV/0!</v>
      </c>
      <c r="AH182" s="45" t="e">
        <f>AH181+(ATM_Conf!$C$5/ATM_Conf!$C$8)*(Links!AW181*EXP((-(Links!S181/Links!BL181)^Links!CA181)/Links!CA181)-Links!AH181)+(ATM_Conf!$C$5/Links!S$191)*Links!AH181*(Nodes!BC181-Links!AH181)-(ATM_Conf!$C$9*ATM_Conf!$C$5/(ATM_Conf!$C$8*Links!S$191))*(Nodes!BQ181-Links!S181)/(Links!S181/ATM_Conf!$C$10)</f>
        <v>#DIV/0!</v>
      </c>
      <c r="AI182" s="45" t="e">
        <f>AI181+(ATM_Conf!$C$5/ATM_Conf!$C$8)*(Links!AX181*EXP((-(Links!T181/Links!BM181)^Links!CB181)/Links!CB181)-Links!AI181)+(ATM_Conf!$C$5/Links!T$191)*Links!AI181*(Nodes!BD181-Links!AI181)-(ATM_Conf!$C$9*ATM_Conf!$C$5/(ATM_Conf!$C$8*Links!T$191))*(Nodes!BR181-Links!T181)/(Links!T181/ATM_Conf!$C$10)</f>
        <v>#DIV/0!</v>
      </c>
      <c r="AJ182" s="45" t="e">
        <f>AJ181+(ATM_Conf!$C$5/ATM_Conf!$C$8)*(Links!AY181*EXP((-(Links!U181/Links!BN181)^Links!CC181)/Links!CC181)-Links!AJ181)+(ATM_Conf!$C$5/Links!U$191)*Links!AJ181*(Nodes!BE181-Links!AJ181)-(ATM_Conf!$C$9*ATM_Conf!$C$5/(ATM_Conf!$C$8*Links!U$191))*(Nodes!BS181-Links!U181)/(Links!U181/ATM_Conf!$C$10)</f>
        <v>#DIV/0!</v>
      </c>
      <c r="AK182" s="45" t="e">
        <f>AK181+(ATM_Conf!$C$5/ATM_Conf!$C$8)*(Links!AZ181*EXP((-(Links!V181/Links!BO181)^Links!CD181)/Links!CD181)-Links!AK181)+(ATM_Conf!$C$5/Links!V$191)*Links!AK181*(Nodes!BF181-Links!AK181)-(ATM_Conf!$C$9*ATM_Conf!$C$5/(ATM_Conf!$C$8*Links!V$191))*(Nodes!BT181-Links!V181)/(Links!V181/ATM_Conf!$C$10)</f>
        <v>#DIV/0!</v>
      </c>
      <c r="AL182" s="45" t="e">
        <f>AL181+(ATM_Conf!$C$5/ATM_Conf!$C$8)*(Links!BA181*EXP((-(Links!W181/Links!BP181)^Links!CE181)/Links!CE181)-Links!AL181)+(ATM_Conf!$C$5/Links!W$191)*Links!AL181*(Nodes!BG181-Links!AL181)-(ATM_Conf!$C$9*ATM_Conf!$C$5/(ATM_Conf!$C$8*Links!W$191))*(Nodes!BU181-Links!W181)/(Links!W181/ATM_Conf!$C$10)</f>
        <v>#DIV/0!</v>
      </c>
      <c r="AM182" s="45" t="e">
        <f>AM181+(ATM_Conf!$C$5/ATM_Conf!$C$8)*(Links!BB181*EXP((-(Links!X181/Links!BQ181)^Links!CF181)/Links!CF181)-Links!AM181)+(ATM_Conf!$C$5/Links!X$191)*Links!AM181*(Nodes!BH181-Links!AM181)</f>
        <v>#DIV/0!</v>
      </c>
      <c r="AN182" s="45" t="e">
        <f>AN181+(ATM_Conf!$C$5/ATM_Conf!$C$8)*(Links!BC181*EXP((-(Links!Y181/Links!BR181)^Links!CG181)/Links!CG181)-Links!AN181)-(ATM_Conf!$C$9*ATM_Conf!$C$5/(ATM_Conf!$C$8*Links!Y$191))*(Nodes!BV181-Links!Y181)/(Links!Y181/ATM_Conf!$C$10)</f>
        <v>#DIV/0!</v>
      </c>
      <c r="AO182" s="45" t="e">
        <f>AO181+(ATM_Conf!$C$5/ATM_Conf!$C$8)*(Links!BD181*EXP((-(Links!Z181/Links!BS181)^Links!CH181)/Links!CH181)-Links!AO181)+(ATM_Conf!$C$5/Links!Z$191)*Links!AO181*(Nodes!BI181-Links!AO181)-(ATM_Conf!$C$9*ATM_Conf!$C$5/(ATM_Conf!$C$8*Links!Z$191))*(Nodes!BW181-Links!Z181)/(Links!Z181/ATM_Conf!$C$10)</f>
        <v>#DIV/0!</v>
      </c>
      <c r="AP182" s="45" t="e">
        <f>AP181+(ATM_Conf!$C$5/ATM_Conf!$C$8)*(Links!BE181*EXP((-(Links!AA181/Links!BT181)^Links!CI181)/Links!CI181)-Links!AP181)+(ATM_Conf!$C$5/Links!AA$191)*Links!AP181*(Nodes!BJ181-Links!AP181)-(ATM_Conf!$C$9*ATM_Conf!$C$5/(ATM_Conf!$C$8*Links!AA$191))*(Nodes!BX181-Links!AA181)/(Links!AA181/ATM_Conf!$C$10)</f>
        <v>#DIV/0!</v>
      </c>
      <c r="AQ182" s="45" t="e">
        <f>AQ181+(ATM_Conf!$C$5/ATM_Conf!$C$8)*(Links!BF181*EXP((-(Links!AB181/Links!BU181)^Links!CJ181)/Links!CJ181)-Links!AQ181)+(ATM_Conf!$C$5/Links!AB$191)*Links!AQ181*(Nodes!BK181-Links!AQ181)-(ATM_Conf!$C$9*ATM_Conf!$C$5/(ATM_Conf!$C$8*Links!AB$191))*(Nodes!BY181-Links!AB181)/(Links!AB181/ATM_Conf!$C$10)</f>
        <v>#DIV/0!</v>
      </c>
      <c r="AR182" s="45" t="e">
        <f>AR181+(ATM_Conf!$C$5/ATM_Conf!$C$8)*(Links!BG181*EXP((-(Links!AC181/Links!BV181)^Links!CK181)/Links!CK181)-Links!AR181)+(ATM_Conf!$C$5/Links!AC$191)*Links!AR181*(Nodes!BL181-Links!AR181)-(ATM_Conf!$C$9*ATM_Conf!$C$5/(ATM_Conf!$C$8*Links!AC$191))*(Nodes!BZ181-Links!AC181)/(Links!AC181/ATM_Conf!$C$10)</f>
        <v>#DIV/0!</v>
      </c>
      <c r="AS182" s="45" t="e">
        <f>AS181+(ATM_Conf!$C$5/ATM_Conf!$C$8)*(Links!BH181*EXP((-(Links!AD181/Links!BW181)^Links!CL181)/Links!CL181)-Links!AS181)+(ATM_Conf!$C$5/Links!AD$191)*Links!AS181*(Nodes!BM181-Links!AS181)-(ATM_Conf!$C$9*ATM_Conf!$C$5/(ATM_Conf!$C$8*Links!AD$191))*(Nodes!CA181-Links!AD181)/(Links!AD181/ATM_Conf!$C$10)</f>
        <v>#DIV/0!</v>
      </c>
      <c r="AT182" s="45" t="e">
        <f>AT181+(ATM_Conf!$C$5/ATM_Conf!$C$8)*(Links!BI181*EXP((-(Links!AE181/Links!BX181)^Links!CM181)/Links!CM181)-Links!AT181)+(ATM_Conf!$C$5/Links!AE$191)*Links!AT181*(Nodes!BN181-Links!AT181)</f>
        <v>#DIV/0!</v>
      </c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45"/>
      <c r="BK182" s="45"/>
      <c r="BL182" s="45"/>
      <c r="BM182" s="45"/>
      <c r="BN182" s="45"/>
      <c r="BO182" s="45"/>
      <c r="BP182" s="45"/>
      <c r="BQ182" s="45"/>
      <c r="BR182" s="45"/>
      <c r="BS182" s="45"/>
      <c r="BT182" s="45"/>
      <c r="BU182" s="45"/>
      <c r="BV182" s="45"/>
      <c r="BW182" s="45"/>
      <c r="BX182" s="45"/>
      <c r="BY182" s="55"/>
      <c r="BZ182" s="55"/>
      <c r="CA182" s="55"/>
      <c r="CB182" s="55"/>
      <c r="CC182" s="55"/>
      <c r="CD182" s="55"/>
      <c r="CE182" s="55"/>
      <c r="CF182" s="55"/>
      <c r="CG182" s="55"/>
      <c r="CH182" s="55"/>
      <c r="CI182" s="55"/>
      <c r="CJ182" s="55"/>
      <c r="CK182" s="55"/>
      <c r="CL182" s="55"/>
      <c r="CM182" s="55"/>
      <c r="CN182" s="45">
        <f t="shared" si="90"/>
        <v>0</v>
      </c>
      <c r="CO182" s="45">
        <f t="shared" si="90"/>
        <v>0</v>
      </c>
      <c r="CP182" s="45">
        <f t="shared" si="90"/>
        <v>0</v>
      </c>
      <c r="CQ182" s="45">
        <f t="shared" si="90"/>
        <v>0</v>
      </c>
      <c r="CR182" s="45">
        <f t="shared" si="90"/>
        <v>0</v>
      </c>
      <c r="CS182" s="45">
        <f t="shared" si="90"/>
        <v>0</v>
      </c>
      <c r="CT182" s="45">
        <f t="shared" si="90"/>
        <v>0</v>
      </c>
      <c r="CU182" s="45">
        <f t="shared" si="90"/>
        <v>0</v>
      </c>
      <c r="CV182" s="45">
        <f t="shared" si="90"/>
        <v>0</v>
      </c>
      <c r="CW182" s="45">
        <f t="shared" si="90"/>
        <v>0</v>
      </c>
      <c r="CX182" s="45">
        <f t="shared" si="90"/>
        <v>0</v>
      </c>
      <c r="CY182" s="45">
        <f t="shared" si="90"/>
        <v>0</v>
      </c>
      <c r="CZ182" s="45">
        <f t="shared" si="90"/>
        <v>0</v>
      </c>
      <c r="DA182" s="45">
        <f t="shared" si="90"/>
        <v>0</v>
      </c>
      <c r="DB182" s="45">
        <f t="shared" si="90"/>
        <v>0</v>
      </c>
      <c r="DC182" s="56">
        <f>12*SUM(DC3:DQ171)</f>
        <v>0</v>
      </c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</row>
    <row r="189" spans="1:121" ht="14.25" x14ac:dyDescent="0.15">
      <c r="A189" s="81" t="s">
        <v>190</v>
      </c>
      <c r="B189" s="83" t="s">
        <v>195</v>
      </c>
      <c r="C189" s="83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83"/>
      <c r="P189" s="83"/>
      <c r="Q189" s="83" t="s">
        <v>196</v>
      </c>
      <c r="R189" s="83"/>
      <c r="S189" s="83"/>
      <c r="T189" s="83"/>
      <c r="U189" s="83"/>
      <c r="V189" s="83"/>
      <c r="W189" s="83"/>
      <c r="X189" s="83"/>
      <c r="Y189" s="83"/>
      <c r="Z189" s="83"/>
      <c r="AA189" s="83"/>
      <c r="AB189" s="83"/>
      <c r="AC189" s="83"/>
      <c r="AD189" s="83"/>
      <c r="AE189" s="83"/>
    </row>
    <row r="190" spans="1:121" ht="14.25" x14ac:dyDescent="0.15">
      <c r="A190" s="82"/>
      <c r="B190" s="41">
        <v>1</v>
      </c>
      <c r="C190" s="41">
        <v>2</v>
      </c>
      <c r="D190" s="41">
        <v>3</v>
      </c>
      <c r="E190" s="41">
        <v>4</v>
      </c>
      <c r="F190" s="41">
        <v>5</v>
      </c>
      <c r="G190" s="41">
        <v>6</v>
      </c>
      <c r="H190" s="41">
        <v>7</v>
      </c>
      <c r="I190" s="41">
        <v>8</v>
      </c>
      <c r="J190" s="41">
        <v>9</v>
      </c>
      <c r="K190" s="41">
        <v>10</v>
      </c>
      <c r="L190" s="41">
        <v>11</v>
      </c>
      <c r="M190" s="41">
        <v>12</v>
      </c>
      <c r="N190" s="41">
        <v>13</v>
      </c>
      <c r="O190" s="41">
        <v>14</v>
      </c>
      <c r="P190" s="41">
        <v>15</v>
      </c>
      <c r="Q190" s="41">
        <v>1</v>
      </c>
      <c r="R190" s="41">
        <v>2</v>
      </c>
      <c r="S190" s="41">
        <v>3</v>
      </c>
      <c r="T190" s="41">
        <v>4</v>
      </c>
      <c r="U190" s="41">
        <v>5</v>
      </c>
      <c r="V190" s="41">
        <v>6</v>
      </c>
      <c r="W190" s="41">
        <v>7</v>
      </c>
      <c r="X190" s="41">
        <v>8</v>
      </c>
      <c r="Y190" s="41">
        <v>9</v>
      </c>
      <c r="Z190" s="41">
        <v>10</v>
      </c>
      <c r="AA190" s="41">
        <v>11</v>
      </c>
      <c r="AB190" s="41">
        <v>12</v>
      </c>
      <c r="AC190" s="41">
        <v>13</v>
      </c>
      <c r="AD190" s="41">
        <v>14</v>
      </c>
      <c r="AE190" s="41">
        <v>15</v>
      </c>
    </row>
    <row r="191" spans="1:121" ht="14.25" x14ac:dyDescent="0.15">
      <c r="A191" s="48">
        <v>1</v>
      </c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</row>
    <row r="197" spans="1:16" ht="14.25" x14ac:dyDescent="0.15">
      <c r="A197" s="48" t="s">
        <v>95</v>
      </c>
      <c r="B197" s="83" t="s">
        <v>212</v>
      </c>
      <c r="C197" s="83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/>
      <c r="P197" s="83"/>
    </row>
    <row r="198" spans="1:16" ht="13.5" customHeight="1" x14ac:dyDescent="0.15">
      <c r="A198" s="56" t="e">
        <f>SUM(B198:P198)</f>
        <v>#DIV/0!</v>
      </c>
      <c r="B198" s="41" t="e">
        <f>SUM(Q4:Q182)*B191*Q191</f>
        <v>#DIV/0!</v>
      </c>
      <c r="C198" s="41" t="e">
        <f t="shared" ref="C198:P198" si="91">SUM(R4:R182)*C191*R191</f>
        <v>#DIV/0!</v>
      </c>
      <c r="D198" s="41" t="e">
        <f t="shared" si="91"/>
        <v>#DIV/0!</v>
      </c>
      <c r="E198" s="41" t="e">
        <f t="shared" si="91"/>
        <v>#DIV/0!</v>
      </c>
      <c r="F198" s="41" t="e">
        <f t="shared" si="91"/>
        <v>#DIV/0!</v>
      </c>
      <c r="G198" s="41" t="e">
        <f t="shared" si="91"/>
        <v>#DIV/0!</v>
      </c>
      <c r="H198" s="41" t="e">
        <f t="shared" si="91"/>
        <v>#DIV/0!</v>
      </c>
      <c r="I198" s="41" t="e">
        <f t="shared" si="91"/>
        <v>#DIV/0!</v>
      </c>
      <c r="J198" s="41" t="e">
        <f t="shared" si="91"/>
        <v>#DIV/0!</v>
      </c>
      <c r="K198" s="41" t="e">
        <f t="shared" si="91"/>
        <v>#DIV/0!</v>
      </c>
      <c r="L198" s="41" t="e">
        <f t="shared" si="91"/>
        <v>#DIV/0!</v>
      </c>
      <c r="M198" s="41" t="e">
        <f t="shared" si="91"/>
        <v>#DIV/0!</v>
      </c>
      <c r="N198" s="41" t="e">
        <f t="shared" si="91"/>
        <v>#DIV/0!</v>
      </c>
      <c r="O198" s="41" t="e">
        <f t="shared" si="91"/>
        <v>#DIV/0!</v>
      </c>
      <c r="P198" s="41" t="e">
        <f t="shared" si="91"/>
        <v>#DIV/0!</v>
      </c>
    </row>
    <row r="201" spans="1:16" ht="14.25" x14ac:dyDescent="0.15">
      <c r="A201" s="81" t="s">
        <v>190</v>
      </c>
      <c r="B201" s="83" t="s">
        <v>232</v>
      </c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83"/>
      <c r="P201" s="83"/>
    </row>
    <row r="202" spans="1:16" ht="14.25" x14ac:dyDescent="0.15">
      <c r="A202" s="82"/>
      <c r="B202" s="41">
        <v>1</v>
      </c>
      <c r="C202" s="41">
        <v>2</v>
      </c>
      <c r="D202" s="41">
        <v>3</v>
      </c>
      <c r="E202" s="41">
        <v>4</v>
      </c>
      <c r="F202" s="41">
        <v>5</v>
      </c>
      <c r="G202" s="41">
        <v>6</v>
      </c>
      <c r="H202" s="41">
        <v>7</v>
      </c>
      <c r="I202" s="41">
        <v>8</v>
      </c>
      <c r="J202" s="41">
        <v>9</v>
      </c>
      <c r="K202" s="41">
        <v>10</v>
      </c>
      <c r="L202" s="41">
        <v>11</v>
      </c>
      <c r="M202" s="41">
        <v>12</v>
      </c>
      <c r="N202" s="41">
        <v>13</v>
      </c>
      <c r="O202" s="41">
        <v>14</v>
      </c>
      <c r="P202" s="41">
        <v>15</v>
      </c>
    </row>
    <row r="203" spans="1:16" ht="14.25" x14ac:dyDescent="0.15">
      <c r="A203" s="48" t="s">
        <v>233</v>
      </c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</row>
    <row r="204" spans="1:16" ht="14.25" x14ac:dyDescent="0.15">
      <c r="A204" s="48" t="s">
        <v>234</v>
      </c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</row>
    <row r="205" spans="1:16" ht="14.25" x14ac:dyDescent="0.15">
      <c r="A205" s="48" t="s">
        <v>235</v>
      </c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</row>
  </sheetData>
  <mergeCells count="15">
    <mergeCell ref="A201:A202"/>
    <mergeCell ref="B201:P201"/>
    <mergeCell ref="B197:P197"/>
    <mergeCell ref="DC1:DQ1"/>
    <mergeCell ref="A189:A190"/>
    <mergeCell ref="B189:P189"/>
    <mergeCell ref="Q189:AE189"/>
    <mergeCell ref="CN1:DB1"/>
    <mergeCell ref="A1:A2"/>
    <mergeCell ref="B1:P1"/>
    <mergeCell ref="Q1:AE1"/>
    <mergeCell ref="AF1:AT1"/>
    <mergeCell ref="AU1:BI1"/>
    <mergeCell ref="BJ1:BX1"/>
    <mergeCell ref="BY1:CM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abSelected="1" zoomScale="55" zoomScaleNormal="55" workbookViewId="0">
      <selection activeCell="AF3" sqref="AF3"/>
    </sheetView>
  </sheetViews>
  <sheetFormatPr defaultRowHeight="13.5" x14ac:dyDescent="0.15"/>
  <sheetData>
    <row r="1" spans="1:79" x14ac:dyDescent="0.15">
      <c r="A1" s="90" t="s">
        <v>169</v>
      </c>
      <c r="B1" s="87" t="s">
        <v>197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9"/>
      <c r="O1" s="87" t="s">
        <v>198</v>
      </c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9"/>
      <c r="AB1" s="87" t="s">
        <v>199</v>
      </c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9"/>
      <c r="AO1" s="87" t="s">
        <v>200</v>
      </c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9"/>
      <c r="BB1" s="85" t="s">
        <v>201</v>
      </c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5" t="s">
        <v>202</v>
      </c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</row>
    <row r="2" spans="1:79" x14ac:dyDescent="0.15">
      <c r="A2" s="90"/>
      <c r="B2" s="57">
        <v>1</v>
      </c>
      <c r="C2" s="57">
        <v>2</v>
      </c>
      <c r="D2" s="57">
        <v>3</v>
      </c>
      <c r="E2" s="57">
        <v>4</v>
      </c>
      <c r="F2" s="57">
        <v>5</v>
      </c>
      <c r="G2" s="57">
        <v>6</v>
      </c>
      <c r="H2" s="57">
        <v>7</v>
      </c>
      <c r="I2" s="57">
        <v>8</v>
      </c>
      <c r="J2" s="57">
        <v>9</v>
      </c>
      <c r="K2" s="57">
        <v>10</v>
      </c>
      <c r="L2" s="57">
        <v>11</v>
      </c>
      <c r="M2" s="57">
        <v>12</v>
      </c>
      <c r="N2" s="57">
        <v>13</v>
      </c>
      <c r="O2" s="57">
        <v>1</v>
      </c>
      <c r="P2" s="57">
        <v>2</v>
      </c>
      <c r="Q2" s="57">
        <v>3</v>
      </c>
      <c r="R2" s="57">
        <v>4</v>
      </c>
      <c r="S2" s="57">
        <v>5</v>
      </c>
      <c r="T2" s="57">
        <v>6</v>
      </c>
      <c r="U2" s="57">
        <v>7</v>
      </c>
      <c r="V2" s="57">
        <v>8</v>
      </c>
      <c r="W2" s="57">
        <v>9</v>
      </c>
      <c r="X2" s="57">
        <v>10</v>
      </c>
      <c r="Y2" s="57">
        <v>11</v>
      </c>
      <c r="Z2" s="57">
        <v>12</v>
      </c>
      <c r="AA2" s="57">
        <v>13</v>
      </c>
      <c r="AB2" s="57">
        <v>1</v>
      </c>
      <c r="AC2" s="57">
        <v>2</v>
      </c>
      <c r="AD2" s="57">
        <v>3</v>
      </c>
      <c r="AE2" s="57">
        <v>4</v>
      </c>
      <c r="AF2" s="57">
        <v>5</v>
      </c>
      <c r="AG2" s="57">
        <v>6</v>
      </c>
      <c r="AH2" s="57">
        <v>7</v>
      </c>
      <c r="AI2" s="57">
        <v>8</v>
      </c>
      <c r="AJ2" s="57">
        <v>9</v>
      </c>
      <c r="AK2" s="57">
        <v>10</v>
      </c>
      <c r="AL2" s="57">
        <v>11</v>
      </c>
      <c r="AM2" s="57">
        <v>12</v>
      </c>
      <c r="AN2" s="57">
        <v>13</v>
      </c>
      <c r="AO2" s="57">
        <v>1</v>
      </c>
      <c r="AP2" s="57">
        <v>2</v>
      </c>
      <c r="AQ2" s="57">
        <v>3</v>
      </c>
      <c r="AR2" s="57">
        <v>4</v>
      </c>
      <c r="AS2" s="57">
        <v>5</v>
      </c>
      <c r="AT2" s="57">
        <v>6</v>
      </c>
      <c r="AU2" s="57">
        <v>7</v>
      </c>
      <c r="AV2" s="57">
        <v>8</v>
      </c>
      <c r="AW2" s="57">
        <v>9</v>
      </c>
      <c r="AX2" s="57">
        <v>10</v>
      </c>
      <c r="AY2" s="57">
        <v>11</v>
      </c>
      <c r="AZ2" s="57">
        <v>12</v>
      </c>
      <c r="BA2" s="57">
        <v>13</v>
      </c>
      <c r="BB2" s="57">
        <v>1</v>
      </c>
      <c r="BC2" s="57">
        <v>2</v>
      </c>
      <c r="BD2" s="57">
        <v>3</v>
      </c>
      <c r="BE2" s="57">
        <v>4</v>
      </c>
      <c r="BF2" s="57">
        <v>5</v>
      </c>
      <c r="BG2" s="57">
        <v>6</v>
      </c>
      <c r="BH2" s="57">
        <v>7</v>
      </c>
      <c r="BI2" s="57">
        <v>8</v>
      </c>
      <c r="BJ2" s="57">
        <v>9</v>
      </c>
      <c r="BK2" s="57">
        <v>10</v>
      </c>
      <c r="BL2" s="57">
        <v>11</v>
      </c>
      <c r="BM2" s="57">
        <v>12</v>
      </c>
      <c r="BN2" s="57">
        <v>13</v>
      </c>
      <c r="BO2" s="57">
        <v>1</v>
      </c>
      <c r="BP2" s="57">
        <v>2</v>
      </c>
      <c r="BQ2" s="57">
        <v>3</v>
      </c>
      <c r="BR2" s="57">
        <v>4</v>
      </c>
      <c r="BS2" s="57">
        <v>5</v>
      </c>
      <c r="BT2" s="57">
        <v>6</v>
      </c>
      <c r="BU2" s="57">
        <v>7</v>
      </c>
      <c r="BV2" s="57">
        <v>8</v>
      </c>
      <c r="BW2" s="57">
        <v>9</v>
      </c>
      <c r="BX2" s="57">
        <v>10</v>
      </c>
      <c r="BY2" s="57">
        <v>11</v>
      </c>
      <c r="BZ2" s="57">
        <v>12</v>
      </c>
      <c r="CA2" s="57">
        <v>13</v>
      </c>
    </row>
    <row r="3" spans="1:79" x14ac:dyDescent="0.15">
      <c r="A3" s="58">
        <v>1</v>
      </c>
      <c r="B3" s="59" t="e">
        <f>O3+AB3</f>
        <v>#DIV/0!</v>
      </c>
      <c r="C3" s="59" t="e">
        <f t="shared" ref="C3:N3" si="0">P3+AC3</f>
        <v>#DIV/0!</v>
      </c>
      <c r="D3" s="59" t="e">
        <f t="shared" si="0"/>
        <v>#DIV/0!</v>
      </c>
      <c r="E3" s="59" t="e">
        <f t="shared" si="0"/>
        <v>#DIV/0!</v>
      </c>
      <c r="F3" s="59" t="e">
        <f t="shared" si="0"/>
        <v>#DIV/0!</v>
      </c>
      <c r="G3" s="59" t="e">
        <f t="shared" si="0"/>
        <v>#DIV/0!</v>
      </c>
      <c r="H3" s="59" t="e">
        <f t="shared" si="0"/>
        <v>#DIV/0!</v>
      </c>
      <c r="I3" s="59" t="e">
        <f t="shared" si="0"/>
        <v>#DIV/0!</v>
      </c>
      <c r="J3" s="59" t="e">
        <f t="shared" si="0"/>
        <v>#DIV/0!</v>
      </c>
      <c r="K3" s="59" t="e">
        <f t="shared" si="0"/>
        <v>#DIV/0!</v>
      </c>
      <c r="L3" s="59" t="e">
        <f t="shared" si="0"/>
        <v>#DIV/0!</v>
      </c>
      <c r="M3" s="59" t="e">
        <f t="shared" si="0"/>
        <v>#DIV/0!</v>
      </c>
      <c r="N3" s="59" t="e">
        <f t="shared" si="0"/>
        <v>#DIV/0!</v>
      </c>
      <c r="O3" s="61" t="e">
        <f>Links!B3</f>
        <v>#DIV/0!</v>
      </c>
      <c r="P3" s="61" t="e">
        <f>Links!C3+'On-Ramps'!AC3</f>
        <v>#DIV/0!</v>
      </c>
      <c r="Q3" s="61" t="e">
        <f>Links!D3</f>
        <v>#DIV/0!</v>
      </c>
      <c r="R3" s="61" t="e">
        <f>Links!E3+'On-Ramps'!AD3</f>
        <v>#DIV/0!</v>
      </c>
      <c r="S3" s="61" t="e">
        <f>Links!F3+'On-Ramps'!AE3</f>
        <v>#DIV/0!</v>
      </c>
      <c r="T3" s="61" t="e">
        <f>Links!G3+'On-Ramps'!AF3</f>
        <v>#DIV/0!</v>
      </c>
      <c r="U3" s="61" t="e">
        <f>Links!H3+'On-Ramps'!AG3</f>
        <v>#DIV/0!</v>
      </c>
      <c r="V3" s="61" t="e">
        <f>Links!J3+'On-Ramps'!AH3</f>
        <v>#DIV/0!</v>
      </c>
      <c r="W3" s="61" t="e">
        <f>Links!K3+'On-Ramps'!AI3</f>
        <v>#DIV/0!</v>
      </c>
      <c r="X3" s="61" t="e">
        <f>Links!L3+'On-Ramps'!AJ3</f>
        <v>#DIV/0!</v>
      </c>
      <c r="Y3" s="61" t="e">
        <f>Links!M3</f>
        <v>#DIV/0!</v>
      </c>
      <c r="Z3" s="61" t="e">
        <f>Links!N3+'On-Ramps'!AK3</f>
        <v>#DIV/0!</v>
      </c>
      <c r="AA3" s="61" t="e">
        <f>Links!O3</f>
        <v>#DIV/0!</v>
      </c>
      <c r="AB3" s="61">
        <f>'Off-Ramp'!B3</f>
        <v>0</v>
      </c>
      <c r="AC3" s="65"/>
      <c r="AD3" s="61">
        <f>'Off-Ramp'!C3</f>
        <v>0</v>
      </c>
      <c r="AE3" s="65"/>
      <c r="AF3" s="61">
        <f>'Off-Ramp'!D3</f>
        <v>0</v>
      </c>
      <c r="AG3" s="61">
        <f>'Off-Ramp'!E3</f>
        <v>0</v>
      </c>
      <c r="AH3" s="61">
        <f>'Off-Ramp'!F3</f>
        <v>0</v>
      </c>
      <c r="AI3" s="61">
        <f>'Off-Ramp'!G3</f>
        <v>0</v>
      </c>
      <c r="AJ3" s="61">
        <f>'Off-Ramp'!H3</f>
        <v>0</v>
      </c>
      <c r="AK3" s="61" t="e">
        <f>'Off-Ramp'!S3</f>
        <v>#DIV/0!</v>
      </c>
      <c r="AL3" s="61">
        <f>'Off-Ramp'!J3</f>
        <v>0</v>
      </c>
      <c r="AM3" s="65"/>
      <c r="AN3" s="61">
        <f>'Off-Ramp'!K3</f>
        <v>0</v>
      </c>
      <c r="AO3" s="60" t="e">
        <f>AB3/B3</f>
        <v>#DIV/0!</v>
      </c>
      <c r="AP3" s="65"/>
      <c r="AQ3" s="60" t="e">
        <f t="shared" ref="AQ3:AY3" si="1">AD3/D3</f>
        <v>#DIV/0!</v>
      </c>
      <c r="AR3" s="65"/>
      <c r="AS3" s="60" t="e">
        <f t="shared" si="1"/>
        <v>#DIV/0!</v>
      </c>
      <c r="AT3" s="60" t="e">
        <f t="shared" si="1"/>
        <v>#DIV/0!</v>
      </c>
      <c r="AU3" s="60" t="e">
        <f t="shared" si="1"/>
        <v>#DIV/0!</v>
      </c>
      <c r="AV3" s="60" t="e">
        <f t="shared" si="1"/>
        <v>#DIV/0!</v>
      </c>
      <c r="AW3" s="60" t="e">
        <f t="shared" si="1"/>
        <v>#DIV/0!</v>
      </c>
      <c r="AX3" s="60" t="e">
        <f t="shared" si="1"/>
        <v>#DIV/0!</v>
      </c>
      <c r="AY3" s="60" t="e">
        <f t="shared" si="1"/>
        <v>#DIV/0!</v>
      </c>
      <c r="AZ3" s="65"/>
      <c r="BA3" s="60" t="e">
        <f>AN3/N3</f>
        <v>#DIV/0!</v>
      </c>
      <c r="BB3" s="59">
        <f>Links!AF3</f>
        <v>0</v>
      </c>
      <c r="BC3" s="59" t="e">
        <f>(Links!AG3*Links!C3+'On-Ramps'!AC3*'On-Ramps'!CE3)/('On-Ramps'!AC3+Links!C3)</f>
        <v>#DIV/0!</v>
      </c>
      <c r="BD3" s="59">
        <f>Links!AH3</f>
        <v>0</v>
      </c>
      <c r="BE3" s="59" t="e">
        <f>(Links!AI3*Links!E3+'On-Ramps'!AD3*'On-Ramps'!CF2)/('On-Ramps'!AD3+Links!E3)</f>
        <v>#DIV/0!</v>
      </c>
      <c r="BF3" s="59" t="e">
        <f>(Links!F3*Links!AJ3+'On-Ramps'!AE3*'On-Ramps'!CG3)/('On-Ramps'!AE3+Links!F3)</f>
        <v>#DIV/0!</v>
      </c>
      <c r="BG3" s="59" t="e">
        <f>(Links!G3*Links!AK3+'On-Ramps'!AF3*'On-Ramps'!CH3)/('On-Ramps'!AF3+Links!G3)</f>
        <v>#DIV/0!</v>
      </c>
      <c r="BH3" s="59" t="e">
        <f>(Links!H3*Links!AL3+'On-Ramps'!AG3*'On-Ramps'!CI3)/('On-Ramps'!AG3+Links!H3)</f>
        <v>#DIV/0!</v>
      </c>
      <c r="BI3" s="59" t="e">
        <f>(Links!J3*Links!AN3+'On-Ramps'!AH3*'On-Ramps'!CJ3)/('On-Ramps'!AH3+Links!J3)</f>
        <v>#DIV/0!</v>
      </c>
      <c r="BJ3" s="59" t="e">
        <f>(Links!K3*Links!AO3+'On-Ramps'!AI3*'On-Ramps'!CK3)/('On-Ramps'!AI3+Links!K3)</f>
        <v>#DIV/0!</v>
      </c>
      <c r="BK3" s="59" t="e">
        <f>(Links!L3*Links!AP3+'On-Ramps'!AJ3*'On-Ramps'!CL3)/(Links!L3+'On-Ramps'!AJ3)</f>
        <v>#DIV/0!</v>
      </c>
      <c r="BL3" s="59">
        <f>Links!AQ3</f>
        <v>0</v>
      </c>
      <c r="BM3" s="59" t="e">
        <f>(Links!N3*Links!AR3+'On-Ramps'!AL3*'On-Ramps'!CM3)/(Links!N3+'On-Ramps'!AL3)</f>
        <v>#DIV/0!</v>
      </c>
      <c r="BN3" s="59">
        <f>Links!AS3</f>
        <v>0</v>
      </c>
      <c r="BO3" s="60" t="e">
        <f>(Links!R3^2+'Off-Ramp'!L3^2)/(Links!R3+'Off-Ramp'!L3)</f>
        <v>#DIV/0!</v>
      </c>
      <c r="BP3" s="60" t="e">
        <f>Links!S3</f>
        <v>#DIV/0!</v>
      </c>
      <c r="BQ3" s="60" t="e">
        <f>(Links!S3^2+'Off-Ramp'!C3^2)/(Links!S3+'Off-Ramp'!C3)</f>
        <v>#DIV/0!</v>
      </c>
      <c r="BR3" s="60" t="e">
        <f>Links!T3</f>
        <v>#DIV/0!</v>
      </c>
      <c r="BS3" s="60" t="e">
        <f>(Links!X3^2+'Off-Ramp'!V3^2+'Off-Ramp'!W3^2+'Off-Ramp'!X3^2)/(Links!X3+'Off-Ramp'!V3+'Off-Ramp'!W3+'Off-Ramp'!X3)</f>
        <v>#DIV/0!</v>
      </c>
      <c r="BT3" s="60" t="e">
        <f>(Links!Y3^2+'Off-Ramp'!Y3^2+'Off-Ramp'!Z3^2+'Off-Ramp'!AA3^2)/(Links!Y3+'Off-Ramp'!Y3+'Off-Ramp'!Z3+'Off-Ramp'!AA3)</f>
        <v>#DIV/0!</v>
      </c>
      <c r="BU3" s="60" t="e">
        <f>(Links!W3^2+'Off-Ramp'!P3^2)/(Links!W3+'Off-Ramp'!P3)</f>
        <v>#DIV/0!</v>
      </c>
      <c r="BV3" s="60" t="e">
        <f>(Links!Y3^2+'Off-Ramp'!Q3^2)/(Links!Y3+'Off-Ramp'!Q3)</f>
        <v>#DIV/0!</v>
      </c>
      <c r="BW3" s="60" t="e">
        <f>(Links!Z3^2+'Off-Ramp'!R3^2)/(Links!Z3+'Off-Ramp'!R3)</f>
        <v>#DIV/0!</v>
      </c>
      <c r="BX3" s="60" t="e">
        <f>(Links!AA3+'Off-Ramp'!S3)/(Links!AA3^2+'Off-Ramp'!S3^2)</f>
        <v>#DIV/0!</v>
      </c>
      <c r="BY3" s="60" t="e">
        <f>(Links!AB3^2+'Off-Ramp'!T3^2)/(Links!AB3+'Off-Ramp'!T3)</f>
        <v>#DIV/0!</v>
      </c>
      <c r="BZ3" s="60" t="e">
        <f>Links!AC3</f>
        <v>#DIV/0!</v>
      </c>
      <c r="CA3" s="60" t="e">
        <f>(Links!AD3^2+'Off-Ramp'!U3^2)/(Links!AD3+'Off-Ramp'!U3)</f>
        <v>#DIV/0!</v>
      </c>
    </row>
    <row r="4" spans="1:79" x14ac:dyDescent="0.15">
      <c r="A4" s="58">
        <v>2</v>
      </c>
      <c r="B4" s="59" t="e">
        <f t="shared" ref="B4:B67" si="2">O4+AB4</f>
        <v>#DIV/0!</v>
      </c>
      <c r="C4" s="59" t="e">
        <f t="shared" ref="C4:C67" si="3">P4+AC4</f>
        <v>#DIV/0!</v>
      </c>
      <c r="D4" s="59" t="e">
        <f t="shared" ref="D4:D67" si="4">Q4+AD4</f>
        <v>#DIV/0!</v>
      </c>
      <c r="E4" s="59" t="e">
        <f t="shared" ref="E4:E67" si="5">R4+AE4</f>
        <v>#DIV/0!</v>
      </c>
      <c r="F4" s="59" t="e">
        <f t="shared" ref="F4:F67" si="6">S4+AF4</f>
        <v>#DIV/0!</v>
      </c>
      <c r="G4" s="59" t="e">
        <f t="shared" ref="G4:G67" si="7">T4+AG4</f>
        <v>#DIV/0!</v>
      </c>
      <c r="H4" s="59" t="e">
        <f t="shared" ref="H4:H67" si="8">U4+AH4</f>
        <v>#DIV/0!</v>
      </c>
      <c r="I4" s="59" t="e">
        <f t="shared" ref="I4:I67" si="9">V4+AI4</f>
        <v>#DIV/0!</v>
      </c>
      <c r="J4" s="59" t="e">
        <f t="shared" ref="J4:J67" si="10">W4+AJ4</f>
        <v>#DIV/0!</v>
      </c>
      <c r="K4" s="59" t="e">
        <f t="shared" ref="K4:K67" si="11">X4+AK4</f>
        <v>#DIV/0!</v>
      </c>
      <c r="L4" s="59" t="e">
        <f t="shared" ref="L4:L67" si="12">Y4+AL4</f>
        <v>#DIV/0!</v>
      </c>
      <c r="M4" s="59" t="e">
        <f t="shared" ref="M4:M67" si="13">Z4+AM4</f>
        <v>#DIV/0!</v>
      </c>
      <c r="N4" s="59" t="e">
        <f t="shared" ref="N4:N67" si="14">AA4+AN4</f>
        <v>#DIV/0!</v>
      </c>
      <c r="O4" s="60" t="e">
        <f>Links!B4</f>
        <v>#DIV/0!</v>
      </c>
      <c r="P4" s="60" t="e">
        <f>Links!C4+'On-Ramps'!AC4</f>
        <v>#DIV/0!</v>
      </c>
      <c r="Q4" s="60" t="e">
        <f>Links!D4</f>
        <v>#DIV/0!</v>
      </c>
      <c r="R4" s="60" t="e">
        <f>Links!E4+'On-Ramps'!AD4</f>
        <v>#DIV/0!</v>
      </c>
      <c r="S4" s="60" t="e">
        <f>Links!F4+'On-Ramps'!AE4</f>
        <v>#DIV/0!</v>
      </c>
      <c r="T4" s="60" t="e">
        <f>Links!G4+'On-Ramps'!AF4</f>
        <v>#DIV/0!</v>
      </c>
      <c r="U4" s="60" t="e">
        <f>Links!H4+'On-Ramps'!AG4</f>
        <v>#DIV/0!</v>
      </c>
      <c r="V4" s="60" t="e">
        <f>Links!J4+'On-Ramps'!AH4</f>
        <v>#DIV/0!</v>
      </c>
      <c r="W4" s="60" t="e">
        <f>Links!K4+'On-Ramps'!AI4</f>
        <v>#DIV/0!</v>
      </c>
      <c r="X4" s="60" t="e">
        <f>Links!L4+'On-Ramps'!AJ4</f>
        <v>#DIV/0!</v>
      </c>
      <c r="Y4" s="60" t="e">
        <f>Links!M4</f>
        <v>#DIV/0!</v>
      </c>
      <c r="Z4" s="60" t="e">
        <f>Links!N4+'On-Ramps'!AK4</f>
        <v>#DIV/0!</v>
      </c>
      <c r="AA4" s="60" t="e">
        <f>Links!O4</f>
        <v>#DIV/0!</v>
      </c>
      <c r="AB4" s="59" t="e">
        <f>AO4*(1-AO4)*O4</f>
        <v>#DIV/0!</v>
      </c>
      <c r="AC4" s="65"/>
      <c r="AD4" s="59" t="e">
        <f t="shared" ref="AD4:AN19" si="15">AQ4*(1-AQ4)*Q4</f>
        <v>#DIV/0!</v>
      </c>
      <c r="AE4" s="65"/>
      <c r="AF4" s="59" t="e">
        <f t="shared" si="15"/>
        <v>#DIV/0!</v>
      </c>
      <c r="AG4" s="59" t="e">
        <f t="shared" si="15"/>
        <v>#DIV/0!</v>
      </c>
      <c r="AH4" s="59" t="e">
        <f t="shared" si="15"/>
        <v>#DIV/0!</v>
      </c>
      <c r="AI4" s="59" t="e">
        <f t="shared" si="15"/>
        <v>#DIV/0!</v>
      </c>
      <c r="AJ4" s="59" t="e">
        <f t="shared" si="15"/>
        <v>#DIV/0!</v>
      </c>
      <c r="AK4" s="59" t="e">
        <f t="shared" si="15"/>
        <v>#DIV/0!</v>
      </c>
      <c r="AL4" s="59" t="e">
        <f t="shared" si="15"/>
        <v>#DIV/0!</v>
      </c>
      <c r="AM4" s="65"/>
      <c r="AN4" s="59" t="e">
        <f t="shared" si="15"/>
        <v>#DIV/0!</v>
      </c>
      <c r="AO4" s="60" t="e">
        <f>AO$3</f>
        <v>#DIV/0!</v>
      </c>
      <c r="AP4" s="65"/>
      <c r="AQ4" s="60" t="e">
        <f t="shared" ref="AQ4:BA19" si="16">AQ$3</f>
        <v>#DIV/0!</v>
      </c>
      <c r="AR4" s="65"/>
      <c r="AS4" s="60" t="e">
        <f t="shared" si="16"/>
        <v>#DIV/0!</v>
      </c>
      <c r="AT4" s="60" t="e">
        <f t="shared" si="16"/>
        <v>#DIV/0!</v>
      </c>
      <c r="AU4" s="60" t="e">
        <f t="shared" si="16"/>
        <v>#DIV/0!</v>
      </c>
      <c r="AV4" s="60" t="e">
        <f t="shared" si="16"/>
        <v>#DIV/0!</v>
      </c>
      <c r="AW4" s="60" t="e">
        <f t="shared" si="16"/>
        <v>#DIV/0!</v>
      </c>
      <c r="AX4" s="60" t="e">
        <f t="shared" si="16"/>
        <v>#DIV/0!</v>
      </c>
      <c r="AY4" s="60" t="e">
        <f t="shared" si="16"/>
        <v>#DIV/0!</v>
      </c>
      <c r="AZ4" s="65"/>
      <c r="BA4" s="60" t="e">
        <f t="shared" si="16"/>
        <v>#DIV/0!</v>
      </c>
      <c r="BB4" s="59" t="e">
        <f>Links!AF4</f>
        <v>#DIV/0!</v>
      </c>
      <c r="BC4" s="59" t="e">
        <f>(Links!AG4*Links!C4+'On-Ramps'!AC4*'On-Ramps'!CE4)/('On-Ramps'!AC4+Links!C4)</f>
        <v>#DIV/0!</v>
      </c>
      <c r="BD4" s="59" t="e">
        <f>Links!AH4</f>
        <v>#DIV/0!</v>
      </c>
      <c r="BE4" s="59" t="e">
        <f>(Links!AI4*Links!E4+'On-Ramps'!AD4*'On-Ramps'!CF3)/('On-Ramps'!AD4+Links!E4)</f>
        <v>#DIV/0!</v>
      </c>
      <c r="BF4" s="59" t="e">
        <f>(Links!F4*Links!AJ4+'On-Ramps'!AE4*'On-Ramps'!CG4)/('On-Ramps'!AE4+Links!F4)</f>
        <v>#DIV/0!</v>
      </c>
      <c r="BG4" s="59" t="e">
        <f>(Links!G4*Links!AK4+'On-Ramps'!AF4*'On-Ramps'!CH4)/('On-Ramps'!AF4+Links!G4)</f>
        <v>#DIV/0!</v>
      </c>
      <c r="BH4" s="59" t="e">
        <f>(Links!H4*Links!AL4+'On-Ramps'!AG4*'On-Ramps'!CI4)/('On-Ramps'!AG4+Links!H4)</f>
        <v>#DIV/0!</v>
      </c>
      <c r="BI4" s="59" t="e">
        <f>(Links!J4*Links!AN4+'On-Ramps'!AH4*'On-Ramps'!CJ4)/('On-Ramps'!AH4+Links!J4)</f>
        <v>#DIV/0!</v>
      </c>
      <c r="BJ4" s="59" t="e">
        <f>(Links!K4*Links!AO4+'On-Ramps'!AI4*'On-Ramps'!CK4)/('On-Ramps'!AI4+Links!K4)</f>
        <v>#DIV/0!</v>
      </c>
      <c r="BK4" s="59" t="e">
        <f>(Links!L4*Links!AP4+'On-Ramps'!AJ4*'On-Ramps'!CL4)/(Links!L4+'On-Ramps'!AJ4)</f>
        <v>#DIV/0!</v>
      </c>
      <c r="BL4" s="59" t="e">
        <f>Links!AQ4</f>
        <v>#DIV/0!</v>
      </c>
      <c r="BM4" s="59" t="e">
        <f>(Links!N4*Links!AR4+'On-Ramps'!AL4*'On-Ramps'!CM4)/(Links!N4+'On-Ramps'!AL4)</f>
        <v>#DIV/0!</v>
      </c>
      <c r="BN4" s="59" t="e">
        <f>Links!AS4</f>
        <v>#DIV/0!</v>
      </c>
      <c r="BO4" s="60" t="e">
        <f>(Links!R4^2+'Off-Ramp'!L4^2)/(Links!R4+'Off-Ramp'!L4)</f>
        <v>#DIV/0!</v>
      </c>
      <c r="BP4" s="60" t="e">
        <f>Links!S4</f>
        <v>#DIV/0!</v>
      </c>
      <c r="BQ4" s="60" t="e">
        <f>(Links!S4^2+'Off-Ramp'!C4^2)/(Links!S4+'Off-Ramp'!C4)</f>
        <v>#DIV/0!</v>
      </c>
      <c r="BR4" s="60" t="e">
        <f>Links!T4</f>
        <v>#DIV/0!</v>
      </c>
      <c r="BS4" s="60" t="e">
        <f>(Links!X4^2+'Off-Ramp'!V4^2+'Off-Ramp'!W4^2+'Off-Ramp'!X4^2)/(Links!X4+'Off-Ramp'!V4+'Off-Ramp'!W4+'Off-Ramp'!X4)</f>
        <v>#DIV/0!</v>
      </c>
      <c r="BT4" s="60" t="e">
        <f>(Links!Y4^2+'Off-Ramp'!Y4^2+'Off-Ramp'!Z4^2+'Off-Ramp'!AA4^2)/(Links!Y4+'Off-Ramp'!Y4+'Off-Ramp'!Z4+'Off-Ramp'!AA4)</f>
        <v>#DIV/0!</v>
      </c>
      <c r="BU4" s="60" t="e">
        <f>(Links!W4^2+'Off-Ramp'!P4^2)/(Links!W4+'Off-Ramp'!P4)</f>
        <v>#DIV/0!</v>
      </c>
      <c r="BV4" s="60" t="e">
        <f>(Links!Y4^2+'Off-Ramp'!Q4^2)/(Links!Y4+'Off-Ramp'!Q4)</f>
        <v>#DIV/0!</v>
      </c>
      <c r="BW4" s="60" t="e">
        <f>(Links!Z4^2+'Off-Ramp'!R4^2)/(Links!Z4+'Off-Ramp'!R4)</f>
        <v>#DIV/0!</v>
      </c>
      <c r="BX4" s="60" t="e">
        <f>(Links!AA4+'Off-Ramp'!S4)/(Links!AA4^2+'Off-Ramp'!S4^2)</f>
        <v>#DIV/0!</v>
      </c>
      <c r="BY4" s="60" t="e">
        <f>(Links!AB4^2+'Off-Ramp'!T4^2)/(Links!AB4+'Off-Ramp'!T4)</f>
        <v>#DIV/0!</v>
      </c>
      <c r="BZ4" s="60" t="e">
        <f>Links!AC4</f>
        <v>#DIV/0!</v>
      </c>
      <c r="CA4" s="60" t="e">
        <f>(Links!AD4^2+'Off-Ramp'!U4^2)/(Links!AD4+'Off-Ramp'!U4)</f>
        <v>#DIV/0!</v>
      </c>
    </row>
    <row r="5" spans="1:79" x14ac:dyDescent="0.15">
      <c r="A5" s="58">
        <v>3</v>
      </c>
      <c r="B5" s="59" t="e">
        <f t="shared" si="2"/>
        <v>#DIV/0!</v>
      </c>
      <c r="C5" s="59" t="e">
        <f t="shared" si="3"/>
        <v>#DIV/0!</v>
      </c>
      <c r="D5" s="59" t="e">
        <f t="shared" si="4"/>
        <v>#DIV/0!</v>
      </c>
      <c r="E5" s="59" t="e">
        <f t="shared" si="5"/>
        <v>#DIV/0!</v>
      </c>
      <c r="F5" s="59" t="e">
        <f t="shared" si="6"/>
        <v>#DIV/0!</v>
      </c>
      <c r="G5" s="59" t="e">
        <f t="shared" si="7"/>
        <v>#DIV/0!</v>
      </c>
      <c r="H5" s="59" t="e">
        <f t="shared" si="8"/>
        <v>#DIV/0!</v>
      </c>
      <c r="I5" s="59" t="e">
        <f t="shared" si="9"/>
        <v>#DIV/0!</v>
      </c>
      <c r="J5" s="59" t="e">
        <f t="shared" si="10"/>
        <v>#DIV/0!</v>
      </c>
      <c r="K5" s="59" t="e">
        <f t="shared" si="11"/>
        <v>#DIV/0!</v>
      </c>
      <c r="L5" s="59" t="e">
        <f t="shared" si="12"/>
        <v>#DIV/0!</v>
      </c>
      <c r="M5" s="59" t="e">
        <f t="shared" si="13"/>
        <v>#DIV/0!</v>
      </c>
      <c r="N5" s="59" t="e">
        <f t="shared" si="14"/>
        <v>#DIV/0!</v>
      </c>
      <c r="O5" s="60" t="e">
        <f>Links!B5</f>
        <v>#DIV/0!</v>
      </c>
      <c r="P5" s="60" t="e">
        <f>Links!C5+'On-Ramps'!AC5</f>
        <v>#DIV/0!</v>
      </c>
      <c r="Q5" s="60" t="e">
        <f>Links!D5</f>
        <v>#DIV/0!</v>
      </c>
      <c r="R5" s="60" t="e">
        <f>Links!E5+'On-Ramps'!AD5</f>
        <v>#DIV/0!</v>
      </c>
      <c r="S5" s="60" t="e">
        <f>Links!F5+'On-Ramps'!AE5</f>
        <v>#DIV/0!</v>
      </c>
      <c r="T5" s="60" t="e">
        <f>Links!G5+'On-Ramps'!AF5</f>
        <v>#DIV/0!</v>
      </c>
      <c r="U5" s="60" t="e">
        <f>Links!H5+'On-Ramps'!AG5</f>
        <v>#DIV/0!</v>
      </c>
      <c r="V5" s="60" t="e">
        <f>Links!J5+'On-Ramps'!AH5</f>
        <v>#DIV/0!</v>
      </c>
      <c r="W5" s="60" t="e">
        <f>Links!K5+'On-Ramps'!AI5</f>
        <v>#DIV/0!</v>
      </c>
      <c r="X5" s="60" t="e">
        <f>Links!L5+'On-Ramps'!AJ5</f>
        <v>#DIV/0!</v>
      </c>
      <c r="Y5" s="60" t="e">
        <f>Links!M5</f>
        <v>#DIV/0!</v>
      </c>
      <c r="Z5" s="60" t="e">
        <f>Links!N5+'On-Ramps'!AK5</f>
        <v>#DIV/0!</v>
      </c>
      <c r="AA5" s="60" t="e">
        <f>Links!O5</f>
        <v>#DIV/0!</v>
      </c>
      <c r="AB5" s="59" t="e">
        <f t="shared" ref="AB5:AB68" si="17">AO5*(1-AO5)*O5</f>
        <v>#DIV/0!</v>
      </c>
      <c r="AC5" s="65"/>
      <c r="AD5" s="59" t="e">
        <f t="shared" ref="AD5:AD68" si="18">AQ5*(1-AQ5)*Q5</f>
        <v>#DIV/0!</v>
      </c>
      <c r="AE5" s="65"/>
      <c r="AF5" s="59" t="e">
        <f t="shared" ref="AF5:AF68" si="19">AS5*(1-AS5)*S5</f>
        <v>#DIV/0!</v>
      </c>
      <c r="AG5" s="59" t="e">
        <f t="shared" ref="AG5:AG68" si="20">AT5*(1-AT5)*T5</f>
        <v>#DIV/0!</v>
      </c>
      <c r="AH5" s="59" t="e">
        <f t="shared" ref="AH5:AH68" si="21">AU5*(1-AU5)*U5</f>
        <v>#DIV/0!</v>
      </c>
      <c r="AI5" s="59" t="e">
        <f t="shared" ref="AI5:AI68" si="22">AV5*(1-AV5)*V5</f>
        <v>#DIV/0!</v>
      </c>
      <c r="AJ5" s="59" t="e">
        <f t="shared" ref="AJ5:AJ68" si="23">AW5*(1-AW5)*W5</f>
        <v>#DIV/0!</v>
      </c>
      <c r="AK5" s="59" t="e">
        <f t="shared" ref="AK5:AK68" si="24">AX5*(1-AX5)*X5</f>
        <v>#DIV/0!</v>
      </c>
      <c r="AL5" s="59" t="e">
        <f t="shared" ref="AL5:AL68" si="25">AY5*(1-AY5)*Y5</f>
        <v>#DIV/0!</v>
      </c>
      <c r="AM5" s="65"/>
      <c r="AN5" s="59" t="e">
        <f t="shared" si="15"/>
        <v>#DIV/0!</v>
      </c>
      <c r="AO5" s="60" t="e">
        <f t="shared" ref="AO5:BA36" si="26">AO$3</f>
        <v>#DIV/0!</v>
      </c>
      <c r="AP5" s="65"/>
      <c r="AQ5" s="60" t="e">
        <f t="shared" si="16"/>
        <v>#DIV/0!</v>
      </c>
      <c r="AR5" s="65"/>
      <c r="AS5" s="60" t="e">
        <f t="shared" si="16"/>
        <v>#DIV/0!</v>
      </c>
      <c r="AT5" s="60" t="e">
        <f t="shared" si="16"/>
        <v>#DIV/0!</v>
      </c>
      <c r="AU5" s="60" t="e">
        <f t="shared" si="16"/>
        <v>#DIV/0!</v>
      </c>
      <c r="AV5" s="60" t="e">
        <f t="shared" si="16"/>
        <v>#DIV/0!</v>
      </c>
      <c r="AW5" s="60" t="e">
        <f t="shared" si="16"/>
        <v>#DIV/0!</v>
      </c>
      <c r="AX5" s="60" t="e">
        <f t="shared" si="16"/>
        <v>#DIV/0!</v>
      </c>
      <c r="AY5" s="60" t="e">
        <f t="shared" si="16"/>
        <v>#DIV/0!</v>
      </c>
      <c r="AZ5" s="65"/>
      <c r="BA5" s="60" t="e">
        <f t="shared" si="16"/>
        <v>#DIV/0!</v>
      </c>
      <c r="BB5" s="59" t="e">
        <f>Links!AF5</f>
        <v>#DIV/0!</v>
      </c>
      <c r="BC5" s="59" t="e">
        <f>(Links!AG5*Links!C5+'On-Ramps'!AC5*'On-Ramps'!CE5)/('On-Ramps'!AC5+Links!C5)</f>
        <v>#DIV/0!</v>
      </c>
      <c r="BD5" s="59" t="e">
        <f>Links!AH5</f>
        <v>#DIV/0!</v>
      </c>
      <c r="BE5" s="59" t="e">
        <f>(Links!AI5*Links!E5+'On-Ramps'!AD5*'On-Ramps'!CF4)/('On-Ramps'!AD5+Links!E5)</f>
        <v>#DIV/0!</v>
      </c>
      <c r="BF5" s="59" t="e">
        <f>(Links!F5*Links!AJ5+'On-Ramps'!AE5*'On-Ramps'!CG5)/('On-Ramps'!AE5+Links!F5)</f>
        <v>#DIV/0!</v>
      </c>
      <c r="BG5" s="59" t="e">
        <f>(Links!G5*Links!AK5+'On-Ramps'!AF5*'On-Ramps'!CH5)/('On-Ramps'!AF5+Links!G5)</f>
        <v>#DIV/0!</v>
      </c>
      <c r="BH5" s="59" t="e">
        <f>(Links!H5*Links!AL5+'On-Ramps'!AG5*'On-Ramps'!CI5)/('On-Ramps'!AG5+Links!H5)</f>
        <v>#DIV/0!</v>
      </c>
      <c r="BI5" s="59" t="e">
        <f>(Links!J5*Links!AN5+'On-Ramps'!AH5*'On-Ramps'!CJ5)/('On-Ramps'!AH5+Links!J5)</f>
        <v>#DIV/0!</v>
      </c>
      <c r="BJ5" s="59" t="e">
        <f>(Links!K5*Links!AO5+'On-Ramps'!AI5*'On-Ramps'!CK5)/('On-Ramps'!AI5+Links!K5)</f>
        <v>#DIV/0!</v>
      </c>
      <c r="BK5" s="59" t="e">
        <f>(Links!L5*Links!AP5+'On-Ramps'!AJ5*'On-Ramps'!CL5)/(Links!L5+'On-Ramps'!AJ5)</f>
        <v>#DIV/0!</v>
      </c>
      <c r="BL5" s="59" t="e">
        <f>Links!AQ5</f>
        <v>#DIV/0!</v>
      </c>
      <c r="BM5" s="59" t="e">
        <f>(Links!N5*Links!AR5+'On-Ramps'!AL5*'On-Ramps'!CM5)/(Links!N5+'On-Ramps'!AL5)</f>
        <v>#DIV/0!</v>
      </c>
      <c r="BN5" s="59" t="e">
        <f>Links!AS5</f>
        <v>#DIV/0!</v>
      </c>
      <c r="BO5" s="60" t="e">
        <f>(Links!R5^2+'Off-Ramp'!L5^2)/(Links!R5+'Off-Ramp'!L5)</f>
        <v>#DIV/0!</v>
      </c>
      <c r="BP5" s="60" t="e">
        <f>Links!S5</f>
        <v>#DIV/0!</v>
      </c>
      <c r="BQ5" s="60" t="e">
        <f>(Links!S5^2+'Off-Ramp'!C5^2)/(Links!S5+'Off-Ramp'!C5)</f>
        <v>#DIV/0!</v>
      </c>
      <c r="BR5" s="60" t="e">
        <f>Links!T5</f>
        <v>#DIV/0!</v>
      </c>
      <c r="BS5" s="60" t="e">
        <f>(Links!X5^2+'Off-Ramp'!V5^2+'Off-Ramp'!W5^2+'Off-Ramp'!X5^2)/(Links!X5+'Off-Ramp'!V5+'Off-Ramp'!W5+'Off-Ramp'!X5)</f>
        <v>#DIV/0!</v>
      </c>
      <c r="BT5" s="60" t="e">
        <f>(Links!Y5^2+'Off-Ramp'!Y5^2+'Off-Ramp'!Z5^2+'Off-Ramp'!AA5^2)/(Links!Y5+'Off-Ramp'!Y5+'Off-Ramp'!Z5+'Off-Ramp'!AA5)</f>
        <v>#DIV/0!</v>
      </c>
      <c r="BU5" s="60" t="e">
        <f>(Links!W5^2+'Off-Ramp'!P5^2)/(Links!W5+'Off-Ramp'!P5)</f>
        <v>#DIV/0!</v>
      </c>
      <c r="BV5" s="60" t="e">
        <f>(Links!Y5^2+'Off-Ramp'!Q5^2)/(Links!Y5+'Off-Ramp'!Q5)</f>
        <v>#DIV/0!</v>
      </c>
      <c r="BW5" s="60" t="e">
        <f>(Links!Z5^2+'Off-Ramp'!R5^2)/(Links!Z5+'Off-Ramp'!R5)</f>
        <v>#DIV/0!</v>
      </c>
      <c r="BX5" s="60" t="e">
        <f>(Links!AA5+'Off-Ramp'!S5)/(Links!AA5^2+'Off-Ramp'!S5^2)</f>
        <v>#DIV/0!</v>
      </c>
      <c r="BY5" s="60" t="e">
        <f>(Links!AB5^2+'Off-Ramp'!T5^2)/(Links!AB5+'Off-Ramp'!T5)</f>
        <v>#DIV/0!</v>
      </c>
      <c r="BZ5" s="60" t="e">
        <f>Links!AC5</f>
        <v>#DIV/0!</v>
      </c>
      <c r="CA5" s="60" t="e">
        <f>(Links!AD5^2+'Off-Ramp'!U5^2)/(Links!AD5+'Off-Ramp'!U5)</f>
        <v>#DIV/0!</v>
      </c>
    </row>
    <row r="6" spans="1:79" x14ac:dyDescent="0.15">
      <c r="A6" s="58">
        <v>4</v>
      </c>
      <c r="B6" s="59" t="e">
        <f t="shared" si="2"/>
        <v>#DIV/0!</v>
      </c>
      <c r="C6" s="59" t="e">
        <f t="shared" si="3"/>
        <v>#DIV/0!</v>
      </c>
      <c r="D6" s="59" t="e">
        <f t="shared" si="4"/>
        <v>#DIV/0!</v>
      </c>
      <c r="E6" s="59" t="e">
        <f t="shared" si="5"/>
        <v>#DIV/0!</v>
      </c>
      <c r="F6" s="59" t="e">
        <f t="shared" si="6"/>
        <v>#DIV/0!</v>
      </c>
      <c r="G6" s="59" t="e">
        <f t="shared" si="7"/>
        <v>#DIV/0!</v>
      </c>
      <c r="H6" s="59" t="e">
        <f t="shared" si="8"/>
        <v>#DIV/0!</v>
      </c>
      <c r="I6" s="59" t="e">
        <f t="shared" si="9"/>
        <v>#DIV/0!</v>
      </c>
      <c r="J6" s="59" t="e">
        <f t="shared" si="10"/>
        <v>#DIV/0!</v>
      </c>
      <c r="K6" s="59" t="e">
        <f t="shared" si="11"/>
        <v>#DIV/0!</v>
      </c>
      <c r="L6" s="59" t="e">
        <f t="shared" si="12"/>
        <v>#DIV/0!</v>
      </c>
      <c r="M6" s="59" t="e">
        <f t="shared" si="13"/>
        <v>#DIV/0!</v>
      </c>
      <c r="N6" s="59" t="e">
        <f t="shared" si="14"/>
        <v>#DIV/0!</v>
      </c>
      <c r="O6" s="60" t="e">
        <f>Links!B6</f>
        <v>#DIV/0!</v>
      </c>
      <c r="P6" s="60" t="e">
        <f>Links!C6+'On-Ramps'!AC6</f>
        <v>#DIV/0!</v>
      </c>
      <c r="Q6" s="60" t="e">
        <f>Links!D6</f>
        <v>#DIV/0!</v>
      </c>
      <c r="R6" s="60" t="e">
        <f>Links!E6+'On-Ramps'!AD6</f>
        <v>#DIV/0!</v>
      </c>
      <c r="S6" s="60" t="e">
        <f>Links!F6+'On-Ramps'!AE6</f>
        <v>#DIV/0!</v>
      </c>
      <c r="T6" s="60" t="e">
        <f>Links!G6+'On-Ramps'!AF6</f>
        <v>#DIV/0!</v>
      </c>
      <c r="U6" s="60" t="e">
        <f>Links!H6+'On-Ramps'!AG6</f>
        <v>#DIV/0!</v>
      </c>
      <c r="V6" s="60" t="e">
        <f>Links!J6+'On-Ramps'!AH6</f>
        <v>#DIV/0!</v>
      </c>
      <c r="W6" s="60" t="e">
        <f>Links!K6+'On-Ramps'!AI6</f>
        <v>#DIV/0!</v>
      </c>
      <c r="X6" s="60" t="e">
        <f>Links!L6+'On-Ramps'!AJ6</f>
        <v>#DIV/0!</v>
      </c>
      <c r="Y6" s="60" t="e">
        <f>Links!M6</f>
        <v>#DIV/0!</v>
      </c>
      <c r="Z6" s="60" t="e">
        <f>Links!N6+'On-Ramps'!AK6</f>
        <v>#DIV/0!</v>
      </c>
      <c r="AA6" s="60" t="e">
        <f>Links!O6</f>
        <v>#DIV/0!</v>
      </c>
      <c r="AB6" s="59" t="e">
        <f t="shared" si="17"/>
        <v>#DIV/0!</v>
      </c>
      <c r="AC6" s="65"/>
      <c r="AD6" s="59" t="e">
        <f t="shared" si="18"/>
        <v>#DIV/0!</v>
      </c>
      <c r="AE6" s="65"/>
      <c r="AF6" s="59" t="e">
        <f t="shared" si="19"/>
        <v>#DIV/0!</v>
      </c>
      <c r="AG6" s="59" t="e">
        <f t="shared" si="20"/>
        <v>#DIV/0!</v>
      </c>
      <c r="AH6" s="59" t="e">
        <f t="shared" si="21"/>
        <v>#DIV/0!</v>
      </c>
      <c r="AI6" s="59" t="e">
        <f t="shared" si="22"/>
        <v>#DIV/0!</v>
      </c>
      <c r="AJ6" s="59" t="e">
        <f t="shared" si="23"/>
        <v>#DIV/0!</v>
      </c>
      <c r="AK6" s="59" t="e">
        <f t="shared" si="24"/>
        <v>#DIV/0!</v>
      </c>
      <c r="AL6" s="59" t="e">
        <f t="shared" si="25"/>
        <v>#DIV/0!</v>
      </c>
      <c r="AM6" s="65"/>
      <c r="AN6" s="59" t="e">
        <f t="shared" si="15"/>
        <v>#DIV/0!</v>
      </c>
      <c r="AO6" s="60" t="e">
        <f t="shared" si="26"/>
        <v>#DIV/0!</v>
      </c>
      <c r="AP6" s="65"/>
      <c r="AQ6" s="60" t="e">
        <f t="shared" si="16"/>
        <v>#DIV/0!</v>
      </c>
      <c r="AR6" s="65"/>
      <c r="AS6" s="60" t="e">
        <f t="shared" si="16"/>
        <v>#DIV/0!</v>
      </c>
      <c r="AT6" s="60" t="e">
        <f t="shared" si="16"/>
        <v>#DIV/0!</v>
      </c>
      <c r="AU6" s="60" t="e">
        <f t="shared" si="16"/>
        <v>#DIV/0!</v>
      </c>
      <c r="AV6" s="60" t="e">
        <f t="shared" si="16"/>
        <v>#DIV/0!</v>
      </c>
      <c r="AW6" s="60" t="e">
        <f t="shared" si="16"/>
        <v>#DIV/0!</v>
      </c>
      <c r="AX6" s="60" t="e">
        <f t="shared" si="16"/>
        <v>#DIV/0!</v>
      </c>
      <c r="AY6" s="60" t="e">
        <f t="shared" si="16"/>
        <v>#DIV/0!</v>
      </c>
      <c r="AZ6" s="65"/>
      <c r="BA6" s="60" t="e">
        <f t="shared" si="16"/>
        <v>#DIV/0!</v>
      </c>
      <c r="BB6" s="59" t="e">
        <f>Links!AF6</f>
        <v>#DIV/0!</v>
      </c>
      <c r="BC6" s="59" t="e">
        <f>(Links!AG6*Links!C6+'On-Ramps'!AC6*'On-Ramps'!CE6)/('On-Ramps'!AC6+Links!C6)</f>
        <v>#DIV/0!</v>
      </c>
      <c r="BD6" s="59" t="e">
        <f>Links!AH6</f>
        <v>#DIV/0!</v>
      </c>
      <c r="BE6" s="59" t="e">
        <f>(Links!AI6*Links!E6+'On-Ramps'!AD6*'On-Ramps'!CF5)/('On-Ramps'!AD6+Links!E6)</f>
        <v>#DIV/0!</v>
      </c>
      <c r="BF6" s="59" t="e">
        <f>(Links!F6*Links!AJ6+'On-Ramps'!AE6*'On-Ramps'!CG6)/('On-Ramps'!AE6+Links!F6)</f>
        <v>#DIV/0!</v>
      </c>
      <c r="BG6" s="59" t="e">
        <f>(Links!G6*Links!AK6+'On-Ramps'!AF6*'On-Ramps'!CH6)/('On-Ramps'!AF6+Links!G6)</f>
        <v>#DIV/0!</v>
      </c>
      <c r="BH6" s="59" t="e">
        <f>(Links!H6*Links!AL6+'On-Ramps'!AG6*'On-Ramps'!CI6)/('On-Ramps'!AG6+Links!H6)</f>
        <v>#DIV/0!</v>
      </c>
      <c r="BI6" s="59" t="e">
        <f>(Links!J6*Links!AN6+'On-Ramps'!AH6*'On-Ramps'!CJ6)/('On-Ramps'!AH6+Links!J6)</f>
        <v>#DIV/0!</v>
      </c>
      <c r="BJ6" s="59" t="e">
        <f>(Links!K6*Links!AO6+'On-Ramps'!AI6*'On-Ramps'!CK6)/('On-Ramps'!AI6+Links!K6)</f>
        <v>#DIV/0!</v>
      </c>
      <c r="BK6" s="59" t="e">
        <f>(Links!L6*Links!AP6+'On-Ramps'!AJ6*'On-Ramps'!CL6)/(Links!L6+'On-Ramps'!AJ6)</f>
        <v>#DIV/0!</v>
      </c>
      <c r="BL6" s="59" t="e">
        <f>Links!AQ6</f>
        <v>#DIV/0!</v>
      </c>
      <c r="BM6" s="59" t="e">
        <f>(Links!N6*Links!AR6+'On-Ramps'!AL6*'On-Ramps'!CM6)/(Links!N6+'On-Ramps'!AL6)</f>
        <v>#DIV/0!</v>
      </c>
      <c r="BN6" s="59" t="e">
        <f>Links!AS6</f>
        <v>#DIV/0!</v>
      </c>
      <c r="BO6" s="60" t="e">
        <f>(Links!R6^2+'Off-Ramp'!L6^2)/(Links!R6+'Off-Ramp'!L6)</f>
        <v>#DIV/0!</v>
      </c>
      <c r="BP6" s="60" t="e">
        <f>Links!S6</f>
        <v>#DIV/0!</v>
      </c>
      <c r="BQ6" s="60" t="e">
        <f>(Links!S6^2+'Off-Ramp'!C6^2)/(Links!S6+'Off-Ramp'!C6)</f>
        <v>#DIV/0!</v>
      </c>
      <c r="BR6" s="60" t="e">
        <f>Links!T6</f>
        <v>#DIV/0!</v>
      </c>
      <c r="BS6" s="60" t="e">
        <f>(Links!X6^2+'Off-Ramp'!V6^2+'Off-Ramp'!W6^2+'Off-Ramp'!X6^2)/(Links!X6+'Off-Ramp'!V6+'Off-Ramp'!W6+'Off-Ramp'!X6)</f>
        <v>#DIV/0!</v>
      </c>
      <c r="BT6" s="60" t="e">
        <f>(Links!Y6^2+'Off-Ramp'!Y6^2+'Off-Ramp'!Z6^2+'Off-Ramp'!AA6^2)/(Links!Y6+'Off-Ramp'!Y6+'Off-Ramp'!Z6+'Off-Ramp'!AA6)</f>
        <v>#DIV/0!</v>
      </c>
      <c r="BU6" s="60" t="e">
        <f>(Links!W6^2+'Off-Ramp'!P6^2)/(Links!W6+'Off-Ramp'!P6)</f>
        <v>#DIV/0!</v>
      </c>
      <c r="BV6" s="60" t="e">
        <f>(Links!Y6^2+'Off-Ramp'!Q6^2)/(Links!Y6+'Off-Ramp'!Q6)</f>
        <v>#DIV/0!</v>
      </c>
      <c r="BW6" s="60" t="e">
        <f>(Links!Z6^2+'Off-Ramp'!R6^2)/(Links!Z6+'Off-Ramp'!R6)</f>
        <v>#DIV/0!</v>
      </c>
      <c r="BX6" s="60" t="e">
        <f>(Links!AA6+'Off-Ramp'!S6)/(Links!AA6^2+'Off-Ramp'!S6^2)</f>
        <v>#DIV/0!</v>
      </c>
      <c r="BY6" s="60" t="e">
        <f>(Links!AB6^2+'Off-Ramp'!T6^2)/(Links!AB6+'Off-Ramp'!T6)</f>
        <v>#DIV/0!</v>
      </c>
      <c r="BZ6" s="60" t="e">
        <f>Links!AC6</f>
        <v>#DIV/0!</v>
      </c>
      <c r="CA6" s="60" t="e">
        <f>(Links!AD6^2+'Off-Ramp'!U6^2)/(Links!AD6+'Off-Ramp'!U6)</f>
        <v>#DIV/0!</v>
      </c>
    </row>
    <row r="7" spans="1:79" x14ac:dyDescent="0.15">
      <c r="A7" s="58">
        <v>5</v>
      </c>
      <c r="B7" s="59" t="e">
        <f t="shared" si="2"/>
        <v>#DIV/0!</v>
      </c>
      <c r="C7" s="59" t="e">
        <f t="shared" si="3"/>
        <v>#DIV/0!</v>
      </c>
      <c r="D7" s="59" t="e">
        <f t="shared" si="4"/>
        <v>#DIV/0!</v>
      </c>
      <c r="E7" s="59" t="e">
        <f t="shared" si="5"/>
        <v>#DIV/0!</v>
      </c>
      <c r="F7" s="59" t="e">
        <f t="shared" si="6"/>
        <v>#DIV/0!</v>
      </c>
      <c r="G7" s="59" t="e">
        <f t="shared" si="7"/>
        <v>#DIV/0!</v>
      </c>
      <c r="H7" s="59" t="e">
        <f t="shared" si="8"/>
        <v>#DIV/0!</v>
      </c>
      <c r="I7" s="59" t="e">
        <f t="shared" si="9"/>
        <v>#DIV/0!</v>
      </c>
      <c r="J7" s="59" t="e">
        <f t="shared" si="10"/>
        <v>#DIV/0!</v>
      </c>
      <c r="K7" s="59" t="e">
        <f t="shared" si="11"/>
        <v>#DIV/0!</v>
      </c>
      <c r="L7" s="59" t="e">
        <f t="shared" si="12"/>
        <v>#DIV/0!</v>
      </c>
      <c r="M7" s="59" t="e">
        <f t="shared" si="13"/>
        <v>#DIV/0!</v>
      </c>
      <c r="N7" s="59" t="e">
        <f t="shared" si="14"/>
        <v>#DIV/0!</v>
      </c>
      <c r="O7" s="60" t="e">
        <f>Links!B7</f>
        <v>#DIV/0!</v>
      </c>
      <c r="P7" s="60" t="e">
        <f>Links!C7+'On-Ramps'!AC7</f>
        <v>#DIV/0!</v>
      </c>
      <c r="Q7" s="60" t="e">
        <f>Links!D7</f>
        <v>#DIV/0!</v>
      </c>
      <c r="R7" s="60" t="e">
        <f>Links!E7+'On-Ramps'!AD7</f>
        <v>#DIV/0!</v>
      </c>
      <c r="S7" s="60" t="e">
        <f>Links!F7+'On-Ramps'!AE7</f>
        <v>#DIV/0!</v>
      </c>
      <c r="T7" s="60" t="e">
        <f>Links!G7+'On-Ramps'!AF7</f>
        <v>#DIV/0!</v>
      </c>
      <c r="U7" s="60" t="e">
        <f>Links!H7+'On-Ramps'!AG7</f>
        <v>#DIV/0!</v>
      </c>
      <c r="V7" s="60" t="e">
        <f>Links!J7+'On-Ramps'!AH7</f>
        <v>#DIV/0!</v>
      </c>
      <c r="W7" s="60" t="e">
        <f>Links!K7+'On-Ramps'!AI7</f>
        <v>#DIV/0!</v>
      </c>
      <c r="X7" s="60" t="e">
        <f>Links!L7+'On-Ramps'!AJ7</f>
        <v>#DIV/0!</v>
      </c>
      <c r="Y7" s="60" t="e">
        <f>Links!M7</f>
        <v>#DIV/0!</v>
      </c>
      <c r="Z7" s="60" t="e">
        <f>Links!N7+'On-Ramps'!AK7</f>
        <v>#DIV/0!</v>
      </c>
      <c r="AA7" s="60" t="e">
        <f>Links!O7</f>
        <v>#DIV/0!</v>
      </c>
      <c r="AB7" s="59" t="e">
        <f t="shared" si="17"/>
        <v>#DIV/0!</v>
      </c>
      <c r="AC7" s="65"/>
      <c r="AD7" s="59" t="e">
        <f t="shared" si="18"/>
        <v>#DIV/0!</v>
      </c>
      <c r="AE7" s="65"/>
      <c r="AF7" s="59" t="e">
        <f t="shared" si="19"/>
        <v>#DIV/0!</v>
      </c>
      <c r="AG7" s="59" t="e">
        <f t="shared" si="20"/>
        <v>#DIV/0!</v>
      </c>
      <c r="AH7" s="59" t="e">
        <f t="shared" si="21"/>
        <v>#DIV/0!</v>
      </c>
      <c r="AI7" s="59" t="e">
        <f t="shared" si="22"/>
        <v>#DIV/0!</v>
      </c>
      <c r="AJ7" s="59" t="e">
        <f t="shared" si="23"/>
        <v>#DIV/0!</v>
      </c>
      <c r="AK7" s="59" t="e">
        <f t="shared" si="24"/>
        <v>#DIV/0!</v>
      </c>
      <c r="AL7" s="59" t="e">
        <f t="shared" si="25"/>
        <v>#DIV/0!</v>
      </c>
      <c r="AM7" s="65"/>
      <c r="AN7" s="59" t="e">
        <f t="shared" si="15"/>
        <v>#DIV/0!</v>
      </c>
      <c r="AO7" s="60" t="e">
        <f t="shared" si="26"/>
        <v>#DIV/0!</v>
      </c>
      <c r="AP7" s="65"/>
      <c r="AQ7" s="60" t="e">
        <f t="shared" si="16"/>
        <v>#DIV/0!</v>
      </c>
      <c r="AR7" s="65"/>
      <c r="AS7" s="60" t="e">
        <f t="shared" si="16"/>
        <v>#DIV/0!</v>
      </c>
      <c r="AT7" s="60" t="e">
        <f t="shared" si="16"/>
        <v>#DIV/0!</v>
      </c>
      <c r="AU7" s="60" t="e">
        <f t="shared" si="16"/>
        <v>#DIV/0!</v>
      </c>
      <c r="AV7" s="60" t="e">
        <f t="shared" si="16"/>
        <v>#DIV/0!</v>
      </c>
      <c r="AW7" s="60" t="e">
        <f t="shared" si="16"/>
        <v>#DIV/0!</v>
      </c>
      <c r="AX7" s="60" t="e">
        <f t="shared" si="16"/>
        <v>#DIV/0!</v>
      </c>
      <c r="AY7" s="60" t="e">
        <f t="shared" si="16"/>
        <v>#DIV/0!</v>
      </c>
      <c r="AZ7" s="65"/>
      <c r="BA7" s="60" t="e">
        <f t="shared" si="16"/>
        <v>#DIV/0!</v>
      </c>
      <c r="BB7" s="59" t="e">
        <f>Links!AF7</f>
        <v>#DIV/0!</v>
      </c>
      <c r="BC7" s="59" t="e">
        <f>(Links!AG7*Links!C7+'On-Ramps'!AC7*'On-Ramps'!CE7)/('On-Ramps'!AC7+Links!C7)</f>
        <v>#DIV/0!</v>
      </c>
      <c r="BD7" s="59" t="e">
        <f>Links!AH7</f>
        <v>#DIV/0!</v>
      </c>
      <c r="BE7" s="59" t="e">
        <f>(Links!AI7*Links!E7+'On-Ramps'!AD7*'On-Ramps'!CF6)/('On-Ramps'!AD7+Links!E7)</f>
        <v>#DIV/0!</v>
      </c>
      <c r="BF7" s="59" t="e">
        <f>(Links!F7*Links!AJ7+'On-Ramps'!AE7*'On-Ramps'!CG7)/('On-Ramps'!AE7+Links!F7)</f>
        <v>#DIV/0!</v>
      </c>
      <c r="BG7" s="59" t="e">
        <f>(Links!G7*Links!AK7+'On-Ramps'!AF7*'On-Ramps'!CH7)/('On-Ramps'!AF7+Links!G7)</f>
        <v>#DIV/0!</v>
      </c>
      <c r="BH7" s="59" t="e">
        <f>(Links!H7*Links!AL7+'On-Ramps'!AG7*'On-Ramps'!CI7)/('On-Ramps'!AG7+Links!H7)</f>
        <v>#DIV/0!</v>
      </c>
      <c r="BI7" s="59" t="e">
        <f>(Links!J7*Links!AN7+'On-Ramps'!AH7*'On-Ramps'!CJ7)/('On-Ramps'!AH7+Links!J7)</f>
        <v>#DIV/0!</v>
      </c>
      <c r="BJ7" s="59" t="e">
        <f>(Links!K7*Links!AO7+'On-Ramps'!AI7*'On-Ramps'!CK7)/('On-Ramps'!AI7+Links!K7)</f>
        <v>#DIV/0!</v>
      </c>
      <c r="BK7" s="59" t="e">
        <f>(Links!L7*Links!AP7+'On-Ramps'!AJ7*'On-Ramps'!CL7)/(Links!L7+'On-Ramps'!AJ7)</f>
        <v>#DIV/0!</v>
      </c>
      <c r="BL7" s="59" t="e">
        <f>Links!AQ7</f>
        <v>#DIV/0!</v>
      </c>
      <c r="BM7" s="59" t="e">
        <f>(Links!N7*Links!AR7+'On-Ramps'!AL7*'On-Ramps'!CM7)/(Links!N7+'On-Ramps'!AL7)</f>
        <v>#DIV/0!</v>
      </c>
      <c r="BN7" s="59" t="e">
        <f>Links!AS7</f>
        <v>#DIV/0!</v>
      </c>
      <c r="BO7" s="60" t="e">
        <f>(Links!R7^2+'Off-Ramp'!L7^2)/(Links!R7+'Off-Ramp'!L7)</f>
        <v>#DIV/0!</v>
      </c>
      <c r="BP7" s="60" t="e">
        <f>Links!S7</f>
        <v>#DIV/0!</v>
      </c>
      <c r="BQ7" s="60" t="e">
        <f>(Links!S7^2+'Off-Ramp'!C7^2)/(Links!S7+'Off-Ramp'!C7)</f>
        <v>#DIV/0!</v>
      </c>
      <c r="BR7" s="60" t="e">
        <f>Links!T7</f>
        <v>#DIV/0!</v>
      </c>
      <c r="BS7" s="60" t="e">
        <f>(Links!X7^2+'Off-Ramp'!V7^2+'Off-Ramp'!W7^2+'Off-Ramp'!X7^2)/(Links!X7+'Off-Ramp'!V7+'Off-Ramp'!W7+'Off-Ramp'!X7)</f>
        <v>#DIV/0!</v>
      </c>
      <c r="BT7" s="60" t="e">
        <f>(Links!Y7^2+'Off-Ramp'!Y7^2+'Off-Ramp'!Z7^2+'Off-Ramp'!AA7^2)/(Links!Y7+'Off-Ramp'!Y7+'Off-Ramp'!Z7+'Off-Ramp'!AA7)</f>
        <v>#DIV/0!</v>
      </c>
      <c r="BU7" s="60" t="e">
        <f>(Links!W7^2+'Off-Ramp'!P7^2)/(Links!W7+'Off-Ramp'!P7)</f>
        <v>#DIV/0!</v>
      </c>
      <c r="BV7" s="60" t="e">
        <f>(Links!Y7^2+'Off-Ramp'!Q7^2)/(Links!Y7+'Off-Ramp'!Q7)</f>
        <v>#DIV/0!</v>
      </c>
      <c r="BW7" s="60" t="e">
        <f>(Links!Z7^2+'Off-Ramp'!R7^2)/(Links!Z7+'Off-Ramp'!R7)</f>
        <v>#DIV/0!</v>
      </c>
      <c r="BX7" s="60" t="e">
        <f>(Links!AA7+'Off-Ramp'!S7)/(Links!AA7^2+'Off-Ramp'!S7^2)</f>
        <v>#DIV/0!</v>
      </c>
      <c r="BY7" s="60" t="e">
        <f>(Links!AB7^2+'Off-Ramp'!T7^2)/(Links!AB7+'Off-Ramp'!T7)</f>
        <v>#DIV/0!</v>
      </c>
      <c r="BZ7" s="60" t="e">
        <f>Links!AC7</f>
        <v>#DIV/0!</v>
      </c>
      <c r="CA7" s="60" t="e">
        <f>(Links!AD7^2+'Off-Ramp'!U7^2)/(Links!AD7+'Off-Ramp'!U7)</f>
        <v>#DIV/0!</v>
      </c>
    </row>
    <row r="8" spans="1:79" x14ac:dyDescent="0.15">
      <c r="A8" s="58">
        <v>6</v>
      </c>
      <c r="B8" s="59" t="e">
        <f t="shared" si="2"/>
        <v>#DIV/0!</v>
      </c>
      <c r="C8" s="59" t="e">
        <f t="shared" si="3"/>
        <v>#DIV/0!</v>
      </c>
      <c r="D8" s="59" t="e">
        <f t="shared" si="4"/>
        <v>#DIV/0!</v>
      </c>
      <c r="E8" s="59" t="e">
        <f t="shared" si="5"/>
        <v>#DIV/0!</v>
      </c>
      <c r="F8" s="59" t="e">
        <f t="shared" si="6"/>
        <v>#DIV/0!</v>
      </c>
      <c r="G8" s="59" t="e">
        <f t="shared" si="7"/>
        <v>#DIV/0!</v>
      </c>
      <c r="H8" s="59" t="e">
        <f t="shared" si="8"/>
        <v>#DIV/0!</v>
      </c>
      <c r="I8" s="59" t="e">
        <f t="shared" si="9"/>
        <v>#DIV/0!</v>
      </c>
      <c r="J8" s="59" t="e">
        <f t="shared" si="10"/>
        <v>#DIV/0!</v>
      </c>
      <c r="K8" s="59" t="e">
        <f t="shared" si="11"/>
        <v>#DIV/0!</v>
      </c>
      <c r="L8" s="59" t="e">
        <f t="shared" si="12"/>
        <v>#DIV/0!</v>
      </c>
      <c r="M8" s="59" t="e">
        <f t="shared" si="13"/>
        <v>#DIV/0!</v>
      </c>
      <c r="N8" s="59" t="e">
        <f t="shared" si="14"/>
        <v>#DIV/0!</v>
      </c>
      <c r="O8" s="60" t="e">
        <f>Links!B8</f>
        <v>#DIV/0!</v>
      </c>
      <c r="P8" s="60" t="e">
        <f>Links!C8+'On-Ramps'!AC8</f>
        <v>#DIV/0!</v>
      </c>
      <c r="Q8" s="60" t="e">
        <f>Links!D8</f>
        <v>#DIV/0!</v>
      </c>
      <c r="R8" s="60" t="e">
        <f>Links!E8+'On-Ramps'!AD8</f>
        <v>#DIV/0!</v>
      </c>
      <c r="S8" s="60" t="e">
        <f>Links!F8+'On-Ramps'!AE8</f>
        <v>#DIV/0!</v>
      </c>
      <c r="T8" s="60" t="e">
        <f>Links!G8+'On-Ramps'!AF8</f>
        <v>#DIV/0!</v>
      </c>
      <c r="U8" s="60" t="e">
        <f>Links!H8+'On-Ramps'!AG8</f>
        <v>#DIV/0!</v>
      </c>
      <c r="V8" s="60" t="e">
        <f>Links!J8+'On-Ramps'!AH8</f>
        <v>#DIV/0!</v>
      </c>
      <c r="W8" s="60" t="e">
        <f>Links!K8+'On-Ramps'!AI8</f>
        <v>#DIV/0!</v>
      </c>
      <c r="X8" s="60" t="e">
        <f>Links!L8+'On-Ramps'!AJ8</f>
        <v>#DIV/0!</v>
      </c>
      <c r="Y8" s="60" t="e">
        <f>Links!M8</f>
        <v>#DIV/0!</v>
      </c>
      <c r="Z8" s="60" t="e">
        <f>Links!N8+'On-Ramps'!AK8</f>
        <v>#DIV/0!</v>
      </c>
      <c r="AA8" s="60" t="e">
        <f>Links!O8</f>
        <v>#DIV/0!</v>
      </c>
      <c r="AB8" s="59" t="e">
        <f t="shared" si="17"/>
        <v>#DIV/0!</v>
      </c>
      <c r="AC8" s="65"/>
      <c r="AD8" s="59" t="e">
        <f t="shared" si="18"/>
        <v>#DIV/0!</v>
      </c>
      <c r="AE8" s="65"/>
      <c r="AF8" s="59" t="e">
        <f t="shared" si="19"/>
        <v>#DIV/0!</v>
      </c>
      <c r="AG8" s="59" t="e">
        <f t="shared" si="20"/>
        <v>#DIV/0!</v>
      </c>
      <c r="AH8" s="59" t="e">
        <f t="shared" si="21"/>
        <v>#DIV/0!</v>
      </c>
      <c r="AI8" s="59" t="e">
        <f t="shared" si="22"/>
        <v>#DIV/0!</v>
      </c>
      <c r="AJ8" s="59" t="e">
        <f t="shared" si="23"/>
        <v>#DIV/0!</v>
      </c>
      <c r="AK8" s="59" t="e">
        <f t="shared" si="24"/>
        <v>#DIV/0!</v>
      </c>
      <c r="AL8" s="59" t="e">
        <f t="shared" si="25"/>
        <v>#DIV/0!</v>
      </c>
      <c r="AM8" s="65"/>
      <c r="AN8" s="59" t="e">
        <f t="shared" si="15"/>
        <v>#DIV/0!</v>
      </c>
      <c r="AO8" s="60" t="e">
        <f t="shared" si="26"/>
        <v>#DIV/0!</v>
      </c>
      <c r="AP8" s="65"/>
      <c r="AQ8" s="60" t="e">
        <f t="shared" si="16"/>
        <v>#DIV/0!</v>
      </c>
      <c r="AR8" s="65"/>
      <c r="AS8" s="60" t="e">
        <f t="shared" si="16"/>
        <v>#DIV/0!</v>
      </c>
      <c r="AT8" s="60" t="e">
        <f t="shared" si="16"/>
        <v>#DIV/0!</v>
      </c>
      <c r="AU8" s="60" t="e">
        <f t="shared" si="16"/>
        <v>#DIV/0!</v>
      </c>
      <c r="AV8" s="60" t="e">
        <f t="shared" si="16"/>
        <v>#DIV/0!</v>
      </c>
      <c r="AW8" s="60" t="e">
        <f t="shared" si="16"/>
        <v>#DIV/0!</v>
      </c>
      <c r="AX8" s="60" t="e">
        <f t="shared" si="16"/>
        <v>#DIV/0!</v>
      </c>
      <c r="AY8" s="60" t="e">
        <f t="shared" si="16"/>
        <v>#DIV/0!</v>
      </c>
      <c r="AZ8" s="65"/>
      <c r="BA8" s="60" t="e">
        <f t="shared" si="16"/>
        <v>#DIV/0!</v>
      </c>
      <c r="BB8" s="59" t="e">
        <f>Links!AF8</f>
        <v>#DIV/0!</v>
      </c>
      <c r="BC8" s="59" t="e">
        <f>(Links!AG8*Links!C8+'On-Ramps'!AC8*'On-Ramps'!CE8)/('On-Ramps'!AC8+Links!C8)</f>
        <v>#DIV/0!</v>
      </c>
      <c r="BD8" s="59" t="e">
        <f>Links!AH8</f>
        <v>#DIV/0!</v>
      </c>
      <c r="BE8" s="59" t="e">
        <f>(Links!AI8*Links!E8+'On-Ramps'!AD8*'On-Ramps'!CF7)/('On-Ramps'!AD8+Links!E8)</f>
        <v>#DIV/0!</v>
      </c>
      <c r="BF8" s="59" t="e">
        <f>(Links!F8*Links!AJ8+'On-Ramps'!AE8*'On-Ramps'!CG8)/('On-Ramps'!AE8+Links!F8)</f>
        <v>#DIV/0!</v>
      </c>
      <c r="BG8" s="59" t="e">
        <f>(Links!G8*Links!AK8+'On-Ramps'!AF8*'On-Ramps'!CH8)/('On-Ramps'!AF8+Links!G8)</f>
        <v>#DIV/0!</v>
      </c>
      <c r="BH8" s="59" t="e">
        <f>(Links!H8*Links!AL8+'On-Ramps'!AG8*'On-Ramps'!CI8)/('On-Ramps'!AG8+Links!H8)</f>
        <v>#DIV/0!</v>
      </c>
      <c r="BI8" s="59" t="e">
        <f>(Links!J8*Links!AN8+'On-Ramps'!AH8*'On-Ramps'!CJ8)/('On-Ramps'!AH8+Links!J8)</f>
        <v>#DIV/0!</v>
      </c>
      <c r="BJ8" s="59" t="e">
        <f>(Links!K8*Links!AO8+'On-Ramps'!AI8*'On-Ramps'!CK8)/('On-Ramps'!AI8+Links!K8)</f>
        <v>#DIV/0!</v>
      </c>
      <c r="BK8" s="59" t="e">
        <f>(Links!L8*Links!AP8+'On-Ramps'!AJ8*'On-Ramps'!CL8)/(Links!L8+'On-Ramps'!AJ8)</f>
        <v>#DIV/0!</v>
      </c>
      <c r="BL8" s="59" t="e">
        <f>Links!AQ8</f>
        <v>#DIV/0!</v>
      </c>
      <c r="BM8" s="59" t="e">
        <f>(Links!N8*Links!AR8+'On-Ramps'!AL8*'On-Ramps'!CM8)/(Links!N8+'On-Ramps'!AL8)</f>
        <v>#DIV/0!</v>
      </c>
      <c r="BN8" s="59" t="e">
        <f>Links!AS8</f>
        <v>#DIV/0!</v>
      </c>
      <c r="BO8" s="60" t="e">
        <f>(Links!R8^2+'Off-Ramp'!L8^2)/(Links!R8+'Off-Ramp'!L8)</f>
        <v>#DIV/0!</v>
      </c>
      <c r="BP8" s="60" t="e">
        <f>Links!S8</f>
        <v>#DIV/0!</v>
      </c>
      <c r="BQ8" s="60" t="e">
        <f>(Links!S8^2+'Off-Ramp'!C8^2)/(Links!S8+'Off-Ramp'!C8)</f>
        <v>#DIV/0!</v>
      </c>
      <c r="BR8" s="60" t="e">
        <f>Links!T8</f>
        <v>#DIV/0!</v>
      </c>
      <c r="BS8" s="60" t="e">
        <f>(Links!X8^2+'Off-Ramp'!V8^2+'Off-Ramp'!W8^2+'Off-Ramp'!X8^2)/(Links!X8+'Off-Ramp'!V8+'Off-Ramp'!W8+'Off-Ramp'!X8)</f>
        <v>#DIV/0!</v>
      </c>
      <c r="BT8" s="60" t="e">
        <f>(Links!Y8^2+'Off-Ramp'!Y8^2+'Off-Ramp'!Z8^2+'Off-Ramp'!AA8^2)/(Links!Y8+'Off-Ramp'!Y8+'Off-Ramp'!Z8+'Off-Ramp'!AA8)</f>
        <v>#DIV/0!</v>
      </c>
      <c r="BU8" s="60" t="e">
        <f>(Links!W8^2+'Off-Ramp'!P8^2)/(Links!W8+'Off-Ramp'!P8)</f>
        <v>#DIV/0!</v>
      </c>
      <c r="BV8" s="60" t="e">
        <f>(Links!Y8^2+'Off-Ramp'!Q8^2)/(Links!Y8+'Off-Ramp'!Q8)</f>
        <v>#DIV/0!</v>
      </c>
      <c r="BW8" s="60" t="e">
        <f>(Links!Z8^2+'Off-Ramp'!R8^2)/(Links!Z8+'Off-Ramp'!R8)</f>
        <v>#DIV/0!</v>
      </c>
      <c r="BX8" s="60" t="e">
        <f>(Links!AA8+'Off-Ramp'!S8)/(Links!AA8^2+'Off-Ramp'!S8^2)</f>
        <v>#DIV/0!</v>
      </c>
      <c r="BY8" s="60" t="e">
        <f>(Links!AB8^2+'Off-Ramp'!T8^2)/(Links!AB8+'Off-Ramp'!T8)</f>
        <v>#DIV/0!</v>
      </c>
      <c r="BZ8" s="60" t="e">
        <f>Links!AC8</f>
        <v>#DIV/0!</v>
      </c>
      <c r="CA8" s="60" t="e">
        <f>(Links!AD8^2+'Off-Ramp'!U8^2)/(Links!AD8+'Off-Ramp'!U8)</f>
        <v>#DIV/0!</v>
      </c>
    </row>
    <row r="9" spans="1:79" x14ac:dyDescent="0.15">
      <c r="A9" s="58">
        <v>7</v>
      </c>
      <c r="B9" s="59" t="e">
        <f t="shared" si="2"/>
        <v>#DIV/0!</v>
      </c>
      <c r="C9" s="59" t="e">
        <f t="shared" si="3"/>
        <v>#DIV/0!</v>
      </c>
      <c r="D9" s="59" t="e">
        <f t="shared" si="4"/>
        <v>#DIV/0!</v>
      </c>
      <c r="E9" s="59" t="e">
        <f t="shared" si="5"/>
        <v>#DIV/0!</v>
      </c>
      <c r="F9" s="59" t="e">
        <f t="shared" si="6"/>
        <v>#DIV/0!</v>
      </c>
      <c r="G9" s="59" t="e">
        <f t="shared" si="7"/>
        <v>#DIV/0!</v>
      </c>
      <c r="H9" s="59" t="e">
        <f t="shared" si="8"/>
        <v>#DIV/0!</v>
      </c>
      <c r="I9" s="59" t="e">
        <f t="shared" si="9"/>
        <v>#DIV/0!</v>
      </c>
      <c r="J9" s="59" t="e">
        <f t="shared" si="10"/>
        <v>#DIV/0!</v>
      </c>
      <c r="K9" s="59" t="e">
        <f t="shared" si="11"/>
        <v>#DIV/0!</v>
      </c>
      <c r="L9" s="59" t="e">
        <f t="shared" si="12"/>
        <v>#DIV/0!</v>
      </c>
      <c r="M9" s="59" t="e">
        <f t="shared" si="13"/>
        <v>#DIV/0!</v>
      </c>
      <c r="N9" s="59" t="e">
        <f t="shared" si="14"/>
        <v>#DIV/0!</v>
      </c>
      <c r="O9" s="60" t="e">
        <f>Links!B9</f>
        <v>#DIV/0!</v>
      </c>
      <c r="P9" s="60" t="e">
        <f>Links!C9+'On-Ramps'!AC9</f>
        <v>#DIV/0!</v>
      </c>
      <c r="Q9" s="60" t="e">
        <f>Links!D9</f>
        <v>#DIV/0!</v>
      </c>
      <c r="R9" s="60" t="e">
        <f>Links!E9+'On-Ramps'!AD9</f>
        <v>#DIV/0!</v>
      </c>
      <c r="S9" s="60" t="e">
        <f>Links!F9+'On-Ramps'!AE9</f>
        <v>#DIV/0!</v>
      </c>
      <c r="T9" s="60" t="e">
        <f>Links!G9+'On-Ramps'!AF9</f>
        <v>#DIV/0!</v>
      </c>
      <c r="U9" s="60" t="e">
        <f>Links!H9+'On-Ramps'!AG9</f>
        <v>#DIV/0!</v>
      </c>
      <c r="V9" s="60" t="e">
        <f>Links!J9+'On-Ramps'!AH9</f>
        <v>#DIV/0!</v>
      </c>
      <c r="W9" s="60" t="e">
        <f>Links!K9+'On-Ramps'!AI9</f>
        <v>#DIV/0!</v>
      </c>
      <c r="X9" s="60" t="e">
        <f>Links!L9+'On-Ramps'!AJ9</f>
        <v>#DIV/0!</v>
      </c>
      <c r="Y9" s="60" t="e">
        <f>Links!M9</f>
        <v>#DIV/0!</v>
      </c>
      <c r="Z9" s="60" t="e">
        <f>Links!N9+'On-Ramps'!AK9</f>
        <v>#DIV/0!</v>
      </c>
      <c r="AA9" s="60" t="e">
        <f>Links!O9</f>
        <v>#DIV/0!</v>
      </c>
      <c r="AB9" s="59" t="e">
        <f t="shared" si="17"/>
        <v>#DIV/0!</v>
      </c>
      <c r="AC9" s="65"/>
      <c r="AD9" s="59" t="e">
        <f t="shared" si="18"/>
        <v>#DIV/0!</v>
      </c>
      <c r="AE9" s="65"/>
      <c r="AF9" s="59" t="e">
        <f t="shared" si="19"/>
        <v>#DIV/0!</v>
      </c>
      <c r="AG9" s="59" t="e">
        <f t="shared" si="20"/>
        <v>#DIV/0!</v>
      </c>
      <c r="AH9" s="59" t="e">
        <f t="shared" si="21"/>
        <v>#DIV/0!</v>
      </c>
      <c r="AI9" s="59" t="e">
        <f t="shared" si="22"/>
        <v>#DIV/0!</v>
      </c>
      <c r="AJ9" s="59" t="e">
        <f t="shared" si="23"/>
        <v>#DIV/0!</v>
      </c>
      <c r="AK9" s="59" t="e">
        <f t="shared" si="24"/>
        <v>#DIV/0!</v>
      </c>
      <c r="AL9" s="59" t="e">
        <f t="shared" si="25"/>
        <v>#DIV/0!</v>
      </c>
      <c r="AM9" s="65"/>
      <c r="AN9" s="59" t="e">
        <f t="shared" si="15"/>
        <v>#DIV/0!</v>
      </c>
      <c r="AO9" s="60" t="e">
        <f t="shared" si="26"/>
        <v>#DIV/0!</v>
      </c>
      <c r="AP9" s="65"/>
      <c r="AQ9" s="60" t="e">
        <f t="shared" si="16"/>
        <v>#DIV/0!</v>
      </c>
      <c r="AR9" s="65"/>
      <c r="AS9" s="60" t="e">
        <f t="shared" si="16"/>
        <v>#DIV/0!</v>
      </c>
      <c r="AT9" s="60" t="e">
        <f t="shared" si="16"/>
        <v>#DIV/0!</v>
      </c>
      <c r="AU9" s="60" t="e">
        <f t="shared" si="16"/>
        <v>#DIV/0!</v>
      </c>
      <c r="AV9" s="60" t="e">
        <f t="shared" si="16"/>
        <v>#DIV/0!</v>
      </c>
      <c r="AW9" s="60" t="e">
        <f t="shared" si="16"/>
        <v>#DIV/0!</v>
      </c>
      <c r="AX9" s="60" t="e">
        <f t="shared" si="16"/>
        <v>#DIV/0!</v>
      </c>
      <c r="AY9" s="60" t="e">
        <f t="shared" si="16"/>
        <v>#DIV/0!</v>
      </c>
      <c r="AZ9" s="65"/>
      <c r="BA9" s="60" t="e">
        <f t="shared" si="16"/>
        <v>#DIV/0!</v>
      </c>
      <c r="BB9" s="59" t="e">
        <f>Links!AF9</f>
        <v>#DIV/0!</v>
      </c>
      <c r="BC9" s="59" t="e">
        <f>(Links!AG9*Links!C9+'On-Ramps'!AC9*'On-Ramps'!CE9)/('On-Ramps'!AC9+Links!C9)</f>
        <v>#DIV/0!</v>
      </c>
      <c r="BD9" s="59" t="e">
        <f>Links!AH9</f>
        <v>#DIV/0!</v>
      </c>
      <c r="BE9" s="59" t="e">
        <f>(Links!AI9*Links!E9+'On-Ramps'!AD9*'On-Ramps'!CF8)/('On-Ramps'!AD9+Links!E9)</f>
        <v>#DIV/0!</v>
      </c>
      <c r="BF9" s="59" t="e">
        <f>(Links!F9*Links!AJ9+'On-Ramps'!AE9*'On-Ramps'!CG9)/('On-Ramps'!AE9+Links!F9)</f>
        <v>#DIV/0!</v>
      </c>
      <c r="BG9" s="59" t="e">
        <f>(Links!G9*Links!AK9+'On-Ramps'!AF9*'On-Ramps'!CH9)/('On-Ramps'!AF9+Links!G9)</f>
        <v>#DIV/0!</v>
      </c>
      <c r="BH9" s="59" t="e">
        <f>(Links!H9*Links!AL9+'On-Ramps'!AG9*'On-Ramps'!CI9)/('On-Ramps'!AG9+Links!H9)</f>
        <v>#DIV/0!</v>
      </c>
      <c r="BI9" s="59" t="e">
        <f>(Links!J9*Links!AN9+'On-Ramps'!AH9*'On-Ramps'!CJ9)/('On-Ramps'!AH9+Links!J9)</f>
        <v>#DIV/0!</v>
      </c>
      <c r="BJ9" s="59" t="e">
        <f>(Links!K9*Links!AO9+'On-Ramps'!AI9*'On-Ramps'!CK9)/('On-Ramps'!AI9+Links!K9)</f>
        <v>#DIV/0!</v>
      </c>
      <c r="BK9" s="59" t="e">
        <f>(Links!L9*Links!AP9+'On-Ramps'!AJ9*'On-Ramps'!CL9)/(Links!L9+'On-Ramps'!AJ9)</f>
        <v>#DIV/0!</v>
      </c>
      <c r="BL9" s="59" t="e">
        <f>Links!AQ9</f>
        <v>#DIV/0!</v>
      </c>
      <c r="BM9" s="59" t="e">
        <f>(Links!N9*Links!AR9+'On-Ramps'!AL9*'On-Ramps'!CM9)/(Links!N9+'On-Ramps'!AL9)</f>
        <v>#DIV/0!</v>
      </c>
      <c r="BN9" s="59" t="e">
        <f>Links!AS9</f>
        <v>#DIV/0!</v>
      </c>
      <c r="BO9" s="60" t="e">
        <f>(Links!R9^2+'Off-Ramp'!L9^2)/(Links!R9+'Off-Ramp'!L9)</f>
        <v>#DIV/0!</v>
      </c>
      <c r="BP9" s="60" t="e">
        <f>Links!S9</f>
        <v>#DIV/0!</v>
      </c>
      <c r="BQ9" s="60" t="e">
        <f>(Links!S9^2+'Off-Ramp'!C9^2)/(Links!S9+'Off-Ramp'!C9)</f>
        <v>#DIV/0!</v>
      </c>
      <c r="BR9" s="60" t="e">
        <f>Links!T9</f>
        <v>#DIV/0!</v>
      </c>
      <c r="BS9" s="60" t="e">
        <f>(Links!X9^2+'Off-Ramp'!V9^2+'Off-Ramp'!W9^2+'Off-Ramp'!X9^2)/(Links!X9+'Off-Ramp'!V9+'Off-Ramp'!W9+'Off-Ramp'!X9)</f>
        <v>#DIV/0!</v>
      </c>
      <c r="BT9" s="60" t="e">
        <f>(Links!Y9^2+'Off-Ramp'!Y9^2+'Off-Ramp'!Z9^2+'Off-Ramp'!AA9^2)/(Links!Y9+'Off-Ramp'!Y9+'Off-Ramp'!Z9+'Off-Ramp'!AA9)</f>
        <v>#DIV/0!</v>
      </c>
      <c r="BU9" s="60" t="e">
        <f>(Links!W9^2+'Off-Ramp'!P9^2)/(Links!W9+'Off-Ramp'!P9)</f>
        <v>#DIV/0!</v>
      </c>
      <c r="BV9" s="60" t="e">
        <f>(Links!Y9^2+'Off-Ramp'!Q9^2)/(Links!Y9+'Off-Ramp'!Q9)</f>
        <v>#DIV/0!</v>
      </c>
      <c r="BW9" s="60" t="e">
        <f>(Links!Z9^2+'Off-Ramp'!R9^2)/(Links!Z9+'Off-Ramp'!R9)</f>
        <v>#DIV/0!</v>
      </c>
      <c r="BX9" s="60" t="e">
        <f>(Links!AA9+'Off-Ramp'!S9)/(Links!AA9^2+'Off-Ramp'!S9^2)</f>
        <v>#DIV/0!</v>
      </c>
      <c r="BY9" s="60" t="e">
        <f>(Links!AB9^2+'Off-Ramp'!T9^2)/(Links!AB9+'Off-Ramp'!T9)</f>
        <v>#DIV/0!</v>
      </c>
      <c r="BZ9" s="60" t="e">
        <f>Links!AC9</f>
        <v>#DIV/0!</v>
      </c>
      <c r="CA9" s="60" t="e">
        <f>(Links!AD9^2+'Off-Ramp'!U9^2)/(Links!AD9+'Off-Ramp'!U9)</f>
        <v>#DIV/0!</v>
      </c>
    </row>
    <row r="10" spans="1:79" x14ac:dyDescent="0.15">
      <c r="A10" s="58">
        <v>8</v>
      </c>
      <c r="B10" s="59" t="e">
        <f t="shared" si="2"/>
        <v>#DIV/0!</v>
      </c>
      <c r="C10" s="59" t="e">
        <f t="shared" si="3"/>
        <v>#DIV/0!</v>
      </c>
      <c r="D10" s="59" t="e">
        <f t="shared" si="4"/>
        <v>#DIV/0!</v>
      </c>
      <c r="E10" s="59" t="e">
        <f t="shared" si="5"/>
        <v>#DIV/0!</v>
      </c>
      <c r="F10" s="59" t="e">
        <f t="shared" si="6"/>
        <v>#DIV/0!</v>
      </c>
      <c r="G10" s="59" t="e">
        <f t="shared" si="7"/>
        <v>#DIV/0!</v>
      </c>
      <c r="H10" s="59" t="e">
        <f t="shared" si="8"/>
        <v>#DIV/0!</v>
      </c>
      <c r="I10" s="59" t="e">
        <f t="shared" si="9"/>
        <v>#DIV/0!</v>
      </c>
      <c r="J10" s="59" t="e">
        <f t="shared" si="10"/>
        <v>#DIV/0!</v>
      </c>
      <c r="K10" s="59" t="e">
        <f t="shared" si="11"/>
        <v>#DIV/0!</v>
      </c>
      <c r="L10" s="59" t="e">
        <f t="shared" si="12"/>
        <v>#DIV/0!</v>
      </c>
      <c r="M10" s="59" t="e">
        <f t="shared" si="13"/>
        <v>#DIV/0!</v>
      </c>
      <c r="N10" s="59" t="e">
        <f t="shared" si="14"/>
        <v>#DIV/0!</v>
      </c>
      <c r="O10" s="60" t="e">
        <f>Links!B10</f>
        <v>#DIV/0!</v>
      </c>
      <c r="P10" s="60" t="e">
        <f>Links!C10+'On-Ramps'!AC10</f>
        <v>#DIV/0!</v>
      </c>
      <c r="Q10" s="60" t="e">
        <f>Links!D10</f>
        <v>#DIV/0!</v>
      </c>
      <c r="R10" s="60" t="e">
        <f>Links!E10+'On-Ramps'!AD10</f>
        <v>#DIV/0!</v>
      </c>
      <c r="S10" s="60" t="e">
        <f>Links!F10+'On-Ramps'!AE10</f>
        <v>#DIV/0!</v>
      </c>
      <c r="T10" s="60" t="e">
        <f>Links!G10+'On-Ramps'!AF10</f>
        <v>#DIV/0!</v>
      </c>
      <c r="U10" s="60" t="e">
        <f>Links!H10+'On-Ramps'!AG10</f>
        <v>#DIV/0!</v>
      </c>
      <c r="V10" s="60" t="e">
        <f>Links!J10+'On-Ramps'!AH10</f>
        <v>#DIV/0!</v>
      </c>
      <c r="W10" s="60" t="e">
        <f>Links!K10+'On-Ramps'!AI10</f>
        <v>#DIV/0!</v>
      </c>
      <c r="X10" s="60" t="e">
        <f>Links!L10+'On-Ramps'!AJ10</f>
        <v>#DIV/0!</v>
      </c>
      <c r="Y10" s="60" t="e">
        <f>Links!M10</f>
        <v>#DIV/0!</v>
      </c>
      <c r="Z10" s="60" t="e">
        <f>Links!N10+'On-Ramps'!AK10</f>
        <v>#DIV/0!</v>
      </c>
      <c r="AA10" s="60" t="e">
        <f>Links!O10</f>
        <v>#DIV/0!</v>
      </c>
      <c r="AB10" s="59" t="e">
        <f t="shared" si="17"/>
        <v>#DIV/0!</v>
      </c>
      <c r="AC10" s="65"/>
      <c r="AD10" s="59" t="e">
        <f t="shared" si="18"/>
        <v>#DIV/0!</v>
      </c>
      <c r="AE10" s="65"/>
      <c r="AF10" s="59" t="e">
        <f t="shared" si="19"/>
        <v>#DIV/0!</v>
      </c>
      <c r="AG10" s="59" t="e">
        <f t="shared" si="20"/>
        <v>#DIV/0!</v>
      </c>
      <c r="AH10" s="59" t="e">
        <f t="shared" si="21"/>
        <v>#DIV/0!</v>
      </c>
      <c r="AI10" s="59" t="e">
        <f t="shared" si="22"/>
        <v>#DIV/0!</v>
      </c>
      <c r="AJ10" s="59" t="e">
        <f t="shared" si="23"/>
        <v>#DIV/0!</v>
      </c>
      <c r="AK10" s="59" t="e">
        <f t="shared" si="24"/>
        <v>#DIV/0!</v>
      </c>
      <c r="AL10" s="59" t="e">
        <f t="shared" si="25"/>
        <v>#DIV/0!</v>
      </c>
      <c r="AM10" s="65"/>
      <c r="AN10" s="59" t="e">
        <f t="shared" si="15"/>
        <v>#DIV/0!</v>
      </c>
      <c r="AO10" s="60" t="e">
        <f t="shared" si="26"/>
        <v>#DIV/0!</v>
      </c>
      <c r="AP10" s="65"/>
      <c r="AQ10" s="60" t="e">
        <f t="shared" si="16"/>
        <v>#DIV/0!</v>
      </c>
      <c r="AR10" s="65"/>
      <c r="AS10" s="60" t="e">
        <f t="shared" si="16"/>
        <v>#DIV/0!</v>
      </c>
      <c r="AT10" s="60" t="e">
        <f t="shared" si="16"/>
        <v>#DIV/0!</v>
      </c>
      <c r="AU10" s="60" t="e">
        <f t="shared" si="16"/>
        <v>#DIV/0!</v>
      </c>
      <c r="AV10" s="60" t="e">
        <f t="shared" si="16"/>
        <v>#DIV/0!</v>
      </c>
      <c r="AW10" s="60" t="e">
        <f t="shared" si="16"/>
        <v>#DIV/0!</v>
      </c>
      <c r="AX10" s="60" t="e">
        <f t="shared" si="16"/>
        <v>#DIV/0!</v>
      </c>
      <c r="AY10" s="60" t="e">
        <f t="shared" si="16"/>
        <v>#DIV/0!</v>
      </c>
      <c r="AZ10" s="65"/>
      <c r="BA10" s="60" t="e">
        <f t="shared" si="16"/>
        <v>#DIV/0!</v>
      </c>
      <c r="BB10" s="59" t="e">
        <f>Links!AF10</f>
        <v>#DIV/0!</v>
      </c>
      <c r="BC10" s="59" t="e">
        <f>(Links!AG10*Links!C10+'On-Ramps'!AC10*'On-Ramps'!CE10)/('On-Ramps'!AC10+Links!C10)</f>
        <v>#DIV/0!</v>
      </c>
      <c r="BD10" s="59" t="e">
        <f>Links!AH10</f>
        <v>#DIV/0!</v>
      </c>
      <c r="BE10" s="59" t="e">
        <f>(Links!AI10*Links!E10+'On-Ramps'!AD10*'On-Ramps'!CF9)/('On-Ramps'!AD10+Links!E10)</f>
        <v>#DIV/0!</v>
      </c>
      <c r="BF10" s="59" t="e">
        <f>(Links!F10*Links!AJ10+'On-Ramps'!AE10*'On-Ramps'!CG10)/('On-Ramps'!AE10+Links!F10)</f>
        <v>#DIV/0!</v>
      </c>
      <c r="BG10" s="59" t="e">
        <f>(Links!G10*Links!AK10+'On-Ramps'!AF10*'On-Ramps'!CH10)/('On-Ramps'!AF10+Links!G10)</f>
        <v>#DIV/0!</v>
      </c>
      <c r="BH10" s="59" t="e">
        <f>(Links!H10*Links!AL10+'On-Ramps'!AG10*'On-Ramps'!CI10)/('On-Ramps'!AG10+Links!H10)</f>
        <v>#DIV/0!</v>
      </c>
      <c r="BI10" s="59" t="e">
        <f>(Links!J10*Links!AN10+'On-Ramps'!AH10*'On-Ramps'!CJ10)/('On-Ramps'!AH10+Links!J10)</f>
        <v>#DIV/0!</v>
      </c>
      <c r="BJ10" s="59" t="e">
        <f>(Links!K10*Links!AO10+'On-Ramps'!AI10*'On-Ramps'!CK10)/('On-Ramps'!AI10+Links!K10)</f>
        <v>#DIV/0!</v>
      </c>
      <c r="BK10" s="59" t="e">
        <f>(Links!L10*Links!AP10+'On-Ramps'!AJ10*'On-Ramps'!CL10)/(Links!L10+'On-Ramps'!AJ10)</f>
        <v>#DIV/0!</v>
      </c>
      <c r="BL10" s="59" t="e">
        <f>Links!AQ10</f>
        <v>#DIV/0!</v>
      </c>
      <c r="BM10" s="59" t="e">
        <f>(Links!N10*Links!AR10+'On-Ramps'!AL10*'On-Ramps'!CM10)/(Links!N10+'On-Ramps'!AL10)</f>
        <v>#DIV/0!</v>
      </c>
      <c r="BN10" s="59" t="e">
        <f>Links!AS10</f>
        <v>#DIV/0!</v>
      </c>
      <c r="BO10" s="60" t="e">
        <f>(Links!R10^2+'Off-Ramp'!L10^2)/(Links!R10+'Off-Ramp'!L10)</f>
        <v>#DIV/0!</v>
      </c>
      <c r="BP10" s="60" t="e">
        <f>Links!S10</f>
        <v>#DIV/0!</v>
      </c>
      <c r="BQ10" s="60" t="e">
        <f>(Links!S10^2+'Off-Ramp'!C10^2)/(Links!S10+'Off-Ramp'!C10)</f>
        <v>#DIV/0!</v>
      </c>
      <c r="BR10" s="60" t="e">
        <f>Links!T10</f>
        <v>#DIV/0!</v>
      </c>
      <c r="BS10" s="60" t="e">
        <f>(Links!X10^2+'Off-Ramp'!V10^2+'Off-Ramp'!W10^2+'Off-Ramp'!X10^2)/(Links!X10+'Off-Ramp'!V10+'Off-Ramp'!W10+'Off-Ramp'!X10)</f>
        <v>#DIV/0!</v>
      </c>
      <c r="BT10" s="60" t="e">
        <f>(Links!Y10^2+'Off-Ramp'!Y10^2+'Off-Ramp'!Z10^2+'Off-Ramp'!AA10^2)/(Links!Y10+'Off-Ramp'!Y10+'Off-Ramp'!Z10+'Off-Ramp'!AA10)</f>
        <v>#DIV/0!</v>
      </c>
      <c r="BU10" s="60" t="e">
        <f>(Links!W10^2+'Off-Ramp'!P10^2)/(Links!W10+'Off-Ramp'!P10)</f>
        <v>#DIV/0!</v>
      </c>
      <c r="BV10" s="60" t="e">
        <f>(Links!Y10^2+'Off-Ramp'!Q10^2)/(Links!Y10+'Off-Ramp'!Q10)</f>
        <v>#DIV/0!</v>
      </c>
      <c r="BW10" s="60" t="e">
        <f>(Links!Z10^2+'Off-Ramp'!R10^2)/(Links!Z10+'Off-Ramp'!R10)</f>
        <v>#DIV/0!</v>
      </c>
      <c r="BX10" s="60" t="e">
        <f>(Links!AA10+'Off-Ramp'!S10)/(Links!AA10^2+'Off-Ramp'!S10^2)</f>
        <v>#DIV/0!</v>
      </c>
      <c r="BY10" s="60" t="e">
        <f>(Links!AB10^2+'Off-Ramp'!T10^2)/(Links!AB10+'Off-Ramp'!T10)</f>
        <v>#DIV/0!</v>
      </c>
      <c r="BZ10" s="60" t="e">
        <f>Links!AC10</f>
        <v>#DIV/0!</v>
      </c>
      <c r="CA10" s="60" t="e">
        <f>(Links!AD10^2+'Off-Ramp'!U10^2)/(Links!AD10+'Off-Ramp'!U10)</f>
        <v>#DIV/0!</v>
      </c>
    </row>
    <row r="11" spans="1:79" x14ac:dyDescent="0.15">
      <c r="A11" s="58">
        <v>9</v>
      </c>
      <c r="B11" s="59" t="e">
        <f t="shared" si="2"/>
        <v>#DIV/0!</v>
      </c>
      <c r="C11" s="59" t="e">
        <f t="shared" si="3"/>
        <v>#DIV/0!</v>
      </c>
      <c r="D11" s="59" t="e">
        <f t="shared" si="4"/>
        <v>#DIV/0!</v>
      </c>
      <c r="E11" s="59" t="e">
        <f t="shared" si="5"/>
        <v>#DIV/0!</v>
      </c>
      <c r="F11" s="59" t="e">
        <f t="shared" si="6"/>
        <v>#DIV/0!</v>
      </c>
      <c r="G11" s="59" t="e">
        <f t="shared" si="7"/>
        <v>#DIV/0!</v>
      </c>
      <c r="H11" s="59" t="e">
        <f t="shared" si="8"/>
        <v>#DIV/0!</v>
      </c>
      <c r="I11" s="59" t="e">
        <f t="shared" si="9"/>
        <v>#DIV/0!</v>
      </c>
      <c r="J11" s="59" t="e">
        <f t="shared" si="10"/>
        <v>#DIV/0!</v>
      </c>
      <c r="K11" s="59" t="e">
        <f t="shared" si="11"/>
        <v>#DIV/0!</v>
      </c>
      <c r="L11" s="59" t="e">
        <f t="shared" si="12"/>
        <v>#DIV/0!</v>
      </c>
      <c r="M11" s="59" t="e">
        <f t="shared" si="13"/>
        <v>#DIV/0!</v>
      </c>
      <c r="N11" s="59" t="e">
        <f t="shared" si="14"/>
        <v>#DIV/0!</v>
      </c>
      <c r="O11" s="60" t="e">
        <f>Links!B11</f>
        <v>#DIV/0!</v>
      </c>
      <c r="P11" s="60" t="e">
        <f>Links!C11+'On-Ramps'!AC11</f>
        <v>#DIV/0!</v>
      </c>
      <c r="Q11" s="60" t="e">
        <f>Links!D11</f>
        <v>#DIV/0!</v>
      </c>
      <c r="R11" s="60" t="e">
        <f>Links!E11+'On-Ramps'!AD11</f>
        <v>#DIV/0!</v>
      </c>
      <c r="S11" s="60" t="e">
        <f>Links!F11+'On-Ramps'!AE11</f>
        <v>#DIV/0!</v>
      </c>
      <c r="T11" s="60" t="e">
        <f>Links!G11+'On-Ramps'!AF11</f>
        <v>#DIV/0!</v>
      </c>
      <c r="U11" s="60" t="e">
        <f>Links!H11+'On-Ramps'!AG11</f>
        <v>#DIV/0!</v>
      </c>
      <c r="V11" s="60" t="e">
        <f>Links!J11+'On-Ramps'!AH11</f>
        <v>#DIV/0!</v>
      </c>
      <c r="W11" s="60" t="e">
        <f>Links!K11+'On-Ramps'!AI11</f>
        <v>#DIV/0!</v>
      </c>
      <c r="X11" s="60" t="e">
        <f>Links!L11+'On-Ramps'!AJ11</f>
        <v>#DIV/0!</v>
      </c>
      <c r="Y11" s="60" t="e">
        <f>Links!M11</f>
        <v>#DIV/0!</v>
      </c>
      <c r="Z11" s="60" t="e">
        <f>Links!N11+'On-Ramps'!AK11</f>
        <v>#DIV/0!</v>
      </c>
      <c r="AA11" s="60" t="e">
        <f>Links!O11</f>
        <v>#DIV/0!</v>
      </c>
      <c r="AB11" s="59" t="e">
        <f t="shared" si="17"/>
        <v>#DIV/0!</v>
      </c>
      <c r="AC11" s="65"/>
      <c r="AD11" s="59" t="e">
        <f t="shared" si="18"/>
        <v>#DIV/0!</v>
      </c>
      <c r="AE11" s="65"/>
      <c r="AF11" s="59" t="e">
        <f t="shared" si="19"/>
        <v>#DIV/0!</v>
      </c>
      <c r="AG11" s="59" t="e">
        <f t="shared" si="20"/>
        <v>#DIV/0!</v>
      </c>
      <c r="AH11" s="59" t="e">
        <f t="shared" si="21"/>
        <v>#DIV/0!</v>
      </c>
      <c r="AI11" s="59" t="e">
        <f t="shared" si="22"/>
        <v>#DIV/0!</v>
      </c>
      <c r="AJ11" s="59" t="e">
        <f t="shared" si="23"/>
        <v>#DIV/0!</v>
      </c>
      <c r="AK11" s="59" t="e">
        <f t="shared" si="24"/>
        <v>#DIV/0!</v>
      </c>
      <c r="AL11" s="59" t="e">
        <f t="shared" si="25"/>
        <v>#DIV/0!</v>
      </c>
      <c r="AM11" s="65"/>
      <c r="AN11" s="59" t="e">
        <f t="shared" si="15"/>
        <v>#DIV/0!</v>
      </c>
      <c r="AO11" s="60" t="e">
        <f t="shared" si="26"/>
        <v>#DIV/0!</v>
      </c>
      <c r="AP11" s="65"/>
      <c r="AQ11" s="60" t="e">
        <f t="shared" si="16"/>
        <v>#DIV/0!</v>
      </c>
      <c r="AR11" s="65"/>
      <c r="AS11" s="60" t="e">
        <f t="shared" si="16"/>
        <v>#DIV/0!</v>
      </c>
      <c r="AT11" s="60" t="e">
        <f t="shared" si="16"/>
        <v>#DIV/0!</v>
      </c>
      <c r="AU11" s="60" t="e">
        <f t="shared" si="16"/>
        <v>#DIV/0!</v>
      </c>
      <c r="AV11" s="60" t="e">
        <f t="shared" si="16"/>
        <v>#DIV/0!</v>
      </c>
      <c r="AW11" s="60" t="e">
        <f t="shared" si="16"/>
        <v>#DIV/0!</v>
      </c>
      <c r="AX11" s="60" t="e">
        <f t="shared" si="16"/>
        <v>#DIV/0!</v>
      </c>
      <c r="AY11" s="60" t="e">
        <f t="shared" si="16"/>
        <v>#DIV/0!</v>
      </c>
      <c r="AZ11" s="65"/>
      <c r="BA11" s="60" t="e">
        <f t="shared" si="16"/>
        <v>#DIV/0!</v>
      </c>
      <c r="BB11" s="59" t="e">
        <f>Links!AF11</f>
        <v>#DIV/0!</v>
      </c>
      <c r="BC11" s="59" t="e">
        <f>(Links!AG11*Links!C11+'On-Ramps'!AC11*'On-Ramps'!CE11)/('On-Ramps'!AC11+Links!C11)</f>
        <v>#DIV/0!</v>
      </c>
      <c r="BD11" s="59" t="e">
        <f>Links!AH11</f>
        <v>#DIV/0!</v>
      </c>
      <c r="BE11" s="59" t="e">
        <f>(Links!AI11*Links!E11+'On-Ramps'!AD11*'On-Ramps'!CF10)/('On-Ramps'!AD11+Links!E11)</f>
        <v>#DIV/0!</v>
      </c>
      <c r="BF11" s="59" t="e">
        <f>(Links!F11*Links!AJ11+'On-Ramps'!AE11*'On-Ramps'!CG11)/('On-Ramps'!AE11+Links!F11)</f>
        <v>#DIV/0!</v>
      </c>
      <c r="BG11" s="59" t="e">
        <f>(Links!G11*Links!AK11+'On-Ramps'!AF11*'On-Ramps'!CH11)/('On-Ramps'!AF11+Links!G11)</f>
        <v>#DIV/0!</v>
      </c>
      <c r="BH11" s="59" t="e">
        <f>(Links!H11*Links!AL11+'On-Ramps'!AG11*'On-Ramps'!CI11)/('On-Ramps'!AG11+Links!H11)</f>
        <v>#DIV/0!</v>
      </c>
      <c r="BI11" s="59" t="e">
        <f>(Links!J11*Links!AN11+'On-Ramps'!AH11*'On-Ramps'!CJ11)/('On-Ramps'!AH11+Links!J11)</f>
        <v>#DIV/0!</v>
      </c>
      <c r="BJ11" s="59" t="e">
        <f>(Links!K11*Links!AO11+'On-Ramps'!AI11*'On-Ramps'!CK11)/('On-Ramps'!AI11+Links!K11)</f>
        <v>#DIV/0!</v>
      </c>
      <c r="BK11" s="59" t="e">
        <f>(Links!L11*Links!AP11+'On-Ramps'!AJ11*'On-Ramps'!CL11)/(Links!L11+'On-Ramps'!AJ11)</f>
        <v>#DIV/0!</v>
      </c>
      <c r="BL11" s="59" t="e">
        <f>Links!AQ11</f>
        <v>#DIV/0!</v>
      </c>
      <c r="BM11" s="59" t="e">
        <f>(Links!N11*Links!AR11+'On-Ramps'!AL11*'On-Ramps'!CM11)/(Links!N11+'On-Ramps'!AL11)</f>
        <v>#DIV/0!</v>
      </c>
      <c r="BN11" s="59" t="e">
        <f>Links!AS11</f>
        <v>#DIV/0!</v>
      </c>
      <c r="BO11" s="60" t="e">
        <f>(Links!R11^2+'Off-Ramp'!L11^2)/(Links!R11+'Off-Ramp'!L11)</f>
        <v>#DIV/0!</v>
      </c>
      <c r="BP11" s="60" t="e">
        <f>Links!S11</f>
        <v>#DIV/0!</v>
      </c>
      <c r="BQ11" s="60" t="e">
        <f>(Links!S11^2+'Off-Ramp'!C11^2)/(Links!S11+'Off-Ramp'!C11)</f>
        <v>#DIV/0!</v>
      </c>
      <c r="BR11" s="60" t="e">
        <f>Links!T11</f>
        <v>#DIV/0!</v>
      </c>
      <c r="BS11" s="60" t="e">
        <f>(Links!X11^2+'Off-Ramp'!V11^2+'Off-Ramp'!W11^2+'Off-Ramp'!X11^2)/(Links!X11+'Off-Ramp'!V11+'Off-Ramp'!W11+'Off-Ramp'!X11)</f>
        <v>#DIV/0!</v>
      </c>
      <c r="BT11" s="60" t="e">
        <f>(Links!Y11^2+'Off-Ramp'!Y11^2+'Off-Ramp'!Z11^2+'Off-Ramp'!AA11^2)/(Links!Y11+'Off-Ramp'!Y11+'Off-Ramp'!Z11+'Off-Ramp'!AA11)</f>
        <v>#DIV/0!</v>
      </c>
      <c r="BU11" s="60" t="e">
        <f>(Links!W11^2+'Off-Ramp'!P11^2)/(Links!W11+'Off-Ramp'!P11)</f>
        <v>#DIV/0!</v>
      </c>
      <c r="BV11" s="60" t="e">
        <f>(Links!Y11^2+'Off-Ramp'!Q11^2)/(Links!Y11+'Off-Ramp'!Q11)</f>
        <v>#DIV/0!</v>
      </c>
      <c r="BW11" s="60" t="e">
        <f>(Links!Z11^2+'Off-Ramp'!R11^2)/(Links!Z11+'Off-Ramp'!R11)</f>
        <v>#DIV/0!</v>
      </c>
      <c r="BX11" s="60" t="e">
        <f>(Links!AA11+'Off-Ramp'!S11)/(Links!AA11^2+'Off-Ramp'!S11^2)</f>
        <v>#DIV/0!</v>
      </c>
      <c r="BY11" s="60" t="e">
        <f>(Links!AB11^2+'Off-Ramp'!T11^2)/(Links!AB11+'Off-Ramp'!T11)</f>
        <v>#DIV/0!</v>
      </c>
      <c r="BZ11" s="60" t="e">
        <f>Links!AC11</f>
        <v>#DIV/0!</v>
      </c>
      <c r="CA11" s="60" t="e">
        <f>(Links!AD11^2+'Off-Ramp'!U11^2)/(Links!AD11+'Off-Ramp'!U11)</f>
        <v>#DIV/0!</v>
      </c>
    </row>
    <row r="12" spans="1:79" x14ac:dyDescent="0.15">
      <c r="A12" s="58">
        <v>10</v>
      </c>
      <c r="B12" s="59" t="e">
        <f t="shared" si="2"/>
        <v>#DIV/0!</v>
      </c>
      <c r="C12" s="59" t="e">
        <f t="shared" si="3"/>
        <v>#DIV/0!</v>
      </c>
      <c r="D12" s="59" t="e">
        <f t="shared" si="4"/>
        <v>#DIV/0!</v>
      </c>
      <c r="E12" s="59" t="e">
        <f t="shared" si="5"/>
        <v>#DIV/0!</v>
      </c>
      <c r="F12" s="59" t="e">
        <f t="shared" si="6"/>
        <v>#DIV/0!</v>
      </c>
      <c r="G12" s="59" t="e">
        <f t="shared" si="7"/>
        <v>#DIV/0!</v>
      </c>
      <c r="H12" s="59" t="e">
        <f t="shared" si="8"/>
        <v>#DIV/0!</v>
      </c>
      <c r="I12" s="59" t="e">
        <f t="shared" si="9"/>
        <v>#DIV/0!</v>
      </c>
      <c r="J12" s="59" t="e">
        <f t="shared" si="10"/>
        <v>#DIV/0!</v>
      </c>
      <c r="K12" s="59" t="e">
        <f t="shared" si="11"/>
        <v>#DIV/0!</v>
      </c>
      <c r="L12" s="59" t="e">
        <f t="shared" si="12"/>
        <v>#DIV/0!</v>
      </c>
      <c r="M12" s="59" t="e">
        <f t="shared" si="13"/>
        <v>#DIV/0!</v>
      </c>
      <c r="N12" s="59" t="e">
        <f t="shared" si="14"/>
        <v>#DIV/0!</v>
      </c>
      <c r="O12" s="60" t="e">
        <f>Links!B12</f>
        <v>#DIV/0!</v>
      </c>
      <c r="P12" s="60" t="e">
        <f>Links!C12+'On-Ramps'!AC12</f>
        <v>#DIV/0!</v>
      </c>
      <c r="Q12" s="60" t="e">
        <f>Links!D12</f>
        <v>#DIV/0!</v>
      </c>
      <c r="R12" s="60" t="e">
        <f>Links!E12+'On-Ramps'!AD12</f>
        <v>#DIV/0!</v>
      </c>
      <c r="S12" s="60" t="e">
        <f>Links!F12+'On-Ramps'!AE12</f>
        <v>#DIV/0!</v>
      </c>
      <c r="T12" s="60" t="e">
        <f>Links!G12+'On-Ramps'!AF12</f>
        <v>#DIV/0!</v>
      </c>
      <c r="U12" s="60" t="e">
        <f>Links!H12+'On-Ramps'!AG12</f>
        <v>#DIV/0!</v>
      </c>
      <c r="V12" s="60" t="e">
        <f>Links!J12+'On-Ramps'!AH12</f>
        <v>#DIV/0!</v>
      </c>
      <c r="W12" s="60" t="e">
        <f>Links!K12+'On-Ramps'!AI12</f>
        <v>#DIV/0!</v>
      </c>
      <c r="X12" s="60" t="e">
        <f>Links!L12+'On-Ramps'!AJ12</f>
        <v>#DIV/0!</v>
      </c>
      <c r="Y12" s="60" t="e">
        <f>Links!M12</f>
        <v>#DIV/0!</v>
      </c>
      <c r="Z12" s="60" t="e">
        <f>Links!N12+'On-Ramps'!AK12</f>
        <v>#DIV/0!</v>
      </c>
      <c r="AA12" s="60" t="e">
        <f>Links!O12</f>
        <v>#DIV/0!</v>
      </c>
      <c r="AB12" s="59" t="e">
        <f t="shared" si="17"/>
        <v>#DIV/0!</v>
      </c>
      <c r="AC12" s="65"/>
      <c r="AD12" s="59" t="e">
        <f t="shared" si="18"/>
        <v>#DIV/0!</v>
      </c>
      <c r="AE12" s="65"/>
      <c r="AF12" s="59" t="e">
        <f t="shared" si="19"/>
        <v>#DIV/0!</v>
      </c>
      <c r="AG12" s="59" t="e">
        <f t="shared" si="20"/>
        <v>#DIV/0!</v>
      </c>
      <c r="AH12" s="59" t="e">
        <f t="shared" si="21"/>
        <v>#DIV/0!</v>
      </c>
      <c r="AI12" s="59" t="e">
        <f t="shared" si="22"/>
        <v>#DIV/0!</v>
      </c>
      <c r="AJ12" s="59" t="e">
        <f t="shared" si="23"/>
        <v>#DIV/0!</v>
      </c>
      <c r="AK12" s="59" t="e">
        <f t="shared" si="24"/>
        <v>#DIV/0!</v>
      </c>
      <c r="AL12" s="59" t="e">
        <f t="shared" si="25"/>
        <v>#DIV/0!</v>
      </c>
      <c r="AM12" s="65"/>
      <c r="AN12" s="59" t="e">
        <f t="shared" si="15"/>
        <v>#DIV/0!</v>
      </c>
      <c r="AO12" s="60" t="e">
        <f t="shared" si="26"/>
        <v>#DIV/0!</v>
      </c>
      <c r="AP12" s="65"/>
      <c r="AQ12" s="60" t="e">
        <f t="shared" si="16"/>
        <v>#DIV/0!</v>
      </c>
      <c r="AR12" s="65"/>
      <c r="AS12" s="60" t="e">
        <f t="shared" si="16"/>
        <v>#DIV/0!</v>
      </c>
      <c r="AT12" s="60" t="e">
        <f t="shared" si="16"/>
        <v>#DIV/0!</v>
      </c>
      <c r="AU12" s="60" t="e">
        <f t="shared" si="16"/>
        <v>#DIV/0!</v>
      </c>
      <c r="AV12" s="60" t="e">
        <f t="shared" si="16"/>
        <v>#DIV/0!</v>
      </c>
      <c r="AW12" s="60" t="e">
        <f t="shared" si="16"/>
        <v>#DIV/0!</v>
      </c>
      <c r="AX12" s="60" t="e">
        <f t="shared" si="16"/>
        <v>#DIV/0!</v>
      </c>
      <c r="AY12" s="60" t="e">
        <f t="shared" si="16"/>
        <v>#DIV/0!</v>
      </c>
      <c r="AZ12" s="65"/>
      <c r="BA12" s="60" t="e">
        <f t="shared" si="16"/>
        <v>#DIV/0!</v>
      </c>
      <c r="BB12" s="59" t="e">
        <f>Links!AF12</f>
        <v>#DIV/0!</v>
      </c>
      <c r="BC12" s="59" t="e">
        <f>(Links!AG12*Links!C12+'On-Ramps'!AC12*'On-Ramps'!CE12)/('On-Ramps'!AC12+Links!C12)</f>
        <v>#DIV/0!</v>
      </c>
      <c r="BD12" s="59" t="e">
        <f>Links!AH12</f>
        <v>#DIV/0!</v>
      </c>
      <c r="BE12" s="59" t="e">
        <f>(Links!AI12*Links!E12+'On-Ramps'!AD12*'On-Ramps'!CF11)/('On-Ramps'!AD12+Links!E12)</f>
        <v>#DIV/0!</v>
      </c>
      <c r="BF12" s="59" t="e">
        <f>(Links!F12*Links!AJ12+'On-Ramps'!AE12*'On-Ramps'!CG12)/('On-Ramps'!AE12+Links!F12)</f>
        <v>#DIV/0!</v>
      </c>
      <c r="BG12" s="59" t="e">
        <f>(Links!G12*Links!AK12+'On-Ramps'!AF12*'On-Ramps'!CH12)/('On-Ramps'!AF12+Links!G12)</f>
        <v>#DIV/0!</v>
      </c>
      <c r="BH12" s="59" t="e">
        <f>(Links!H12*Links!AL12+'On-Ramps'!AG12*'On-Ramps'!CI12)/('On-Ramps'!AG12+Links!H12)</f>
        <v>#DIV/0!</v>
      </c>
      <c r="BI12" s="59" t="e">
        <f>(Links!J12*Links!AN12+'On-Ramps'!AH12*'On-Ramps'!CJ12)/('On-Ramps'!AH12+Links!J12)</f>
        <v>#DIV/0!</v>
      </c>
      <c r="BJ12" s="59" t="e">
        <f>(Links!K12*Links!AO12+'On-Ramps'!AI12*'On-Ramps'!CK12)/('On-Ramps'!AI12+Links!K12)</f>
        <v>#DIV/0!</v>
      </c>
      <c r="BK12" s="59" t="e">
        <f>(Links!L12*Links!AP12+'On-Ramps'!AJ12*'On-Ramps'!CL12)/(Links!L12+'On-Ramps'!AJ12)</f>
        <v>#DIV/0!</v>
      </c>
      <c r="BL12" s="59" t="e">
        <f>Links!AQ12</f>
        <v>#DIV/0!</v>
      </c>
      <c r="BM12" s="59" t="e">
        <f>(Links!N12*Links!AR12+'On-Ramps'!AL12*'On-Ramps'!CM12)/(Links!N12+'On-Ramps'!AL12)</f>
        <v>#DIV/0!</v>
      </c>
      <c r="BN12" s="59" t="e">
        <f>Links!AS12</f>
        <v>#DIV/0!</v>
      </c>
      <c r="BO12" s="60" t="e">
        <f>(Links!R12^2+'Off-Ramp'!L12^2)/(Links!R12+'Off-Ramp'!L12)</f>
        <v>#DIV/0!</v>
      </c>
      <c r="BP12" s="60" t="e">
        <f>Links!S12</f>
        <v>#DIV/0!</v>
      </c>
      <c r="BQ12" s="60" t="e">
        <f>(Links!S12^2+'Off-Ramp'!C12^2)/(Links!S12+'Off-Ramp'!C12)</f>
        <v>#DIV/0!</v>
      </c>
      <c r="BR12" s="60" t="e">
        <f>Links!T12</f>
        <v>#DIV/0!</v>
      </c>
      <c r="BS12" s="60" t="e">
        <f>(Links!X12^2+'Off-Ramp'!V12^2+'Off-Ramp'!W12^2+'Off-Ramp'!X12^2)/(Links!X12+'Off-Ramp'!V12+'Off-Ramp'!W12+'Off-Ramp'!X12)</f>
        <v>#DIV/0!</v>
      </c>
      <c r="BT12" s="60" t="e">
        <f>(Links!Y12^2+'Off-Ramp'!Y12^2+'Off-Ramp'!Z12^2+'Off-Ramp'!AA12^2)/(Links!Y12+'Off-Ramp'!Y12+'Off-Ramp'!Z12+'Off-Ramp'!AA12)</f>
        <v>#DIV/0!</v>
      </c>
      <c r="BU12" s="60" t="e">
        <f>(Links!W12^2+'Off-Ramp'!P12^2)/(Links!W12+'Off-Ramp'!P12)</f>
        <v>#DIV/0!</v>
      </c>
      <c r="BV12" s="60" t="e">
        <f>(Links!Y12^2+'Off-Ramp'!Q12^2)/(Links!Y12+'Off-Ramp'!Q12)</f>
        <v>#DIV/0!</v>
      </c>
      <c r="BW12" s="60" t="e">
        <f>(Links!Z12^2+'Off-Ramp'!R12^2)/(Links!Z12+'Off-Ramp'!R12)</f>
        <v>#DIV/0!</v>
      </c>
      <c r="BX12" s="60" t="e">
        <f>(Links!AA12+'Off-Ramp'!S12)/(Links!AA12^2+'Off-Ramp'!S12^2)</f>
        <v>#DIV/0!</v>
      </c>
      <c r="BY12" s="60" t="e">
        <f>(Links!AB12^2+'Off-Ramp'!T12^2)/(Links!AB12+'Off-Ramp'!T12)</f>
        <v>#DIV/0!</v>
      </c>
      <c r="BZ12" s="60" t="e">
        <f>Links!AC12</f>
        <v>#DIV/0!</v>
      </c>
      <c r="CA12" s="60" t="e">
        <f>(Links!AD12^2+'Off-Ramp'!U12^2)/(Links!AD12+'Off-Ramp'!U12)</f>
        <v>#DIV/0!</v>
      </c>
    </row>
    <row r="13" spans="1:79" x14ac:dyDescent="0.15">
      <c r="A13" s="58">
        <v>11</v>
      </c>
      <c r="B13" s="59" t="e">
        <f t="shared" si="2"/>
        <v>#DIV/0!</v>
      </c>
      <c r="C13" s="59" t="e">
        <f t="shared" si="3"/>
        <v>#DIV/0!</v>
      </c>
      <c r="D13" s="59" t="e">
        <f t="shared" si="4"/>
        <v>#DIV/0!</v>
      </c>
      <c r="E13" s="59" t="e">
        <f t="shared" si="5"/>
        <v>#DIV/0!</v>
      </c>
      <c r="F13" s="59" t="e">
        <f t="shared" si="6"/>
        <v>#DIV/0!</v>
      </c>
      <c r="G13" s="59" t="e">
        <f t="shared" si="7"/>
        <v>#DIV/0!</v>
      </c>
      <c r="H13" s="59" t="e">
        <f t="shared" si="8"/>
        <v>#DIV/0!</v>
      </c>
      <c r="I13" s="59" t="e">
        <f t="shared" si="9"/>
        <v>#DIV/0!</v>
      </c>
      <c r="J13" s="59" t="e">
        <f t="shared" si="10"/>
        <v>#DIV/0!</v>
      </c>
      <c r="K13" s="59" t="e">
        <f t="shared" si="11"/>
        <v>#DIV/0!</v>
      </c>
      <c r="L13" s="59" t="e">
        <f t="shared" si="12"/>
        <v>#DIV/0!</v>
      </c>
      <c r="M13" s="59" t="e">
        <f t="shared" si="13"/>
        <v>#DIV/0!</v>
      </c>
      <c r="N13" s="59" t="e">
        <f t="shared" si="14"/>
        <v>#DIV/0!</v>
      </c>
      <c r="O13" s="60" t="e">
        <f>Links!B13</f>
        <v>#DIV/0!</v>
      </c>
      <c r="P13" s="60" t="e">
        <f>Links!C13+'On-Ramps'!AC13</f>
        <v>#DIV/0!</v>
      </c>
      <c r="Q13" s="60" t="e">
        <f>Links!D13</f>
        <v>#DIV/0!</v>
      </c>
      <c r="R13" s="60" t="e">
        <f>Links!E13+'On-Ramps'!AD13</f>
        <v>#DIV/0!</v>
      </c>
      <c r="S13" s="60" t="e">
        <f>Links!F13+'On-Ramps'!AE13</f>
        <v>#DIV/0!</v>
      </c>
      <c r="T13" s="60" t="e">
        <f>Links!G13+'On-Ramps'!AF13</f>
        <v>#DIV/0!</v>
      </c>
      <c r="U13" s="60" t="e">
        <f>Links!H13+'On-Ramps'!AG13</f>
        <v>#DIV/0!</v>
      </c>
      <c r="V13" s="60" t="e">
        <f>Links!J13+'On-Ramps'!AH13</f>
        <v>#DIV/0!</v>
      </c>
      <c r="W13" s="60" t="e">
        <f>Links!K13+'On-Ramps'!AI13</f>
        <v>#DIV/0!</v>
      </c>
      <c r="X13" s="60" t="e">
        <f>Links!L13+'On-Ramps'!AJ13</f>
        <v>#DIV/0!</v>
      </c>
      <c r="Y13" s="60" t="e">
        <f>Links!M13</f>
        <v>#DIV/0!</v>
      </c>
      <c r="Z13" s="60" t="e">
        <f>Links!N13+'On-Ramps'!AK13</f>
        <v>#DIV/0!</v>
      </c>
      <c r="AA13" s="60" t="e">
        <f>Links!O13</f>
        <v>#DIV/0!</v>
      </c>
      <c r="AB13" s="59" t="e">
        <f t="shared" si="17"/>
        <v>#DIV/0!</v>
      </c>
      <c r="AC13" s="65"/>
      <c r="AD13" s="59" t="e">
        <f t="shared" si="18"/>
        <v>#DIV/0!</v>
      </c>
      <c r="AE13" s="65"/>
      <c r="AF13" s="59" t="e">
        <f t="shared" si="19"/>
        <v>#DIV/0!</v>
      </c>
      <c r="AG13" s="59" t="e">
        <f t="shared" si="20"/>
        <v>#DIV/0!</v>
      </c>
      <c r="AH13" s="59" t="e">
        <f t="shared" si="21"/>
        <v>#DIV/0!</v>
      </c>
      <c r="AI13" s="59" t="e">
        <f t="shared" si="22"/>
        <v>#DIV/0!</v>
      </c>
      <c r="AJ13" s="59" t="e">
        <f t="shared" si="23"/>
        <v>#DIV/0!</v>
      </c>
      <c r="AK13" s="59" t="e">
        <f t="shared" si="24"/>
        <v>#DIV/0!</v>
      </c>
      <c r="AL13" s="59" t="e">
        <f t="shared" si="25"/>
        <v>#DIV/0!</v>
      </c>
      <c r="AM13" s="65"/>
      <c r="AN13" s="59" t="e">
        <f t="shared" si="15"/>
        <v>#DIV/0!</v>
      </c>
      <c r="AO13" s="60" t="e">
        <f t="shared" si="26"/>
        <v>#DIV/0!</v>
      </c>
      <c r="AP13" s="65"/>
      <c r="AQ13" s="60" t="e">
        <f t="shared" si="16"/>
        <v>#DIV/0!</v>
      </c>
      <c r="AR13" s="65"/>
      <c r="AS13" s="60" t="e">
        <f t="shared" si="16"/>
        <v>#DIV/0!</v>
      </c>
      <c r="AT13" s="60" t="e">
        <f t="shared" si="16"/>
        <v>#DIV/0!</v>
      </c>
      <c r="AU13" s="60" t="e">
        <f t="shared" si="16"/>
        <v>#DIV/0!</v>
      </c>
      <c r="AV13" s="60" t="e">
        <f t="shared" si="16"/>
        <v>#DIV/0!</v>
      </c>
      <c r="AW13" s="60" t="e">
        <f t="shared" si="16"/>
        <v>#DIV/0!</v>
      </c>
      <c r="AX13" s="60" t="e">
        <f t="shared" si="16"/>
        <v>#DIV/0!</v>
      </c>
      <c r="AY13" s="60" t="e">
        <f t="shared" si="16"/>
        <v>#DIV/0!</v>
      </c>
      <c r="AZ13" s="65"/>
      <c r="BA13" s="60" t="e">
        <f t="shared" si="16"/>
        <v>#DIV/0!</v>
      </c>
      <c r="BB13" s="59" t="e">
        <f>Links!AF13</f>
        <v>#DIV/0!</v>
      </c>
      <c r="BC13" s="59" t="e">
        <f>(Links!AG13*Links!C13+'On-Ramps'!AC13*'On-Ramps'!CE13)/('On-Ramps'!AC13+Links!C13)</f>
        <v>#DIV/0!</v>
      </c>
      <c r="BD13" s="59" t="e">
        <f>Links!AH13</f>
        <v>#DIV/0!</v>
      </c>
      <c r="BE13" s="59" t="e">
        <f>(Links!AI13*Links!E13+'On-Ramps'!AD13*'On-Ramps'!CF12)/('On-Ramps'!AD13+Links!E13)</f>
        <v>#DIV/0!</v>
      </c>
      <c r="BF13" s="59" t="e">
        <f>(Links!F13*Links!AJ13+'On-Ramps'!AE13*'On-Ramps'!CG13)/('On-Ramps'!AE13+Links!F13)</f>
        <v>#DIV/0!</v>
      </c>
      <c r="BG13" s="59" t="e">
        <f>(Links!G13*Links!AK13+'On-Ramps'!AF13*'On-Ramps'!CH13)/('On-Ramps'!AF13+Links!G13)</f>
        <v>#DIV/0!</v>
      </c>
      <c r="BH13" s="59" t="e">
        <f>(Links!H13*Links!AL13+'On-Ramps'!AG13*'On-Ramps'!CI13)/('On-Ramps'!AG13+Links!H13)</f>
        <v>#DIV/0!</v>
      </c>
      <c r="BI13" s="59" t="e">
        <f>(Links!J13*Links!AN13+'On-Ramps'!AH13*'On-Ramps'!CJ13)/('On-Ramps'!AH13+Links!J13)</f>
        <v>#DIV/0!</v>
      </c>
      <c r="BJ13" s="59" t="e">
        <f>(Links!K13*Links!AO13+'On-Ramps'!AI13*'On-Ramps'!CK13)/('On-Ramps'!AI13+Links!K13)</f>
        <v>#DIV/0!</v>
      </c>
      <c r="BK13" s="59" t="e">
        <f>(Links!L13*Links!AP13+'On-Ramps'!AJ13*'On-Ramps'!CL13)/(Links!L13+'On-Ramps'!AJ13)</f>
        <v>#DIV/0!</v>
      </c>
      <c r="BL13" s="59" t="e">
        <f>Links!AQ13</f>
        <v>#DIV/0!</v>
      </c>
      <c r="BM13" s="59" t="e">
        <f>(Links!N13*Links!AR13+'On-Ramps'!AL13*'On-Ramps'!CM13)/(Links!N13+'On-Ramps'!AL13)</f>
        <v>#DIV/0!</v>
      </c>
      <c r="BN13" s="59" t="e">
        <f>Links!AS13</f>
        <v>#DIV/0!</v>
      </c>
      <c r="BO13" s="60" t="e">
        <f>(Links!R13^2+'Off-Ramp'!L13^2)/(Links!R13+'Off-Ramp'!L13)</f>
        <v>#DIV/0!</v>
      </c>
      <c r="BP13" s="60" t="e">
        <f>Links!S13</f>
        <v>#DIV/0!</v>
      </c>
      <c r="BQ13" s="60" t="e">
        <f>(Links!S13^2+'Off-Ramp'!C13^2)/(Links!S13+'Off-Ramp'!C13)</f>
        <v>#DIV/0!</v>
      </c>
      <c r="BR13" s="60" t="e">
        <f>Links!T13</f>
        <v>#DIV/0!</v>
      </c>
      <c r="BS13" s="60" t="e">
        <f>(Links!X13^2+'Off-Ramp'!V13^2+'Off-Ramp'!W13^2+'Off-Ramp'!X13^2)/(Links!X13+'Off-Ramp'!V13+'Off-Ramp'!W13+'Off-Ramp'!X13)</f>
        <v>#DIV/0!</v>
      </c>
      <c r="BT13" s="60" t="e">
        <f>(Links!Y13^2+'Off-Ramp'!Y13^2+'Off-Ramp'!Z13^2+'Off-Ramp'!AA13^2)/(Links!Y13+'Off-Ramp'!Y13+'Off-Ramp'!Z13+'Off-Ramp'!AA13)</f>
        <v>#DIV/0!</v>
      </c>
      <c r="BU13" s="60" t="e">
        <f>(Links!W13^2+'Off-Ramp'!P13^2)/(Links!W13+'Off-Ramp'!P13)</f>
        <v>#DIV/0!</v>
      </c>
      <c r="BV13" s="60" t="e">
        <f>(Links!Y13^2+'Off-Ramp'!Q13^2)/(Links!Y13+'Off-Ramp'!Q13)</f>
        <v>#DIV/0!</v>
      </c>
      <c r="BW13" s="60" t="e">
        <f>(Links!Z13^2+'Off-Ramp'!R13^2)/(Links!Z13+'Off-Ramp'!R13)</f>
        <v>#DIV/0!</v>
      </c>
      <c r="BX13" s="60" t="e">
        <f>(Links!AA13+'Off-Ramp'!S13)/(Links!AA13^2+'Off-Ramp'!S13^2)</f>
        <v>#DIV/0!</v>
      </c>
      <c r="BY13" s="60" t="e">
        <f>(Links!AB13^2+'Off-Ramp'!T13^2)/(Links!AB13+'Off-Ramp'!T13)</f>
        <v>#DIV/0!</v>
      </c>
      <c r="BZ13" s="60" t="e">
        <f>Links!AC13</f>
        <v>#DIV/0!</v>
      </c>
      <c r="CA13" s="60" t="e">
        <f>(Links!AD13^2+'Off-Ramp'!U13^2)/(Links!AD13+'Off-Ramp'!U13)</f>
        <v>#DIV/0!</v>
      </c>
    </row>
    <row r="14" spans="1:79" x14ac:dyDescent="0.15">
      <c r="A14" s="58">
        <v>12</v>
      </c>
      <c r="B14" s="59" t="e">
        <f t="shared" si="2"/>
        <v>#DIV/0!</v>
      </c>
      <c r="C14" s="59" t="e">
        <f t="shared" si="3"/>
        <v>#DIV/0!</v>
      </c>
      <c r="D14" s="59" t="e">
        <f t="shared" si="4"/>
        <v>#DIV/0!</v>
      </c>
      <c r="E14" s="59" t="e">
        <f t="shared" si="5"/>
        <v>#DIV/0!</v>
      </c>
      <c r="F14" s="59" t="e">
        <f t="shared" si="6"/>
        <v>#DIV/0!</v>
      </c>
      <c r="G14" s="59" t="e">
        <f t="shared" si="7"/>
        <v>#DIV/0!</v>
      </c>
      <c r="H14" s="59" t="e">
        <f t="shared" si="8"/>
        <v>#DIV/0!</v>
      </c>
      <c r="I14" s="59" t="e">
        <f t="shared" si="9"/>
        <v>#DIV/0!</v>
      </c>
      <c r="J14" s="59" t="e">
        <f t="shared" si="10"/>
        <v>#DIV/0!</v>
      </c>
      <c r="K14" s="59" t="e">
        <f t="shared" si="11"/>
        <v>#DIV/0!</v>
      </c>
      <c r="L14" s="59" t="e">
        <f t="shared" si="12"/>
        <v>#DIV/0!</v>
      </c>
      <c r="M14" s="59" t="e">
        <f t="shared" si="13"/>
        <v>#DIV/0!</v>
      </c>
      <c r="N14" s="59" t="e">
        <f t="shared" si="14"/>
        <v>#DIV/0!</v>
      </c>
      <c r="O14" s="60" t="e">
        <f>Links!B14</f>
        <v>#DIV/0!</v>
      </c>
      <c r="P14" s="60" t="e">
        <f>Links!C14+'On-Ramps'!AC14</f>
        <v>#DIV/0!</v>
      </c>
      <c r="Q14" s="60" t="e">
        <f>Links!D14</f>
        <v>#DIV/0!</v>
      </c>
      <c r="R14" s="60" t="e">
        <f>Links!E14+'On-Ramps'!AD14</f>
        <v>#DIV/0!</v>
      </c>
      <c r="S14" s="60" t="e">
        <f>Links!F14+'On-Ramps'!AE14</f>
        <v>#DIV/0!</v>
      </c>
      <c r="T14" s="60" t="e">
        <f>Links!G14+'On-Ramps'!AF14</f>
        <v>#DIV/0!</v>
      </c>
      <c r="U14" s="60" t="e">
        <f>Links!H14+'On-Ramps'!AG14</f>
        <v>#DIV/0!</v>
      </c>
      <c r="V14" s="60" t="e">
        <f>Links!J14+'On-Ramps'!AH14</f>
        <v>#DIV/0!</v>
      </c>
      <c r="W14" s="60" t="e">
        <f>Links!K14+'On-Ramps'!AI14</f>
        <v>#DIV/0!</v>
      </c>
      <c r="X14" s="60" t="e">
        <f>Links!L14+'On-Ramps'!AJ14</f>
        <v>#DIV/0!</v>
      </c>
      <c r="Y14" s="60" t="e">
        <f>Links!M14</f>
        <v>#DIV/0!</v>
      </c>
      <c r="Z14" s="60" t="e">
        <f>Links!N14+'On-Ramps'!AK14</f>
        <v>#DIV/0!</v>
      </c>
      <c r="AA14" s="60" t="e">
        <f>Links!O14</f>
        <v>#DIV/0!</v>
      </c>
      <c r="AB14" s="59" t="e">
        <f t="shared" si="17"/>
        <v>#DIV/0!</v>
      </c>
      <c r="AC14" s="65"/>
      <c r="AD14" s="59" t="e">
        <f t="shared" si="18"/>
        <v>#DIV/0!</v>
      </c>
      <c r="AE14" s="65"/>
      <c r="AF14" s="59" t="e">
        <f t="shared" si="19"/>
        <v>#DIV/0!</v>
      </c>
      <c r="AG14" s="59" t="e">
        <f t="shared" si="20"/>
        <v>#DIV/0!</v>
      </c>
      <c r="AH14" s="59" t="e">
        <f t="shared" si="21"/>
        <v>#DIV/0!</v>
      </c>
      <c r="AI14" s="59" t="e">
        <f t="shared" si="22"/>
        <v>#DIV/0!</v>
      </c>
      <c r="AJ14" s="59" t="e">
        <f t="shared" si="23"/>
        <v>#DIV/0!</v>
      </c>
      <c r="AK14" s="59" t="e">
        <f t="shared" si="24"/>
        <v>#DIV/0!</v>
      </c>
      <c r="AL14" s="59" t="e">
        <f t="shared" si="25"/>
        <v>#DIV/0!</v>
      </c>
      <c r="AM14" s="65"/>
      <c r="AN14" s="59" t="e">
        <f t="shared" si="15"/>
        <v>#DIV/0!</v>
      </c>
      <c r="AO14" s="60" t="e">
        <f t="shared" si="26"/>
        <v>#DIV/0!</v>
      </c>
      <c r="AP14" s="65"/>
      <c r="AQ14" s="60" t="e">
        <f t="shared" si="16"/>
        <v>#DIV/0!</v>
      </c>
      <c r="AR14" s="65"/>
      <c r="AS14" s="60" t="e">
        <f t="shared" si="16"/>
        <v>#DIV/0!</v>
      </c>
      <c r="AT14" s="60" t="e">
        <f t="shared" si="16"/>
        <v>#DIV/0!</v>
      </c>
      <c r="AU14" s="60" t="e">
        <f t="shared" si="16"/>
        <v>#DIV/0!</v>
      </c>
      <c r="AV14" s="60" t="e">
        <f t="shared" si="16"/>
        <v>#DIV/0!</v>
      </c>
      <c r="AW14" s="60" t="e">
        <f t="shared" si="16"/>
        <v>#DIV/0!</v>
      </c>
      <c r="AX14" s="60" t="e">
        <f t="shared" si="16"/>
        <v>#DIV/0!</v>
      </c>
      <c r="AY14" s="60" t="e">
        <f t="shared" si="16"/>
        <v>#DIV/0!</v>
      </c>
      <c r="AZ14" s="65"/>
      <c r="BA14" s="60" t="e">
        <f t="shared" si="16"/>
        <v>#DIV/0!</v>
      </c>
      <c r="BB14" s="59" t="e">
        <f>Links!AF14</f>
        <v>#DIV/0!</v>
      </c>
      <c r="BC14" s="59" t="e">
        <f>(Links!AG14*Links!C14+'On-Ramps'!AC14*'On-Ramps'!CE14)/('On-Ramps'!AC14+Links!C14)</f>
        <v>#DIV/0!</v>
      </c>
      <c r="BD14" s="59" t="e">
        <f>Links!AH14</f>
        <v>#DIV/0!</v>
      </c>
      <c r="BE14" s="59" t="e">
        <f>(Links!AI14*Links!E14+'On-Ramps'!AD14*'On-Ramps'!CF13)/('On-Ramps'!AD14+Links!E14)</f>
        <v>#DIV/0!</v>
      </c>
      <c r="BF14" s="59" t="e">
        <f>(Links!F14*Links!AJ14+'On-Ramps'!AE14*'On-Ramps'!CG14)/('On-Ramps'!AE14+Links!F14)</f>
        <v>#DIV/0!</v>
      </c>
      <c r="BG14" s="59" t="e">
        <f>(Links!G14*Links!AK14+'On-Ramps'!AF14*'On-Ramps'!CH14)/('On-Ramps'!AF14+Links!G14)</f>
        <v>#DIV/0!</v>
      </c>
      <c r="BH14" s="59" t="e">
        <f>(Links!H14*Links!AL14+'On-Ramps'!AG14*'On-Ramps'!CI14)/('On-Ramps'!AG14+Links!H14)</f>
        <v>#DIV/0!</v>
      </c>
      <c r="BI14" s="59" t="e">
        <f>(Links!J14*Links!AN14+'On-Ramps'!AH14*'On-Ramps'!CJ14)/('On-Ramps'!AH14+Links!J14)</f>
        <v>#DIV/0!</v>
      </c>
      <c r="BJ14" s="59" t="e">
        <f>(Links!K14*Links!AO14+'On-Ramps'!AI14*'On-Ramps'!CK14)/('On-Ramps'!AI14+Links!K14)</f>
        <v>#DIV/0!</v>
      </c>
      <c r="BK14" s="59" t="e">
        <f>(Links!L14*Links!AP14+'On-Ramps'!AJ14*'On-Ramps'!CL14)/(Links!L14+'On-Ramps'!AJ14)</f>
        <v>#DIV/0!</v>
      </c>
      <c r="BL14" s="59" t="e">
        <f>Links!AQ14</f>
        <v>#DIV/0!</v>
      </c>
      <c r="BM14" s="59" t="e">
        <f>(Links!N14*Links!AR14+'On-Ramps'!AL14*'On-Ramps'!CM14)/(Links!N14+'On-Ramps'!AL14)</f>
        <v>#DIV/0!</v>
      </c>
      <c r="BN14" s="59" t="e">
        <f>Links!AS14</f>
        <v>#DIV/0!</v>
      </c>
      <c r="BO14" s="60" t="e">
        <f>(Links!R14^2+'Off-Ramp'!L14^2)/(Links!R14+'Off-Ramp'!L14)</f>
        <v>#DIV/0!</v>
      </c>
      <c r="BP14" s="60" t="e">
        <f>Links!S14</f>
        <v>#DIV/0!</v>
      </c>
      <c r="BQ14" s="60" t="e">
        <f>(Links!S14^2+'Off-Ramp'!C14^2)/(Links!S14+'Off-Ramp'!C14)</f>
        <v>#DIV/0!</v>
      </c>
      <c r="BR14" s="60" t="e">
        <f>Links!T14</f>
        <v>#DIV/0!</v>
      </c>
      <c r="BS14" s="60" t="e">
        <f>(Links!X14^2+'Off-Ramp'!V14^2+'Off-Ramp'!W14^2+'Off-Ramp'!X14^2)/(Links!X14+'Off-Ramp'!V14+'Off-Ramp'!W14+'Off-Ramp'!X14)</f>
        <v>#DIV/0!</v>
      </c>
      <c r="BT14" s="60" t="e">
        <f>(Links!Y14^2+'Off-Ramp'!Y14^2+'Off-Ramp'!Z14^2+'Off-Ramp'!AA14^2)/(Links!Y14+'Off-Ramp'!Y14+'Off-Ramp'!Z14+'Off-Ramp'!AA14)</f>
        <v>#DIV/0!</v>
      </c>
      <c r="BU14" s="60" t="e">
        <f>(Links!W14^2+'Off-Ramp'!P14^2)/(Links!W14+'Off-Ramp'!P14)</f>
        <v>#DIV/0!</v>
      </c>
      <c r="BV14" s="60" t="e">
        <f>(Links!Y14^2+'Off-Ramp'!Q14^2)/(Links!Y14+'Off-Ramp'!Q14)</f>
        <v>#DIV/0!</v>
      </c>
      <c r="BW14" s="60" t="e">
        <f>(Links!Z14^2+'Off-Ramp'!R14^2)/(Links!Z14+'Off-Ramp'!R14)</f>
        <v>#DIV/0!</v>
      </c>
      <c r="BX14" s="60" t="e">
        <f>(Links!AA14+'Off-Ramp'!S14)/(Links!AA14^2+'Off-Ramp'!S14^2)</f>
        <v>#DIV/0!</v>
      </c>
      <c r="BY14" s="60" t="e">
        <f>(Links!AB14^2+'Off-Ramp'!T14^2)/(Links!AB14+'Off-Ramp'!T14)</f>
        <v>#DIV/0!</v>
      </c>
      <c r="BZ14" s="60" t="e">
        <f>Links!AC14</f>
        <v>#DIV/0!</v>
      </c>
      <c r="CA14" s="60" t="e">
        <f>(Links!AD14^2+'Off-Ramp'!U14^2)/(Links!AD14+'Off-Ramp'!U14)</f>
        <v>#DIV/0!</v>
      </c>
    </row>
    <row r="15" spans="1:79" x14ac:dyDescent="0.15">
      <c r="A15" s="58">
        <v>13</v>
      </c>
      <c r="B15" s="59" t="e">
        <f t="shared" si="2"/>
        <v>#DIV/0!</v>
      </c>
      <c r="C15" s="59" t="e">
        <f t="shared" si="3"/>
        <v>#DIV/0!</v>
      </c>
      <c r="D15" s="59" t="e">
        <f t="shared" si="4"/>
        <v>#DIV/0!</v>
      </c>
      <c r="E15" s="59" t="e">
        <f t="shared" si="5"/>
        <v>#DIV/0!</v>
      </c>
      <c r="F15" s="59" t="e">
        <f t="shared" si="6"/>
        <v>#DIV/0!</v>
      </c>
      <c r="G15" s="59" t="e">
        <f t="shared" si="7"/>
        <v>#DIV/0!</v>
      </c>
      <c r="H15" s="59" t="e">
        <f t="shared" si="8"/>
        <v>#DIV/0!</v>
      </c>
      <c r="I15" s="59" t="e">
        <f t="shared" si="9"/>
        <v>#DIV/0!</v>
      </c>
      <c r="J15" s="59" t="e">
        <f t="shared" si="10"/>
        <v>#DIV/0!</v>
      </c>
      <c r="K15" s="59" t="e">
        <f t="shared" si="11"/>
        <v>#DIV/0!</v>
      </c>
      <c r="L15" s="59" t="e">
        <f t="shared" si="12"/>
        <v>#DIV/0!</v>
      </c>
      <c r="M15" s="59" t="e">
        <f t="shared" si="13"/>
        <v>#DIV/0!</v>
      </c>
      <c r="N15" s="59" t="e">
        <f t="shared" si="14"/>
        <v>#DIV/0!</v>
      </c>
      <c r="O15" s="60" t="e">
        <f>Links!B15</f>
        <v>#DIV/0!</v>
      </c>
      <c r="P15" s="60" t="e">
        <f>Links!C15+'On-Ramps'!AC15</f>
        <v>#DIV/0!</v>
      </c>
      <c r="Q15" s="60" t="e">
        <f>Links!D15</f>
        <v>#DIV/0!</v>
      </c>
      <c r="R15" s="60" t="e">
        <f>Links!E15+'On-Ramps'!AD15</f>
        <v>#DIV/0!</v>
      </c>
      <c r="S15" s="60" t="e">
        <f>Links!F15+'On-Ramps'!AE15</f>
        <v>#DIV/0!</v>
      </c>
      <c r="T15" s="60" t="e">
        <f>Links!G15+'On-Ramps'!AF15</f>
        <v>#DIV/0!</v>
      </c>
      <c r="U15" s="60" t="e">
        <f>Links!H15+'On-Ramps'!AG15</f>
        <v>#DIV/0!</v>
      </c>
      <c r="V15" s="60" t="e">
        <f>Links!J15+'On-Ramps'!AH15</f>
        <v>#DIV/0!</v>
      </c>
      <c r="W15" s="60" t="e">
        <f>Links!K15+'On-Ramps'!AI15</f>
        <v>#DIV/0!</v>
      </c>
      <c r="X15" s="60" t="e">
        <f>Links!L15+'On-Ramps'!AJ15</f>
        <v>#DIV/0!</v>
      </c>
      <c r="Y15" s="60" t="e">
        <f>Links!M15</f>
        <v>#DIV/0!</v>
      </c>
      <c r="Z15" s="60" t="e">
        <f>Links!N15+'On-Ramps'!AK15</f>
        <v>#DIV/0!</v>
      </c>
      <c r="AA15" s="60" t="e">
        <f>Links!O15</f>
        <v>#DIV/0!</v>
      </c>
      <c r="AB15" s="59" t="e">
        <f t="shared" si="17"/>
        <v>#DIV/0!</v>
      </c>
      <c r="AC15" s="65"/>
      <c r="AD15" s="59" t="e">
        <f t="shared" si="18"/>
        <v>#DIV/0!</v>
      </c>
      <c r="AE15" s="65"/>
      <c r="AF15" s="59" t="e">
        <f t="shared" si="19"/>
        <v>#DIV/0!</v>
      </c>
      <c r="AG15" s="59" t="e">
        <f t="shared" si="20"/>
        <v>#DIV/0!</v>
      </c>
      <c r="AH15" s="59" t="e">
        <f t="shared" si="21"/>
        <v>#DIV/0!</v>
      </c>
      <c r="AI15" s="59" t="e">
        <f t="shared" si="22"/>
        <v>#DIV/0!</v>
      </c>
      <c r="AJ15" s="59" t="e">
        <f t="shared" si="23"/>
        <v>#DIV/0!</v>
      </c>
      <c r="AK15" s="59" t="e">
        <f t="shared" si="24"/>
        <v>#DIV/0!</v>
      </c>
      <c r="AL15" s="59" t="e">
        <f t="shared" si="25"/>
        <v>#DIV/0!</v>
      </c>
      <c r="AM15" s="65"/>
      <c r="AN15" s="59" t="e">
        <f t="shared" si="15"/>
        <v>#DIV/0!</v>
      </c>
      <c r="AO15" s="60" t="e">
        <f t="shared" si="26"/>
        <v>#DIV/0!</v>
      </c>
      <c r="AP15" s="65"/>
      <c r="AQ15" s="60" t="e">
        <f t="shared" si="16"/>
        <v>#DIV/0!</v>
      </c>
      <c r="AR15" s="65"/>
      <c r="AS15" s="60" t="e">
        <f t="shared" si="16"/>
        <v>#DIV/0!</v>
      </c>
      <c r="AT15" s="60" t="e">
        <f t="shared" si="16"/>
        <v>#DIV/0!</v>
      </c>
      <c r="AU15" s="60" t="e">
        <f t="shared" si="16"/>
        <v>#DIV/0!</v>
      </c>
      <c r="AV15" s="60" t="e">
        <f t="shared" si="16"/>
        <v>#DIV/0!</v>
      </c>
      <c r="AW15" s="60" t="e">
        <f t="shared" si="16"/>
        <v>#DIV/0!</v>
      </c>
      <c r="AX15" s="60" t="e">
        <f t="shared" si="16"/>
        <v>#DIV/0!</v>
      </c>
      <c r="AY15" s="60" t="e">
        <f t="shared" si="16"/>
        <v>#DIV/0!</v>
      </c>
      <c r="AZ15" s="65"/>
      <c r="BA15" s="60" t="e">
        <f t="shared" si="16"/>
        <v>#DIV/0!</v>
      </c>
      <c r="BB15" s="59" t="e">
        <f>Links!AF15</f>
        <v>#DIV/0!</v>
      </c>
      <c r="BC15" s="59" t="e">
        <f>(Links!AG15*Links!C15+'On-Ramps'!AC15*'On-Ramps'!CE15)/('On-Ramps'!AC15+Links!C15)</f>
        <v>#DIV/0!</v>
      </c>
      <c r="BD15" s="59" t="e">
        <f>Links!AH15</f>
        <v>#DIV/0!</v>
      </c>
      <c r="BE15" s="59" t="e">
        <f>(Links!AI15*Links!E15+'On-Ramps'!AD15*'On-Ramps'!CF14)/('On-Ramps'!AD15+Links!E15)</f>
        <v>#DIV/0!</v>
      </c>
      <c r="BF15" s="59" t="e">
        <f>(Links!F15*Links!AJ15+'On-Ramps'!AE15*'On-Ramps'!CG15)/('On-Ramps'!AE15+Links!F15)</f>
        <v>#DIV/0!</v>
      </c>
      <c r="BG15" s="59" t="e">
        <f>(Links!G15*Links!AK15+'On-Ramps'!AF15*'On-Ramps'!CH15)/('On-Ramps'!AF15+Links!G15)</f>
        <v>#DIV/0!</v>
      </c>
      <c r="BH15" s="59" t="e">
        <f>(Links!H15*Links!AL15+'On-Ramps'!AG15*'On-Ramps'!CI15)/('On-Ramps'!AG15+Links!H15)</f>
        <v>#DIV/0!</v>
      </c>
      <c r="BI15" s="59" t="e">
        <f>(Links!J15*Links!AN15+'On-Ramps'!AH15*'On-Ramps'!CJ15)/('On-Ramps'!AH15+Links!J15)</f>
        <v>#DIV/0!</v>
      </c>
      <c r="BJ15" s="59" t="e">
        <f>(Links!K15*Links!AO15+'On-Ramps'!AI15*'On-Ramps'!CK15)/('On-Ramps'!AI15+Links!K15)</f>
        <v>#DIV/0!</v>
      </c>
      <c r="BK15" s="59" t="e">
        <f>(Links!L15*Links!AP15+'On-Ramps'!AJ15*'On-Ramps'!CL15)/(Links!L15+'On-Ramps'!AJ15)</f>
        <v>#DIV/0!</v>
      </c>
      <c r="BL15" s="59" t="e">
        <f>Links!AQ15</f>
        <v>#DIV/0!</v>
      </c>
      <c r="BM15" s="59" t="e">
        <f>(Links!N15*Links!AR15+'On-Ramps'!AL15*'On-Ramps'!CM15)/(Links!N15+'On-Ramps'!AL15)</f>
        <v>#DIV/0!</v>
      </c>
      <c r="BN15" s="59" t="e">
        <f>Links!AS15</f>
        <v>#DIV/0!</v>
      </c>
      <c r="BO15" s="60" t="e">
        <f>(Links!R15^2+'Off-Ramp'!L15^2)/(Links!R15+'Off-Ramp'!L15)</f>
        <v>#DIV/0!</v>
      </c>
      <c r="BP15" s="60" t="e">
        <f>Links!S15</f>
        <v>#DIV/0!</v>
      </c>
      <c r="BQ15" s="60" t="e">
        <f>(Links!S15^2+'Off-Ramp'!C15^2)/(Links!S15+'Off-Ramp'!C15)</f>
        <v>#DIV/0!</v>
      </c>
      <c r="BR15" s="60" t="e">
        <f>Links!T15</f>
        <v>#DIV/0!</v>
      </c>
      <c r="BS15" s="60" t="e">
        <f>(Links!X15^2+'Off-Ramp'!V15^2+'Off-Ramp'!W15^2+'Off-Ramp'!X15^2)/(Links!X15+'Off-Ramp'!V15+'Off-Ramp'!W15+'Off-Ramp'!X15)</f>
        <v>#DIV/0!</v>
      </c>
      <c r="BT15" s="60" t="e">
        <f>(Links!Y15^2+'Off-Ramp'!Y15^2+'Off-Ramp'!Z15^2+'Off-Ramp'!AA15^2)/(Links!Y15+'Off-Ramp'!Y15+'Off-Ramp'!Z15+'Off-Ramp'!AA15)</f>
        <v>#DIV/0!</v>
      </c>
      <c r="BU15" s="60" t="e">
        <f>(Links!W15^2+'Off-Ramp'!P15^2)/(Links!W15+'Off-Ramp'!P15)</f>
        <v>#DIV/0!</v>
      </c>
      <c r="BV15" s="60" t="e">
        <f>(Links!Y15^2+'Off-Ramp'!Q15^2)/(Links!Y15+'Off-Ramp'!Q15)</f>
        <v>#DIV/0!</v>
      </c>
      <c r="BW15" s="60" t="e">
        <f>(Links!Z15^2+'Off-Ramp'!R15^2)/(Links!Z15+'Off-Ramp'!R15)</f>
        <v>#DIV/0!</v>
      </c>
      <c r="BX15" s="60" t="e">
        <f>(Links!AA15+'Off-Ramp'!S15)/(Links!AA15^2+'Off-Ramp'!S15^2)</f>
        <v>#DIV/0!</v>
      </c>
      <c r="BY15" s="60" t="e">
        <f>(Links!AB15^2+'Off-Ramp'!T15^2)/(Links!AB15+'Off-Ramp'!T15)</f>
        <v>#DIV/0!</v>
      </c>
      <c r="BZ15" s="60" t="e">
        <f>Links!AC15</f>
        <v>#DIV/0!</v>
      </c>
      <c r="CA15" s="60" t="e">
        <f>(Links!AD15^2+'Off-Ramp'!U15^2)/(Links!AD15+'Off-Ramp'!U15)</f>
        <v>#DIV/0!</v>
      </c>
    </row>
    <row r="16" spans="1:79" x14ac:dyDescent="0.15">
      <c r="A16" s="58">
        <v>14</v>
      </c>
      <c r="B16" s="59" t="e">
        <f t="shared" si="2"/>
        <v>#DIV/0!</v>
      </c>
      <c r="C16" s="59" t="e">
        <f t="shared" si="3"/>
        <v>#DIV/0!</v>
      </c>
      <c r="D16" s="59" t="e">
        <f t="shared" si="4"/>
        <v>#DIV/0!</v>
      </c>
      <c r="E16" s="59" t="e">
        <f t="shared" si="5"/>
        <v>#DIV/0!</v>
      </c>
      <c r="F16" s="59" t="e">
        <f t="shared" si="6"/>
        <v>#DIV/0!</v>
      </c>
      <c r="G16" s="59" t="e">
        <f t="shared" si="7"/>
        <v>#DIV/0!</v>
      </c>
      <c r="H16" s="59" t="e">
        <f t="shared" si="8"/>
        <v>#DIV/0!</v>
      </c>
      <c r="I16" s="59" t="e">
        <f t="shared" si="9"/>
        <v>#DIV/0!</v>
      </c>
      <c r="J16" s="59" t="e">
        <f t="shared" si="10"/>
        <v>#DIV/0!</v>
      </c>
      <c r="K16" s="59" t="e">
        <f t="shared" si="11"/>
        <v>#DIV/0!</v>
      </c>
      <c r="L16" s="59" t="e">
        <f t="shared" si="12"/>
        <v>#DIV/0!</v>
      </c>
      <c r="M16" s="59" t="e">
        <f t="shared" si="13"/>
        <v>#DIV/0!</v>
      </c>
      <c r="N16" s="59" t="e">
        <f t="shared" si="14"/>
        <v>#DIV/0!</v>
      </c>
      <c r="O16" s="60" t="e">
        <f>Links!B16</f>
        <v>#DIV/0!</v>
      </c>
      <c r="P16" s="60" t="e">
        <f>Links!C16+'On-Ramps'!AC16</f>
        <v>#DIV/0!</v>
      </c>
      <c r="Q16" s="60" t="e">
        <f>Links!D16</f>
        <v>#DIV/0!</v>
      </c>
      <c r="R16" s="60" t="e">
        <f>Links!E16+'On-Ramps'!AD16</f>
        <v>#DIV/0!</v>
      </c>
      <c r="S16" s="60" t="e">
        <f>Links!F16+'On-Ramps'!AE16</f>
        <v>#DIV/0!</v>
      </c>
      <c r="T16" s="60" t="e">
        <f>Links!G16+'On-Ramps'!AF16</f>
        <v>#DIV/0!</v>
      </c>
      <c r="U16" s="60" t="e">
        <f>Links!H16+'On-Ramps'!AG16</f>
        <v>#DIV/0!</v>
      </c>
      <c r="V16" s="60" t="e">
        <f>Links!J16+'On-Ramps'!AH16</f>
        <v>#DIV/0!</v>
      </c>
      <c r="W16" s="60" t="e">
        <f>Links!K16+'On-Ramps'!AI16</f>
        <v>#DIV/0!</v>
      </c>
      <c r="X16" s="60" t="e">
        <f>Links!L16+'On-Ramps'!AJ16</f>
        <v>#DIV/0!</v>
      </c>
      <c r="Y16" s="60" t="e">
        <f>Links!M16</f>
        <v>#DIV/0!</v>
      </c>
      <c r="Z16" s="60" t="e">
        <f>Links!N16+'On-Ramps'!AK16</f>
        <v>#DIV/0!</v>
      </c>
      <c r="AA16" s="60" t="e">
        <f>Links!O16</f>
        <v>#DIV/0!</v>
      </c>
      <c r="AB16" s="59" t="e">
        <f t="shared" si="17"/>
        <v>#DIV/0!</v>
      </c>
      <c r="AC16" s="65"/>
      <c r="AD16" s="59" t="e">
        <f t="shared" si="18"/>
        <v>#DIV/0!</v>
      </c>
      <c r="AE16" s="65"/>
      <c r="AF16" s="59" t="e">
        <f t="shared" si="19"/>
        <v>#DIV/0!</v>
      </c>
      <c r="AG16" s="59" t="e">
        <f t="shared" si="20"/>
        <v>#DIV/0!</v>
      </c>
      <c r="AH16" s="59" t="e">
        <f t="shared" si="21"/>
        <v>#DIV/0!</v>
      </c>
      <c r="AI16" s="59" t="e">
        <f t="shared" si="22"/>
        <v>#DIV/0!</v>
      </c>
      <c r="AJ16" s="59" t="e">
        <f t="shared" si="23"/>
        <v>#DIV/0!</v>
      </c>
      <c r="AK16" s="59" t="e">
        <f t="shared" si="24"/>
        <v>#DIV/0!</v>
      </c>
      <c r="AL16" s="59" t="e">
        <f t="shared" si="25"/>
        <v>#DIV/0!</v>
      </c>
      <c r="AM16" s="65"/>
      <c r="AN16" s="59" t="e">
        <f t="shared" si="15"/>
        <v>#DIV/0!</v>
      </c>
      <c r="AO16" s="60" t="e">
        <f t="shared" si="26"/>
        <v>#DIV/0!</v>
      </c>
      <c r="AP16" s="65"/>
      <c r="AQ16" s="60" t="e">
        <f t="shared" si="16"/>
        <v>#DIV/0!</v>
      </c>
      <c r="AR16" s="65"/>
      <c r="AS16" s="60" t="e">
        <f t="shared" si="16"/>
        <v>#DIV/0!</v>
      </c>
      <c r="AT16" s="60" t="e">
        <f t="shared" si="16"/>
        <v>#DIV/0!</v>
      </c>
      <c r="AU16" s="60" t="e">
        <f t="shared" si="16"/>
        <v>#DIV/0!</v>
      </c>
      <c r="AV16" s="60" t="e">
        <f t="shared" si="16"/>
        <v>#DIV/0!</v>
      </c>
      <c r="AW16" s="60" t="e">
        <f t="shared" si="16"/>
        <v>#DIV/0!</v>
      </c>
      <c r="AX16" s="60" t="e">
        <f t="shared" si="16"/>
        <v>#DIV/0!</v>
      </c>
      <c r="AY16" s="60" t="e">
        <f t="shared" si="16"/>
        <v>#DIV/0!</v>
      </c>
      <c r="AZ16" s="65"/>
      <c r="BA16" s="60" t="e">
        <f t="shared" si="16"/>
        <v>#DIV/0!</v>
      </c>
      <c r="BB16" s="59" t="e">
        <f>Links!AF16</f>
        <v>#DIV/0!</v>
      </c>
      <c r="BC16" s="59" t="e">
        <f>(Links!AG16*Links!C16+'On-Ramps'!AC16*'On-Ramps'!CE16)/('On-Ramps'!AC16+Links!C16)</f>
        <v>#DIV/0!</v>
      </c>
      <c r="BD16" s="59" t="e">
        <f>Links!AH16</f>
        <v>#DIV/0!</v>
      </c>
      <c r="BE16" s="59" t="e">
        <f>(Links!AI16*Links!E16+'On-Ramps'!AD16*'On-Ramps'!CF15)/('On-Ramps'!AD16+Links!E16)</f>
        <v>#DIV/0!</v>
      </c>
      <c r="BF16" s="59" t="e">
        <f>(Links!F16*Links!AJ16+'On-Ramps'!AE16*'On-Ramps'!CG16)/('On-Ramps'!AE16+Links!F16)</f>
        <v>#DIV/0!</v>
      </c>
      <c r="BG16" s="59" t="e">
        <f>(Links!G16*Links!AK16+'On-Ramps'!AF16*'On-Ramps'!CH16)/('On-Ramps'!AF16+Links!G16)</f>
        <v>#DIV/0!</v>
      </c>
      <c r="BH16" s="59" t="e">
        <f>(Links!H16*Links!AL16+'On-Ramps'!AG16*'On-Ramps'!CI16)/('On-Ramps'!AG16+Links!H16)</f>
        <v>#DIV/0!</v>
      </c>
      <c r="BI16" s="59" t="e">
        <f>(Links!J16*Links!AN16+'On-Ramps'!AH16*'On-Ramps'!CJ16)/('On-Ramps'!AH16+Links!J16)</f>
        <v>#DIV/0!</v>
      </c>
      <c r="BJ16" s="59" t="e">
        <f>(Links!K16*Links!AO16+'On-Ramps'!AI16*'On-Ramps'!CK16)/('On-Ramps'!AI16+Links!K16)</f>
        <v>#DIV/0!</v>
      </c>
      <c r="BK16" s="59" t="e">
        <f>(Links!L16*Links!AP16+'On-Ramps'!AJ16*'On-Ramps'!CL16)/(Links!L16+'On-Ramps'!AJ16)</f>
        <v>#DIV/0!</v>
      </c>
      <c r="BL16" s="59" t="e">
        <f>Links!AQ16</f>
        <v>#DIV/0!</v>
      </c>
      <c r="BM16" s="59" t="e">
        <f>(Links!N16*Links!AR16+'On-Ramps'!AL16*'On-Ramps'!CM16)/(Links!N16+'On-Ramps'!AL16)</f>
        <v>#DIV/0!</v>
      </c>
      <c r="BN16" s="59" t="e">
        <f>Links!AS16</f>
        <v>#DIV/0!</v>
      </c>
      <c r="BO16" s="60" t="e">
        <f>(Links!R16^2+'Off-Ramp'!L16^2)/(Links!R16+'Off-Ramp'!L16)</f>
        <v>#DIV/0!</v>
      </c>
      <c r="BP16" s="60" t="e">
        <f>Links!S16</f>
        <v>#DIV/0!</v>
      </c>
      <c r="BQ16" s="60" t="e">
        <f>(Links!S16^2+'Off-Ramp'!C16^2)/(Links!S16+'Off-Ramp'!C16)</f>
        <v>#DIV/0!</v>
      </c>
      <c r="BR16" s="60" t="e">
        <f>Links!T16</f>
        <v>#DIV/0!</v>
      </c>
      <c r="BS16" s="60" t="e">
        <f>(Links!X16^2+'Off-Ramp'!V16^2+'Off-Ramp'!W16^2+'Off-Ramp'!X16^2)/(Links!X16+'Off-Ramp'!V16+'Off-Ramp'!W16+'Off-Ramp'!X16)</f>
        <v>#DIV/0!</v>
      </c>
      <c r="BT16" s="60" t="e">
        <f>(Links!Y16^2+'Off-Ramp'!Y16^2+'Off-Ramp'!Z16^2+'Off-Ramp'!AA16^2)/(Links!Y16+'Off-Ramp'!Y16+'Off-Ramp'!Z16+'Off-Ramp'!AA16)</f>
        <v>#DIV/0!</v>
      </c>
      <c r="BU16" s="60" t="e">
        <f>(Links!W16^2+'Off-Ramp'!P16^2)/(Links!W16+'Off-Ramp'!P16)</f>
        <v>#DIV/0!</v>
      </c>
      <c r="BV16" s="60" t="e">
        <f>(Links!Y16^2+'Off-Ramp'!Q16^2)/(Links!Y16+'Off-Ramp'!Q16)</f>
        <v>#DIV/0!</v>
      </c>
      <c r="BW16" s="60" t="e">
        <f>(Links!Z16^2+'Off-Ramp'!R16^2)/(Links!Z16+'Off-Ramp'!R16)</f>
        <v>#DIV/0!</v>
      </c>
      <c r="BX16" s="60" t="e">
        <f>(Links!AA16+'Off-Ramp'!S16)/(Links!AA16^2+'Off-Ramp'!S16^2)</f>
        <v>#DIV/0!</v>
      </c>
      <c r="BY16" s="60" t="e">
        <f>(Links!AB16^2+'Off-Ramp'!T16^2)/(Links!AB16+'Off-Ramp'!T16)</f>
        <v>#DIV/0!</v>
      </c>
      <c r="BZ16" s="60" t="e">
        <f>Links!AC16</f>
        <v>#DIV/0!</v>
      </c>
      <c r="CA16" s="60" t="e">
        <f>(Links!AD16^2+'Off-Ramp'!U16^2)/(Links!AD16+'Off-Ramp'!U16)</f>
        <v>#DIV/0!</v>
      </c>
    </row>
    <row r="17" spans="1:79" x14ac:dyDescent="0.15">
      <c r="A17" s="58">
        <v>15</v>
      </c>
      <c r="B17" s="59" t="e">
        <f t="shared" si="2"/>
        <v>#DIV/0!</v>
      </c>
      <c r="C17" s="59" t="e">
        <f t="shared" si="3"/>
        <v>#DIV/0!</v>
      </c>
      <c r="D17" s="59" t="e">
        <f t="shared" si="4"/>
        <v>#DIV/0!</v>
      </c>
      <c r="E17" s="59" t="e">
        <f t="shared" si="5"/>
        <v>#DIV/0!</v>
      </c>
      <c r="F17" s="59" t="e">
        <f t="shared" si="6"/>
        <v>#DIV/0!</v>
      </c>
      <c r="G17" s="59" t="e">
        <f t="shared" si="7"/>
        <v>#DIV/0!</v>
      </c>
      <c r="H17" s="59" t="e">
        <f t="shared" si="8"/>
        <v>#DIV/0!</v>
      </c>
      <c r="I17" s="59" t="e">
        <f t="shared" si="9"/>
        <v>#DIV/0!</v>
      </c>
      <c r="J17" s="59" t="e">
        <f t="shared" si="10"/>
        <v>#DIV/0!</v>
      </c>
      <c r="K17" s="59" t="e">
        <f t="shared" si="11"/>
        <v>#DIV/0!</v>
      </c>
      <c r="L17" s="59" t="e">
        <f t="shared" si="12"/>
        <v>#DIV/0!</v>
      </c>
      <c r="M17" s="59" t="e">
        <f t="shared" si="13"/>
        <v>#DIV/0!</v>
      </c>
      <c r="N17" s="59" t="e">
        <f t="shared" si="14"/>
        <v>#DIV/0!</v>
      </c>
      <c r="O17" s="60" t="e">
        <f>Links!B17</f>
        <v>#DIV/0!</v>
      </c>
      <c r="P17" s="60" t="e">
        <f>Links!C17+'On-Ramps'!AC17</f>
        <v>#DIV/0!</v>
      </c>
      <c r="Q17" s="60" t="e">
        <f>Links!D17</f>
        <v>#DIV/0!</v>
      </c>
      <c r="R17" s="60" t="e">
        <f>Links!E17+'On-Ramps'!AD17</f>
        <v>#DIV/0!</v>
      </c>
      <c r="S17" s="60" t="e">
        <f>Links!F17+'On-Ramps'!AE17</f>
        <v>#DIV/0!</v>
      </c>
      <c r="T17" s="60" t="e">
        <f>Links!G17+'On-Ramps'!AF17</f>
        <v>#DIV/0!</v>
      </c>
      <c r="U17" s="60" t="e">
        <f>Links!H17+'On-Ramps'!AG17</f>
        <v>#DIV/0!</v>
      </c>
      <c r="V17" s="60" t="e">
        <f>Links!J17+'On-Ramps'!AH17</f>
        <v>#DIV/0!</v>
      </c>
      <c r="W17" s="60" t="e">
        <f>Links!K17+'On-Ramps'!AI17</f>
        <v>#DIV/0!</v>
      </c>
      <c r="X17" s="60" t="e">
        <f>Links!L17+'On-Ramps'!AJ17</f>
        <v>#DIV/0!</v>
      </c>
      <c r="Y17" s="60" t="e">
        <f>Links!M17</f>
        <v>#DIV/0!</v>
      </c>
      <c r="Z17" s="60" t="e">
        <f>Links!N17+'On-Ramps'!AK17</f>
        <v>#DIV/0!</v>
      </c>
      <c r="AA17" s="60" t="e">
        <f>Links!O17</f>
        <v>#DIV/0!</v>
      </c>
      <c r="AB17" s="59" t="e">
        <f t="shared" si="17"/>
        <v>#DIV/0!</v>
      </c>
      <c r="AC17" s="65"/>
      <c r="AD17" s="59" t="e">
        <f t="shared" si="18"/>
        <v>#DIV/0!</v>
      </c>
      <c r="AE17" s="65"/>
      <c r="AF17" s="59" t="e">
        <f t="shared" si="19"/>
        <v>#DIV/0!</v>
      </c>
      <c r="AG17" s="59" t="e">
        <f t="shared" si="20"/>
        <v>#DIV/0!</v>
      </c>
      <c r="AH17" s="59" t="e">
        <f t="shared" si="21"/>
        <v>#DIV/0!</v>
      </c>
      <c r="AI17" s="59" t="e">
        <f t="shared" si="22"/>
        <v>#DIV/0!</v>
      </c>
      <c r="AJ17" s="59" t="e">
        <f t="shared" si="23"/>
        <v>#DIV/0!</v>
      </c>
      <c r="AK17" s="59" t="e">
        <f t="shared" si="24"/>
        <v>#DIV/0!</v>
      </c>
      <c r="AL17" s="59" t="e">
        <f t="shared" si="25"/>
        <v>#DIV/0!</v>
      </c>
      <c r="AM17" s="65"/>
      <c r="AN17" s="59" t="e">
        <f t="shared" si="15"/>
        <v>#DIV/0!</v>
      </c>
      <c r="AO17" s="60" t="e">
        <f t="shared" si="26"/>
        <v>#DIV/0!</v>
      </c>
      <c r="AP17" s="65"/>
      <c r="AQ17" s="60" t="e">
        <f t="shared" si="16"/>
        <v>#DIV/0!</v>
      </c>
      <c r="AR17" s="65"/>
      <c r="AS17" s="60" t="e">
        <f t="shared" si="16"/>
        <v>#DIV/0!</v>
      </c>
      <c r="AT17" s="60" t="e">
        <f t="shared" si="16"/>
        <v>#DIV/0!</v>
      </c>
      <c r="AU17" s="60" t="e">
        <f t="shared" si="16"/>
        <v>#DIV/0!</v>
      </c>
      <c r="AV17" s="60" t="e">
        <f t="shared" si="16"/>
        <v>#DIV/0!</v>
      </c>
      <c r="AW17" s="60" t="e">
        <f t="shared" si="16"/>
        <v>#DIV/0!</v>
      </c>
      <c r="AX17" s="60" t="e">
        <f t="shared" si="16"/>
        <v>#DIV/0!</v>
      </c>
      <c r="AY17" s="60" t="e">
        <f t="shared" si="16"/>
        <v>#DIV/0!</v>
      </c>
      <c r="AZ17" s="65"/>
      <c r="BA17" s="60" t="e">
        <f t="shared" si="16"/>
        <v>#DIV/0!</v>
      </c>
      <c r="BB17" s="59" t="e">
        <f>Links!AF17</f>
        <v>#DIV/0!</v>
      </c>
      <c r="BC17" s="59" t="e">
        <f>(Links!AG17*Links!C17+'On-Ramps'!AC17*'On-Ramps'!CE17)/('On-Ramps'!AC17+Links!C17)</f>
        <v>#DIV/0!</v>
      </c>
      <c r="BD17" s="59" t="e">
        <f>Links!AH17</f>
        <v>#DIV/0!</v>
      </c>
      <c r="BE17" s="59" t="e">
        <f>(Links!AI17*Links!E17+'On-Ramps'!AD17*'On-Ramps'!CF16)/('On-Ramps'!AD17+Links!E17)</f>
        <v>#DIV/0!</v>
      </c>
      <c r="BF17" s="59" t="e">
        <f>(Links!F17*Links!AJ17+'On-Ramps'!AE17*'On-Ramps'!CG17)/('On-Ramps'!AE17+Links!F17)</f>
        <v>#DIV/0!</v>
      </c>
      <c r="BG17" s="59" t="e">
        <f>(Links!G17*Links!AK17+'On-Ramps'!AF17*'On-Ramps'!CH17)/('On-Ramps'!AF17+Links!G17)</f>
        <v>#DIV/0!</v>
      </c>
      <c r="BH17" s="59" t="e">
        <f>(Links!H17*Links!AL17+'On-Ramps'!AG17*'On-Ramps'!CI17)/('On-Ramps'!AG17+Links!H17)</f>
        <v>#DIV/0!</v>
      </c>
      <c r="BI17" s="59" t="e">
        <f>(Links!J17*Links!AN17+'On-Ramps'!AH17*'On-Ramps'!CJ17)/('On-Ramps'!AH17+Links!J17)</f>
        <v>#DIV/0!</v>
      </c>
      <c r="BJ17" s="59" t="e">
        <f>(Links!K17*Links!AO17+'On-Ramps'!AI17*'On-Ramps'!CK17)/('On-Ramps'!AI17+Links!K17)</f>
        <v>#DIV/0!</v>
      </c>
      <c r="BK17" s="59" t="e">
        <f>(Links!L17*Links!AP17+'On-Ramps'!AJ17*'On-Ramps'!CL17)/(Links!L17+'On-Ramps'!AJ17)</f>
        <v>#DIV/0!</v>
      </c>
      <c r="BL17" s="59" t="e">
        <f>Links!AQ17</f>
        <v>#DIV/0!</v>
      </c>
      <c r="BM17" s="59" t="e">
        <f>(Links!N17*Links!AR17+'On-Ramps'!AL17*'On-Ramps'!CM17)/(Links!N17+'On-Ramps'!AL17)</f>
        <v>#DIV/0!</v>
      </c>
      <c r="BN17" s="59" t="e">
        <f>Links!AS17</f>
        <v>#DIV/0!</v>
      </c>
      <c r="BO17" s="60" t="e">
        <f>(Links!R17^2+'Off-Ramp'!L17^2)/(Links!R17+'Off-Ramp'!L17)</f>
        <v>#DIV/0!</v>
      </c>
      <c r="BP17" s="60" t="e">
        <f>Links!S17</f>
        <v>#DIV/0!</v>
      </c>
      <c r="BQ17" s="60" t="e">
        <f>(Links!S17^2+'Off-Ramp'!C17^2)/(Links!S17+'Off-Ramp'!C17)</f>
        <v>#DIV/0!</v>
      </c>
      <c r="BR17" s="60" t="e">
        <f>Links!T17</f>
        <v>#DIV/0!</v>
      </c>
      <c r="BS17" s="60" t="e">
        <f>(Links!X17^2+'Off-Ramp'!V17^2+'Off-Ramp'!W17^2+'Off-Ramp'!X17^2)/(Links!X17+'Off-Ramp'!V17+'Off-Ramp'!W17+'Off-Ramp'!X17)</f>
        <v>#DIV/0!</v>
      </c>
      <c r="BT17" s="60" t="e">
        <f>(Links!Y17^2+'Off-Ramp'!Y17^2+'Off-Ramp'!Z17^2+'Off-Ramp'!AA17^2)/(Links!Y17+'Off-Ramp'!Y17+'Off-Ramp'!Z17+'Off-Ramp'!AA17)</f>
        <v>#DIV/0!</v>
      </c>
      <c r="BU17" s="60" t="e">
        <f>(Links!W17^2+'Off-Ramp'!P17^2)/(Links!W17+'Off-Ramp'!P17)</f>
        <v>#DIV/0!</v>
      </c>
      <c r="BV17" s="60" t="e">
        <f>(Links!Y17^2+'Off-Ramp'!Q17^2)/(Links!Y17+'Off-Ramp'!Q17)</f>
        <v>#DIV/0!</v>
      </c>
      <c r="BW17" s="60" t="e">
        <f>(Links!Z17^2+'Off-Ramp'!R17^2)/(Links!Z17+'Off-Ramp'!R17)</f>
        <v>#DIV/0!</v>
      </c>
      <c r="BX17" s="60" t="e">
        <f>(Links!AA17+'Off-Ramp'!S17)/(Links!AA17^2+'Off-Ramp'!S17^2)</f>
        <v>#DIV/0!</v>
      </c>
      <c r="BY17" s="60" t="e">
        <f>(Links!AB17^2+'Off-Ramp'!T17^2)/(Links!AB17+'Off-Ramp'!T17)</f>
        <v>#DIV/0!</v>
      </c>
      <c r="BZ17" s="60" t="e">
        <f>Links!AC17</f>
        <v>#DIV/0!</v>
      </c>
      <c r="CA17" s="60" t="e">
        <f>(Links!AD17^2+'Off-Ramp'!U17^2)/(Links!AD17+'Off-Ramp'!U17)</f>
        <v>#DIV/0!</v>
      </c>
    </row>
    <row r="18" spans="1:79" x14ac:dyDescent="0.15">
      <c r="A18" s="58">
        <v>16</v>
      </c>
      <c r="B18" s="59" t="e">
        <f t="shared" si="2"/>
        <v>#DIV/0!</v>
      </c>
      <c r="C18" s="59" t="e">
        <f t="shared" si="3"/>
        <v>#DIV/0!</v>
      </c>
      <c r="D18" s="59" t="e">
        <f t="shared" si="4"/>
        <v>#DIV/0!</v>
      </c>
      <c r="E18" s="59" t="e">
        <f t="shared" si="5"/>
        <v>#DIV/0!</v>
      </c>
      <c r="F18" s="59" t="e">
        <f t="shared" si="6"/>
        <v>#DIV/0!</v>
      </c>
      <c r="G18" s="59" t="e">
        <f t="shared" si="7"/>
        <v>#DIV/0!</v>
      </c>
      <c r="H18" s="59" t="e">
        <f t="shared" si="8"/>
        <v>#DIV/0!</v>
      </c>
      <c r="I18" s="59" t="e">
        <f t="shared" si="9"/>
        <v>#DIV/0!</v>
      </c>
      <c r="J18" s="59" t="e">
        <f t="shared" si="10"/>
        <v>#DIV/0!</v>
      </c>
      <c r="K18" s="59" t="e">
        <f t="shared" si="11"/>
        <v>#DIV/0!</v>
      </c>
      <c r="L18" s="59" t="e">
        <f t="shared" si="12"/>
        <v>#DIV/0!</v>
      </c>
      <c r="M18" s="59" t="e">
        <f t="shared" si="13"/>
        <v>#DIV/0!</v>
      </c>
      <c r="N18" s="59" t="e">
        <f t="shared" si="14"/>
        <v>#DIV/0!</v>
      </c>
      <c r="O18" s="60" t="e">
        <f>Links!B18</f>
        <v>#DIV/0!</v>
      </c>
      <c r="P18" s="60" t="e">
        <f>Links!C18+'On-Ramps'!AC18</f>
        <v>#DIV/0!</v>
      </c>
      <c r="Q18" s="60" t="e">
        <f>Links!D18</f>
        <v>#DIV/0!</v>
      </c>
      <c r="R18" s="60" t="e">
        <f>Links!E18+'On-Ramps'!AD18</f>
        <v>#DIV/0!</v>
      </c>
      <c r="S18" s="60" t="e">
        <f>Links!F18+'On-Ramps'!AE18</f>
        <v>#DIV/0!</v>
      </c>
      <c r="T18" s="60" t="e">
        <f>Links!G18+'On-Ramps'!AF18</f>
        <v>#DIV/0!</v>
      </c>
      <c r="U18" s="60" t="e">
        <f>Links!H18+'On-Ramps'!AG18</f>
        <v>#DIV/0!</v>
      </c>
      <c r="V18" s="60" t="e">
        <f>Links!J18+'On-Ramps'!AH18</f>
        <v>#DIV/0!</v>
      </c>
      <c r="W18" s="60" t="e">
        <f>Links!K18+'On-Ramps'!AI18</f>
        <v>#DIV/0!</v>
      </c>
      <c r="X18" s="60" t="e">
        <f>Links!L18+'On-Ramps'!AJ18</f>
        <v>#DIV/0!</v>
      </c>
      <c r="Y18" s="60" t="e">
        <f>Links!M18</f>
        <v>#DIV/0!</v>
      </c>
      <c r="Z18" s="60" t="e">
        <f>Links!N18+'On-Ramps'!AK18</f>
        <v>#DIV/0!</v>
      </c>
      <c r="AA18" s="60" t="e">
        <f>Links!O18</f>
        <v>#DIV/0!</v>
      </c>
      <c r="AB18" s="59" t="e">
        <f t="shared" si="17"/>
        <v>#DIV/0!</v>
      </c>
      <c r="AC18" s="65"/>
      <c r="AD18" s="59" t="e">
        <f t="shared" si="18"/>
        <v>#DIV/0!</v>
      </c>
      <c r="AE18" s="65"/>
      <c r="AF18" s="59" t="e">
        <f t="shared" si="19"/>
        <v>#DIV/0!</v>
      </c>
      <c r="AG18" s="59" t="e">
        <f t="shared" si="20"/>
        <v>#DIV/0!</v>
      </c>
      <c r="AH18" s="59" t="e">
        <f t="shared" si="21"/>
        <v>#DIV/0!</v>
      </c>
      <c r="AI18" s="59" t="e">
        <f t="shared" si="22"/>
        <v>#DIV/0!</v>
      </c>
      <c r="AJ18" s="59" t="e">
        <f t="shared" si="23"/>
        <v>#DIV/0!</v>
      </c>
      <c r="AK18" s="59" t="e">
        <f t="shared" si="24"/>
        <v>#DIV/0!</v>
      </c>
      <c r="AL18" s="59" t="e">
        <f t="shared" si="25"/>
        <v>#DIV/0!</v>
      </c>
      <c r="AM18" s="65"/>
      <c r="AN18" s="59" t="e">
        <f t="shared" si="15"/>
        <v>#DIV/0!</v>
      </c>
      <c r="AO18" s="60" t="e">
        <f t="shared" si="26"/>
        <v>#DIV/0!</v>
      </c>
      <c r="AP18" s="65"/>
      <c r="AQ18" s="60" t="e">
        <f t="shared" si="16"/>
        <v>#DIV/0!</v>
      </c>
      <c r="AR18" s="65"/>
      <c r="AS18" s="60" t="e">
        <f t="shared" si="16"/>
        <v>#DIV/0!</v>
      </c>
      <c r="AT18" s="60" t="e">
        <f t="shared" si="16"/>
        <v>#DIV/0!</v>
      </c>
      <c r="AU18" s="60" t="e">
        <f t="shared" si="16"/>
        <v>#DIV/0!</v>
      </c>
      <c r="AV18" s="60" t="e">
        <f t="shared" si="16"/>
        <v>#DIV/0!</v>
      </c>
      <c r="AW18" s="60" t="e">
        <f t="shared" si="16"/>
        <v>#DIV/0!</v>
      </c>
      <c r="AX18" s="60" t="e">
        <f t="shared" si="16"/>
        <v>#DIV/0!</v>
      </c>
      <c r="AY18" s="60" t="e">
        <f t="shared" si="16"/>
        <v>#DIV/0!</v>
      </c>
      <c r="AZ18" s="65"/>
      <c r="BA18" s="60" t="e">
        <f t="shared" si="16"/>
        <v>#DIV/0!</v>
      </c>
      <c r="BB18" s="59" t="e">
        <f>Links!AF18</f>
        <v>#DIV/0!</v>
      </c>
      <c r="BC18" s="59" t="e">
        <f>(Links!AG18*Links!C18+'On-Ramps'!AC18*'On-Ramps'!CE18)/('On-Ramps'!AC18+Links!C18)</f>
        <v>#DIV/0!</v>
      </c>
      <c r="BD18" s="59" t="e">
        <f>Links!AH18</f>
        <v>#DIV/0!</v>
      </c>
      <c r="BE18" s="59" t="e">
        <f>(Links!AI18*Links!E18+'On-Ramps'!AD18*'On-Ramps'!CF17)/('On-Ramps'!AD18+Links!E18)</f>
        <v>#DIV/0!</v>
      </c>
      <c r="BF18" s="59" t="e">
        <f>(Links!F18*Links!AJ18+'On-Ramps'!AE18*'On-Ramps'!CG18)/('On-Ramps'!AE18+Links!F18)</f>
        <v>#DIV/0!</v>
      </c>
      <c r="BG18" s="59" t="e">
        <f>(Links!G18*Links!AK18+'On-Ramps'!AF18*'On-Ramps'!CH18)/('On-Ramps'!AF18+Links!G18)</f>
        <v>#DIV/0!</v>
      </c>
      <c r="BH18" s="59" t="e">
        <f>(Links!H18*Links!AL18+'On-Ramps'!AG18*'On-Ramps'!CI18)/('On-Ramps'!AG18+Links!H18)</f>
        <v>#DIV/0!</v>
      </c>
      <c r="BI18" s="59" t="e">
        <f>(Links!J18*Links!AN18+'On-Ramps'!AH18*'On-Ramps'!CJ18)/('On-Ramps'!AH18+Links!J18)</f>
        <v>#DIV/0!</v>
      </c>
      <c r="BJ18" s="59" t="e">
        <f>(Links!K18*Links!AO18+'On-Ramps'!AI18*'On-Ramps'!CK18)/('On-Ramps'!AI18+Links!K18)</f>
        <v>#DIV/0!</v>
      </c>
      <c r="BK18" s="59" t="e">
        <f>(Links!L18*Links!AP18+'On-Ramps'!AJ18*'On-Ramps'!CL18)/(Links!L18+'On-Ramps'!AJ18)</f>
        <v>#DIV/0!</v>
      </c>
      <c r="BL18" s="59" t="e">
        <f>Links!AQ18</f>
        <v>#DIV/0!</v>
      </c>
      <c r="BM18" s="59" t="e">
        <f>(Links!N18*Links!AR18+'On-Ramps'!AL18*'On-Ramps'!CM18)/(Links!N18+'On-Ramps'!AL18)</f>
        <v>#DIV/0!</v>
      </c>
      <c r="BN18" s="59" t="e">
        <f>Links!AS18</f>
        <v>#DIV/0!</v>
      </c>
      <c r="BO18" s="60" t="e">
        <f>(Links!R18^2+'Off-Ramp'!L18^2)/(Links!R18+'Off-Ramp'!L18)</f>
        <v>#DIV/0!</v>
      </c>
      <c r="BP18" s="60" t="e">
        <f>Links!S18</f>
        <v>#DIV/0!</v>
      </c>
      <c r="BQ18" s="60" t="e">
        <f>(Links!S18^2+'Off-Ramp'!C18^2)/(Links!S18+'Off-Ramp'!C18)</f>
        <v>#DIV/0!</v>
      </c>
      <c r="BR18" s="60" t="e">
        <f>Links!T18</f>
        <v>#DIV/0!</v>
      </c>
      <c r="BS18" s="60" t="e">
        <f>(Links!X18^2+'Off-Ramp'!V18^2+'Off-Ramp'!W18^2+'Off-Ramp'!X18^2)/(Links!X18+'Off-Ramp'!V18+'Off-Ramp'!W18+'Off-Ramp'!X18)</f>
        <v>#DIV/0!</v>
      </c>
      <c r="BT18" s="60" t="e">
        <f>(Links!Y18^2+'Off-Ramp'!Y18^2+'Off-Ramp'!Z18^2+'Off-Ramp'!AA18^2)/(Links!Y18+'Off-Ramp'!Y18+'Off-Ramp'!Z18+'Off-Ramp'!AA18)</f>
        <v>#DIV/0!</v>
      </c>
      <c r="BU18" s="60" t="e">
        <f>(Links!W18^2+'Off-Ramp'!P18^2)/(Links!W18+'Off-Ramp'!P18)</f>
        <v>#DIV/0!</v>
      </c>
      <c r="BV18" s="60" t="e">
        <f>(Links!Y18^2+'Off-Ramp'!Q18^2)/(Links!Y18+'Off-Ramp'!Q18)</f>
        <v>#DIV/0!</v>
      </c>
      <c r="BW18" s="60" t="e">
        <f>(Links!Z18^2+'Off-Ramp'!R18^2)/(Links!Z18+'Off-Ramp'!R18)</f>
        <v>#DIV/0!</v>
      </c>
      <c r="BX18" s="60" t="e">
        <f>(Links!AA18+'Off-Ramp'!S18)/(Links!AA18^2+'Off-Ramp'!S18^2)</f>
        <v>#DIV/0!</v>
      </c>
      <c r="BY18" s="60" t="e">
        <f>(Links!AB18^2+'Off-Ramp'!T18^2)/(Links!AB18+'Off-Ramp'!T18)</f>
        <v>#DIV/0!</v>
      </c>
      <c r="BZ18" s="60" t="e">
        <f>Links!AC18</f>
        <v>#DIV/0!</v>
      </c>
      <c r="CA18" s="60" t="e">
        <f>(Links!AD18^2+'Off-Ramp'!U18^2)/(Links!AD18+'Off-Ramp'!U18)</f>
        <v>#DIV/0!</v>
      </c>
    </row>
    <row r="19" spans="1:79" x14ac:dyDescent="0.15">
      <c r="A19" s="58">
        <v>17</v>
      </c>
      <c r="B19" s="59" t="e">
        <f t="shared" si="2"/>
        <v>#DIV/0!</v>
      </c>
      <c r="C19" s="59" t="e">
        <f t="shared" si="3"/>
        <v>#DIV/0!</v>
      </c>
      <c r="D19" s="59" t="e">
        <f t="shared" si="4"/>
        <v>#DIV/0!</v>
      </c>
      <c r="E19" s="59" t="e">
        <f t="shared" si="5"/>
        <v>#DIV/0!</v>
      </c>
      <c r="F19" s="59" t="e">
        <f t="shared" si="6"/>
        <v>#DIV/0!</v>
      </c>
      <c r="G19" s="59" t="e">
        <f t="shared" si="7"/>
        <v>#DIV/0!</v>
      </c>
      <c r="H19" s="59" t="e">
        <f t="shared" si="8"/>
        <v>#DIV/0!</v>
      </c>
      <c r="I19" s="59" t="e">
        <f t="shared" si="9"/>
        <v>#DIV/0!</v>
      </c>
      <c r="J19" s="59" t="e">
        <f t="shared" si="10"/>
        <v>#DIV/0!</v>
      </c>
      <c r="K19" s="59" t="e">
        <f t="shared" si="11"/>
        <v>#DIV/0!</v>
      </c>
      <c r="L19" s="59" t="e">
        <f t="shared" si="12"/>
        <v>#DIV/0!</v>
      </c>
      <c r="M19" s="59" t="e">
        <f t="shared" si="13"/>
        <v>#DIV/0!</v>
      </c>
      <c r="N19" s="59" t="e">
        <f t="shared" si="14"/>
        <v>#DIV/0!</v>
      </c>
      <c r="O19" s="60" t="e">
        <f>Links!B19</f>
        <v>#DIV/0!</v>
      </c>
      <c r="P19" s="60" t="e">
        <f>Links!C19+'On-Ramps'!AC19</f>
        <v>#DIV/0!</v>
      </c>
      <c r="Q19" s="60" t="e">
        <f>Links!D19</f>
        <v>#DIV/0!</v>
      </c>
      <c r="R19" s="60" t="e">
        <f>Links!E19+'On-Ramps'!AD19</f>
        <v>#DIV/0!</v>
      </c>
      <c r="S19" s="60" t="e">
        <f>Links!F19+'On-Ramps'!AE19</f>
        <v>#DIV/0!</v>
      </c>
      <c r="T19" s="60" t="e">
        <f>Links!G19+'On-Ramps'!AF19</f>
        <v>#DIV/0!</v>
      </c>
      <c r="U19" s="60" t="e">
        <f>Links!H19+'On-Ramps'!AG19</f>
        <v>#DIV/0!</v>
      </c>
      <c r="V19" s="60" t="e">
        <f>Links!J19+'On-Ramps'!AH19</f>
        <v>#DIV/0!</v>
      </c>
      <c r="W19" s="60" t="e">
        <f>Links!K19+'On-Ramps'!AI19</f>
        <v>#DIV/0!</v>
      </c>
      <c r="X19" s="60" t="e">
        <f>Links!L19+'On-Ramps'!AJ19</f>
        <v>#DIV/0!</v>
      </c>
      <c r="Y19" s="60" t="e">
        <f>Links!M19</f>
        <v>#DIV/0!</v>
      </c>
      <c r="Z19" s="60" t="e">
        <f>Links!N19+'On-Ramps'!AK19</f>
        <v>#DIV/0!</v>
      </c>
      <c r="AA19" s="60" t="e">
        <f>Links!O19</f>
        <v>#DIV/0!</v>
      </c>
      <c r="AB19" s="59" t="e">
        <f t="shared" si="17"/>
        <v>#DIV/0!</v>
      </c>
      <c r="AC19" s="65"/>
      <c r="AD19" s="59" t="e">
        <f t="shared" si="18"/>
        <v>#DIV/0!</v>
      </c>
      <c r="AE19" s="65"/>
      <c r="AF19" s="59" t="e">
        <f t="shared" si="19"/>
        <v>#DIV/0!</v>
      </c>
      <c r="AG19" s="59" t="e">
        <f t="shared" si="20"/>
        <v>#DIV/0!</v>
      </c>
      <c r="AH19" s="59" t="e">
        <f t="shared" si="21"/>
        <v>#DIV/0!</v>
      </c>
      <c r="AI19" s="59" t="e">
        <f t="shared" si="22"/>
        <v>#DIV/0!</v>
      </c>
      <c r="AJ19" s="59" t="e">
        <f t="shared" si="23"/>
        <v>#DIV/0!</v>
      </c>
      <c r="AK19" s="59" t="e">
        <f t="shared" si="24"/>
        <v>#DIV/0!</v>
      </c>
      <c r="AL19" s="59" t="e">
        <f t="shared" si="25"/>
        <v>#DIV/0!</v>
      </c>
      <c r="AM19" s="65"/>
      <c r="AN19" s="59" t="e">
        <f t="shared" si="15"/>
        <v>#DIV/0!</v>
      </c>
      <c r="AO19" s="60" t="e">
        <f t="shared" si="26"/>
        <v>#DIV/0!</v>
      </c>
      <c r="AP19" s="65"/>
      <c r="AQ19" s="60" t="e">
        <f t="shared" si="16"/>
        <v>#DIV/0!</v>
      </c>
      <c r="AR19" s="65"/>
      <c r="AS19" s="60" t="e">
        <f t="shared" si="16"/>
        <v>#DIV/0!</v>
      </c>
      <c r="AT19" s="60" t="e">
        <f t="shared" si="16"/>
        <v>#DIV/0!</v>
      </c>
      <c r="AU19" s="60" t="e">
        <f t="shared" si="16"/>
        <v>#DIV/0!</v>
      </c>
      <c r="AV19" s="60" t="e">
        <f t="shared" si="16"/>
        <v>#DIV/0!</v>
      </c>
      <c r="AW19" s="60" t="e">
        <f t="shared" si="16"/>
        <v>#DIV/0!</v>
      </c>
      <c r="AX19" s="60" t="e">
        <f t="shared" si="16"/>
        <v>#DIV/0!</v>
      </c>
      <c r="AY19" s="60" t="e">
        <f t="shared" si="16"/>
        <v>#DIV/0!</v>
      </c>
      <c r="AZ19" s="65"/>
      <c r="BA19" s="60" t="e">
        <f t="shared" si="16"/>
        <v>#DIV/0!</v>
      </c>
      <c r="BB19" s="59" t="e">
        <f>Links!AF19</f>
        <v>#DIV/0!</v>
      </c>
      <c r="BC19" s="59" t="e">
        <f>(Links!AG19*Links!C19+'On-Ramps'!AC19*'On-Ramps'!CE19)/('On-Ramps'!AC19+Links!C19)</f>
        <v>#DIV/0!</v>
      </c>
      <c r="BD19" s="59" t="e">
        <f>Links!AH19</f>
        <v>#DIV/0!</v>
      </c>
      <c r="BE19" s="59" t="e">
        <f>(Links!AI19*Links!E19+'On-Ramps'!AD19*'On-Ramps'!CF18)/('On-Ramps'!AD19+Links!E19)</f>
        <v>#DIV/0!</v>
      </c>
      <c r="BF19" s="59" t="e">
        <f>(Links!F19*Links!AJ19+'On-Ramps'!AE19*'On-Ramps'!CG19)/('On-Ramps'!AE19+Links!F19)</f>
        <v>#DIV/0!</v>
      </c>
      <c r="BG19" s="59" t="e">
        <f>(Links!G19*Links!AK19+'On-Ramps'!AF19*'On-Ramps'!CH19)/('On-Ramps'!AF19+Links!G19)</f>
        <v>#DIV/0!</v>
      </c>
      <c r="BH19" s="59" t="e">
        <f>(Links!H19*Links!AL19+'On-Ramps'!AG19*'On-Ramps'!CI19)/('On-Ramps'!AG19+Links!H19)</f>
        <v>#DIV/0!</v>
      </c>
      <c r="BI19" s="59" t="e">
        <f>(Links!J19*Links!AN19+'On-Ramps'!AH19*'On-Ramps'!CJ19)/('On-Ramps'!AH19+Links!J19)</f>
        <v>#DIV/0!</v>
      </c>
      <c r="BJ19" s="59" t="e">
        <f>(Links!K19*Links!AO19+'On-Ramps'!AI19*'On-Ramps'!CK19)/('On-Ramps'!AI19+Links!K19)</f>
        <v>#DIV/0!</v>
      </c>
      <c r="BK19" s="59" t="e">
        <f>(Links!L19*Links!AP19+'On-Ramps'!AJ19*'On-Ramps'!CL19)/(Links!L19+'On-Ramps'!AJ19)</f>
        <v>#DIV/0!</v>
      </c>
      <c r="BL19" s="59" t="e">
        <f>Links!AQ19</f>
        <v>#DIV/0!</v>
      </c>
      <c r="BM19" s="59" t="e">
        <f>(Links!N19*Links!AR19+'On-Ramps'!AL19*'On-Ramps'!CM19)/(Links!N19+'On-Ramps'!AL19)</f>
        <v>#DIV/0!</v>
      </c>
      <c r="BN19" s="59" t="e">
        <f>Links!AS19</f>
        <v>#DIV/0!</v>
      </c>
      <c r="BO19" s="60" t="e">
        <f>(Links!R19^2+'Off-Ramp'!L19^2)/(Links!R19+'Off-Ramp'!L19)</f>
        <v>#DIV/0!</v>
      </c>
      <c r="BP19" s="60" t="e">
        <f>Links!S19</f>
        <v>#DIV/0!</v>
      </c>
      <c r="BQ19" s="60" t="e">
        <f>(Links!S19^2+'Off-Ramp'!C19^2)/(Links!S19+'Off-Ramp'!C19)</f>
        <v>#DIV/0!</v>
      </c>
      <c r="BR19" s="60" t="e">
        <f>Links!T19</f>
        <v>#DIV/0!</v>
      </c>
      <c r="BS19" s="60" t="e">
        <f>(Links!X19^2+'Off-Ramp'!V19^2+'Off-Ramp'!W19^2+'Off-Ramp'!X19^2)/(Links!X19+'Off-Ramp'!V19+'Off-Ramp'!W19+'Off-Ramp'!X19)</f>
        <v>#DIV/0!</v>
      </c>
      <c r="BT19" s="60" t="e">
        <f>(Links!Y19^2+'Off-Ramp'!Y19^2+'Off-Ramp'!Z19^2+'Off-Ramp'!AA19^2)/(Links!Y19+'Off-Ramp'!Y19+'Off-Ramp'!Z19+'Off-Ramp'!AA19)</f>
        <v>#DIV/0!</v>
      </c>
      <c r="BU19" s="60" t="e">
        <f>(Links!W19^2+'Off-Ramp'!P19^2)/(Links!W19+'Off-Ramp'!P19)</f>
        <v>#DIV/0!</v>
      </c>
      <c r="BV19" s="60" t="e">
        <f>(Links!Y19^2+'Off-Ramp'!Q19^2)/(Links!Y19+'Off-Ramp'!Q19)</f>
        <v>#DIV/0!</v>
      </c>
      <c r="BW19" s="60" t="e">
        <f>(Links!Z19^2+'Off-Ramp'!R19^2)/(Links!Z19+'Off-Ramp'!R19)</f>
        <v>#DIV/0!</v>
      </c>
      <c r="BX19" s="60" t="e">
        <f>(Links!AA19+'Off-Ramp'!S19)/(Links!AA19^2+'Off-Ramp'!S19^2)</f>
        <v>#DIV/0!</v>
      </c>
      <c r="BY19" s="60" t="e">
        <f>(Links!AB19^2+'Off-Ramp'!T19^2)/(Links!AB19+'Off-Ramp'!T19)</f>
        <v>#DIV/0!</v>
      </c>
      <c r="BZ19" s="60" t="e">
        <f>Links!AC19</f>
        <v>#DIV/0!</v>
      </c>
      <c r="CA19" s="60" t="e">
        <f>(Links!AD19^2+'Off-Ramp'!U19^2)/(Links!AD19+'Off-Ramp'!U19)</f>
        <v>#DIV/0!</v>
      </c>
    </row>
    <row r="20" spans="1:79" x14ac:dyDescent="0.15">
      <c r="A20" s="58">
        <v>18</v>
      </c>
      <c r="B20" s="59" t="e">
        <f t="shared" si="2"/>
        <v>#DIV/0!</v>
      </c>
      <c r="C20" s="59" t="e">
        <f t="shared" si="3"/>
        <v>#DIV/0!</v>
      </c>
      <c r="D20" s="59" t="e">
        <f t="shared" si="4"/>
        <v>#DIV/0!</v>
      </c>
      <c r="E20" s="59" t="e">
        <f t="shared" si="5"/>
        <v>#DIV/0!</v>
      </c>
      <c r="F20" s="59" t="e">
        <f t="shared" si="6"/>
        <v>#DIV/0!</v>
      </c>
      <c r="G20" s="59" t="e">
        <f t="shared" si="7"/>
        <v>#DIV/0!</v>
      </c>
      <c r="H20" s="59" t="e">
        <f t="shared" si="8"/>
        <v>#DIV/0!</v>
      </c>
      <c r="I20" s="59" t="e">
        <f t="shared" si="9"/>
        <v>#DIV/0!</v>
      </c>
      <c r="J20" s="59" t="e">
        <f t="shared" si="10"/>
        <v>#DIV/0!</v>
      </c>
      <c r="K20" s="59" t="e">
        <f t="shared" si="11"/>
        <v>#DIV/0!</v>
      </c>
      <c r="L20" s="59" t="e">
        <f t="shared" si="12"/>
        <v>#DIV/0!</v>
      </c>
      <c r="M20" s="59" t="e">
        <f t="shared" si="13"/>
        <v>#DIV/0!</v>
      </c>
      <c r="N20" s="59" t="e">
        <f t="shared" si="14"/>
        <v>#DIV/0!</v>
      </c>
      <c r="O20" s="60" t="e">
        <f>Links!B20</f>
        <v>#DIV/0!</v>
      </c>
      <c r="P20" s="60" t="e">
        <f>Links!C20+'On-Ramps'!AC20</f>
        <v>#DIV/0!</v>
      </c>
      <c r="Q20" s="60" t="e">
        <f>Links!D20</f>
        <v>#DIV/0!</v>
      </c>
      <c r="R20" s="60" t="e">
        <f>Links!E20+'On-Ramps'!AD20</f>
        <v>#DIV/0!</v>
      </c>
      <c r="S20" s="60" t="e">
        <f>Links!F20+'On-Ramps'!AE20</f>
        <v>#DIV/0!</v>
      </c>
      <c r="T20" s="60" t="e">
        <f>Links!G20+'On-Ramps'!AF20</f>
        <v>#DIV/0!</v>
      </c>
      <c r="U20" s="60" t="e">
        <f>Links!H20+'On-Ramps'!AG20</f>
        <v>#DIV/0!</v>
      </c>
      <c r="V20" s="60" t="e">
        <f>Links!J20+'On-Ramps'!AH20</f>
        <v>#DIV/0!</v>
      </c>
      <c r="W20" s="60" t="e">
        <f>Links!K20+'On-Ramps'!AI20</f>
        <v>#DIV/0!</v>
      </c>
      <c r="X20" s="60" t="e">
        <f>Links!L20+'On-Ramps'!AJ20</f>
        <v>#DIV/0!</v>
      </c>
      <c r="Y20" s="60" t="e">
        <f>Links!M20</f>
        <v>#DIV/0!</v>
      </c>
      <c r="Z20" s="60" t="e">
        <f>Links!N20+'On-Ramps'!AK20</f>
        <v>#DIV/0!</v>
      </c>
      <c r="AA20" s="60" t="e">
        <f>Links!O20</f>
        <v>#DIV/0!</v>
      </c>
      <c r="AB20" s="59" t="e">
        <f t="shared" si="17"/>
        <v>#DIV/0!</v>
      </c>
      <c r="AC20" s="65"/>
      <c r="AD20" s="59" t="e">
        <f t="shared" si="18"/>
        <v>#DIV/0!</v>
      </c>
      <c r="AE20" s="65"/>
      <c r="AF20" s="59" t="e">
        <f t="shared" si="19"/>
        <v>#DIV/0!</v>
      </c>
      <c r="AG20" s="59" t="e">
        <f t="shared" si="20"/>
        <v>#DIV/0!</v>
      </c>
      <c r="AH20" s="59" t="e">
        <f t="shared" si="21"/>
        <v>#DIV/0!</v>
      </c>
      <c r="AI20" s="59" t="e">
        <f t="shared" si="22"/>
        <v>#DIV/0!</v>
      </c>
      <c r="AJ20" s="59" t="e">
        <f t="shared" si="23"/>
        <v>#DIV/0!</v>
      </c>
      <c r="AK20" s="59" t="e">
        <f t="shared" si="24"/>
        <v>#DIV/0!</v>
      </c>
      <c r="AL20" s="59" t="e">
        <f t="shared" si="25"/>
        <v>#DIV/0!</v>
      </c>
      <c r="AM20" s="65"/>
      <c r="AN20" s="59" t="e">
        <f t="shared" ref="AN20:AN83" si="27">BA20*(1-BA20)*AA20</f>
        <v>#DIV/0!</v>
      </c>
      <c r="AO20" s="60" t="e">
        <f t="shared" si="26"/>
        <v>#DIV/0!</v>
      </c>
      <c r="AP20" s="65"/>
      <c r="AQ20" s="60" t="e">
        <f t="shared" si="26"/>
        <v>#DIV/0!</v>
      </c>
      <c r="AR20" s="65"/>
      <c r="AS20" s="60" t="e">
        <f t="shared" si="26"/>
        <v>#DIV/0!</v>
      </c>
      <c r="AT20" s="60" t="e">
        <f t="shared" si="26"/>
        <v>#DIV/0!</v>
      </c>
      <c r="AU20" s="60" t="e">
        <f t="shared" si="26"/>
        <v>#DIV/0!</v>
      </c>
      <c r="AV20" s="60" t="e">
        <f t="shared" si="26"/>
        <v>#DIV/0!</v>
      </c>
      <c r="AW20" s="60" t="e">
        <f t="shared" si="26"/>
        <v>#DIV/0!</v>
      </c>
      <c r="AX20" s="60" t="e">
        <f t="shared" si="26"/>
        <v>#DIV/0!</v>
      </c>
      <c r="AY20" s="60" t="e">
        <f t="shared" si="26"/>
        <v>#DIV/0!</v>
      </c>
      <c r="AZ20" s="65"/>
      <c r="BA20" s="60" t="e">
        <f t="shared" si="26"/>
        <v>#DIV/0!</v>
      </c>
      <c r="BB20" s="59" t="e">
        <f>Links!AF20</f>
        <v>#DIV/0!</v>
      </c>
      <c r="BC20" s="59" t="e">
        <f>(Links!AG20*Links!C20+'On-Ramps'!AC20*'On-Ramps'!CE20)/('On-Ramps'!AC20+Links!C20)</f>
        <v>#DIV/0!</v>
      </c>
      <c r="BD20" s="59" t="e">
        <f>Links!AH20</f>
        <v>#DIV/0!</v>
      </c>
      <c r="BE20" s="59" t="e">
        <f>(Links!AI20*Links!E20+'On-Ramps'!AD20*'On-Ramps'!CF19)/('On-Ramps'!AD20+Links!E20)</f>
        <v>#DIV/0!</v>
      </c>
      <c r="BF20" s="59" t="e">
        <f>(Links!F20*Links!AJ20+'On-Ramps'!AE20*'On-Ramps'!CG20)/('On-Ramps'!AE20+Links!F20)</f>
        <v>#DIV/0!</v>
      </c>
      <c r="BG20" s="59" t="e">
        <f>(Links!G20*Links!AK20+'On-Ramps'!AF20*'On-Ramps'!CH20)/('On-Ramps'!AF20+Links!G20)</f>
        <v>#DIV/0!</v>
      </c>
      <c r="BH20" s="59" t="e">
        <f>(Links!H20*Links!AL20+'On-Ramps'!AG20*'On-Ramps'!CI20)/('On-Ramps'!AG20+Links!H20)</f>
        <v>#DIV/0!</v>
      </c>
      <c r="BI20" s="59" t="e">
        <f>(Links!J20*Links!AN20+'On-Ramps'!AH20*'On-Ramps'!CJ20)/('On-Ramps'!AH20+Links!J20)</f>
        <v>#DIV/0!</v>
      </c>
      <c r="BJ20" s="59" t="e">
        <f>(Links!K20*Links!AO20+'On-Ramps'!AI20*'On-Ramps'!CK20)/('On-Ramps'!AI20+Links!K20)</f>
        <v>#DIV/0!</v>
      </c>
      <c r="BK20" s="59" t="e">
        <f>(Links!L20*Links!AP20+'On-Ramps'!AJ20*'On-Ramps'!CL20)/(Links!L20+'On-Ramps'!AJ20)</f>
        <v>#DIV/0!</v>
      </c>
      <c r="BL20" s="59" t="e">
        <f>Links!AQ20</f>
        <v>#DIV/0!</v>
      </c>
      <c r="BM20" s="59" t="e">
        <f>(Links!N20*Links!AR20+'On-Ramps'!AL20*'On-Ramps'!CM20)/(Links!N20+'On-Ramps'!AL20)</f>
        <v>#DIV/0!</v>
      </c>
      <c r="BN20" s="59" t="e">
        <f>Links!AS20</f>
        <v>#DIV/0!</v>
      </c>
      <c r="BO20" s="60" t="e">
        <f>(Links!R20^2+'Off-Ramp'!L20^2)/(Links!R20+'Off-Ramp'!L20)</f>
        <v>#DIV/0!</v>
      </c>
      <c r="BP20" s="60" t="e">
        <f>Links!S20</f>
        <v>#DIV/0!</v>
      </c>
      <c r="BQ20" s="60" t="e">
        <f>(Links!S20^2+'Off-Ramp'!C20^2)/(Links!S20+'Off-Ramp'!C20)</f>
        <v>#DIV/0!</v>
      </c>
      <c r="BR20" s="60" t="e">
        <f>Links!T20</f>
        <v>#DIV/0!</v>
      </c>
      <c r="BS20" s="60" t="e">
        <f>(Links!X20^2+'Off-Ramp'!V20^2+'Off-Ramp'!W20^2+'Off-Ramp'!X20^2)/(Links!X20+'Off-Ramp'!V20+'Off-Ramp'!W20+'Off-Ramp'!X20)</f>
        <v>#DIV/0!</v>
      </c>
      <c r="BT20" s="60" t="e">
        <f>(Links!Y20^2+'Off-Ramp'!Y20^2+'Off-Ramp'!Z20^2+'Off-Ramp'!AA20^2)/(Links!Y20+'Off-Ramp'!Y20+'Off-Ramp'!Z20+'Off-Ramp'!AA20)</f>
        <v>#DIV/0!</v>
      </c>
      <c r="BU20" s="60" t="e">
        <f>(Links!W20^2+'Off-Ramp'!P20^2)/(Links!W20+'Off-Ramp'!P20)</f>
        <v>#DIV/0!</v>
      </c>
      <c r="BV20" s="60" t="e">
        <f>(Links!Y20^2+'Off-Ramp'!Q20^2)/(Links!Y20+'Off-Ramp'!Q20)</f>
        <v>#DIV/0!</v>
      </c>
      <c r="BW20" s="60" t="e">
        <f>(Links!Z20^2+'Off-Ramp'!R20^2)/(Links!Z20+'Off-Ramp'!R20)</f>
        <v>#DIV/0!</v>
      </c>
      <c r="BX20" s="60" t="e">
        <f>(Links!AA20+'Off-Ramp'!S20)/(Links!AA20^2+'Off-Ramp'!S20^2)</f>
        <v>#DIV/0!</v>
      </c>
      <c r="BY20" s="60" t="e">
        <f>(Links!AB20^2+'Off-Ramp'!T20^2)/(Links!AB20+'Off-Ramp'!T20)</f>
        <v>#DIV/0!</v>
      </c>
      <c r="BZ20" s="60" t="e">
        <f>Links!AC20</f>
        <v>#DIV/0!</v>
      </c>
      <c r="CA20" s="60" t="e">
        <f>(Links!AD20^2+'Off-Ramp'!U20^2)/(Links!AD20+'Off-Ramp'!U20)</f>
        <v>#DIV/0!</v>
      </c>
    </row>
    <row r="21" spans="1:79" x14ac:dyDescent="0.15">
      <c r="A21" s="58">
        <v>19</v>
      </c>
      <c r="B21" s="59" t="e">
        <f t="shared" si="2"/>
        <v>#DIV/0!</v>
      </c>
      <c r="C21" s="59" t="e">
        <f t="shared" si="3"/>
        <v>#DIV/0!</v>
      </c>
      <c r="D21" s="59" t="e">
        <f t="shared" si="4"/>
        <v>#DIV/0!</v>
      </c>
      <c r="E21" s="59" t="e">
        <f t="shared" si="5"/>
        <v>#DIV/0!</v>
      </c>
      <c r="F21" s="59" t="e">
        <f t="shared" si="6"/>
        <v>#DIV/0!</v>
      </c>
      <c r="G21" s="59" t="e">
        <f t="shared" si="7"/>
        <v>#DIV/0!</v>
      </c>
      <c r="H21" s="59" t="e">
        <f t="shared" si="8"/>
        <v>#DIV/0!</v>
      </c>
      <c r="I21" s="59" t="e">
        <f t="shared" si="9"/>
        <v>#DIV/0!</v>
      </c>
      <c r="J21" s="59" t="e">
        <f t="shared" si="10"/>
        <v>#DIV/0!</v>
      </c>
      <c r="K21" s="59" t="e">
        <f t="shared" si="11"/>
        <v>#DIV/0!</v>
      </c>
      <c r="L21" s="59" t="e">
        <f t="shared" si="12"/>
        <v>#DIV/0!</v>
      </c>
      <c r="M21" s="59" t="e">
        <f t="shared" si="13"/>
        <v>#DIV/0!</v>
      </c>
      <c r="N21" s="59" t="e">
        <f t="shared" si="14"/>
        <v>#DIV/0!</v>
      </c>
      <c r="O21" s="60" t="e">
        <f>Links!B21</f>
        <v>#DIV/0!</v>
      </c>
      <c r="P21" s="60" t="e">
        <f>Links!C21+'On-Ramps'!AC21</f>
        <v>#DIV/0!</v>
      </c>
      <c r="Q21" s="60" t="e">
        <f>Links!D21</f>
        <v>#DIV/0!</v>
      </c>
      <c r="R21" s="60" t="e">
        <f>Links!E21+'On-Ramps'!AD21</f>
        <v>#DIV/0!</v>
      </c>
      <c r="S21" s="60" t="e">
        <f>Links!F21+'On-Ramps'!AE21</f>
        <v>#DIV/0!</v>
      </c>
      <c r="T21" s="60" t="e">
        <f>Links!G21+'On-Ramps'!AF21</f>
        <v>#DIV/0!</v>
      </c>
      <c r="U21" s="60" t="e">
        <f>Links!H21+'On-Ramps'!AG21</f>
        <v>#DIV/0!</v>
      </c>
      <c r="V21" s="60" t="e">
        <f>Links!J21+'On-Ramps'!AH21</f>
        <v>#DIV/0!</v>
      </c>
      <c r="W21" s="60" t="e">
        <f>Links!K21+'On-Ramps'!AI21</f>
        <v>#DIV/0!</v>
      </c>
      <c r="X21" s="60" t="e">
        <f>Links!L21+'On-Ramps'!AJ21</f>
        <v>#DIV/0!</v>
      </c>
      <c r="Y21" s="60" t="e">
        <f>Links!M21</f>
        <v>#DIV/0!</v>
      </c>
      <c r="Z21" s="60" t="e">
        <f>Links!N21+'On-Ramps'!AK21</f>
        <v>#DIV/0!</v>
      </c>
      <c r="AA21" s="60" t="e">
        <f>Links!O21</f>
        <v>#DIV/0!</v>
      </c>
      <c r="AB21" s="59" t="e">
        <f t="shared" si="17"/>
        <v>#DIV/0!</v>
      </c>
      <c r="AC21" s="65"/>
      <c r="AD21" s="59" t="e">
        <f t="shared" si="18"/>
        <v>#DIV/0!</v>
      </c>
      <c r="AE21" s="65"/>
      <c r="AF21" s="59" t="e">
        <f t="shared" si="19"/>
        <v>#DIV/0!</v>
      </c>
      <c r="AG21" s="59" t="e">
        <f t="shared" si="20"/>
        <v>#DIV/0!</v>
      </c>
      <c r="AH21" s="59" t="e">
        <f t="shared" si="21"/>
        <v>#DIV/0!</v>
      </c>
      <c r="AI21" s="59" t="e">
        <f t="shared" si="22"/>
        <v>#DIV/0!</v>
      </c>
      <c r="AJ21" s="59" t="e">
        <f t="shared" si="23"/>
        <v>#DIV/0!</v>
      </c>
      <c r="AK21" s="59" t="e">
        <f t="shared" si="24"/>
        <v>#DIV/0!</v>
      </c>
      <c r="AL21" s="59" t="e">
        <f t="shared" si="25"/>
        <v>#DIV/0!</v>
      </c>
      <c r="AM21" s="65"/>
      <c r="AN21" s="59" t="e">
        <f t="shared" si="27"/>
        <v>#DIV/0!</v>
      </c>
      <c r="AO21" s="60" t="e">
        <f t="shared" si="26"/>
        <v>#DIV/0!</v>
      </c>
      <c r="AP21" s="65"/>
      <c r="AQ21" s="60" t="e">
        <f t="shared" si="26"/>
        <v>#DIV/0!</v>
      </c>
      <c r="AR21" s="65"/>
      <c r="AS21" s="60" t="e">
        <f t="shared" si="26"/>
        <v>#DIV/0!</v>
      </c>
      <c r="AT21" s="60" t="e">
        <f t="shared" si="26"/>
        <v>#DIV/0!</v>
      </c>
      <c r="AU21" s="60" t="e">
        <f t="shared" si="26"/>
        <v>#DIV/0!</v>
      </c>
      <c r="AV21" s="60" t="e">
        <f t="shared" si="26"/>
        <v>#DIV/0!</v>
      </c>
      <c r="AW21" s="60" t="e">
        <f t="shared" si="26"/>
        <v>#DIV/0!</v>
      </c>
      <c r="AX21" s="60" t="e">
        <f t="shared" si="26"/>
        <v>#DIV/0!</v>
      </c>
      <c r="AY21" s="60" t="e">
        <f t="shared" si="26"/>
        <v>#DIV/0!</v>
      </c>
      <c r="AZ21" s="65"/>
      <c r="BA21" s="60" t="e">
        <f t="shared" si="26"/>
        <v>#DIV/0!</v>
      </c>
      <c r="BB21" s="59" t="e">
        <f>Links!AF21</f>
        <v>#DIV/0!</v>
      </c>
      <c r="BC21" s="59" t="e">
        <f>(Links!AG21*Links!C21+'On-Ramps'!AC21*'On-Ramps'!CE21)/('On-Ramps'!AC21+Links!C21)</f>
        <v>#DIV/0!</v>
      </c>
      <c r="BD21" s="59" t="e">
        <f>Links!AH21</f>
        <v>#DIV/0!</v>
      </c>
      <c r="BE21" s="59" t="e">
        <f>(Links!AI21*Links!E21+'On-Ramps'!AD21*'On-Ramps'!CF20)/('On-Ramps'!AD21+Links!E21)</f>
        <v>#DIV/0!</v>
      </c>
      <c r="BF21" s="59" t="e">
        <f>(Links!F21*Links!AJ21+'On-Ramps'!AE21*'On-Ramps'!CG21)/('On-Ramps'!AE21+Links!F21)</f>
        <v>#DIV/0!</v>
      </c>
      <c r="BG21" s="59" t="e">
        <f>(Links!G21*Links!AK21+'On-Ramps'!AF21*'On-Ramps'!CH21)/('On-Ramps'!AF21+Links!G21)</f>
        <v>#DIV/0!</v>
      </c>
      <c r="BH21" s="59" t="e">
        <f>(Links!H21*Links!AL21+'On-Ramps'!AG21*'On-Ramps'!CI21)/('On-Ramps'!AG21+Links!H21)</f>
        <v>#DIV/0!</v>
      </c>
      <c r="BI21" s="59" t="e">
        <f>(Links!J21*Links!AN21+'On-Ramps'!AH21*'On-Ramps'!CJ21)/('On-Ramps'!AH21+Links!J21)</f>
        <v>#DIV/0!</v>
      </c>
      <c r="BJ21" s="59" t="e">
        <f>(Links!K21*Links!AO21+'On-Ramps'!AI21*'On-Ramps'!CK21)/('On-Ramps'!AI21+Links!K21)</f>
        <v>#DIV/0!</v>
      </c>
      <c r="BK21" s="59" t="e">
        <f>(Links!L21*Links!AP21+'On-Ramps'!AJ21*'On-Ramps'!CL21)/(Links!L21+'On-Ramps'!AJ21)</f>
        <v>#DIV/0!</v>
      </c>
      <c r="BL21" s="59" t="e">
        <f>Links!AQ21</f>
        <v>#DIV/0!</v>
      </c>
      <c r="BM21" s="59" t="e">
        <f>(Links!N21*Links!AR21+'On-Ramps'!AL21*'On-Ramps'!CM21)/(Links!N21+'On-Ramps'!AL21)</f>
        <v>#DIV/0!</v>
      </c>
      <c r="BN21" s="59" t="e">
        <f>Links!AS21</f>
        <v>#DIV/0!</v>
      </c>
      <c r="BO21" s="60" t="e">
        <f>(Links!R21^2+'Off-Ramp'!L21^2)/(Links!R21+'Off-Ramp'!L21)</f>
        <v>#DIV/0!</v>
      </c>
      <c r="BP21" s="60" t="e">
        <f>Links!S21</f>
        <v>#DIV/0!</v>
      </c>
      <c r="BQ21" s="60" t="e">
        <f>(Links!S21^2+'Off-Ramp'!C21^2)/(Links!S21+'Off-Ramp'!C21)</f>
        <v>#DIV/0!</v>
      </c>
      <c r="BR21" s="60" t="e">
        <f>Links!T21</f>
        <v>#DIV/0!</v>
      </c>
      <c r="BS21" s="60" t="e">
        <f>(Links!X21^2+'Off-Ramp'!V21^2+'Off-Ramp'!W21^2+'Off-Ramp'!X21^2)/(Links!X21+'Off-Ramp'!V21+'Off-Ramp'!W21+'Off-Ramp'!X21)</f>
        <v>#DIV/0!</v>
      </c>
      <c r="BT21" s="60" t="e">
        <f>(Links!Y21^2+'Off-Ramp'!Y21^2+'Off-Ramp'!Z21^2+'Off-Ramp'!AA21^2)/(Links!Y21+'Off-Ramp'!Y21+'Off-Ramp'!Z21+'Off-Ramp'!AA21)</f>
        <v>#DIV/0!</v>
      </c>
      <c r="BU21" s="60" t="e">
        <f>(Links!W21^2+'Off-Ramp'!P21^2)/(Links!W21+'Off-Ramp'!P21)</f>
        <v>#DIV/0!</v>
      </c>
      <c r="BV21" s="60" t="e">
        <f>(Links!Y21^2+'Off-Ramp'!Q21^2)/(Links!Y21+'Off-Ramp'!Q21)</f>
        <v>#DIV/0!</v>
      </c>
      <c r="BW21" s="60" t="e">
        <f>(Links!Z21^2+'Off-Ramp'!R21^2)/(Links!Z21+'Off-Ramp'!R21)</f>
        <v>#DIV/0!</v>
      </c>
      <c r="BX21" s="60" t="e">
        <f>(Links!AA21+'Off-Ramp'!S21)/(Links!AA21^2+'Off-Ramp'!S21^2)</f>
        <v>#DIV/0!</v>
      </c>
      <c r="BY21" s="60" t="e">
        <f>(Links!AB21^2+'Off-Ramp'!T21^2)/(Links!AB21+'Off-Ramp'!T21)</f>
        <v>#DIV/0!</v>
      </c>
      <c r="BZ21" s="60" t="e">
        <f>Links!AC21</f>
        <v>#DIV/0!</v>
      </c>
      <c r="CA21" s="60" t="e">
        <f>(Links!AD21^2+'Off-Ramp'!U21^2)/(Links!AD21+'Off-Ramp'!U21)</f>
        <v>#DIV/0!</v>
      </c>
    </row>
    <row r="22" spans="1:79" x14ac:dyDescent="0.15">
      <c r="A22" s="58">
        <v>20</v>
      </c>
      <c r="B22" s="59" t="e">
        <f t="shared" si="2"/>
        <v>#DIV/0!</v>
      </c>
      <c r="C22" s="59" t="e">
        <f t="shared" si="3"/>
        <v>#DIV/0!</v>
      </c>
      <c r="D22" s="59" t="e">
        <f t="shared" si="4"/>
        <v>#DIV/0!</v>
      </c>
      <c r="E22" s="59" t="e">
        <f t="shared" si="5"/>
        <v>#DIV/0!</v>
      </c>
      <c r="F22" s="59" t="e">
        <f t="shared" si="6"/>
        <v>#DIV/0!</v>
      </c>
      <c r="G22" s="59" t="e">
        <f t="shared" si="7"/>
        <v>#DIV/0!</v>
      </c>
      <c r="H22" s="59" t="e">
        <f t="shared" si="8"/>
        <v>#DIV/0!</v>
      </c>
      <c r="I22" s="59" t="e">
        <f t="shared" si="9"/>
        <v>#DIV/0!</v>
      </c>
      <c r="J22" s="59" t="e">
        <f t="shared" si="10"/>
        <v>#DIV/0!</v>
      </c>
      <c r="K22" s="59" t="e">
        <f t="shared" si="11"/>
        <v>#DIV/0!</v>
      </c>
      <c r="L22" s="59" t="e">
        <f t="shared" si="12"/>
        <v>#DIV/0!</v>
      </c>
      <c r="M22" s="59" t="e">
        <f t="shared" si="13"/>
        <v>#DIV/0!</v>
      </c>
      <c r="N22" s="59" t="e">
        <f t="shared" si="14"/>
        <v>#DIV/0!</v>
      </c>
      <c r="O22" s="60" t="e">
        <f>Links!B22</f>
        <v>#DIV/0!</v>
      </c>
      <c r="P22" s="60" t="e">
        <f>Links!C22+'On-Ramps'!AC22</f>
        <v>#DIV/0!</v>
      </c>
      <c r="Q22" s="60" t="e">
        <f>Links!D22</f>
        <v>#DIV/0!</v>
      </c>
      <c r="R22" s="60" t="e">
        <f>Links!E22+'On-Ramps'!AD22</f>
        <v>#DIV/0!</v>
      </c>
      <c r="S22" s="60" t="e">
        <f>Links!F22+'On-Ramps'!AE22</f>
        <v>#DIV/0!</v>
      </c>
      <c r="T22" s="60" t="e">
        <f>Links!G22+'On-Ramps'!AF22</f>
        <v>#DIV/0!</v>
      </c>
      <c r="U22" s="60" t="e">
        <f>Links!H22+'On-Ramps'!AG22</f>
        <v>#DIV/0!</v>
      </c>
      <c r="V22" s="60" t="e">
        <f>Links!J22+'On-Ramps'!AH22</f>
        <v>#DIV/0!</v>
      </c>
      <c r="W22" s="60" t="e">
        <f>Links!K22+'On-Ramps'!AI22</f>
        <v>#DIV/0!</v>
      </c>
      <c r="X22" s="60" t="e">
        <f>Links!L22+'On-Ramps'!AJ22</f>
        <v>#DIV/0!</v>
      </c>
      <c r="Y22" s="60" t="e">
        <f>Links!M22</f>
        <v>#DIV/0!</v>
      </c>
      <c r="Z22" s="60" t="e">
        <f>Links!N22+'On-Ramps'!AK22</f>
        <v>#DIV/0!</v>
      </c>
      <c r="AA22" s="60" t="e">
        <f>Links!O22</f>
        <v>#DIV/0!</v>
      </c>
      <c r="AB22" s="59" t="e">
        <f t="shared" si="17"/>
        <v>#DIV/0!</v>
      </c>
      <c r="AC22" s="65"/>
      <c r="AD22" s="59" t="e">
        <f t="shared" si="18"/>
        <v>#DIV/0!</v>
      </c>
      <c r="AE22" s="65"/>
      <c r="AF22" s="59" t="e">
        <f t="shared" si="19"/>
        <v>#DIV/0!</v>
      </c>
      <c r="AG22" s="59" t="e">
        <f t="shared" si="20"/>
        <v>#DIV/0!</v>
      </c>
      <c r="AH22" s="59" t="e">
        <f t="shared" si="21"/>
        <v>#DIV/0!</v>
      </c>
      <c r="AI22" s="59" t="e">
        <f t="shared" si="22"/>
        <v>#DIV/0!</v>
      </c>
      <c r="AJ22" s="59" t="e">
        <f t="shared" si="23"/>
        <v>#DIV/0!</v>
      </c>
      <c r="AK22" s="59" t="e">
        <f t="shared" si="24"/>
        <v>#DIV/0!</v>
      </c>
      <c r="AL22" s="59" t="e">
        <f t="shared" si="25"/>
        <v>#DIV/0!</v>
      </c>
      <c r="AM22" s="65"/>
      <c r="AN22" s="59" t="e">
        <f t="shared" si="27"/>
        <v>#DIV/0!</v>
      </c>
      <c r="AO22" s="60" t="e">
        <f t="shared" si="26"/>
        <v>#DIV/0!</v>
      </c>
      <c r="AP22" s="65"/>
      <c r="AQ22" s="60" t="e">
        <f t="shared" si="26"/>
        <v>#DIV/0!</v>
      </c>
      <c r="AR22" s="65"/>
      <c r="AS22" s="60" t="e">
        <f t="shared" si="26"/>
        <v>#DIV/0!</v>
      </c>
      <c r="AT22" s="60" t="e">
        <f t="shared" si="26"/>
        <v>#DIV/0!</v>
      </c>
      <c r="AU22" s="60" t="e">
        <f t="shared" si="26"/>
        <v>#DIV/0!</v>
      </c>
      <c r="AV22" s="60" t="e">
        <f t="shared" si="26"/>
        <v>#DIV/0!</v>
      </c>
      <c r="AW22" s="60" t="e">
        <f t="shared" si="26"/>
        <v>#DIV/0!</v>
      </c>
      <c r="AX22" s="60" t="e">
        <f t="shared" si="26"/>
        <v>#DIV/0!</v>
      </c>
      <c r="AY22" s="60" t="e">
        <f t="shared" si="26"/>
        <v>#DIV/0!</v>
      </c>
      <c r="AZ22" s="65"/>
      <c r="BA22" s="60" t="e">
        <f t="shared" si="26"/>
        <v>#DIV/0!</v>
      </c>
      <c r="BB22" s="59" t="e">
        <f>Links!AF22</f>
        <v>#DIV/0!</v>
      </c>
      <c r="BC22" s="59" t="e">
        <f>(Links!AG22*Links!C22+'On-Ramps'!AC22*'On-Ramps'!CE22)/('On-Ramps'!AC22+Links!C22)</f>
        <v>#DIV/0!</v>
      </c>
      <c r="BD22" s="59" t="e">
        <f>Links!AH22</f>
        <v>#DIV/0!</v>
      </c>
      <c r="BE22" s="59" t="e">
        <f>(Links!AI22*Links!E22+'On-Ramps'!AD22*'On-Ramps'!CF21)/('On-Ramps'!AD22+Links!E22)</f>
        <v>#DIV/0!</v>
      </c>
      <c r="BF22" s="59" t="e">
        <f>(Links!F22*Links!AJ22+'On-Ramps'!AE22*'On-Ramps'!CG22)/('On-Ramps'!AE22+Links!F22)</f>
        <v>#DIV/0!</v>
      </c>
      <c r="BG22" s="59" t="e">
        <f>(Links!G22*Links!AK22+'On-Ramps'!AF22*'On-Ramps'!CH22)/('On-Ramps'!AF22+Links!G22)</f>
        <v>#DIV/0!</v>
      </c>
      <c r="BH22" s="59" t="e">
        <f>(Links!H22*Links!AL22+'On-Ramps'!AG22*'On-Ramps'!CI22)/('On-Ramps'!AG22+Links!H22)</f>
        <v>#DIV/0!</v>
      </c>
      <c r="BI22" s="59" t="e">
        <f>(Links!J22*Links!AN22+'On-Ramps'!AH22*'On-Ramps'!CJ22)/('On-Ramps'!AH22+Links!J22)</f>
        <v>#DIV/0!</v>
      </c>
      <c r="BJ22" s="59" t="e">
        <f>(Links!K22*Links!AO22+'On-Ramps'!AI22*'On-Ramps'!CK22)/('On-Ramps'!AI22+Links!K22)</f>
        <v>#DIV/0!</v>
      </c>
      <c r="BK22" s="59" t="e">
        <f>(Links!L22*Links!AP22+'On-Ramps'!AJ22*'On-Ramps'!CL22)/(Links!L22+'On-Ramps'!AJ22)</f>
        <v>#DIV/0!</v>
      </c>
      <c r="BL22" s="59" t="e">
        <f>Links!AQ22</f>
        <v>#DIV/0!</v>
      </c>
      <c r="BM22" s="59" t="e">
        <f>(Links!N22*Links!AR22+'On-Ramps'!AL22*'On-Ramps'!CM22)/(Links!N22+'On-Ramps'!AL22)</f>
        <v>#DIV/0!</v>
      </c>
      <c r="BN22" s="59" t="e">
        <f>Links!AS22</f>
        <v>#DIV/0!</v>
      </c>
      <c r="BO22" s="60" t="e">
        <f>(Links!R22^2+'Off-Ramp'!L22^2)/(Links!R22+'Off-Ramp'!L22)</f>
        <v>#DIV/0!</v>
      </c>
      <c r="BP22" s="60" t="e">
        <f>Links!S22</f>
        <v>#DIV/0!</v>
      </c>
      <c r="BQ22" s="60" t="e">
        <f>(Links!S22^2+'Off-Ramp'!C22^2)/(Links!S22+'Off-Ramp'!C22)</f>
        <v>#DIV/0!</v>
      </c>
      <c r="BR22" s="60" t="e">
        <f>Links!T22</f>
        <v>#DIV/0!</v>
      </c>
      <c r="BS22" s="60" t="e">
        <f>(Links!X22^2+'Off-Ramp'!V22^2+'Off-Ramp'!W22^2+'Off-Ramp'!X22^2)/(Links!X22+'Off-Ramp'!V22+'Off-Ramp'!W22+'Off-Ramp'!X22)</f>
        <v>#DIV/0!</v>
      </c>
      <c r="BT22" s="60" t="e">
        <f>(Links!Y22^2+'Off-Ramp'!Y22^2+'Off-Ramp'!Z22^2+'Off-Ramp'!AA22^2)/(Links!Y22+'Off-Ramp'!Y22+'Off-Ramp'!Z22+'Off-Ramp'!AA22)</f>
        <v>#DIV/0!</v>
      </c>
      <c r="BU22" s="60" t="e">
        <f>(Links!W22^2+'Off-Ramp'!P22^2)/(Links!W22+'Off-Ramp'!P22)</f>
        <v>#DIV/0!</v>
      </c>
      <c r="BV22" s="60" t="e">
        <f>(Links!Y22^2+'Off-Ramp'!Q22^2)/(Links!Y22+'Off-Ramp'!Q22)</f>
        <v>#DIV/0!</v>
      </c>
      <c r="BW22" s="60" t="e">
        <f>(Links!Z22^2+'Off-Ramp'!R22^2)/(Links!Z22+'Off-Ramp'!R22)</f>
        <v>#DIV/0!</v>
      </c>
      <c r="BX22" s="60" t="e">
        <f>(Links!AA22+'Off-Ramp'!S22)/(Links!AA22^2+'Off-Ramp'!S22^2)</f>
        <v>#DIV/0!</v>
      </c>
      <c r="BY22" s="60" t="e">
        <f>(Links!AB22^2+'Off-Ramp'!T22^2)/(Links!AB22+'Off-Ramp'!T22)</f>
        <v>#DIV/0!</v>
      </c>
      <c r="BZ22" s="60" t="e">
        <f>Links!AC22</f>
        <v>#DIV/0!</v>
      </c>
      <c r="CA22" s="60" t="e">
        <f>(Links!AD22^2+'Off-Ramp'!U22^2)/(Links!AD22+'Off-Ramp'!U22)</f>
        <v>#DIV/0!</v>
      </c>
    </row>
    <row r="23" spans="1:79" x14ac:dyDescent="0.15">
      <c r="A23" s="58">
        <v>21</v>
      </c>
      <c r="B23" s="59" t="e">
        <f t="shared" si="2"/>
        <v>#DIV/0!</v>
      </c>
      <c r="C23" s="59" t="e">
        <f t="shared" si="3"/>
        <v>#DIV/0!</v>
      </c>
      <c r="D23" s="59" t="e">
        <f t="shared" si="4"/>
        <v>#DIV/0!</v>
      </c>
      <c r="E23" s="59" t="e">
        <f t="shared" si="5"/>
        <v>#DIV/0!</v>
      </c>
      <c r="F23" s="59" t="e">
        <f t="shared" si="6"/>
        <v>#DIV/0!</v>
      </c>
      <c r="G23" s="59" t="e">
        <f t="shared" si="7"/>
        <v>#DIV/0!</v>
      </c>
      <c r="H23" s="59" t="e">
        <f t="shared" si="8"/>
        <v>#DIV/0!</v>
      </c>
      <c r="I23" s="59" t="e">
        <f t="shared" si="9"/>
        <v>#DIV/0!</v>
      </c>
      <c r="J23" s="59" t="e">
        <f t="shared" si="10"/>
        <v>#DIV/0!</v>
      </c>
      <c r="K23" s="59" t="e">
        <f t="shared" si="11"/>
        <v>#DIV/0!</v>
      </c>
      <c r="L23" s="59" t="e">
        <f t="shared" si="12"/>
        <v>#DIV/0!</v>
      </c>
      <c r="M23" s="59" t="e">
        <f t="shared" si="13"/>
        <v>#DIV/0!</v>
      </c>
      <c r="N23" s="59" t="e">
        <f t="shared" si="14"/>
        <v>#DIV/0!</v>
      </c>
      <c r="O23" s="60" t="e">
        <f>Links!B23</f>
        <v>#DIV/0!</v>
      </c>
      <c r="P23" s="60" t="e">
        <f>Links!C23+'On-Ramps'!AC23</f>
        <v>#DIV/0!</v>
      </c>
      <c r="Q23" s="60" t="e">
        <f>Links!D23</f>
        <v>#DIV/0!</v>
      </c>
      <c r="R23" s="60" t="e">
        <f>Links!E23+'On-Ramps'!AD23</f>
        <v>#DIV/0!</v>
      </c>
      <c r="S23" s="60" t="e">
        <f>Links!F23+'On-Ramps'!AE23</f>
        <v>#DIV/0!</v>
      </c>
      <c r="T23" s="60" t="e">
        <f>Links!G23+'On-Ramps'!AF23</f>
        <v>#DIV/0!</v>
      </c>
      <c r="U23" s="60" t="e">
        <f>Links!H23+'On-Ramps'!AG23</f>
        <v>#DIV/0!</v>
      </c>
      <c r="V23" s="60" t="e">
        <f>Links!J23+'On-Ramps'!AH23</f>
        <v>#DIV/0!</v>
      </c>
      <c r="W23" s="60" t="e">
        <f>Links!K23+'On-Ramps'!AI23</f>
        <v>#DIV/0!</v>
      </c>
      <c r="X23" s="60" t="e">
        <f>Links!L23+'On-Ramps'!AJ23</f>
        <v>#DIV/0!</v>
      </c>
      <c r="Y23" s="60" t="e">
        <f>Links!M23</f>
        <v>#DIV/0!</v>
      </c>
      <c r="Z23" s="60" t="e">
        <f>Links!N23+'On-Ramps'!AK23</f>
        <v>#DIV/0!</v>
      </c>
      <c r="AA23" s="60" t="e">
        <f>Links!O23</f>
        <v>#DIV/0!</v>
      </c>
      <c r="AB23" s="59" t="e">
        <f t="shared" si="17"/>
        <v>#DIV/0!</v>
      </c>
      <c r="AC23" s="65"/>
      <c r="AD23" s="59" t="e">
        <f t="shared" si="18"/>
        <v>#DIV/0!</v>
      </c>
      <c r="AE23" s="65"/>
      <c r="AF23" s="59" t="e">
        <f t="shared" si="19"/>
        <v>#DIV/0!</v>
      </c>
      <c r="AG23" s="59" t="e">
        <f t="shared" si="20"/>
        <v>#DIV/0!</v>
      </c>
      <c r="AH23" s="59" t="e">
        <f t="shared" si="21"/>
        <v>#DIV/0!</v>
      </c>
      <c r="AI23" s="59" t="e">
        <f t="shared" si="22"/>
        <v>#DIV/0!</v>
      </c>
      <c r="AJ23" s="59" t="e">
        <f t="shared" si="23"/>
        <v>#DIV/0!</v>
      </c>
      <c r="AK23" s="59" t="e">
        <f t="shared" si="24"/>
        <v>#DIV/0!</v>
      </c>
      <c r="AL23" s="59" t="e">
        <f t="shared" si="25"/>
        <v>#DIV/0!</v>
      </c>
      <c r="AM23" s="65"/>
      <c r="AN23" s="59" t="e">
        <f t="shared" si="27"/>
        <v>#DIV/0!</v>
      </c>
      <c r="AO23" s="60" t="e">
        <f t="shared" si="26"/>
        <v>#DIV/0!</v>
      </c>
      <c r="AP23" s="65"/>
      <c r="AQ23" s="60" t="e">
        <f t="shared" si="26"/>
        <v>#DIV/0!</v>
      </c>
      <c r="AR23" s="65"/>
      <c r="AS23" s="60" t="e">
        <f t="shared" si="26"/>
        <v>#DIV/0!</v>
      </c>
      <c r="AT23" s="60" t="e">
        <f t="shared" si="26"/>
        <v>#DIV/0!</v>
      </c>
      <c r="AU23" s="60" t="e">
        <f t="shared" si="26"/>
        <v>#DIV/0!</v>
      </c>
      <c r="AV23" s="60" t="e">
        <f t="shared" si="26"/>
        <v>#DIV/0!</v>
      </c>
      <c r="AW23" s="60" t="e">
        <f t="shared" si="26"/>
        <v>#DIV/0!</v>
      </c>
      <c r="AX23" s="60" t="e">
        <f t="shared" si="26"/>
        <v>#DIV/0!</v>
      </c>
      <c r="AY23" s="60" t="e">
        <f t="shared" si="26"/>
        <v>#DIV/0!</v>
      </c>
      <c r="AZ23" s="65"/>
      <c r="BA23" s="60" t="e">
        <f t="shared" si="26"/>
        <v>#DIV/0!</v>
      </c>
      <c r="BB23" s="59" t="e">
        <f>Links!AF23</f>
        <v>#DIV/0!</v>
      </c>
      <c r="BC23" s="59" t="e">
        <f>(Links!AG23*Links!C23+'On-Ramps'!AC23*'On-Ramps'!CE23)/('On-Ramps'!AC23+Links!C23)</f>
        <v>#DIV/0!</v>
      </c>
      <c r="BD23" s="59" t="e">
        <f>Links!AH23</f>
        <v>#DIV/0!</v>
      </c>
      <c r="BE23" s="59" t="e">
        <f>(Links!AI23*Links!E23+'On-Ramps'!AD23*'On-Ramps'!CF22)/('On-Ramps'!AD23+Links!E23)</f>
        <v>#DIV/0!</v>
      </c>
      <c r="BF23" s="59" t="e">
        <f>(Links!F23*Links!AJ23+'On-Ramps'!AE23*'On-Ramps'!CG23)/('On-Ramps'!AE23+Links!F23)</f>
        <v>#DIV/0!</v>
      </c>
      <c r="BG23" s="59" t="e">
        <f>(Links!G23*Links!AK23+'On-Ramps'!AF23*'On-Ramps'!CH23)/('On-Ramps'!AF23+Links!G23)</f>
        <v>#DIV/0!</v>
      </c>
      <c r="BH23" s="59" t="e">
        <f>(Links!H23*Links!AL23+'On-Ramps'!AG23*'On-Ramps'!CI23)/('On-Ramps'!AG23+Links!H23)</f>
        <v>#DIV/0!</v>
      </c>
      <c r="BI23" s="59" t="e">
        <f>(Links!J23*Links!AN23+'On-Ramps'!AH23*'On-Ramps'!CJ23)/('On-Ramps'!AH23+Links!J23)</f>
        <v>#DIV/0!</v>
      </c>
      <c r="BJ23" s="59" t="e">
        <f>(Links!K23*Links!AO23+'On-Ramps'!AI23*'On-Ramps'!CK23)/('On-Ramps'!AI23+Links!K23)</f>
        <v>#DIV/0!</v>
      </c>
      <c r="BK23" s="59" t="e">
        <f>(Links!L23*Links!AP23+'On-Ramps'!AJ23*'On-Ramps'!CL23)/(Links!L23+'On-Ramps'!AJ23)</f>
        <v>#DIV/0!</v>
      </c>
      <c r="BL23" s="59" t="e">
        <f>Links!AQ23</f>
        <v>#DIV/0!</v>
      </c>
      <c r="BM23" s="59" t="e">
        <f>(Links!N23*Links!AR23+'On-Ramps'!AL23*'On-Ramps'!CM23)/(Links!N23+'On-Ramps'!AL23)</f>
        <v>#DIV/0!</v>
      </c>
      <c r="BN23" s="59" t="e">
        <f>Links!AS23</f>
        <v>#DIV/0!</v>
      </c>
      <c r="BO23" s="60" t="e">
        <f>(Links!R23^2+'Off-Ramp'!L23^2)/(Links!R23+'Off-Ramp'!L23)</f>
        <v>#DIV/0!</v>
      </c>
      <c r="BP23" s="60" t="e">
        <f>Links!S23</f>
        <v>#DIV/0!</v>
      </c>
      <c r="BQ23" s="60" t="e">
        <f>(Links!S23^2+'Off-Ramp'!C23^2)/(Links!S23+'Off-Ramp'!C23)</f>
        <v>#DIV/0!</v>
      </c>
      <c r="BR23" s="60" t="e">
        <f>Links!T23</f>
        <v>#DIV/0!</v>
      </c>
      <c r="BS23" s="60" t="e">
        <f>(Links!X23^2+'Off-Ramp'!V23^2+'Off-Ramp'!W23^2+'Off-Ramp'!X23^2)/(Links!X23+'Off-Ramp'!V23+'Off-Ramp'!W23+'Off-Ramp'!X23)</f>
        <v>#DIV/0!</v>
      </c>
      <c r="BT23" s="60" t="e">
        <f>(Links!Y23^2+'Off-Ramp'!Y23^2+'Off-Ramp'!Z23^2+'Off-Ramp'!AA23^2)/(Links!Y23+'Off-Ramp'!Y23+'Off-Ramp'!Z23+'Off-Ramp'!AA23)</f>
        <v>#DIV/0!</v>
      </c>
      <c r="BU23" s="60" t="e">
        <f>(Links!W23^2+'Off-Ramp'!P23^2)/(Links!W23+'Off-Ramp'!P23)</f>
        <v>#DIV/0!</v>
      </c>
      <c r="BV23" s="60" t="e">
        <f>(Links!Y23^2+'Off-Ramp'!Q23^2)/(Links!Y23+'Off-Ramp'!Q23)</f>
        <v>#DIV/0!</v>
      </c>
      <c r="BW23" s="60" t="e">
        <f>(Links!Z23^2+'Off-Ramp'!R23^2)/(Links!Z23+'Off-Ramp'!R23)</f>
        <v>#DIV/0!</v>
      </c>
      <c r="BX23" s="60" t="e">
        <f>(Links!AA23+'Off-Ramp'!S23)/(Links!AA23^2+'Off-Ramp'!S23^2)</f>
        <v>#DIV/0!</v>
      </c>
      <c r="BY23" s="60" t="e">
        <f>(Links!AB23^2+'Off-Ramp'!T23^2)/(Links!AB23+'Off-Ramp'!T23)</f>
        <v>#DIV/0!</v>
      </c>
      <c r="BZ23" s="60" t="e">
        <f>Links!AC23</f>
        <v>#DIV/0!</v>
      </c>
      <c r="CA23" s="60" t="e">
        <f>(Links!AD23^2+'Off-Ramp'!U23^2)/(Links!AD23+'Off-Ramp'!U23)</f>
        <v>#DIV/0!</v>
      </c>
    </row>
    <row r="24" spans="1:79" x14ac:dyDescent="0.15">
      <c r="A24" s="58">
        <v>22</v>
      </c>
      <c r="B24" s="59" t="e">
        <f t="shared" si="2"/>
        <v>#DIV/0!</v>
      </c>
      <c r="C24" s="59" t="e">
        <f t="shared" si="3"/>
        <v>#DIV/0!</v>
      </c>
      <c r="D24" s="59" t="e">
        <f t="shared" si="4"/>
        <v>#DIV/0!</v>
      </c>
      <c r="E24" s="59" t="e">
        <f t="shared" si="5"/>
        <v>#DIV/0!</v>
      </c>
      <c r="F24" s="59" t="e">
        <f t="shared" si="6"/>
        <v>#DIV/0!</v>
      </c>
      <c r="G24" s="59" t="e">
        <f t="shared" si="7"/>
        <v>#DIV/0!</v>
      </c>
      <c r="H24" s="59" t="e">
        <f t="shared" si="8"/>
        <v>#DIV/0!</v>
      </c>
      <c r="I24" s="59" t="e">
        <f t="shared" si="9"/>
        <v>#DIV/0!</v>
      </c>
      <c r="J24" s="59" t="e">
        <f t="shared" si="10"/>
        <v>#DIV/0!</v>
      </c>
      <c r="K24" s="59" t="e">
        <f t="shared" si="11"/>
        <v>#DIV/0!</v>
      </c>
      <c r="L24" s="59" t="e">
        <f t="shared" si="12"/>
        <v>#DIV/0!</v>
      </c>
      <c r="M24" s="59" t="e">
        <f t="shared" si="13"/>
        <v>#DIV/0!</v>
      </c>
      <c r="N24" s="59" t="e">
        <f t="shared" si="14"/>
        <v>#DIV/0!</v>
      </c>
      <c r="O24" s="60" t="e">
        <f>Links!B24</f>
        <v>#DIV/0!</v>
      </c>
      <c r="P24" s="60" t="e">
        <f>Links!C24+'On-Ramps'!AC24</f>
        <v>#DIV/0!</v>
      </c>
      <c r="Q24" s="60" t="e">
        <f>Links!D24</f>
        <v>#DIV/0!</v>
      </c>
      <c r="R24" s="60" t="e">
        <f>Links!E24+'On-Ramps'!AD24</f>
        <v>#DIV/0!</v>
      </c>
      <c r="S24" s="60" t="e">
        <f>Links!F24+'On-Ramps'!AE24</f>
        <v>#DIV/0!</v>
      </c>
      <c r="T24" s="60" t="e">
        <f>Links!G24+'On-Ramps'!AF24</f>
        <v>#DIV/0!</v>
      </c>
      <c r="U24" s="60" t="e">
        <f>Links!H24+'On-Ramps'!AG24</f>
        <v>#DIV/0!</v>
      </c>
      <c r="V24" s="60" t="e">
        <f>Links!J24+'On-Ramps'!AH24</f>
        <v>#DIV/0!</v>
      </c>
      <c r="W24" s="60" t="e">
        <f>Links!K24+'On-Ramps'!AI24</f>
        <v>#DIV/0!</v>
      </c>
      <c r="X24" s="60" t="e">
        <f>Links!L24+'On-Ramps'!AJ24</f>
        <v>#DIV/0!</v>
      </c>
      <c r="Y24" s="60" t="e">
        <f>Links!M24</f>
        <v>#DIV/0!</v>
      </c>
      <c r="Z24" s="60" t="e">
        <f>Links!N24+'On-Ramps'!AK24</f>
        <v>#DIV/0!</v>
      </c>
      <c r="AA24" s="60" t="e">
        <f>Links!O24</f>
        <v>#DIV/0!</v>
      </c>
      <c r="AB24" s="59" t="e">
        <f t="shared" si="17"/>
        <v>#DIV/0!</v>
      </c>
      <c r="AC24" s="65"/>
      <c r="AD24" s="59" t="e">
        <f t="shared" si="18"/>
        <v>#DIV/0!</v>
      </c>
      <c r="AE24" s="65"/>
      <c r="AF24" s="59" t="e">
        <f t="shared" si="19"/>
        <v>#DIV/0!</v>
      </c>
      <c r="AG24" s="59" t="e">
        <f t="shared" si="20"/>
        <v>#DIV/0!</v>
      </c>
      <c r="AH24" s="59" t="e">
        <f t="shared" si="21"/>
        <v>#DIV/0!</v>
      </c>
      <c r="AI24" s="59" t="e">
        <f t="shared" si="22"/>
        <v>#DIV/0!</v>
      </c>
      <c r="AJ24" s="59" t="e">
        <f t="shared" si="23"/>
        <v>#DIV/0!</v>
      </c>
      <c r="AK24" s="59" t="e">
        <f t="shared" si="24"/>
        <v>#DIV/0!</v>
      </c>
      <c r="AL24" s="59" t="e">
        <f t="shared" si="25"/>
        <v>#DIV/0!</v>
      </c>
      <c r="AM24" s="65"/>
      <c r="AN24" s="59" t="e">
        <f t="shared" si="27"/>
        <v>#DIV/0!</v>
      </c>
      <c r="AO24" s="60" t="e">
        <f t="shared" si="26"/>
        <v>#DIV/0!</v>
      </c>
      <c r="AP24" s="65"/>
      <c r="AQ24" s="60" t="e">
        <f t="shared" si="26"/>
        <v>#DIV/0!</v>
      </c>
      <c r="AR24" s="65"/>
      <c r="AS24" s="60" t="e">
        <f t="shared" si="26"/>
        <v>#DIV/0!</v>
      </c>
      <c r="AT24" s="60" t="e">
        <f t="shared" si="26"/>
        <v>#DIV/0!</v>
      </c>
      <c r="AU24" s="60" t="e">
        <f t="shared" si="26"/>
        <v>#DIV/0!</v>
      </c>
      <c r="AV24" s="60" t="e">
        <f t="shared" si="26"/>
        <v>#DIV/0!</v>
      </c>
      <c r="AW24" s="60" t="e">
        <f t="shared" si="26"/>
        <v>#DIV/0!</v>
      </c>
      <c r="AX24" s="60" t="e">
        <f t="shared" si="26"/>
        <v>#DIV/0!</v>
      </c>
      <c r="AY24" s="60" t="e">
        <f t="shared" si="26"/>
        <v>#DIV/0!</v>
      </c>
      <c r="AZ24" s="65"/>
      <c r="BA24" s="60" t="e">
        <f t="shared" si="26"/>
        <v>#DIV/0!</v>
      </c>
      <c r="BB24" s="59" t="e">
        <f>Links!AF24</f>
        <v>#DIV/0!</v>
      </c>
      <c r="BC24" s="59" t="e">
        <f>(Links!AG24*Links!C24+'On-Ramps'!AC24*'On-Ramps'!CE24)/('On-Ramps'!AC24+Links!C24)</f>
        <v>#DIV/0!</v>
      </c>
      <c r="BD24" s="59" t="e">
        <f>Links!AH24</f>
        <v>#DIV/0!</v>
      </c>
      <c r="BE24" s="59" t="e">
        <f>(Links!AI24*Links!E24+'On-Ramps'!AD24*'On-Ramps'!CF23)/('On-Ramps'!AD24+Links!E24)</f>
        <v>#DIV/0!</v>
      </c>
      <c r="BF24" s="59" t="e">
        <f>(Links!F24*Links!AJ24+'On-Ramps'!AE24*'On-Ramps'!CG24)/('On-Ramps'!AE24+Links!F24)</f>
        <v>#DIV/0!</v>
      </c>
      <c r="BG24" s="59" t="e">
        <f>(Links!G24*Links!AK24+'On-Ramps'!AF24*'On-Ramps'!CH24)/('On-Ramps'!AF24+Links!G24)</f>
        <v>#DIV/0!</v>
      </c>
      <c r="BH24" s="59" t="e">
        <f>(Links!H24*Links!AL24+'On-Ramps'!AG24*'On-Ramps'!CI24)/('On-Ramps'!AG24+Links!H24)</f>
        <v>#DIV/0!</v>
      </c>
      <c r="BI24" s="59" t="e">
        <f>(Links!J24*Links!AN24+'On-Ramps'!AH24*'On-Ramps'!CJ24)/('On-Ramps'!AH24+Links!J24)</f>
        <v>#DIV/0!</v>
      </c>
      <c r="BJ24" s="59" t="e">
        <f>(Links!K24*Links!AO24+'On-Ramps'!AI24*'On-Ramps'!CK24)/('On-Ramps'!AI24+Links!K24)</f>
        <v>#DIV/0!</v>
      </c>
      <c r="BK24" s="59" t="e">
        <f>(Links!L24*Links!AP24+'On-Ramps'!AJ24*'On-Ramps'!CL24)/(Links!L24+'On-Ramps'!AJ24)</f>
        <v>#DIV/0!</v>
      </c>
      <c r="BL24" s="59" t="e">
        <f>Links!AQ24</f>
        <v>#DIV/0!</v>
      </c>
      <c r="BM24" s="59" t="e">
        <f>(Links!N24*Links!AR24+'On-Ramps'!AL24*'On-Ramps'!CM24)/(Links!N24+'On-Ramps'!AL24)</f>
        <v>#DIV/0!</v>
      </c>
      <c r="BN24" s="59" t="e">
        <f>Links!AS24</f>
        <v>#DIV/0!</v>
      </c>
      <c r="BO24" s="60" t="e">
        <f>(Links!R24^2+'Off-Ramp'!L24^2)/(Links!R24+'Off-Ramp'!L24)</f>
        <v>#DIV/0!</v>
      </c>
      <c r="BP24" s="60" t="e">
        <f>Links!S24</f>
        <v>#DIV/0!</v>
      </c>
      <c r="BQ24" s="60" t="e">
        <f>(Links!S24^2+'Off-Ramp'!C24^2)/(Links!S24+'Off-Ramp'!C24)</f>
        <v>#DIV/0!</v>
      </c>
      <c r="BR24" s="60" t="e">
        <f>Links!T24</f>
        <v>#DIV/0!</v>
      </c>
      <c r="BS24" s="60" t="e">
        <f>(Links!X24^2+'Off-Ramp'!V24^2+'Off-Ramp'!W24^2+'Off-Ramp'!X24^2)/(Links!X24+'Off-Ramp'!V24+'Off-Ramp'!W24+'Off-Ramp'!X24)</f>
        <v>#DIV/0!</v>
      </c>
      <c r="BT24" s="60" t="e">
        <f>(Links!Y24^2+'Off-Ramp'!Y24^2+'Off-Ramp'!Z24^2+'Off-Ramp'!AA24^2)/(Links!Y24+'Off-Ramp'!Y24+'Off-Ramp'!Z24+'Off-Ramp'!AA24)</f>
        <v>#DIV/0!</v>
      </c>
      <c r="BU24" s="60" t="e">
        <f>(Links!W24^2+'Off-Ramp'!P24^2)/(Links!W24+'Off-Ramp'!P24)</f>
        <v>#DIV/0!</v>
      </c>
      <c r="BV24" s="60" t="e">
        <f>(Links!Y24^2+'Off-Ramp'!Q24^2)/(Links!Y24+'Off-Ramp'!Q24)</f>
        <v>#DIV/0!</v>
      </c>
      <c r="BW24" s="60" t="e">
        <f>(Links!Z24^2+'Off-Ramp'!R24^2)/(Links!Z24+'Off-Ramp'!R24)</f>
        <v>#DIV/0!</v>
      </c>
      <c r="BX24" s="60" t="e">
        <f>(Links!AA24+'Off-Ramp'!S24)/(Links!AA24^2+'Off-Ramp'!S24^2)</f>
        <v>#DIV/0!</v>
      </c>
      <c r="BY24" s="60" t="e">
        <f>(Links!AB24^2+'Off-Ramp'!T24^2)/(Links!AB24+'Off-Ramp'!T24)</f>
        <v>#DIV/0!</v>
      </c>
      <c r="BZ24" s="60" t="e">
        <f>Links!AC24</f>
        <v>#DIV/0!</v>
      </c>
      <c r="CA24" s="60" t="e">
        <f>(Links!AD24^2+'Off-Ramp'!U24^2)/(Links!AD24+'Off-Ramp'!U24)</f>
        <v>#DIV/0!</v>
      </c>
    </row>
    <row r="25" spans="1:79" x14ac:dyDescent="0.15">
      <c r="A25" s="58">
        <v>23</v>
      </c>
      <c r="B25" s="59" t="e">
        <f t="shared" si="2"/>
        <v>#DIV/0!</v>
      </c>
      <c r="C25" s="59" t="e">
        <f t="shared" si="3"/>
        <v>#DIV/0!</v>
      </c>
      <c r="D25" s="59" t="e">
        <f t="shared" si="4"/>
        <v>#DIV/0!</v>
      </c>
      <c r="E25" s="59" t="e">
        <f t="shared" si="5"/>
        <v>#DIV/0!</v>
      </c>
      <c r="F25" s="59" t="e">
        <f t="shared" si="6"/>
        <v>#DIV/0!</v>
      </c>
      <c r="G25" s="59" t="e">
        <f t="shared" si="7"/>
        <v>#DIV/0!</v>
      </c>
      <c r="H25" s="59" t="e">
        <f t="shared" si="8"/>
        <v>#DIV/0!</v>
      </c>
      <c r="I25" s="59" t="e">
        <f t="shared" si="9"/>
        <v>#DIV/0!</v>
      </c>
      <c r="J25" s="59" t="e">
        <f t="shared" si="10"/>
        <v>#DIV/0!</v>
      </c>
      <c r="K25" s="59" t="e">
        <f t="shared" si="11"/>
        <v>#DIV/0!</v>
      </c>
      <c r="L25" s="59" t="e">
        <f t="shared" si="12"/>
        <v>#DIV/0!</v>
      </c>
      <c r="M25" s="59" t="e">
        <f t="shared" si="13"/>
        <v>#DIV/0!</v>
      </c>
      <c r="N25" s="59" t="e">
        <f t="shared" si="14"/>
        <v>#DIV/0!</v>
      </c>
      <c r="O25" s="60" t="e">
        <f>Links!B25</f>
        <v>#DIV/0!</v>
      </c>
      <c r="P25" s="60" t="e">
        <f>Links!C25+'On-Ramps'!AC25</f>
        <v>#DIV/0!</v>
      </c>
      <c r="Q25" s="60" t="e">
        <f>Links!D25</f>
        <v>#DIV/0!</v>
      </c>
      <c r="R25" s="60" t="e">
        <f>Links!E25+'On-Ramps'!AD25</f>
        <v>#DIV/0!</v>
      </c>
      <c r="S25" s="60" t="e">
        <f>Links!F25+'On-Ramps'!AE25</f>
        <v>#DIV/0!</v>
      </c>
      <c r="T25" s="60" t="e">
        <f>Links!G25+'On-Ramps'!AF25</f>
        <v>#DIV/0!</v>
      </c>
      <c r="U25" s="60" t="e">
        <f>Links!H25+'On-Ramps'!AG25</f>
        <v>#DIV/0!</v>
      </c>
      <c r="V25" s="60" t="e">
        <f>Links!J25+'On-Ramps'!AH25</f>
        <v>#DIV/0!</v>
      </c>
      <c r="W25" s="60" t="e">
        <f>Links!K25+'On-Ramps'!AI25</f>
        <v>#DIV/0!</v>
      </c>
      <c r="X25" s="60" t="e">
        <f>Links!L25+'On-Ramps'!AJ25</f>
        <v>#DIV/0!</v>
      </c>
      <c r="Y25" s="60" t="e">
        <f>Links!M25</f>
        <v>#DIV/0!</v>
      </c>
      <c r="Z25" s="60" t="e">
        <f>Links!N25+'On-Ramps'!AK25</f>
        <v>#DIV/0!</v>
      </c>
      <c r="AA25" s="60" t="e">
        <f>Links!O25</f>
        <v>#DIV/0!</v>
      </c>
      <c r="AB25" s="59" t="e">
        <f t="shared" si="17"/>
        <v>#DIV/0!</v>
      </c>
      <c r="AC25" s="65"/>
      <c r="AD25" s="59" t="e">
        <f t="shared" si="18"/>
        <v>#DIV/0!</v>
      </c>
      <c r="AE25" s="65"/>
      <c r="AF25" s="59" t="e">
        <f t="shared" si="19"/>
        <v>#DIV/0!</v>
      </c>
      <c r="AG25" s="59" t="e">
        <f t="shared" si="20"/>
        <v>#DIV/0!</v>
      </c>
      <c r="AH25" s="59" t="e">
        <f t="shared" si="21"/>
        <v>#DIV/0!</v>
      </c>
      <c r="AI25" s="59" t="e">
        <f t="shared" si="22"/>
        <v>#DIV/0!</v>
      </c>
      <c r="AJ25" s="59" t="e">
        <f t="shared" si="23"/>
        <v>#DIV/0!</v>
      </c>
      <c r="AK25" s="59" t="e">
        <f t="shared" si="24"/>
        <v>#DIV/0!</v>
      </c>
      <c r="AL25" s="59" t="e">
        <f t="shared" si="25"/>
        <v>#DIV/0!</v>
      </c>
      <c r="AM25" s="65"/>
      <c r="AN25" s="59" t="e">
        <f t="shared" si="27"/>
        <v>#DIV/0!</v>
      </c>
      <c r="AO25" s="60" t="e">
        <f t="shared" si="26"/>
        <v>#DIV/0!</v>
      </c>
      <c r="AP25" s="65"/>
      <c r="AQ25" s="60" t="e">
        <f t="shared" si="26"/>
        <v>#DIV/0!</v>
      </c>
      <c r="AR25" s="65"/>
      <c r="AS25" s="60" t="e">
        <f t="shared" si="26"/>
        <v>#DIV/0!</v>
      </c>
      <c r="AT25" s="60" t="e">
        <f t="shared" si="26"/>
        <v>#DIV/0!</v>
      </c>
      <c r="AU25" s="60" t="e">
        <f t="shared" si="26"/>
        <v>#DIV/0!</v>
      </c>
      <c r="AV25" s="60" t="e">
        <f t="shared" si="26"/>
        <v>#DIV/0!</v>
      </c>
      <c r="AW25" s="60" t="e">
        <f t="shared" si="26"/>
        <v>#DIV/0!</v>
      </c>
      <c r="AX25" s="60" t="e">
        <f t="shared" si="26"/>
        <v>#DIV/0!</v>
      </c>
      <c r="AY25" s="60" t="e">
        <f t="shared" si="26"/>
        <v>#DIV/0!</v>
      </c>
      <c r="AZ25" s="65"/>
      <c r="BA25" s="60" t="e">
        <f t="shared" si="26"/>
        <v>#DIV/0!</v>
      </c>
      <c r="BB25" s="59" t="e">
        <f>Links!AF25</f>
        <v>#DIV/0!</v>
      </c>
      <c r="BC25" s="59" t="e">
        <f>(Links!AG25*Links!C25+'On-Ramps'!AC25*'On-Ramps'!CE25)/('On-Ramps'!AC25+Links!C25)</f>
        <v>#DIV/0!</v>
      </c>
      <c r="BD25" s="59" t="e">
        <f>Links!AH25</f>
        <v>#DIV/0!</v>
      </c>
      <c r="BE25" s="59" t="e">
        <f>(Links!AI25*Links!E25+'On-Ramps'!AD25*'On-Ramps'!CF24)/('On-Ramps'!AD25+Links!E25)</f>
        <v>#DIV/0!</v>
      </c>
      <c r="BF25" s="59" t="e">
        <f>(Links!F25*Links!AJ25+'On-Ramps'!AE25*'On-Ramps'!CG25)/('On-Ramps'!AE25+Links!F25)</f>
        <v>#DIV/0!</v>
      </c>
      <c r="BG25" s="59" t="e">
        <f>(Links!G25*Links!AK25+'On-Ramps'!AF25*'On-Ramps'!CH25)/('On-Ramps'!AF25+Links!G25)</f>
        <v>#DIV/0!</v>
      </c>
      <c r="BH25" s="59" t="e">
        <f>(Links!H25*Links!AL25+'On-Ramps'!AG25*'On-Ramps'!CI25)/('On-Ramps'!AG25+Links!H25)</f>
        <v>#DIV/0!</v>
      </c>
      <c r="BI25" s="59" t="e">
        <f>(Links!J25*Links!AN25+'On-Ramps'!AH25*'On-Ramps'!CJ25)/('On-Ramps'!AH25+Links!J25)</f>
        <v>#DIV/0!</v>
      </c>
      <c r="BJ25" s="59" t="e">
        <f>(Links!K25*Links!AO25+'On-Ramps'!AI25*'On-Ramps'!CK25)/('On-Ramps'!AI25+Links!K25)</f>
        <v>#DIV/0!</v>
      </c>
      <c r="BK25" s="59" t="e">
        <f>(Links!L25*Links!AP25+'On-Ramps'!AJ25*'On-Ramps'!CL25)/(Links!L25+'On-Ramps'!AJ25)</f>
        <v>#DIV/0!</v>
      </c>
      <c r="BL25" s="59" t="e">
        <f>Links!AQ25</f>
        <v>#DIV/0!</v>
      </c>
      <c r="BM25" s="59" t="e">
        <f>(Links!N25*Links!AR25+'On-Ramps'!AL25*'On-Ramps'!CM25)/(Links!N25+'On-Ramps'!AL25)</f>
        <v>#DIV/0!</v>
      </c>
      <c r="BN25" s="59" t="e">
        <f>Links!AS25</f>
        <v>#DIV/0!</v>
      </c>
      <c r="BO25" s="60" t="e">
        <f>(Links!R25^2+'Off-Ramp'!L25^2)/(Links!R25+'Off-Ramp'!L25)</f>
        <v>#DIV/0!</v>
      </c>
      <c r="BP25" s="60" t="e">
        <f>Links!S25</f>
        <v>#DIV/0!</v>
      </c>
      <c r="BQ25" s="60" t="e">
        <f>(Links!S25^2+'Off-Ramp'!C25^2)/(Links!S25+'Off-Ramp'!C25)</f>
        <v>#DIV/0!</v>
      </c>
      <c r="BR25" s="60" t="e">
        <f>Links!T25</f>
        <v>#DIV/0!</v>
      </c>
      <c r="BS25" s="60" t="e">
        <f>(Links!X25^2+'Off-Ramp'!V25^2+'Off-Ramp'!W25^2+'Off-Ramp'!X25^2)/(Links!X25+'Off-Ramp'!V25+'Off-Ramp'!W25+'Off-Ramp'!X25)</f>
        <v>#DIV/0!</v>
      </c>
      <c r="BT25" s="60" t="e">
        <f>(Links!Y25^2+'Off-Ramp'!Y25^2+'Off-Ramp'!Z25^2+'Off-Ramp'!AA25^2)/(Links!Y25+'Off-Ramp'!Y25+'Off-Ramp'!Z25+'Off-Ramp'!AA25)</f>
        <v>#DIV/0!</v>
      </c>
      <c r="BU25" s="60" t="e">
        <f>(Links!W25^2+'Off-Ramp'!P25^2)/(Links!W25+'Off-Ramp'!P25)</f>
        <v>#DIV/0!</v>
      </c>
      <c r="BV25" s="60" t="e">
        <f>(Links!Y25^2+'Off-Ramp'!Q25^2)/(Links!Y25+'Off-Ramp'!Q25)</f>
        <v>#DIV/0!</v>
      </c>
      <c r="BW25" s="60" t="e">
        <f>(Links!Z25^2+'Off-Ramp'!R25^2)/(Links!Z25+'Off-Ramp'!R25)</f>
        <v>#DIV/0!</v>
      </c>
      <c r="BX25" s="60" t="e">
        <f>(Links!AA25+'Off-Ramp'!S25)/(Links!AA25^2+'Off-Ramp'!S25^2)</f>
        <v>#DIV/0!</v>
      </c>
      <c r="BY25" s="60" t="e">
        <f>(Links!AB25^2+'Off-Ramp'!T25^2)/(Links!AB25+'Off-Ramp'!T25)</f>
        <v>#DIV/0!</v>
      </c>
      <c r="BZ25" s="60" t="e">
        <f>Links!AC25</f>
        <v>#DIV/0!</v>
      </c>
      <c r="CA25" s="60" t="e">
        <f>(Links!AD25^2+'Off-Ramp'!U25^2)/(Links!AD25+'Off-Ramp'!U25)</f>
        <v>#DIV/0!</v>
      </c>
    </row>
    <row r="26" spans="1:79" x14ac:dyDescent="0.15">
      <c r="A26" s="58">
        <v>24</v>
      </c>
      <c r="B26" s="59" t="e">
        <f t="shared" si="2"/>
        <v>#DIV/0!</v>
      </c>
      <c r="C26" s="59" t="e">
        <f t="shared" si="3"/>
        <v>#DIV/0!</v>
      </c>
      <c r="D26" s="59" t="e">
        <f t="shared" si="4"/>
        <v>#DIV/0!</v>
      </c>
      <c r="E26" s="59" t="e">
        <f t="shared" si="5"/>
        <v>#DIV/0!</v>
      </c>
      <c r="F26" s="59" t="e">
        <f t="shared" si="6"/>
        <v>#DIV/0!</v>
      </c>
      <c r="G26" s="59" t="e">
        <f t="shared" si="7"/>
        <v>#DIV/0!</v>
      </c>
      <c r="H26" s="59" t="e">
        <f t="shared" si="8"/>
        <v>#DIV/0!</v>
      </c>
      <c r="I26" s="59" t="e">
        <f t="shared" si="9"/>
        <v>#DIV/0!</v>
      </c>
      <c r="J26" s="59" t="e">
        <f t="shared" si="10"/>
        <v>#DIV/0!</v>
      </c>
      <c r="K26" s="59" t="e">
        <f t="shared" si="11"/>
        <v>#DIV/0!</v>
      </c>
      <c r="L26" s="59" t="e">
        <f t="shared" si="12"/>
        <v>#DIV/0!</v>
      </c>
      <c r="M26" s="59" t="e">
        <f t="shared" si="13"/>
        <v>#DIV/0!</v>
      </c>
      <c r="N26" s="59" t="e">
        <f t="shared" si="14"/>
        <v>#DIV/0!</v>
      </c>
      <c r="O26" s="60" t="e">
        <f>Links!B26</f>
        <v>#DIV/0!</v>
      </c>
      <c r="P26" s="60" t="e">
        <f>Links!C26+'On-Ramps'!AC26</f>
        <v>#DIV/0!</v>
      </c>
      <c r="Q26" s="60" t="e">
        <f>Links!D26</f>
        <v>#DIV/0!</v>
      </c>
      <c r="R26" s="60" t="e">
        <f>Links!E26+'On-Ramps'!AD26</f>
        <v>#DIV/0!</v>
      </c>
      <c r="S26" s="60" t="e">
        <f>Links!F26+'On-Ramps'!AE26</f>
        <v>#DIV/0!</v>
      </c>
      <c r="T26" s="60" t="e">
        <f>Links!G26+'On-Ramps'!AF26</f>
        <v>#DIV/0!</v>
      </c>
      <c r="U26" s="60" t="e">
        <f>Links!H26+'On-Ramps'!AG26</f>
        <v>#DIV/0!</v>
      </c>
      <c r="V26" s="60" t="e">
        <f>Links!J26+'On-Ramps'!AH26</f>
        <v>#DIV/0!</v>
      </c>
      <c r="W26" s="60" t="e">
        <f>Links!K26+'On-Ramps'!AI26</f>
        <v>#DIV/0!</v>
      </c>
      <c r="X26" s="60" t="e">
        <f>Links!L26+'On-Ramps'!AJ26</f>
        <v>#DIV/0!</v>
      </c>
      <c r="Y26" s="60" t="e">
        <f>Links!M26</f>
        <v>#DIV/0!</v>
      </c>
      <c r="Z26" s="60" t="e">
        <f>Links!N26+'On-Ramps'!AK26</f>
        <v>#DIV/0!</v>
      </c>
      <c r="AA26" s="60" t="e">
        <f>Links!O26</f>
        <v>#DIV/0!</v>
      </c>
      <c r="AB26" s="59" t="e">
        <f t="shared" si="17"/>
        <v>#DIV/0!</v>
      </c>
      <c r="AC26" s="65"/>
      <c r="AD26" s="59" t="e">
        <f t="shared" si="18"/>
        <v>#DIV/0!</v>
      </c>
      <c r="AE26" s="65"/>
      <c r="AF26" s="59" t="e">
        <f t="shared" si="19"/>
        <v>#DIV/0!</v>
      </c>
      <c r="AG26" s="59" t="e">
        <f t="shared" si="20"/>
        <v>#DIV/0!</v>
      </c>
      <c r="AH26" s="59" t="e">
        <f t="shared" si="21"/>
        <v>#DIV/0!</v>
      </c>
      <c r="AI26" s="59" t="e">
        <f t="shared" si="22"/>
        <v>#DIV/0!</v>
      </c>
      <c r="AJ26" s="59" t="e">
        <f t="shared" si="23"/>
        <v>#DIV/0!</v>
      </c>
      <c r="AK26" s="59" t="e">
        <f t="shared" si="24"/>
        <v>#DIV/0!</v>
      </c>
      <c r="AL26" s="59" t="e">
        <f t="shared" si="25"/>
        <v>#DIV/0!</v>
      </c>
      <c r="AM26" s="65"/>
      <c r="AN26" s="59" t="e">
        <f t="shared" si="27"/>
        <v>#DIV/0!</v>
      </c>
      <c r="AO26" s="60" t="e">
        <f t="shared" si="26"/>
        <v>#DIV/0!</v>
      </c>
      <c r="AP26" s="65"/>
      <c r="AQ26" s="60" t="e">
        <f t="shared" si="26"/>
        <v>#DIV/0!</v>
      </c>
      <c r="AR26" s="65"/>
      <c r="AS26" s="60" t="e">
        <f t="shared" si="26"/>
        <v>#DIV/0!</v>
      </c>
      <c r="AT26" s="60" t="e">
        <f t="shared" si="26"/>
        <v>#DIV/0!</v>
      </c>
      <c r="AU26" s="60" t="e">
        <f t="shared" si="26"/>
        <v>#DIV/0!</v>
      </c>
      <c r="AV26" s="60" t="e">
        <f t="shared" si="26"/>
        <v>#DIV/0!</v>
      </c>
      <c r="AW26" s="60" t="e">
        <f t="shared" si="26"/>
        <v>#DIV/0!</v>
      </c>
      <c r="AX26" s="60" t="e">
        <f t="shared" si="26"/>
        <v>#DIV/0!</v>
      </c>
      <c r="AY26" s="60" t="e">
        <f t="shared" si="26"/>
        <v>#DIV/0!</v>
      </c>
      <c r="AZ26" s="65"/>
      <c r="BA26" s="60" t="e">
        <f t="shared" si="26"/>
        <v>#DIV/0!</v>
      </c>
      <c r="BB26" s="59" t="e">
        <f>Links!AF26</f>
        <v>#DIV/0!</v>
      </c>
      <c r="BC26" s="59" t="e">
        <f>(Links!AG26*Links!C26+'On-Ramps'!AC26*'On-Ramps'!CE26)/('On-Ramps'!AC26+Links!C26)</f>
        <v>#DIV/0!</v>
      </c>
      <c r="BD26" s="59" t="e">
        <f>Links!AH26</f>
        <v>#DIV/0!</v>
      </c>
      <c r="BE26" s="59" t="e">
        <f>(Links!AI26*Links!E26+'On-Ramps'!AD26*'On-Ramps'!CF25)/('On-Ramps'!AD26+Links!E26)</f>
        <v>#DIV/0!</v>
      </c>
      <c r="BF26" s="59" t="e">
        <f>(Links!F26*Links!AJ26+'On-Ramps'!AE26*'On-Ramps'!CG26)/('On-Ramps'!AE26+Links!F26)</f>
        <v>#DIV/0!</v>
      </c>
      <c r="BG26" s="59" t="e">
        <f>(Links!G26*Links!AK26+'On-Ramps'!AF26*'On-Ramps'!CH26)/('On-Ramps'!AF26+Links!G26)</f>
        <v>#DIV/0!</v>
      </c>
      <c r="BH26" s="59" t="e">
        <f>(Links!H26*Links!AL26+'On-Ramps'!AG26*'On-Ramps'!CI26)/('On-Ramps'!AG26+Links!H26)</f>
        <v>#DIV/0!</v>
      </c>
      <c r="BI26" s="59" t="e">
        <f>(Links!J26*Links!AN26+'On-Ramps'!AH26*'On-Ramps'!CJ26)/('On-Ramps'!AH26+Links!J26)</f>
        <v>#DIV/0!</v>
      </c>
      <c r="BJ26" s="59" t="e">
        <f>(Links!K26*Links!AO26+'On-Ramps'!AI26*'On-Ramps'!CK26)/('On-Ramps'!AI26+Links!K26)</f>
        <v>#DIV/0!</v>
      </c>
      <c r="BK26" s="59" t="e">
        <f>(Links!L26*Links!AP26+'On-Ramps'!AJ26*'On-Ramps'!CL26)/(Links!L26+'On-Ramps'!AJ26)</f>
        <v>#DIV/0!</v>
      </c>
      <c r="BL26" s="59" t="e">
        <f>Links!AQ26</f>
        <v>#DIV/0!</v>
      </c>
      <c r="BM26" s="59" t="e">
        <f>(Links!N26*Links!AR26+'On-Ramps'!AL26*'On-Ramps'!CM26)/(Links!N26+'On-Ramps'!AL26)</f>
        <v>#DIV/0!</v>
      </c>
      <c r="BN26" s="59" t="e">
        <f>Links!AS26</f>
        <v>#DIV/0!</v>
      </c>
      <c r="BO26" s="60" t="e">
        <f>(Links!R26^2+'Off-Ramp'!L26^2)/(Links!R26+'Off-Ramp'!L26)</f>
        <v>#DIV/0!</v>
      </c>
      <c r="BP26" s="60" t="e">
        <f>Links!S26</f>
        <v>#DIV/0!</v>
      </c>
      <c r="BQ26" s="60" t="e">
        <f>(Links!S26^2+'Off-Ramp'!C26^2)/(Links!S26+'Off-Ramp'!C26)</f>
        <v>#DIV/0!</v>
      </c>
      <c r="BR26" s="60" t="e">
        <f>Links!T26</f>
        <v>#DIV/0!</v>
      </c>
      <c r="BS26" s="60" t="e">
        <f>(Links!X26^2+'Off-Ramp'!V26^2+'Off-Ramp'!W26^2+'Off-Ramp'!X26^2)/(Links!X26+'Off-Ramp'!V26+'Off-Ramp'!W26+'Off-Ramp'!X26)</f>
        <v>#DIV/0!</v>
      </c>
      <c r="BT26" s="60" t="e">
        <f>(Links!Y26^2+'Off-Ramp'!Y26^2+'Off-Ramp'!Z26^2+'Off-Ramp'!AA26^2)/(Links!Y26+'Off-Ramp'!Y26+'Off-Ramp'!Z26+'Off-Ramp'!AA26)</f>
        <v>#DIV/0!</v>
      </c>
      <c r="BU26" s="60" t="e">
        <f>(Links!W26^2+'Off-Ramp'!P26^2)/(Links!W26+'Off-Ramp'!P26)</f>
        <v>#DIV/0!</v>
      </c>
      <c r="BV26" s="60" t="e">
        <f>(Links!Y26^2+'Off-Ramp'!Q26^2)/(Links!Y26+'Off-Ramp'!Q26)</f>
        <v>#DIV/0!</v>
      </c>
      <c r="BW26" s="60" t="e">
        <f>(Links!Z26^2+'Off-Ramp'!R26^2)/(Links!Z26+'Off-Ramp'!R26)</f>
        <v>#DIV/0!</v>
      </c>
      <c r="BX26" s="60" t="e">
        <f>(Links!AA26+'Off-Ramp'!S26)/(Links!AA26^2+'Off-Ramp'!S26^2)</f>
        <v>#DIV/0!</v>
      </c>
      <c r="BY26" s="60" t="e">
        <f>(Links!AB26^2+'Off-Ramp'!T26^2)/(Links!AB26+'Off-Ramp'!T26)</f>
        <v>#DIV/0!</v>
      </c>
      <c r="BZ26" s="60" t="e">
        <f>Links!AC26</f>
        <v>#DIV/0!</v>
      </c>
      <c r="CA26" s="60" t="e">
        <f>(Links!AD26^2+'Off-Ramp'!U26^2)/(Links!AD26+'Off-Ramp'!U26)</f>
        <v>#DIV/0!</v>
      </c>
    </row>
    <row r="27" spans="1:79" x14ac:dyDescent="0.15">
      <c r="A27" s="58">
        <v>25</v>
      </c>
      <c r="B27" s="59" t="e">
        <f t="shared" si="2"/>
        <v>#DIV/0!</v>
      </c>
      <c r="C27" s="59" t="e">
        <f t="shared" si="3"/>
        <v>#DIV/0!</v>
      </c>
      <c r="D27" s="59" t="e">
        <f t="shared" si="4"/>
        <v>#DIV/0!</v>
      </c>
      <c r="E27" s="59" t="e">
        <f t="shared" si="5"/>
        <v>#DIV/0!</v>
      </c>
      <c r="F27" s="59" t="e">
        <f t="shared" si="6"/>
        <v>#DIV/0!</v>
      </c>
      <c r="G27" s="59" t="e">
        <f t="shared" si="7"/>
        <v>#DIV/0!</v>
      </c>
      <c r="H27" s="59" t="e">
        <f t="shared" si="8"/>
        <v>#DIV/0!</v>
      </c>
      <c r="I27" s="59" t="e">
        <f t="shared" si="9"/>
        <v>#DIV/0!</v>
      </c>
      <c r="J27" s="59" t="e">
        <f t="shared" si="10"/>
        <v>#DIV/0!</v>
      </c>
      <c r="K27" s="59" t="e">
        <f t="shared" si="11"/>
        <v>#DIV/0!</v>
      </c>
      <c r="L27" s="59" t="e">
        <f t="shared" si="12"/>
        <v>#DIV/0!</v>
      </c>
      <c r="M27" s="59" t="e">
        <f t="shared" si="13"/>
        <v>#DIV/0!</v>
      </c>
      <c r="N27" s="59" t="e">
        <f t="shared" si="14"/>
        <v>#DIV/0!</v>
      </c>
      <c r="O27" s="60" t="e">
        <f>Links!B27</f>
        <v>#DIV/0!</v>
      </c>
      <c r="P27" s="60" t="e">
        <f>Links!C27+'On-Ramps'!AC27</f>
        <v>#DIV/0!</v>
      </c>
      <c r="Q27" s="60" t="e">
        <f>Links!D27</f>
        <v>#DIV/0!</v>
      </c>
      <c r="R27" s="60" t="e">
        <f>Links!E27+'On-Ramps'!AD27</f>
        <v>#DIV/0!</v>
      </c>
      <c r="S27" s="60" t="e">
        <f>Links!F27+'On-Ramps'!AE27</f>
        <v>#DIV/0!</v>
      </c>
      <c r="T27" s="60" t="e">
        <f>Links!G27+'On-Ramps'!AF27</f>
        <v>#DIV/0!</v>
      </c>
      <c r="U27" s="60" t="e">
        <f>Links!H27+'On-Ramps'!AG27</f>
        <v>#DIV/0!</v>
      </c>
      <c r="V27" s="60" t="e">
        <f>Links!J27+'On-Ramps'!AH27</f>
        <v>#DIV/0!</v>
      </c>
      <c r="W27" s="60" t="e">
        <f>Links!K27+'On-Ramps'!AI27</f>
        <v>#DIV/0!</v>
      </c>
      <c r="X27" s="60" t="e">
        <f>Links!L27+'On-Ramps'!AJ27</f>
        <v>#DIV/0!</v>
      </c>
      <c r="Y27" s="60" t="e">
        <f>Links!M27</f>
        <v>#DIV/0!</v>
      </c>
      <c r="Z27" s="60" t="e">
        <f>Links!N27+'On-Ramps'!AK27</f>
        <v>#DIV/0!</v>
      </c>
      <c r="AA27" s="60" t="e">
        <f>Links!O27</f>
        <v>#DIV/0!</v>
      </c>
      <c r="AB27" s="59" t="e">
        <f t="shared" si="17"/>
        <v>#DIV/0!</v>
      </c>
      <c r="AC27" s="65"/>
      <c r="AD27" s="59" t="e">
        <f t="shared" si="18"/>
        <v>#DIV/0!</v>
      </c>
      <c r="AE27" s="65"/>
      <c r="AF27" s="59" t="e">
        <f t="shared" si="19"/>
        <v>#DIV/0!</v>
      </c>
      <c r="AG27" s="59" t="e">
        <f t="shared" si="20"/>
        <v>#DIV/0!</v>
      </c>
      <c r="AH27" s="59" t="e">
        <f t="shared" si="21"/>
        <v>#DIV/0!</v>
      </c>
      <c r="AI27" s="59" t="e">
        <f t="shared" si="22"/>
        <v>#DIV/0!</v>
      </c>
      <c r="AJ27" s="59" t="e">
        <f t="shared" si="23"/>
        <v>#DIV/0!</v>
      </c>
      <c r="AK27" s="59" t="e">
        <f t="shared" si="24"/>
        <v>#DIV/0!</v>
      </c>
      <c r="AL27" s="59" t="e">
        <f t="shared" si="25"/>
        <v>#DIV/0!</v>
      </c>
      <c r="AM27" s="65"/>
      <c r="AN27" s="59" t="e">
        <f t="shared" si="27"/>
        <v>#DIV/0!</v>
      </c>
      <c r="AO27" s="60" t="e">
        <f t="shared" si="26"/>
        <v>#DIV/0!</v>
      </c>
      <c r="AP27" s="65"/>
      <c r="AQ27" s="60" t="e">
        <f t="shared" si="26"/>
        <v>#DIV/0!</v>
      </c>
      <c r="AR27" s="65"/>
      <c r="AS27" s="60" t="e">
        <f t="shared" si="26"/>
        <v>#DIV/0!</v>
      </c>
      <c r="AT27" s="60" t="e">
        <f t="shared" si="26"/>
        <v>#DIV/0!</v>
      </c>
      <c r="AU27" s="60" t="e">
        <f t="shared" si="26"/>
        <v>#DIV/0!</v>
      </c>
      <c r="AV27" s="60" t="e">
        <f t="shared" si="26"/>
        <v>#DIV/0!</v>
      </c>
      <c r="AW27" s="60" t="e">
        <f t="shared" si="26"/>
        <v>#DIV/0!</v>
      </c>
      <c r="AX27" s="60" t="e">
        <f t="shared" si="26"/>
        <v>#DIV/0!</v>
      </c>
      <c r="AY27" s="60" t="e">
        <f t="shared" si="26"/>
        <v>#DIV/0!</v>
      </c>
      <c r="AZ27" s="65"/>
      <c r="BA27" s="60" t="e">
        <f t="shared" si="26"/>
        <v>#DIV/0!</v>
      </c>
      <c r="BB27" s="59" t="e">
        <f>Links!AF27</f>
        <v>#DIV/0!</v>
      </c>
      <c r="BC27" s="59" t="e">
        <f>(Links!AG27*Links!C27+'On-Ramps'!AC27*'On-Ramps'!CE27)/('On-Ramps'!AC27+Links!C27)</f>
        <v>#DIV/0!</v>
      </c>
      <c r="BD27" s="59" t="e">
        <f>Links!AH27</f>
        <v>#DIV/0!</v>
      </c>
      <c r="BE27" s="59" t="e">
        <f>(Links!AI27*Links!E27+'On-Ramps'!AD27*'On-Ramps'!CF26)/('On-Ramps'!AD27+Links!E27)</f>
        <v>#DIV/0!</v>
      </c>
      <c r="BF27" s="59" t="e">
        <f>(Links!F27*Links!AJ27+'On-Ramps'!AE27*'On-Ramps'!CG27)/('On-Ramps'!AE27+Links!F27)</f>
        <v>#DIV/0!</v>
      </c>
      <c r="BG27" s="59" t="e">
        <f>(Links!G27*Links!AK27+'On-Ramps'!AF27*'On-Ramps'!CH27)/('On-Ramps'!AF27+Links!G27)</f>
        <v>#DIV/0!</v>
      </c>
      <c r="BH27" s="59" t="e">
        <f>(Links!H27*Links!AL27+'On-Ramps'!AG27*'On-Ramps'!CI27)/('On-Ramps'!AG27+Links!H27)</f>
        <v>#DIV/0!</v>
      </c>
      <c r="BI27" s="59" t="e">
        <f>(Links!J27*Links!AN27+'On-Ramps'!AH27*'On-Ramps'!CJ27)/('On-Ramps'!AH27+Links!J27)</f>
        <v>#DIV/0!</v>
      </c>
      <c r="BJ27" s="59" t="e">
        <f>(Links!K27*Links!AO27+'On-Ramps'!AI27*'On-Ramps'!CK27)/('On-Ramps'!AI27+Links!K27)</f>
        <v>#DIV/0!</v>
      </c>
      <c r="BK27" s="59" t="e">
        <f>(Links!L27*Links!AP27+'On-Ramps'!AJ27*'On-Ramps'!CL27)/(Links!L27+'On-Ramps'!AJ27)</f>
        <v>#DIV/0!</v>
      </c>
      <c r="BL27" s="59" t="e">
        <f>Links!AQ27</f>
        <v>#DIV/0!</v>
      </c>
      <c r="BM27" s="59" t="e">
        <f>(Links!N27*Links!AR27+'On-Ramps'!AL27*'On-Ramps'!CM27)/(Links!N27+'On-Ramps'!AL27)</f>
        <v>#DIV/0!</v>
      </c>
      <c r="BN27" s="59" t="e">
        <f>Links!AS27</f>
        <v>#DIV/0!</v>
      </c>
      <c r="BO27" s="60" t="e">
        <f>(Links!R27^2+'Off-Ramp'!L27^2)/(Links!R27+'Off-Ramp'!L27)</f>
        <v>#DIV/0!</v>
      </c>
      <c r="BP27" s="60" t="e">
        <f>Links!S27</f>
        <v>#DIV/0!</v>
      </c>
      <c r="BQ27" s="60" t="e">
        <f>(Links!S27^2+'Off-Ramp'!C27^2)/(Links!S27+'Off-Ramp'!C27)</f>
        <v>#DIV/0!</v>
      </c>
      <c r="BR27" s="60" t="e">
        <f>Links!T27</f>
        <v>#DIV/0!</v>
      </c>
      <c r="BS27" s="60" t="e">
        <f>(Links!X27^2+'Off-Ramp'!V27^2+'Off-Ramp'!W27^2+'Off-Ramp'!X27^2)/(Links!X27+'Off-Ramp'!V27+'Off-Ramp'!W27+'Off-Ramp'!X27)</f>
        <v>#DIV/0!</v>
      </c>
      <c r="BT27" s="60" t="e">
        <f>(Links!Y27^2+'Off-Ramp'!Y27^2+'Off-Ramp'!Z27^2+'Off-Ramp'!AA27^2)/(Links!Y27+'Off-Ramp'!Y27+'Off-Ramp'!Z27+'Off-Ramp'!AA27)</f>
        <v>#DIV/0!</v>
      </c>
      <c r="BU27" s="60" t="e">
        <f>(Links!W27^2+'Off-Ramp'!P27^2)/(Links!W27+'Off-Ramp'!P27)</f>
        <v>#DIV/0!</v>
      </c>
      <c r="BV27" s="60" t="e">
        <f>(Links!Y27^2+'Off-Ramp'!Q27^2)/(Links!Y27+'Off-Ramp'!Q27)</f>
        <v>#DIV/0!</v>
      </c>
      <c r="BW27" s="60" t="e">
        <f>(Links!Z27^2+'Off-Ramp'!R27^2)/(Links!Z27+'Off-Ramp'!R27)</f>
        <v>#DIV/0!</v>
      </c>
      <c r="BX27" s="60" t="e">
        <f>(Links!AA27+'Off-Ramp'!S27)/(Links!AA27^2+'Off-Ramp'!S27^2)</f>
        <v>#DIV/0!</v>
      </c>
      <c r="BY27" s="60" t="e">
        <f>(Links!AB27^2+'Off-Ramp'!T27^2)/(Links!AB27+'Off-Ramp'!T27)</f>
        <v>#DIV/0!</v>
      </c>
      <c r="BZ27" s="60" t="e">
        <f>Links!AC27</f>
        <v>#DIV/0!</v>
      </c>
      <c r="CA27" s="60" t="e">
        <f>(Links!AD27^2+'Off-Ramp'!U27^2)/(Links!AD27+'Off-Ramp'!U27)</f>
        <v>#DIV/0!</v>
      </c>
    </row>
    <row r="28" spans="1:79" x14ac:dyDescent="0.15">
      <c r="A28" s="58">
        <v>26</v>
      </c>
      <c r="B28" s="59" t="e">
        <f t="shared" si="2"/>
        <v>#DIV/0!</v>
      </c>
      <c r="C28" s="59" t="e">
        <f t="shared" si="3"/>
        <v>#DIV/0!</v>
      </c>
      <c r="D28" s="59" t="e">
        <f t="shared" si="4"/>
        <v>#DIV/0!</v>
      </c>
      <c r="E28" s="59" t="e">
        <f t="shared" si="5"/>
        <v>#DIV/0!</v>
      </c>
      <c r="F28" s="59" t="e">
        <f t="shared" si="6"/>
        <v>#DIV/0!</v>
      </c>
      <c r="G28" s="59" t="e">
        <f t="shared" si="7"/>
        <v>#DIV/0!</v>
      </c>
      <c r="H28" s="59" t="e">
        <f t="shared" si="8"/>
        <v>#DIV/0!</v>
      </c>
      <c r="I28" s="59" t="e">
        <f t="shared" si="9"/>
        <v>#DIV/0!</v>
      </c>
      <c r="J28" s="59" t="e">
        <f t="shared" si="10"/>
        <v>#DIV/0!</v>
      </c>
      <c r="K28" s="59" t="e">
        <f t="shared" si="11"/>
        <v>#DIV/0!</v>
      </c>
      <c r="L28" s="59" t="e">
        <f t="shared" si="12"/>
        <v>#DIV/0!</v>
      </c>
      <c r="M28" s="59" t="e">
        <f t="shared" si="13"/>
        <v>#DIV/0!</v>
      </c>
      <c r="N28" s="59" t="e">
        <f t="shared" si="14"/>
        <v>#DIV/0!</v>
      </c>
      <c r="O28" s="60" t="e">
        <f>Links!B28</f>
        <v>#DIV/0!</v>
      </c>
      <c r="P28" s="60" t="e">
        <f>Links!C28+'On-Ramps'!AC28</f>
        <v>#DIV/0!</v>
      </c>
      <c r="Q28" s="60" t="e">
        <f>Links!D28</f>
        <v>#DIV/0!</v>
      </c>
      <c r="R28" s="60" t="e">
        <f>Links!E28+'On-Ramps'!AD28</f>
        <v>#DIV/0!</v>
      </c>
      <c r="S28" s="60" t="e">
        <f>Links!F28+'On-Ramps'!AE28</f>
        <v>#DIV/0!</v>
      </c>
      <c r="T28" s="60" t="e">
        <f>Links!G28+'On-Ramps'!AF28</f>
        <v>#DIV/0!</v>
      </c>
      <c r="U28" s="60" t="e">
        <f>Links!H28+'On-Ramps'!AG28</f>
        <v>#DIV/0!</v>
      </c>
      <c r="V28" s="60" t="e">
        <f>Links!J28+'On-Ramps'!AH28</f>
        <v>#DIV/0!</v>
      </c>
      <c r="W28" s="60" t="e">
        <f>Links!K28+'On-Ramps'!AI28</f>
        <v>#DIV/0!</v>
      </c>
      <c r="X28" s="60" t="e">
        <f>Links!L28+'On-Ramps'!AJ28</f>
        <v>#DIV/0!</v>
      </c>
      <c r="Y28" s="60" t="e">
        <f>Links!M28</f>
        <v>#DIV/0!</v>
      </c>
      <c r="Z28" s="60" t="e">
        <f>Links!N28+'On-Ramps'!AK28</f>
        <v>#DIV/0!</v>
      </c>
      <c r="AA28" s="60" t="e">
        <f>Links!O28</f>
        <v>#DIV/0!</v>
      </c>
      <c r="AB28" s="59" t="e">
        <f t="shared" si="17"/>
        <v>#DIV/0!</v>
      </c>
      <c r="AC28" s="65"/>
      <c r="AD28" s="59" t="e">
        <f t="shared" si="18"/>
        <v>#DIV/0!</v>
      </c>
      <c r="AE28" s="65"/>
      <c r="AF28" s="59" t="e">
        <f t="shared" si="19"/>
        <v>#DIV/0!</v>
      </c>
      <c r="AG28" s="59" t="e">
        <f t="shared" si="20"/>
        <v>#DIV/0!</v>
      </c>
      <c r="AH28" s="59" t="e">
        <f t="shared" si="21"/>
        <v>#DIV/0!</v>
      </c>
      <c r="AI28" s="59" t="e">
        <f t="shared" si="22"/>
        <v>#DIV/0!</v>
      </c>
      <c r="AJ28" s="59" t="e">
        <f t="shared" si="23"/>
        <v>#DIV/0!</v>
      </c>
      <c r="AK28" s="59" t="e">
        <f t="shared" si="24"/>
        <v>#DIV/0!</v>
      </c>
      <c r="AL28" s="59" t="e">
        <f t="shared" si="25"/>
        <v>#DIV/0!</v>
      </c>
      <c r="AM28" s="65"/>
      <c r="AN28" s="59" t="e">
        <f t="shared" si="27"/>
        <v>#DIV/0!</v>
      </c>
      <c r="AO28" s="60" t="e">
        <f t="shared" si="26"/>
        <v>#DIV/0!</v>
      </c>
      <c r="AP28" s="65"/>
      <c r="AQ28" s="60" t="e">
        <f t="shared" si="26"/>
        <v>#DIV/0!</v>
      </c>
      <c r="AR28" s="65"/>
      <c r="AS28" s="60" t="e">
        <f t="shared" si="26"/>
        <v>#DIV/0!</v>
      </c>
      <c r="AT28" s="60" t="e">
        <f t="shared" si="26"/>
        <v>#DIV/0!</v>
      </c>
      <c r="AU28" s="60" t="e">
        <f t="shared" si="26"/>
        <v>#DIV/0!</v>
      </c>
      <c r="AV28" s="60" t="e">
        <f t="shared" si="26"/>
        <v>#DIV/0!</v>
      </c>
      <c r="AW28" s="60" t="e">
        <f t="shared" si="26"/>
        <v>#DIV/0!</v>
      </c>
      <c r="AX28" s="60" t="e">
        <f t="shared" si="26"/>
        <v>#DIV/0!</v>
      </c>
      <c r="AY28" s="60" t="e">
        <f t="shared" si="26"/>
        <v>#DIV/0!</v>
      </c>
      <c r="AZ28" s="65"/>
      <c r="BA28" s="60" t="e">
        <f t="shared" si="26"/>
        <v>#DIV/0!</v>
      </c>
      <c r="BB28" s="59" t="e">
        <f>Links!AF28</f>
        <v>#DIV/0!</v>
      </c>
      <c r="BC28" s="59" t="e">
        <f>(Links!AG28*Links!C28+'On-Ramps'!AC28*'On-Ramps'!CE28)/('On-Ramps'!AC28+Links!C28)</f>
        <v>#DIV/0!</v>
      </c>
      <c r="BD28" s="59" t="e">
        <f>Links!AH28</f>
        <v>#DIV/0!</v>
      </c>
      <c r="BE28" s="59" t="e">
        <f>(Links!AI28*Links!E28+'On-Ramps'!AD28*'On-Ramps'!CF27)/('On-Ramps'!AD28+Links!E28)</f>
        <v>#DIV/0!</v>
      </c>
      <c r="BF28" s="59" t="e">
        <f>(Links!F28*Links!AJ28+'On-Ramps'!AE28*'On-Ramps'!CG28)/('On-Ramps'!AE28+Links!F28)</f>
        <v>#DIV/0!</v>
      </c>
      <c r="BG28" s="59" t="e">
        <f>(Links!G28*Links!AK28+'On-Ramps'!AF28*'On-Ramps'!CH28)/('On-Ramps'!AF28+Links!G28)</f>
        <v>#DIV/0!</v>
      </c>
      <c r="BH28" s="59" t="e">
        <f>(Links!H28*Links!AL28+'On-Ramps'!AG28*'On-Ramps'!CI28)/('On-Ramps'!AG28+Links!H28)</f>
        <v>#DIV/0!</v>
      </c>
      <c r="BI28" s="59" t="e">
        <f>(Links!J28*Links!AN28+'On-Ramps'!AH28*'On-Ramps'!CJ28)/('On-Ramps'!AH28+Links!J28)</f>
        <v>#DIV/0!</v>
      </c>
      <c r="BJ28" s="59" t="e">
        <f>(Links!K28*Links!AO28+'On-Ramps'!AI28*'On-Ramps'!CK28)/('On-Ramps'!AI28+Links!K28)</f>
        <v>#DIV/0!</v>
      </c>
      <c r="BK28" s="59" t="e">
        <f>(Links!L28*Links!AP28+'On-Ramps'!AJ28*'On-Ramps'!CL28)/(Links!L28+'On-Ramps'!AJ28)</f>
        <v>#DIV/0!</v>
      </c>
      <c r="BL28" s="59" t="e">
        <f>Links!AQ28</f>
        <v>#DIV/0!</v>
      </c>
      <c r="BM28" s="59" t="e">
        <f>(Links!N28*Links!AR28+'On-Ramps'!AL28*'On-Ramps'!CM28)/(Links!N28+'On-Ramps'!AL28)</f>
        <v>#DIV/0!</v>
      </c>
      <c r="BN28" s="59" t="e">
        <f>Links!AS28</f>
        <v>#DIV/0!</v>
      </c>
      <c r="BO28" s="60" t="e">
        <f>(Links!R28^2+'Off-Ramp'!L28^2)/(Links!R28+'Off-Ramp'!L28)</f>
        <v>#DIV/0!</v>
      </c>
      <c r="BP28" s="60" t="e">
        <f>Links!S28</f>
        <v>#DIV/0!</v>
      </c>
      <c r="BQ28" s="60" t="e">
        <f>(Links!S28^2+'Off-Ramp'!C28^2)/(Links!S28+'Off-Ramp'!C28)</f>
        <v>#DIV/0!</v>
      </c>
      <c r="BR28" s="60" t="e">
        <f>Links!T28</f>
        <v>#DIV/0!</v>
      </c>
      <c r="BS28" s="60" t="e">
        <f>(Links!X28^2+'Off-Ramp'!V28^2+'Off-Ramp'!W28^2+'Off-Ramp'!X28^2)/(Links!X28+'Off-Ramp'!V28+'Off-Ramp'!W28+'Off-Ramp'!X28)</f>
        <v>#DIV/0!</v>
      </c>
      <c r="BT28" s="60" t="e">
        <f>(Links!Y28^2+'Off-Ramp'!Y28^2+'Off-Ramp'!Z28^2+'Off-Ramp'!AA28^2)/(Links!Y28+'Off-Ramp'!Y28+'Off-Ramp'!Z28+'Off-Ramp'!AA28)</f>
        <v>#DIV/0!</v>
      </c>
      <c r="BU28" s="60" t="e">
        <f>(Links!W28^2+'Off-Ramp'!P28^2)/(Links!W28+'Off-Ramp'!P28)</f>
        <v>#DIV/0!</v>
      </c>
      <c r="BV28" s="60" t="e">
        <f>(Links!Y28^2+'Off-Ramp'!Q28^2)/(Links!Y28+'Off-Ramp'!Q28)</f>
        <v>#DIV/0!</v>
      </c>
      <c r="BW28" s="60" t="e">
        <f>(Links!Z28^2+'Off-Ramp'!R28^2)/(Links!Z28+'Off-Ramp'!R28)</f>
        <v>#DIV/0!</v>
      </c>
      <c r="BX28" s="60" t="e">
        <f>(Links!AA28+'Off-Ramp'!S28)/(Links!AA28^2+'Off-Ramp'!S28^2)</f>
        <v>#DIV/0!</v>
      </c>
      <c r="BY28" s="60" t="e">
        <f>(Links!AB28^2+'Off-Ramp'!T28^2)/(Links!AB28+'Off-Ramp'!T28)</f>
        <v>#DIV/0!</v>
      </c>
      <c r="BZ28" s="60" t="e">
        <f>Links!AC28</f>
        <v>#DIV/0!</v>
      </c>
      <c r="CA28" s="60" t="e">
        <f>(Links!AD28^2+'Off-Ramp'!U28^2)/(Links!AD28+'Off-Ramp'!U28)</f>
        <v>#DIV/0!</v>
      </c>
    </row>
    <row r="29" spans="1:79" x14ac:dyDescent="0.15">
      <c r="A29" s="58">
        <v>27</v>
      </c>
      <c r="B29" s="59" t="e">
        <f t="shared" si="2"/>
        <v>#DIV/0!</v>
      </c>
      <c r="C29" s="59" t="e">
        <f t="shared" si="3"/>
        <v>#DIV/0!</v>
      </c>
      <c r="D29" s="59" t="e">
        <f t="shared" si="4"/>
        <v>#DIV/0!</v>
      </c>
      <c r="E29" s="59" t="e">
        <f t="shared" si="5"/>
        <v>#DIV/0!</v>
      </c>
      <c r="F29" s="59" t="e">
        <f t="shared" si="6"/>
        <v>#DIV/0!</v>
      </c>
      <c r="G29" s="59" t="e">
        <f t="shared" si="7"/>
        <v>#DIV/0!</v>
      </c>
      <c r="H29" s="59" t="e">
        <f t="shared" si="8"/>
        <v>#DIV/0!</v>
      </c>
      <c r="I29" s="59" t="e">
        <f t="shared" si="9"/>
        <v>#DIV/0!</v>
      </c>
      <c r="J29" s="59" t="e">
        <f t="shared" si="10"/>
        <v>#DIV/0!</v>
      </c>
      <c r="K29" s="59" t="e">
        <f t="shared" si="11"/>
        <v>#DIV/0!</v>
      </c>
      <c r="L29" s="59" t="e">
        <f t="shared" si="12"/>
        <v>#DIV/0!</v>
      </c>
      <c r="M29" s="59" t="e">
        <f t="shared" si="13"/>
        <v>#DIV/0!</v>
      </c>
      <c r="N29" s="59" t="e">
        <f t="shared" si="14"/>
        <v>#DIV/0!</v>
      </c>
      <c r="O29" s="60" t="e">
        <f>Links!B29</f>
        <v>#DIV/0!</v>
      </c>
      <c r="P29" s="60" t="e">
        <f>Links!C29+'On-Ramps'!AC29</f>
        <v>#DIV/0!</v>
      </c>
      <c r="Q29" s="60" t="e">
        <f>Links!D29</f>
        <v>#DIV/0!</v>
      </c>
      <c r="R29" s="60" t="e">
        <f>Links!E29+'On-Ramps'!AD29</f>
        <v>#DIV/0!</v>
      </c>
      <c r="S29" s="60" t="e">
        <f>Links!F29+'On-Ramps'!AE29</f>
        <v>#DIV/0!</v>
      </c>
      <c r="T29" s="60" t="e">
        <f>Links!G29+'On-Ramps'!AF29</f>
        <v>#DIV/0!</v>
      </c>
      <c r="U29" s="60" t="e">
        <f>Links!H29+'On-Ramps'!AG29</f>
        <v>#DIV/0!</v>
      </c>
      <c r="V29" s="60" t="e">
        <f>Links!J29+'On-Ramps'!AH29</f>
        <v>#DIV/0!</v>
      </c>
      <c r="W29" s="60" t="e">
        <f>Links!K29+'On-Ramps'!AI29</f>
        <v>#DIV/0!</v>
      </c>
      <c r="X29" s="60" t="e">
        <f>Links!L29+'On-Ramps'!AJ29</f>
        <v>#DIV/0!</v>
      </c>
      <c r="Y29" s="60" t="e">
        <f>Links!M29</f>
        <v>#DIV/0!</v>
      </c>
      <c r="Z29" s="60" t="e">
        <f>Links!N29+'On-Ramps'!AK29</f>
        <v>#DIV/0!</v>
      </c>
      <c r="AA29" s="60" t="e">
        <f>Links!O29</f>
        <v>#DIV/0!</v>
      </c>
      <c r="AB29" s="59" t="e">
        <f t="shared" si="17"/>
        <v>#DIV/0!</v>
      </c>
      <c r="AC29" s="65"/>
      <c r="AD29" s="59" t="e">
        <f t="shared" si="18"/>
        <v>#DIV/0!</v>
      </c>
      <c r="AE29" s="65"/>
      <c r="AF29" s="59" t="e">
        <f t="shared" si="19"/>
        <v>#DIV/0!</v>
      </c>
      <c r="AG29" s="59" t="e">
        <f t="shared" si="20"/>
        <v>#DIV/0!</v>
      </c>
      <c r="AH29" s="59" t="e">
        <f t="shared" si="21"/>
        <v>#DIV/0!</v>
      </c>
      <c r="AI29" s="59" t="e">
        <f t="shared" si="22"/>
        <v>#DIV/0!</v>
      </c>
      <c r="AJ29" s="59" t="e">
        <f t="shared" si="23"/>
        <v>#DIV/0!</v>
      </c>
      <c r="AK29" s="59" t="e">
        <f t="shared" si="24"/>
        <v>#DIV/0!</v>
      </c>
      <c r="AL29" s="59" t="e">
        <f t="shared" si="25"/>
        <v>#DIV/0!</v>
      </c>
      <c r="AM29" s="65"/>
      <c r="AN29" s="59" t="e">
        <f t="shared" si="27"/>
        <v>#DIV/0!</v>
      </c>
      <c r="AO29" s="60" t="e">
        <f t="shared" si="26"/>
        <v>#DIV/0!</v>
      </c>
      <c r="AP29" s="65"/>
      <c r="AQ29" s="60" t="e">
        <f t="shared" si="26"/>
        <v>#DIV/0!</v>
      </c>
      <c r="AR29" s="65"/>
      <c r="AS29" s="60" t="e">
        <f t="shared" si="26"/>
        <v>#DIV/0!</v>
      </c>
      <c r="AT29" s="60" t="e">
        <f t="shared" si="26"/>
        <v>#DIV/0!</v>
      </c>
      <c r="AU29" s="60" t="e">
        <f t="shared" si="26"/>
        <v>#DIV/0!</v>
      </c>
      <c r="AV29" s="60" t="e">
        <f t="shared" si="26"/>
        <v>#DIV/0!</v>
      </c>
      <c r="AW29" s="60" t="e">
        <f t="shared" si="26"/>
        <v>#DIV/0!</v>
      </c>
      <c r="AX29" s="60" t="e">
        <f t="shared" si="26"/>
        <v>#DIV/0!</v>
      </c>
      <c r="AY29" s="60" t="e">
        <f t="shared" si="26"/>
        <v>#DIV/0!</v>
      </c>
      <c r="AZ29" s="65"/>
      <c r="BA29" s="60" t="e">
        <f t="shared" si="26"/>
        <v>#DIV/0!</v>
      </c>
      <c r="BB29" s="59" t="e">
        <f>Links!AF29</f>
        <v>#DIV/0!</v>
      </c>
      <c r="BC29" s="59" t="e">
        <f>(Links!AG29*Links!C29+'On-Ramps'!AC29*'On-Ramps'!CE29)/('On-Ramps'!AC29+Links!C29)</f>
        <v>#DIV/0!</v>
      </c>
      <c r="BD29" s="59" t="e">
        <f>Links!AH29</f>
        <v>#DIV/0!</v>
      </c>
      <c r="BE29" s="59" t="e">
        <f>(Links!AI29*Links!E29+'On-Ramps'!AD29*'On-Ramps'!CF28)/('On-Ramps'!AD29+Links!E29)</f>
        <v>#DIV/0!</v>
      </c>
      <c r="BF29" s="59" t="e">
        <f>(Links!F29*Links!AJ29+'On-Ramps'!AE29*'On-Ramps'!CG29)/('On-Ramps'!AE29+Links!F29)</f>
        <v>#DIV/0!</v>
      </c>
      <c r="BG29" s="59" t="e">
        <f>(Links!G29*Links!AK29+'On-Ramps'!AF29*'On-Ramps'!CH29)/('On-Ramps'!AF29+Links!G29)</f>
        <v>#DIV/0!</v>
      </c>
      <c r="BH29" s="59" t="e">
        <f>(Links!H29*Links!AL29+'On-Ramps'!AG29*'On-Ramps'!CI29)/('On-Ramps'!AG29+Links!H29)</f>
        <v>#DIV/0!</v>
      </c>
      <c r="BI29" s="59" t="e">
        <f>(Links!J29*Links!AN29+'On-Ramps'!AH29*'On-Ramps'!CJ29)/('On-Ramps'!AH29+Links!J29)</f>
        <v>#DIV/0!</v>
      </c>
      <c r="BJ29" s="59" t="e">
        <f>(Links!K29*Links!AO29+'On-Ramps'!AI29*'On-Ramps'!CK29)/('On-Ramps'!AI29+Links!K29)</f>
        <v>#DIV/0!</v>
      </c>
      <c r="BK29" s="59" t="e">
        <f>(Links!L29*Links!AP29+'On-Ramps'!AJ29*'On-Ramps'!CL29)/(Links!L29+'On-Ramps'!AJ29)</f>
        <v>#DIV/0!</v>
      </c>
      <c r="BL29" s="59" t="e">
        <f>Links!AQ29</f>
        <v>#DIV/0!</v>
      </c>
      <c r="BM29" s="59" t="e">
        <f>(Links!N29*Links!AR29+'On-Ramps'!AL29*'On-Ramps'!CM29)/(Links!N29+'On-Ramps'!AL29)</f>
        <v>#DIV/0!</v>
      </c>
      <c r="BN29" s="59" t="e">
        <f>Links!AS29</f>
        <v>#DIV/0!</v>
      </c>
      <c r="BO29" s="60" t="e">
        <f>(Links!R29^2+'Off-Ramp'!L29^2)/(Links!R29+'Off-Ramp'!L29)</f>
        <v>#DIV/0!</v>
      </c>
      <c r="BP29" s="60" t="e">
        <f>Links!S29</f>
        <v>#DIV/0!</v>
      </c>
      <c r="BQ29" s="60" t="e">
        <f>(Links!S29^2+'Off-Ramp'!C29^2)/(Links!S29+'Off-Ramp'!C29)</f>
        <v>#DIV/0!</v>
      </c>
      <c r="BR29" s="60" t="e">
        <f>Links!T29</f>
        <v>#DIV/0!</v>
      </c>
      <c r="BS29" s="60" t="e">
        <f>(Links!X29^2+'Off-Ramp'!V29^2+'Off-Ramp'!W29^2+'Off-Ramp'!X29^2)/(Links!X29+'Off-Ramp'!V29+'Off-Ramp'!W29+'Off-Ramp'!X29)</f>
        <v>#DIV/0!</v>
      </c>
      <c r="BT29" s="60" t="e">
        <f>(Links!Y29^2+'Off-Ramp'!Y29^2+'Off-Ramp'!Z29^2+'Off-Ramp'!AA29^2)/(Links!Y29+'Off-Ramp'!Y29+'Off-Ramp'!Z29+'Off-Ramp'!AA29)</f>
        <v>#DIV/0!</v>
      </c>
      <c r="BU29" s="60" t="e">
        <f>(Links!W29^2+'Off-Ramp'!P29^2)/(Links!W29+'Off-Ramp'!P29)</f>
        <v>#DIV/0!</v>
      </c>
      <c r="BV29" s="60" t="e">
        <f>(Links!Y29^2+'Off-Ramp'!Q29^2)/(Links!Y29+'Off-Ramp'!Q29)</f>
        <v>#DIV/0!</v>
      </c>
      <c r="BW29" s="60" t="e">
        <f>(Links!Z29^2+'Off-Ramp'!R29^2)/(Links!Z29+'Off-Ramp'!R29)</f>
        <v>#DIV/0!</v>
      </c>
      <c r="BX29" s="60" t="e">
        <f>(Links!AA29+'Off-Ramp'!S29)/(Links!AA29^2+'Off-Ramp'!S29^2)</f>
        <v>#DIV/0!</v>
      </c>
      <c r="BY29" s="60" t="e">
        <f>(Links!AB29^2+'Off-Ramp'!T29^2)/(Links!AB29+'Off-Ramp'!T29)</f>
        <v>#DIV/0!</v>
      </c>
      <c r="BZ29" s="60" t="e">
        <f>Links!AC29</f>
        <v>#DIV/0!</v>
      </c>
      <c r="CA29" s="60" t="e">
        <f>(Links!AD29^2+'Off-Ramp'!U29^2)/(Links!AD29+'Off-Ramp'!U29)</f>
        <v>#DIV/0!</v>
      </c>
    </row>
    <row r="30" spans="1:79" x14ac:dyDescent="0.15">
      <c r="A30" s="58">
        <v>28</v>
      </c>
      <c r="B30" s="59" t="e">
        <f t="shared" si="2"/>
        <v>#DIV/0!</v>
      </c>
      <c r="C30" s="59" t="e">
        <f t="shared" si="3"/>
        <v>#DIV/0!</v>
      </c>
      <c r="D30" s="59" t="e">
        <f t="shared" si="4"/>
        <v>#DIV/0!</v>
      </c>
      <c r="E30" s="59" t="e">
        <f t="shared" si="5"/>
        <v>#DIV/0!</v>
      </c>
      <c r="F30" s="59" t="e">
        <f t="shared" si="6"/>
        <v>#DIV/0!</v>
      </c>
      <c r="G30" s="59" t="e">
        <f t="shared" si="7"/>
        <v>#DIV/0!</v>
      </c>
      <c r="H30" s="59" t="e">
        <f t="shared" si="8"/>
        <v>#DIV/0!</v>
      </c>
      <c r="I30" s="59" t="e">
        <f t="shared" si="9"/>
        <v>#DIV/0!</v>
      </c>
      <c r="J30" s="59" t="e">
        <f t="shared" si="10"/>
        <v>#DIV/0!</v>
      </c>
      <c r="K30" s="59" t="e">
        <f t="shared" si="11"/>
        <v>#DIV/0!</v>
      </c>
      <c r="L30" s="59" t="e">
        <f t="shared" si="12"/>
        <v>#DIV/0!</v>
      </c>
      <c r="M30" s="59" t="e">
        <f t="shared" si="13"/>
        <v>#DIV/0!</v>
      </c>
      <c r="N30" s="59" t="e">
        <f t="shared" si="14"/>
        <v>#DIV/0!</v>
      </c>
      <c r="O30" s="60" t="e">
        <f>Links!B30</f>
        <v>#DIV/0!</v>
      </c>
      <c r="P30" s="60" t="e">
        <f>Links!C30+'On-Ramps'!AC30</f>
        <v>#DIV/0!</v>
      </c>
      <c r="Q30" s="60" t="e">
        <f>Links!D30</f>
        <v>#DIV/0!</v>
      </c>
      <c r="R30" s="60" t="e">
        <f>Links!E30+'On-Ramps'!AD30</f>
        <v>#DIV/0!</v>
      </c>
      <c r="S30" s="60" t="e">
        <f>Links!F30+'On-Ramps'!AE30</f>
        <v>#DIV/0!</v>
      </c>
      <c r="T30" s="60" t="e">
        <f>Links!G30+'On-Ramps'!AF30</f>
        <v>#DIV/0!</v>
      </c>
      <c r="U30" s="60" t="e">
        <f>Links!H30+'On-Ramps'!AG30</f>
        <v>#DIV/0!</v>
      </c>
      <c r="V30" s="60" t="e">
        <f>Links!J30+'On-Ramps'!AH30</f>
        <v>#DIV/0!</v>
      </c>
      <c r="W30" s="60" t="e">
        <f>Links!K30+'On-Ramps'!AI30</f>
        <v>#DIV/0!</v>
      </c>
      <c r="X30" s="60" t="e">
        <f>Links!L30+'On-Ramps'!AJ30</f>
        <v>#DIV/0!</v>
      </c>
      <c r="Y30" s="60" t="e">
        <f>Links!M30</f>
        <v>#DIV/0!</v>
      </c>
      <c r="Z30" s="60" t="e">
        <f>Links!N30+'On-Ramps'!AK30</f>
        <v>#DIV/0!</v>
      </c>
      <c r="AA30" s="60" t="e">
        <f>Links!O30</f>
        <v>#DIV/0!</v>
      </c>
      <c r="AB30" s="59" t="e">
        <f t="shared" si="17"/>
        <v>#DIV/0!</v>
      </c>
      <c r="AC30" s="65"/>
      <c r="AD30" s="59" t="e">
        <f t="shared" si="18"/>
        <v>#DIV/0!</v>
      </c>
      <c r="AE30" s="65"/>
      <c r="AF30" s="59" t="e">
        <f t="shared" si="19"/>
        <v>#DIV/0!</v>
      </c>
      <c r="AG30" s="59" t="e">
        <f t="shared" si="20"/>
        <v>#DIV/0!</v>
      </c>
      <c r="AH30" s="59" t="e">
        <f t="shared" si="21"/>
        <v>#DIV/0!</v>
      </c>
      <c r="AI30" s="59" t="e">
        <f t="shared" si="22"/>
        <v>#DIV/0!</v>
      </c>
      <c r="AJ30" s="59" t="e">
        <f t="shared" si="23"/>
        <v>#DIV/0!</v>
      </c>
      <c r="AK30" s="59" t="e">
        <f t="shared" si="24"/>
        <v>#DIV/0!</v>
      </c>
      <c r="AL30" s="59" t="e">
        <f t="shared" si="25"/>
        <v>#DIV/0!</v>
      </c>
      <c r="AM30" s="65"/>
      <c r="AN30" s="59" t="e">
        <f t="shared" si="27"/>
        <v>#DIV/0!</v>
      </c>
      <c r="AO30" s="60" t="e">
        <f t="shared" si="26"/>
        <v>#DIV/0!</v>
      </c>
      <c r="AP30" s="65"/>
      <c r="AQ30" s="60" t="e">
        <f t="shared" si="26"/>
        <v>#DIV/0!</v>
      </c>
      <c r="AR30" s="65"/>
      <c r="AS30" s="60" t="e">
        <f t="shared" si="26"/>
        <v>#DIV/0!</v>
      </c>
      <c r="AT30" s="60" t="e">
        <f t="shared" si="26"/>
        <v>#DIV/0!</v>
      </c>
      <c r="AU30" s="60" t="e">
        <f t="shared" si="26"/>
        <v>#DIV/0!</v>
      </c>
      <c r="AV30" s="60" t="e">
        <f t="shared" si="26"/>
        <v>#DIV/0!</v>
      </c>
      <c r="AW30" s="60" t="e">
        <f t="shared" si="26"/>
        <v>#DIV/0!</v>
      </c>
      <c r="AX30" s="60" t="e">
        <f t="shared" si="26"/>
        <v>#DIV/0!</v>
      </c>
      <c r="AY30" s="60" t="e">
        <f t="shared" si="26"/>
        <v>#DIV/0!</v>
      </c>
      <c r="AZ30" s="65"/>
      <c r="BA30" s="60" t="e">
        <f t="shared" si="26"/>
        <v>#DIV/0!</v>
      </c>
      <c r="BB30" s="59" t="e">
        <f>Links!AF30</f>
        <v>#DIV/0!</v>
      </c>
      <c r="BC30" s="59" t="e">
        <f>(Links!AG30*Links!C30+'On-Ramps'!AC30*'On-Ramps'!CE30)/('On-Ramps'!AC30+Links!C30)</f>
        <v>#DIV/0!</v>
      </c>
      <c r="BD30" s="59" t="e">
        <f>Links!AH30</f>
        <v>#DIV/0!</v>
      </c>
      <c r="BE30" s="59" t="e">
        <f>(Links!AI30*Links!E30+'On-Ramps'!AD30*'On-Ramps'!CF29)/('On-Ramps'!AD30+Links!E30)</f>
        <v>#DIV/0!</v>
      </c>
      <c r="BF30" s="59" t="e">
        <f>(Links!F30*Links!AJ30+'On-Ramps'!AE30*'On-Ramps'!CG30)/('On-Ramps'!AE30+Links!F30)</f>
        <v>#DIV/0!</v>
      </c>
      <c r="BG30" s="59" t="e">
        <f>(Links!G30*Links!AK30+'On-Ramps'!AF30*'On-Ramps'!CH30)/('On-Ramps'!AF30+Links!G30)</f>
        <v>#DIV/0!</v>
      </c>
      <c r="BH30" s="59" t="e">
        <f>(Links!H30*Links!AL30+'On-Ramps'!AG30*'On-Ramps'!CI30)/('On-Ramps'!AG30+Links!H30)</f>
        <v>#DIV/0!</v>
      </c>
      <c r="BI30" s="59" t="e">
        <f>(Links!J30*Links!AN30+'On-Ramps'!AH30*'On-Ramps'!CJ30)/('On-Ramps'!AH30+Links!J30)</f>
        <v>#DIV/0!</v>
      </c>
      <c r="BJ30" s="59" t="e">
        <f>(Links!K30*Links!AO30+'On-Ramps'!AI30*'On-Ramps'!CK30)/('On-Ramps'!AI30+Links!K30)</f>
        <v>#DIV/0!</v>
      </c>
      <c r="BK30" s="59" t="e">
        <f>(Links!L30*Links!AP30+'On-Ramps'!AJ30*'On-Ramps'!CL30)/(Links!L30+'On-Ramps'!AJ30)</f>
        <v>#DIV/0!</v>
      </c>
      <c r="BL30" s="59" t="e">
        <f>Links!AQ30</f>
        <v>#DIV/0!</v>
      </c>
      <c r="BM30" s="59" t="e">
        <f>(Links!N30*Links!AR30+'On-Ramps'!AL30*'On-Ramps'!CM30)/(Links!N30+'On-Ramps'!AL30)</f>
        <v>#DIV/0!</v>
      </c>
      <c r="BN30" s="59" t="e">
        <f>Links!AS30</f>
        <v>#DIV/0!</v>
      </c>
      <c r="BO30" s="60" t="e">
        <f>(Links!R30^2+'Off-Ramp'!L30^2)/(Links!R30+'Off-Ramp'!L30)</f>
        <v>#DIV/0!</v>
      </c>
      <c r="BP30" s="60" t="e">
        <f>Links!S30</f>
        <v>#DIV/0!</v>
      </c>
      <c r="BQ30" s="60" t="e">
        <f>(Links!S30^2+'Off-Ramp'!C30^2)/(Links!S30+'Off-Ramp'!C30)</f>
        <v>#DIV/0!</v>
      </c>
      <c r="BR30" s="60" t="e">
        <f>Links!T30</f>
        <v>#DIV/0!</v>
      </c>
      <c r="BS30" s="60" t="e">
        <f>(Links!X30^2+'Off-Ramp'!V30^2+'Off-Ramp'!W30^2+'Off-Ramp'!X30^2)/(Links!X30+'Off-Ramp'!V30+'Off-Ramp'!W30+'Off-Ramp'!X30)</f>
        <v>#DIV/0!</v>
      </c>
      <c r="BT30" s="60" t="e">
        <f>(Links!Y30^2+'Off-Ramp'!Y30^2+'Off-Ramp'!Z30^2+'Off-Ramp'!AA30^2)/(Links!Y30+'Off-Ramp'!Y30+'Off-Ramp'!Z30+'Off-Ramp'!AA30)</f>
        <v>#DIV/0!</v>
      </c>
      <c r="BU30" s="60" t="e">
        <f>(Links!W30^2+'Off-Ramp'!P30^2)/(Links!W30+'Off-Ramp'!P30)</f>
        <v>#DIV/0!</v>
      </c>
      <c r="BV30" s="60" t="e">
        <f>(Links!Y30^2+'Off-Ramp'!Q30^2)/(Links!Y30+'Off-Ramp'!Q30)</f>
        <v>#DIV/0!</v>
      </c>
      <c r="BW30" s="60" t="e">
        <f>(Links!Z30^2+'Off-Ramp'!R30^2)/(Links!Z30+'Off-Ramp'!R30)</f>
        <v>#DIV/0!</v>
      </c>
      <c r="BX30" s="60" t="e">
        <f>(Links!AA30+'Off-Ramp'!S30)/(Links!AA30^2+'Off-Ramp'!S30^2)</f>
        <v>#DIV/0!</v>
      </c>
      <c r="BY30" s="60" t="e">
        <f>(Links!AB30^2+'Off-Ramp'!T30^2)/(Links!AB30+'Off-Ramp'!T30)</f>
        <v>#DIV/0!</v>
      </c>
      <c r="BZ30" s="60" t="e">
        <f>Links!AC30</f>
        <v>#DIV/0!</v>
      </c>
      <c r="CA30" s="60" t="e">
        <f>(Links!AD30^2+'Off-Ramp'!U30^2)/(Links!AD30+'Off-Ramp'!U30)</f>
        <v>#DIV/0!</v>
      </c>
    </row>
    <row r="31" spans="1:79" x14ac:dyDescent="0.15">
      <c r="A31" s="58">
        <v>29</v>
      </c>
      <c r="B31" s="59" t="e">
        <f t="shared" si="2"/>
        <v>#DIV/0!</v>
      </c>
      <c r="C31" s="59" t="e">
        <f t="shared" si="3"/>
        <v>#DIV/0!</v>
      </c>
      <c r="D31" s="59" t="e">
        <f t="shared" si="4"/>
        <v>#DIV/0!</v>
      </c>
      <c r="E31" s="59" t="e">
        <f t="shared" si="5"/>
        <v>#DIV/0!</v>
      </c>
      <c r="F31" s="59" t="e">
        <f t="shared" si="6"/>
        <v>#DIV/0!</v>
      </c>
      <c r="G31" s="59" t="e">
        <f t="shared" si="7"/>
        <v>#DIV/0!</v>
      </c>
      <c r="H31" s="59" t="e">
        <f t="shared" si="8"/>
        <v>#DIV/0!</v>
      </c>
      <c r="I31" s="59" t="e">
        <f t="shared" si="9"/>
        <v>#DIV/0!</v>
      </c>
      <c r="J31" s="59" t="e">
        <f t="shared" si="10"/>
        <v>#DIV/0!</v>
      </c>
      <c r="K31" s="59" t="e">
        <f t="shared" si="11"/>
        <v>#DIV/0!</v>
      </c>
      <c r="L31" s="59" t="e">
        <f t="shared" si="12"/>
        <v>#DIV/0!</v>
      </c>
      <c r="M31" s="59" t="e">
        <f t="shared" si="13"/>
        <v>#DIV/0!</v>
      </c>
      <c r="N31" s="59" t="e">
        <f t="shared" si="14"/>
        <v>#DIV/0!</v>
      </c>
      <c r="O31" s="60" t="e">
        <f>Links!B31</f>
        <v>#DIV/0!</v>
      </c>
      <c r="P31" s="60" t="e">
        <f>Links!C31+'On-Ramps'!AC31</f>
        <v>#DIV/0!</v>
      </c>
      <c r="Q31" s="60" t="e">
        <f>Links!D31</f>
        <v>#DIV/0!</v>
      </c>
      <c r="R31" s="60" t="e">
        <f>Links!E31+'On-Ramps'!AD31</f>
        <v>#DIV/0!</v>
      </c>
      <c r="S31" s="60" t="e">
        <f>Links!F31+'On-Ramps'!AE31</f>
        <v>#DIV/0!</v>
      </c>
      <c r="T31" s="60" t="e">
        <f>Links!G31+'On-Ramps'!AF31</f>
        <v>#DIV/0!</v>
      </c>
      <c r="U31" s="60" t="e">
        <f>Links!H31+'On-Ramps'!AG31</f>
        <v>#DIV/0!</v>
      </c>
      <c r="V31" s="60" t="e">
        <f>Links!J31+'On-Ramps'!AH31</f>
        <v>#DIV/0!</v>
      </c>
      <c r="W31" s="60" t="e">
        <f>Links!K31+'On-Ramps'!AI31</f>
        <v>#DIV/0!</v>
      </c>
      <c r="X31" s="60" t="e">
        <f>Links!L31+'On-Ramps'!AJ31</f>
        <v>#DIV/0!</v>
      </c>
      <c r="Y31" s="60" t="e">
        <f>Links!M31</f>
        <v>#DIV/0!</v>
      </c>
      <c r="Z31" s="60" t="e">
        <f>Links!N31+'On-Ramps'!AK31</f>
        <v>#DIV/0!</v>
      </c>
      <c r="AA31" s="60" t="e">
        <f>Links!O31</f>
        <v>#DIV/0!</v>
      </c>
      <c r="AB31" s="59" t="e">
        <f t="shared" si="17"/>
        <v>#DIV/0!</v>
      </c>
      <c r="AC31" s="65"/>
      <c r="AD31" s="59" t="e">
        <f t="shared" si="18"/>
        <v>#DIV/0!</v>
      </c>
      <c r="AE31" s="65"/>
      <c r="AF31" s="59" t="e">
        <f t="shared" si="19"/>
        <v>#DIV/0!</v>
      </c>
      <c r="AG31" s="59" t="e">
        <f t="shared" si="20"/>
        <v>#DIV/0!</v>
      </c>
      <c r="AH31" s="59" t="e">
        <f t="shared" si="21"/>
        <v>#DIV/0!</v>
      </c>
      <c r="AI31" s="59" t="e">
        <f t="shared" si="22"/>
        <v>#DIV/0!</v>
      </c>
      <c r="AJ31" s="59" t="e">
        <f t="shared" si="23"/>
        <v>#DIV/0!</v>
      </c>
      <c r="AK31" s="59" t="e">
        <f t="shared" si="24"/>
        <v>#DIV/0!</v>
      </c>
      <c r="AL31" s="59" t="e">
        <f t="shared" si="25"/>
        <v>#DIV/0!</v>
      </c>
      <c r="AM31" s="65"/>
      <c r="AN31" s="59" t="e">
        <f t="shared" si="27"/>
        <v>#DIV/0!</v>
      </c>
      <c r="AO31" s="60" t="e">
        <f t="shared" si="26"/>
        <v>#DIV/0!</v>
      </c>
      <c r="AP31" s="65"/>
      <c r="AQ31" s="60" t="e">
        <f t="shared" si="26"/>
        <v>#DIV/0!</v>
      </c>
      <c r="AR31" s="65"/>
      <c r="AS31" s="60" t="e">
        <f t="shared" si="26"/>
        <v>#DIV/0!</v>
      </c>
      <c r="AT31" s="60" t="e">
        <f t="shared" si="26"/>
        <v>#DIV/0!</v>
      </c>
      <c r="AU31" s="60" t="e">
        <f t="shared" si="26"/>
        <v>#DIV/0!</v>
      </c>
      <c r="AV31" s="60" t="e">
        <f t="shared" si="26"/>
        <v>#DIV/0!</v>
      </c>
      <c r="AW31" s="60" t="e">
        <f t="shared" si="26"/>
        <v>#DIV/0!</v>
      </c>
      <c r="AX31" s="60" t="e">
        <f t="shared" si="26"/>
        <v>#DIV/0!</v>
      </c>
      <c r="AY31" s="60" t="e">
        <f t="shared" si="26"/>
        <v>#DIV/0!</v>
      </c>
      <c r="AZ31" s="65"/>
      <c r="BA31" s="60" t="e">
        <f t="shared" si="26"/>
        <v>#DIV/0!</v>
      </c>
      <c r="BB31" s="59" t="e">
        <f>Links!AF31</f>
        <v>#DIV/0!</v>
      </c>
      <c r="BC31" s="59" t="e">
        <f>(Links!AG31*Links!C31+'On-Ramps'!AC31*'On-Ramps'!CE31)/('On-Ramps'!AC31+Links!C31)</f>
        <v>#DIV/0!</v>
      </c>
      <c r="BD31" s="59" t="e">
        <f>Links!AH31</f>
        <v>#DIV/0!</v>
      </c>
      <c r="BE31" s="59" t="e">
        <f>(Links!AI31*Links!E31+'On-Ramps'!AD31*'On-Ramps'!CF30)/('On-Ramps'!AD31+Links!E31)</f>
        <v>#DIV/0!</v>
      </c>
      <c r="BF31" s="59" t="e">
        <f>(Links!F31*Links!AJ31+'On-Ramps'!AE31*'On-Ramps'!CG31)/('On-Ramps'!AE31+Links!F31)</f>
        <v>#DIV/0!</v>
      </c>
      <c r="BG31" s="59" t="e">
        <f>(Links!G31*Links!AK31+'On-Ramps'!AF31*'On-Ramps'!CH31)/('On-Ramps'!AF31+Links!G31)</f>
        <v>#DIV/0!</v>
      </c>
      <c r="BH31" s="59" t="e">
        <f>(Links!H31*Links!AL31+'On-Ramps'!AG31*'On-Ramps'!CI31)/('On-Ramps'!AG31+Links!H31)</f>
        <v>#DIV/0!</v>
      </c>
      <c r="BI31" s="59" t="e">
        <f>(Links!J31*Links!AN31+'On-Ramps'!AH31*'On-Ramps'!CJ31)/('On-Ramps'!AH31+Links!J31)</f>
        <v>#DIV/0!</v>
      </c>
      <c r="BJ31" s="59" t="e">
        <f>(Links!K31*Links!AO31+'On-Ramps'!AI31*'On-Ramps'!CK31)/('On-Ramps'!AI31+Links!K31)</f>
        <v>#DIV/0!</v>
      </c>
      <c r="BK31" s="59" t="e">
        <f>(Links!L31*Links!AP31+'On-Ramps'!AJ31*'On-Ramps'!CL31)/(Links!L31+'On-Ramps'!AJ31)</f>
        <v>#DIV/0!</v>
      </c>
      <c r="BL31" s="59" t="e">
        <f>Links!AQ31</f>
        <v>#DIV/0!</v>
      </c>
      <c r="BM31" s="59" t="e">
        <f>(Links!N31*Links!AR31+'On-Ramps'!AL31*'On-Ramps'!CM31)/(Links!N31+'On-Ramps'!AL31)</f>
        <v>#DIV/0!</v>
      </c>
      <c r="BN31" s="59" t="e">
        <f>Links!AS31</f>
        <v>#DIV/0!</v>
      </c>
      <c r="BO31" s="60" t="e">
        <f>(Links!R31^2+'Off-Ramp'!L31^2)/(Links!R31+'Off-Ramp'!L31)</f>
        <v>#DIV/0!</v>
      </c>
      <c r="BP31" s="60" t="e">
        <f>Links!S31</f>
        <v>#DIV/0!</v>
      </c>
      <c r="BQ31" s="60" t="e">
        <f>(Links!S31^2+'Off-Ramp'!C31^2)/(Links!S31+'Off-Ramp'!C31)</f>
        <v>#DIV/0!</v>
      </c>
      <c r="BR31" s="60" t="e">
        <f>Links!T31</f>
        <v>#DIV/0!</v>
      </c>
      <c r="BS31" s="60" t="e">
        <f>(Links!X31^2+'Off-Ramp'!V31^2+'Off-Ramp'!W31^2+'Off-Ramp'!X31^2)/(Links!X31+'Off-Ramp'!V31+'Off-Ramp'!W31+'Off-Ramp'!X31)</f>
        <v>#DIV/0!</v>
      </c>
      <c r="BT31" s="60" t="e">
        <f>(Links!Y31^2+'Off-Ramp'!Y31^2+'Off-Ramp'!Z31^2+'Off-Ramp'!AA31^2)/(Links!Y31+'Off-Ramp'!Y31+'Off-Ramp'!Z31+'Off-Ramp'!AA31)</f>
        <v>#DIV/0!</v>
      </c>
      <c r="BU31" s="60" t="e">
        <f>(Links!W31^2+'Off-Ramp'!P31^2)/(Links!W31+'Off-Ramp'!P31)</f>
        <v>#DIV/0!</v>
      </c>
      <c r="BV31" s="60" t="e">
        <f>(Links!Y31^2+'Off-Ramp'!Q31^2)/(Links!Y31+'Off-Ramp'!Q31)</f>
        <v>#DIV/0!</v>
      </c>
      <c r="BW31" s="60" t="e">
        <f>(Links!Z31^2+'Off-Ramp'!R31^2)/(Links!Z31+'Off-Ramp'!R31)</f>
        <v>#DIV/0!</v>
      </c>
      <c r="BX31" s="60" t="e">
        <f>(Links!AA31+'Off-Ramp'!S31)/(Links!AA31^2+'Off-Ramp'!S31^2)</f>
        <v>#DIV/0!</v>
      </c>
      <c r="BY31" s="60" t="e">
        <f>(Links!AB31^2+'Off-Ramp'!T31^2)/(Links!AB31+'Off-Ramp'!T31)</f>
        <v>#DIV/0!</v>
      </c>
      <c r="BZ31" s="60" t="e">
        <f>Links!AC31</f>
        <v>#DIV/0!</v>
      </c>
      <c r="CA31" s="60" t="e">
        <f>(Links!AD31^2+'Off-Ramp'!U31^2)/(Links!AD31+'Off-Ramp'!U31)</f>
        <v>#DIV/0!</v>
      </c>
    </row>
    <row r="32" spans="1:79" x14ac:dyDescent="0.15">
      <c r="A32" s="58">
        <v>30</v>
      </c>
      <c r="B32" s="59" t="e">
        <f t="shared" si="2"/>
        <v>#DIV/0!</v>
      </c>
      <c r="C32" s="59" t="e">
        <f t="shared" si="3"/>
        <v>#DIV/0!</v>
      </c>
      <c r="D32" s="59" t="e">
        <f t="shared" si="4"/>
        <v>#DIV/0!</v>
      </c>
      <c r="E32" s="59" t="e">
        <f t="shared" si="5"/>
        <v>#DIV/0!</v>
      </c>
      <c r="F32" s="59" t="e">
        <f t="shared" si="6"/>
        <v>#DIV/0!</v>
      </c>
      <c r="G32" s="59" t="e">
        <f t="shared" si="7"/>
        <v>#DIV/0!</v>
      </c>
      <c r="H32" s="59" t="e">
        <f t="shared" si="8"/>
        <v>#DIV/0!</v>
      </c>
      <c r="I32" s="59" t="e">
        <f t="shared" si="9"/>
        <v>#DIV/0!</v>
      </c>
      <c r="J32" s="59" t="e">
        <f t="shared" si="10"/>
        <v>#DIV/0!</v>
      </c>
      <c r="K32" s="59" t="e">
        <f t="shared" si="11"/>
        <v>#DIV/0!</v>
      </c>
      <c r="L32" s="59" t="e">
        <f t="shared" si="12"/>
        <v>#DIV/0!</v>
      </c>
      <c r="M32" s="59" t="e">
        <f t="shared" si="13"/>
        <v>#DIV/0!</v>
      </c>
      <c r="N32" s="59" t="e">
        <f t="shared" si="14"/>
        <v>#DIV/0!</v>
      </c>
      <c r="O32" s="60" t="e">
        <f>Links!B32</f>
        <v>#DIV/0!</v>
      </c>
      <c r="P32" s="60" t="e">
        <f>Links!C32+'On-Ramps'!AC32</f>
        <v>#DIV/0!</v>
      </c>
      <c r="Q32" s="60" t="e">
        <f>Links!D32</f>
        <v>#DIV/0!</v>
      </c>
      <c r="R32" s="60" t="e">
        <f>Links!E32+'On-Ramps'!AD32</f>
        <v>#DIV/0!</v>
      </c>
      <c r="S32" s="60" t="e">
        <f>Links!F32+'On-Ramps'!AE32</f>
        <v>#DIV/0!</v>
      </c>
      <c r="T32" s="60" t="e">
        <f>Links!G32+'On-Ramps'!AF32</f>
        <v>#DIV/0!</v>
      </c>
      <c r="U32" s="60" t="e">
        <f>Links!H32+'On-Ramps'!AG32</f>
        <v>#DIV/0!</v>
      </c>
      <c r="V32" s="60" t="e">
        <f>Links!J32+'On-Ramps'!AH32</f>
        <v>#DIV/0!</v>
      </c>
      <c r="W32" s="60" t="e">
        <f>Links!K32+'On-Ramps'!AI32</f>
        <v>#DIV/0!</v>
      </c>
      <c r="X32" s="60" t="e">
        <f>Links!L32+'On-Ramps'!AJ32</f>
        <v>#DIV/0!</v>
      </c>
      <c r="Y32" s="60" t="e">
        <f>Links!M32</f>
        <v>#DIV/0!</v>
      </c>
      <c r="Z32" s="60" t="e">
        <f>Links!N32+'On-Ramps'!AK32</f>
        <v>#DIV/0!</v>
      </c>
      <c r="AA32" s="60" t="e">
        <f>Links!O32</f>
        <v>#DIV/0!</v>
      </c>
      <c r="AB32" s="59" t="e">
        <f t="shared" si="17"/>
        <v>#DIV/0!</v>
      </c>
      <c r="AC32" s="65"/>
      <c r="AD32" s="59" t="e">
        <f t="shared" si="18"/>
        <v>#DIV/0!</v>
      </c>
      <c r="AE32" s="65"/>
      <c r="AF32" s="59" t="e">
        <f t="shared" si="19"/>
        <v>#DIV/0!</v>
      </c>
      <c r="AG32" s="59" t="e">
        <f t="shared" si="20"/>
        <v>#DIV/0!</v>
      </c>
      <c r="AH32" s="59" t="e">
        <f t="shared" si="21"/>
        <v>#DIV/0!</v>
      </c>
      <c r="AI32" s="59" t="e">
        <f t="shared" si="22"/>
        <v>#DIV/0!</v>
      </c>
      <c r="AJ32" s="59" t="e">
        <f t="shared" si="23"/>
        <v>#DIV/0!</v>
      </c>
      <c r="AK32" s="59" t="e">
        <f t="shared" si="24"/>
        <v>#DIV/0!</v>
      </c>
      <c r="AL32" s="59" t="e">
        <f t="shared" si="25"/>
        <v>#DIV/0!</v>
      </c>
      <c r="AM32" s="65"/>
      <c r="AN32" s="59" t="e">
        <f t="shared" si="27"/>
        <v>#DIV/0!</v>
      </c>
      <c r="AO32" s="60" t="e">
        <f t="shared" si="26"/>
        <v>#DIV/0!</v>
      </c>
      <c r="AP32" s="65"/>
      <c r="AQ32" s="60" t="e">
        <f t="shared" si="26"/>
        <v>#DIV/0!</v>
      </c>
      <c r="AR32" s="65"/>
      <c r="AS32" s="60" t="e">
        <f t="shared" si="26"/>
        <v>#DIV/0!</v>
      </c>
      <c r="AT32" s="60" t="e">
        <f t="shared" si="26"/>
        <v>#DIV/0!</v>
      </c>
      <c r="AU32" s="60" t="e">
        <f t="shared" si="26"/>
        <v>#DIV/0!</v>
      </c>
      <c r="AV32" s="60" t="e">
        <f t="shared" si="26"/>
        <v>#DIV/0!</v>
      </c>
      <c r="AW32" s="60" t="e">
        <f t="shared" si="26"/>
        <v>#DIV/0!</v>
      </c>
      <c r="AX32" s="60" t="e">
        <f t="shared" si="26"/>
        <v>#DIV/0!</v>
      </c>
      <c r="AY32" s="60" t="e">
        <f t="shared" si="26"/>
        <v>#DIV/0!</v>
      </c>
      <c r="AZ32" s="65"/>
      <c r="BA32" s="60" t="e">
        <f t="shared" si="26"/>
        <v>#DIV/0!</v>
      </c>
      <c r="BB32" s="59" t="e">
        <f>Links!AF32</f>
        <v>#DIV/0!</v>
      </c>
      <c r="BC32" s="59" t="e">
        <f>(Links!AG32*Links!C32+'On-Ramps'!AC32*'On-Ramps'!CE32)/('On-Ramps'!AC32+Links!C32)</f>
        <v>#DIV/0!</v>
      </c>
      <c r="BD32" s="59" t="e">
        <f>Links!AH32</f>
        <v>#DIV/0!</v>
      </c>
      <c r="BE32" s="59" t="e">
        <f>(Links!AI32*Links!E32+'On-Ramps'!AD32*'On-Ramps'!CF31)/('On-Ramps'!AD32+Links!E32)</f>
        <v>#DIV/0!</v>
      </c>
      <c r="BF32" s="59" t="e">
        <f>(Links!F32*Links!AJ32+'On-Ramps'!AE32*'On-Ramps'!CG32)/('On-Ramps'!AE32+Links!F32)</f>
        <v>#DIV/0!</v>
      </c>
      <c r="BG32" s="59" t="e">
        <f>(Links!G32*Links!AK32+'On-Ramps'!AF32*'On-Ramps'!CH32)/('On-Ramps'!AF32+Links!G32)</f>
        <v>#DIV/0!</v>
      </c>
      <c r="BH32" s="59" t="e">
        <f>(Links!H32*Links!AL32+'On-Ramps'!AG32*'On-Ramps'!CI32)/('On-Ramps'!AG32+Links!H32)</f>
        <v>#DIV/0!</v>
      </c>
      <c r="BI32" s="59" t="e">
        <f>(Links!J32*Links!AN32+'On-Ramps'!AH32*'On-Ramps'!CJ32)/('On-Ramps'!AH32+Links!J32)</f>
        <v>#DIV/0!</v>
      </c>
      <c r="BJ32" s="59" t="e">
        <f>(Links!K32*Links!AO32+'On-Ramps'!AI32*'On-Ramps'!CK32)/('On-Ramps'!AI32+Links!K32)</f>
        <v>#DIV/0!</v>
      </c>
      <c r="BK32" s="59" t="e">
        <f>(Links!L32*Links!AP32+'On-Ramps'!AJ32*'On-Ramps'!CL32)/(Links!L32+'On-Ramps'!AJ32)</f>
        <v>#DIV/0!</v>
      </c>
      <c r="BL32" s="59" t="e">
        <f>Links!AQ32</f>
        <v>#DIV/0!</v>
      </c>
      <c r="BM32" s="59" t="e">
        <f>(Links!N32*Links!AR32+'On-Ramps'!AL32*'On-Ramps'!CM32)/(Links!N32+'On-Ramps'!AL32)</f>
        <v>#DIV/0!</v>
      </c>
      <c r="BN32" s="59" t="e">
        <f>Links!AS32</f>
        <v>#DIV/0!</v>
      </c>
      <c r="BO32" s="60" t="e">
        <f>(Links!R32^2+'Off-Ramp'!L32^2)/(Links!R32+'Off-Ramp'!L32)</f>
        <v>#DIV/0!</v>
      </c>
      <c r="BP32" s="60" t="e">
        <f>Links!S32</f>
        <v>#DIV/0!</v>
      </c>
      <c r="BQ32" s="60" t="e">
        <f>(Links!S32^2+'Off-Ramp'!C32^2)/(Links!S32+'Off-Ramp'!C32)</f>
        <v>#DIV/0!</v>
      </c>
      <c r="BR32" s="60" t="e">
        <f>Links!T32</f>
        <v>#DIV/0!</v>
      </c>
      <c r="BS32" s="60" t="e">
        <f>(Links!X32^2+'Off-Ramp'!V32^2+'Off-Ramp'!W32^2+'Off-Ramp'!X32^2)/(Links!X32+'Off-Ramp'!V32+'Off-Ramp'!W32+'Off-Ramp'!X32)</f>
        <v>#DIV/0!</v>
      </c>
      <c r="BT32" s="60" t="e">
        <f>(Links!Y32^2+'Off-Ramp'!Y32^2+'Off-Ramp'!Z32^2+'Off-Ramp'!AA32^2)/(Links!Y32+'Off-Ramp'!Y32+'Off-Ramp'!Z32+'Off-Ramp'!AA32)</f>
        <v>#DIV/0!</v>
      </c>
      <c r="BU32" s="60" t="e">
        <f>(Links!W32^2+'Off-Ramp'!P32^2)/(Links!W32+'Off-Ramp'!P32)</f>
        <v>#DIV/0!</v>
      </c>
      <c r="BV32" s="60" t="e">
        <f>(Links!Y32^2+'Off-Ramp'!Q32^2)/(Links!Y32+'Off-Ramp'!Q32)</f>
        <v>#DIV/0!</v>
      </c>
      <c r="BW32" s="60" t="e">
        <f>(Links!Z32^2+'Off-Ramp'!R32^2)/(Links!Z32+'Off-Ramp'!R32)</f>
        <v>#DIV/0!</v>
      </c>
      <c r="BX32" s="60" t="e">
        <f>(Links!AA32+'Off-Ramp'!S32)/(Links!AA32^2+'Off-Ramp'!S32^2)</f>
        <v>#DIV/0!</v>
      </c>
      <c r="BY32" s="60" t="e">
        <f>(Links!AB32^2+'Off-Ramp'!T32^2)/(Links!AB32+'Off-Ramp'!T32)</f>
        <v>#DIV/0!</v>
      </c>
      <c r="BZ32" s="60" t="e">
        <f>Links!AC32</f>
        <v>#DIV/0!</v>
      </c>
      <c r="CA32" s="60" t="e">
        <f>(Links!AD32^2+'Off-Ramp'!U32^2)/(Links!AD32+'Off-Ramp'!U32)</f>
        <v>#DIV/0!</v>
      </c>
    </row>
    <row r="33" spans="1:79" x14ac:dyDescent="0.15">
      <c r="A33" s="58">
        <v>31</v>
      </c>
      <c r="B33" s="59" t="e">
        <f t="shared" si="2"/>
        <v>#DIV/0!</v>
      </c>
      <c r="C33" s="59" t="e">
        <f t="shared" si="3"/>
        <v>#DIV/0!</v>
      </c>
      <c r="D33" s="59" t="e">
        <f t="shared" si="4"/>
        <v>#DIV/0!</v>
      </c>
      <c r="E33" s="59" t="e">
        <f t="shared" si="5"/>
        <v>#DIV/0!</v>
      </c>
      <c r="F33" s="59" t="e">
        <f t="shared" si="6"/>
        <v>#DIV/0!</v>
      </c>
      <c r="G33" s="59" t="e">
        <f t="shared" si="7"/>
        <v>#DIV/0!</v>
      </c>
      <c r="H33" s="59" t="e">
        <f t="shared" si="8"/>
        <v>#DIV/0!</v>
      </c>
      <c r="I33" s="59" t="e">
        <f t="shared" si="9"/>
        <v>#DIV/0!</v>
      </c>
      <c r="J33" s="59" t="e">
        <f t="shared" si="10"/>
        <v>#DIV/0!</v>
      </c>
      <c r="K33" s="59" t="e">
        <f t="shared" si="11"/>
        <v>#DIV/0!</v>
      </c>
      <c r="L33" s="59" t="e">
        <f t="shared" si="12"/>
        <v>#DIV/0!</v>
      </c>
      <c r="M33" s="59" t="e">
        <f t="shared" si="13"/>
        <v>#DIV/0!</v>
      </c>
      <c r="N33" s="59" t="e">
        <f t="shared" si="14"/>
        <v>#DIV/0!</v>
      </c>
      <c r="O33" s="60" t="e">
        <f>Links!B33</f>
        <v>#DIV/0!</v>
      </c>
      <c r="P33" s="60" t="e">
        <f>Links!C33+'On-Ramps'!AC33</f>
        <v>#DIV/0!</v>
      </c>
      <c r="Q33" s="60" t="e">
        <f>Links!D33</f>
        <v>#DIV/0!</v>
      </c>
      <c r="R33" s="60" t="e">
        <f>Links!E33+'On-Ramps'!AD33</f>
        <v>#DIV/0!</v>
      </c>
      <c r="S33" s="60" t="e">
        <f>Links!F33+'On-Ramps'!AE33</f>
        <v>#DIV/0!</v>
      </c>
      <c r="T33" s="60" t="e">
        <f>Links!G33+'On-Ramps'!AF33</f>
        <v>#DIV/0!</v>
      </c>
      <c r="U33" s="60" t="e">
        <f>Links!H33+'On-Ramps'!AG33</f>
        <v>#DIV/0!</v>
      </c>
      <c r="V33" s="60" t="e">
        <f>Links!J33+'On-Ramps'!AH33</f>
        <v>#DIV/0!</v>
      </c>
      <c r="W33" s="60" t="e">
        <f>Links!K33+'On-Ramps'!AI33</f>
        <v>#DIV/0!</v>
      </c>
      <c r="X33" s="60" t="e">
        <f>Links!L33+'On-Ramps'!AJ33</f>
        <v>#DIV/0!</v>
      </c>
      <c r="Y33" s="60" t="e">
        <f>Links!M33</f>
        <v>#DIV/0!</v>
      </c>
      <c r="Z33" s="60" t="e">
        <f>Links!N33+'On-Ramps'!AK33</f>
        <v>#DIV/0!</v>
      </c>
      <c r="AA33" s="60" t="e">
        <f>Links!O33</f>
        <v>#DIV/0!</v>
      </c>
      <c r="AB33" s="59" t="e">
        <f t="shared" si="17"/>
        <v>#DIV/0!</v>
      </c>
      <c r="AC33" s="65"/>
      <c r="AD33" s="59" t="e">
        <f t="shared" si="18"/>
        <v>#DIV/0!</v>
      </c>
      <c r="AE33" s="65"/>
      <c r="AF33" s="59" t="e">
        <f t="shared" si="19"/>
        <v>#DIV/0!</v>
      </c>
      <c r="AG33" s="59" t="e">
        <f t="shared" si="20"/>
        <v>#DIV/0!</v>
      </c>
      <c r="AH33" s="59" t="e">
        <f t="shared" si="21"/>
        <v>#DIV/0!</v>
      </c>
      <c r="AI33" s="59" t="e">
        <f t="shared" si="22"/>
        <v>#DIV/0!</v>
      </c>
      <c r="AJ33" s="59" t="e">
        <f t="shared" si="23"/>
        <v>#DIV/0!</v>
      </c>
      <c r="AK33" s="59" t="e">
        <f t="shared" si="24"/>
        <v>#DIV/0!</v>
      </c>
      <c r="AL33" s="59" t="e">
        <f t="shared" si="25"/>
        <v>#DIV/0!</v>
      </c>
      <c r="AM33" s="65"/>
      <c r="AN33" s="59" t="e">
        <f t="shared" si="27"/>
        <v>#DIV/0!</v>
      </c>
      <c r="AO33" s="60" t="e">
        <f t="shared" si="26"/>
        <v>#DIV/0!</v>
      </c>
      <c r="AP33" s="65"/>
      <c r="AQ33" s="60" t="e">
        <f t="shared" si="26"/>
        <v>#DIV/0!</v>
      </c>
      <c r="AR33" s="65"/>
      <c r="AS33" s="60" t="e">
        <f t="shared" si="26"/>
        <v>#DIV/0!</v>
      </c>
      <c r="AT33" s="60" t="e">
        <f t="shared" si="26"/>
        <v>#DIV/0!</v>
      </c>
      <c r="AU33" s="60" t="e">
        <f t="shared" si="26"/>
        <v>#DIV/0!</v>
      </c>
      <c r="AV33" s="60" t="e">
        <f t="shared" si="26"/>
        <v>#DIV/0!</v>
      </c>
      <c r="AW33" s="60" t="e">
        <f t="shared" si="26"/>
        <v>#DIV/0!</v>
      </c>
      <c r="AX33" s="60" t="e">
        <f t="shared" si="26"/>
        <v>#DIV/0!</v>
      </c>
      <c r="AY33" s="60" t="e">
        <f t="shared" si="26"/>
        <v>#DIV/0!</v>
      </c>
      <c r="AZ33" s="65"/>
      <c r="BA33" s="60" t="e">
        <f t="shared" si="26"/>
        <v>#DIV/0!</v>
      </c>
      <c r="BB33" s="59" t="e">
        <f>Links!AF33</f>
        <v>#DIV/0!</v>
      </c>
      <c r="BC33" s="59" t="e">
        <f>(Links!AG33*Links!C33+'On-Ramps'!AC33*'On-Ramps'!CE33)/('On-Ramps'!AC33+Links!C33)</f>
        <v>#DIV/0!</v>
      </c>
      <c r="BD33" s="59" t="e">
        <f>Links!AH33</f>
        <v>#DIV/0!</v>
      </c>
      <c r="BE33" s="59" t="e">
        <f>(Links!AI33*Links!E33+'On-Ramps'!AD33*'On-Ramps'!CF32)/('On-Ramps'!AD33+Links!E33)</f>
        <v>#DIV/0!</v>
      </c>
      <c r="BF33" s="59" t="e">
        <f>(Links!F33*Links!AJ33+'On-Ramps'!AE33*'On-Ramps'!CG33)/('On-Ramps'!AE33+Links!F33)</f>
        <v>#DIV/0!</v>
      </c>
      <c r="BG33" s="59" t="e">
        <f>(Links!G33*Links!AK33+'On-Ramps'!AF33*'On-Ramps'!CH33)/('On-Ramps'!AF33+Links!G33)</f>
        <v>#DIV/0!</v>
      </c>
      <c r="BH33" s="59" t="e">
        <f>(Links!H33*Links!AL33+'On-Ramps'!AG33*'On-Ramps'!CI33)/('On-Ramps'!AG33+Links!H33)</f>
        <v>#DIV/0!</v>
      </c>
      <c r="BI33" s="59" t="e">
        <f>(Links!J33*Links!AN33+'On-Ramps'!AH33*'On-Ramps'!CJ33)/('On-Ramps'!AH33+Links!J33)</f>
        <v>#DIV/0!</v>
      </c>
      <c r="BJ33" s="59" t="e">
        <f>(Links!K33*Links!AO33+'On-Ramps'!AI33*'On-Ramps'!CK33)/('On-Ramps'!AI33+Links!K33)</f>
        <v>#DIV/0!</v>
      </c>
      <c r="BK33" s="59" t="e">
        <f>(Links!L33*Links!AP33+'On-Ramps'!AJ33*'On-Ramps'!CL33)/(Links!L33+'On-Ramps'!AJ33)</f>
        <v>#DIV/0!</v>
      </c>
      <c r="BL33" s="59" t="e">
        <f>Links!AQ33</f>
        <v>#DIV/0!</v>
      </c>
      <c r="BM33" s="59" t="e">
        <f>(Links!N33*Links!AR33+'On-Ramps'!AL33*'On-Ramps'!CM33)/(Links!N33+'On-Ramps'!AL33)</f>
        <v>#DIV/0!</v>
      </c>
      <c r="BN33" s="59" t="e">
        <f>Links!AS33</f>
        <v>#DIV/0!</v>
      </c>
      <c r="BO33" s="60" t="e">
        <f>(Links!R33^2+'Off-Ramp'!L33^2)/(Links!R33+'Off-Ramp'!L33)</f>
        <v>#DIV/0!</v>
      </c>
      <c r="BP33" s="60" t="e">
        <f>Links!S33</f>
        <v>#DIV/0!</v>
      </c>
      <c r="BQ33" s="60" t="e">
        <f>(Links!S33^2+'Off-Ramp'!C33^2)/(Links!S33+'Off-Ramp'!C33)</f>
        <v>#DIV/0!</v>
      </c>
      <c r="BR33" s="60" t="e">
        <f>Links!T33</f>
        <v>#DIV/0!</v>
      </c>
      <c r="BS33" s="60" t="e">
        <f>(Links!X33^2+'Off-Ramp'!V33^2+'Off-Ramp'!W33^2+'Off-Ramp'!X33^2)/(Links!X33+'Off-Ramp'!V33+'Off-Ramp'!W33+'Off-Ramp'!X33)</f>
        <v>#DIV/0!</v>
      </c>
      <c r="BT33" s="60" t="e">
        <f>(Links!Y33^2+'Off-Ramp'!Y33^2+'Off-Ramp'!Z33^2+'Off-Ramp'!AA33^2)/(Links!Y33+'Off-Ramp'!Y33+'Off-Ramp'!Z33+'Off-Ramp'!AA33)</f>
        <v>#DIV/0!</v>
      </c>
      <c r="BU33" s="60" t="e">
        <f>(Links!W33^2+'Off-Ramp'!P33^2)/(Links!W33+'Off-Ramp'!P33)</f>
        <v>#DIV/0!</v>
      </c>
      <c r="BV33" s="60" t="e">
        <f>(Links!Y33^2+'Off-Ramp'!Q33^2)/(Links!Y33+'Off-Ramp'!Q33)</f>
        <v>#DIV/0!</v>
      </c>
      <c r="BW33" s="60" t="e">
        <f>(Links!Z33^2+'Off-Ramp'!R33^2)/(Links!Z33+'Off-Ramp'!R33)</f>
        <v>#DIV/0!</v>
      </c>
      <c r="BX33" s="60" t="e">
        <f>(Links!AA33+'Off-Ramp'!S33)/(Links!AA33^2+'Off-Ramp'!S33^2)</f>
        <v>#DIV/0!</v>
      </c>
      <c r="BY33" s="60" t="e">
        <f>(Links!AB33^2+'Off-Ramp'!T33^2)/(Links!AB33+'Off-Ramp'!T33)</f>
        <v>#DIV/0!</v>
      </c>
      <c r="BZ33" s="60" t="e">
        <f>Links!AC33</f>
        <v>#DIV/0!</v>
      </c>
      <c r="CA33" s="60" t="e">
        <f>(Links!AD33^2+'Off-Ramp'!U33^2)/(Links!AD33+'Off-Ramp'!U33)</f>
        <v>#DIV/0!</v>
      </c>
    </row>
    <row r="34" spans="1:79" x14ac:dyDescent="0.15">
      <c r="A34" s="58">
        <v>32</v>
      </c>
      <c r="B34" s="59" t="e">
        <f t="shared" si="2"/>
        <v>#DIV/0!</v>
      </c>
      <c r="C34" s="59" t="e">
        <f t="shared" si="3"/>
        <v>#DIV/0!</v>
      </c>
      <c r="D34" s="59" t="e">
        <f t="shared" si="4"/>
        <v>#DIV/0!</v>
      </c>
      <c r="E34" s="59" t="e">
        <f t="shared" si="5"/>
        <v>#DIV/0!</v>
      </c>
      <c r="F34" s="59" t="e">
        <f t="shared" si="6"/>
        <v>#DIV/0!</v>
      </c>
      <c r="G34" s="59" t="e">
        <f t="shared" si="7"/>
        <v>#DIV/0!</v>
      </c>
      <c r="H34" s="59" t="e">
        <f t="shared" si="8"/>
        <v>#DIV/0!</v>
      </c>
      <c r="I34" s="59" t="e">
        <f t="shared" si="9"/>
        <v>#DIV/0!</v>
      </c>
      <c r="J34" s="59" t="e">
        <f t="shared" si="10"/>
        <v>#DIV/0!</v>
      </c>
      <c r="K34" s="59" t="e">
        <f t="shared" si="11"/>
        <v>#DIV/0!</v>
      </c>
      <c r="L34" s="59" t="e">
        <f t="shared" si="12"/>
        <v>#DIV/0!</v>
      </c>
      <c r="M34" s="59" t="e">
        <f t="shared" si="13"/>
        <v>#DIV/0!</v>
      </c>
      <c r="N34" s="59" t="e">
        <f t="shared" si="14"/>
        <v>#DIV/0!</v>
      </c>
      <c r="O34" s="60" t="e">
        <f>Links!B34</f>
        <v>#DIV/0!</v>
      </c>
      <c r="P34" s="60" t="e">
        <f>Links!C34+'On-Ramps'!AC34</f>
        <v>#DIV/0!</v>
      </c>
      <c r="Q34" s="60" t="e">
        <f>Links!D34</f>
        <v>#DIV/0!</v>
      </c>
      <c r="R34" s="60" t="e">
        <f>Links!E34+'On-Ramps'!AD34</f>
        <v>#DIV/0!</v>
      </c>
      <c r="S34" s="60" t="e">
        <f>Links!F34+'On-Ramps'!AE34</f>
        <v>#DIV/0!</v>
      </c>
      <c r="T34" s="60" t="e">
        <f>Links!G34+'On-Ramps'!AF34</f>
        <v>#DIV/0!</v>
      </c>
      <c r="U34" s="60" t="e">
        <f>Links!H34+'On-Ramps'!AG34</f>
        <v>#DIV/0!</v>
      </c>
      <c r="V34" s="60" t="e">
        <f>Links!J34+'On-Ramps'!AH34</f>
        <v>#DIV/0!</v>
      </c>
      <c r="W34" s="60" t="e">
        <f>Links!K34+'On-Ramps'!AI34</f>
        <v>#DIV/0!</v>
      </c>
      <c r="X34" s="60" t="e">
        <f>Links!L34+'On-Ramps'!AJ34</f>
        <v>#DIV/0!</v>
      </c>
      <c r="Y34" s="60" t="e">
        <f>Links!M34</f>
        <v>#DIV/0!</v>
      </c>
      <c r="Z34" s="60" t="e">
        <f>Links!N34+'On-Ramps'!AK34</f>
        <v>#DIV/0!</v>
      </c>
      <c r="AA34" s="60" t="e">
        <f>Links!O34</f>
        <v>#DIV/0!</v>
      </c>
      <c r="AB34" s="59" t="e">
        <f t="shared" si="17"/>
        <v>#DIV/0!</v>
      </c>
      <c r="AC34" s="65"/>
      <c r="AD34" s="59" t="e">
        <f t="shared" si="18"/>
        <v>#DIV/0!</v>
      </c>
      <c r="AE34" s="65"/>
      <c r="AF34" s="59" t="e">
        <f t="shared" si="19"/>
        <v>#DIV/0!</v>
      </c>
      <c r="AG34" s="59" t="e">
        <f t="shared" si="20"/>
        <v>#DIV/0!</v>
      </c>
      <c r="AH34" s="59" t="e">
        <f t="shared" si="21"/>
        <v>#DIV/0!</v>
      </c>
      <c r="AI34" s="59" t="e">
        <f t="shared" si="22"/>
        <v>#DIV/0!</v>
      </c>
      <c r="AJ34" s="59" t="e">
        <f t="shared" si="23"/>
        <v>#DIV/0!</v>
      </c>
      <c r="AK34" s="59" t="e">
        <f t="shared" si="24"/>
        <v>#DIV/0!</v>
      </c>
      <c r="AL34" s="59" t="e">
        <f t="shared" si="25"/>
        <v>#DIV/0!</v>
      </c>
      <c r="AM34" s="65"/>
      <c r="AN34" s="59" t="e">
        <f t="shared" si="27"/>
        <v>#DIV/0!</v>
      </c>
      <c r="AO34" s="60" t="e">
        <f t="shared" si="26"/>
        <v>#DIV/0!</v>
      </c>
      <c r="AP34" s="65"/>
      <c r="AQ34" s="60" t="e">
        <f t="shared" si="26"/>
        <v>#DIV/0!</v>
      </c>
      <c r="AR34" s="65"/>
      <c r="AS34" s="60" t="e">
        <f t="shared" si="26"/>
        <v>#DIV/0!</v>
      </c>
      <c r="AT34" s="60" t="e">
        <f t="shared" si="26"/>
        <v>#DIV/0!</v>
      </c>
      <c r="AU34" s="60" t="e">
        <f t="shared" si="26"/>
        <v>#DIV/0!</v>
      </c>
      <c r="AV34" s="60" t="e">
        <f t="shared" si="26"/>
        <v>#DIV/0!</v>
      </c>
      <c r="AW34" s="60" t="e">
        <f t="shared" si="26"/>
        <v>#DIV/0!</v>
      </c>
      <c r="AX34" s="60" t="e">
        <f t="shared" si="26"/>
        <v>#DIV/0!</v>
      </c>
      <c r="AY34" s="60" t="e">
        <f t="shared" si="26"/>
        <v>#DIV/0!</v>
      </c>
      <c r="AZ34" s="65"/>
      <c r="BA34" s="60" t="e">
        <f t="shared" si="26"/>
        <v>#DIV/0!</v>
      </c>
      <c r="BB34" s="59" t="e">
        <f>Links!AF34</f>
        <v>#DIV/0!</v>
      </c>
      <c r="BC34" s="59" t="e">
        <f>(Links!AG34*Links!C34+'On-Ramps'!AC34*'On-Ramps'!CE34)/('On-Ramps'!AC34+Links!C34)</f>
        <v>#DIV/0!</v>
      </c>
      <c r="BD34" s="59" t="e">
        <f>Links!AH34</f>
        <v>#DIV/0!</v>
      </c>
      <c r="BE34" s="59" t="e">
        <f>(Links!AI34*Links!E34+'On-Ramps'!AD34*'On-Ramps'!CF33)/('On-Ramps'!AD34+Links!E34)</f>
        <v>#DIV/0!</v>
      </c>
      <c r="BF34" s="59" t="e">
        <f>(Links!F34*Links!AJ34+'On-Ramps'!AE34*'On-Ramps'!CG34)/('On-Ramps'!AE34+Links!F34)</f>
        <v>#DIV/0!</v>
      </c>
      <c r="BG34" s="59" t="e">
        <f>(Links!G34*Links!AK34+'On-Ramps'!AF34*'On-Ramps'!CH34)/('On-Ramps'!AF34+Links!G34)</f>
        <v>#DIV/0!</v>
      </c>
      <c r="BH34" s="59" t="e">
        <f>(Links!H34*Links!AL34+'On-Ramps'!AG34*'On-Ramps'!CI34)/('On-Ramps'!AG34+Links!H34)</f>
        <v>#DIV/0!</v>
      </c>
      <c r="BI34" s="59" t="e">
        <f>(Links!J34*Links!AN34+'On-Ramps'!AH34*'On-Ramps'!CJ34)/('On-Ramps'!AH34+Links!J34)</f>
        <v>#DIV/0!</v>
      </c>
      <c r="BJ34" s="59" t="e">
        <f>(Links!K34*Links!AO34+'On-Ramps'!AI34*'On-Ramps'!CK34)/('On-Ramps'!AI34+Links!K34)</f>
        <v>#DIV/0!</v>
      </c>
      <c r="BK34" s="59" t="e">
        <f>(Links!L34*Links!AP34+'On-Ramps'!AJ34*'On-Ramps'!CL34)/(Links!L34+'On-Ramps'!AJ34)</f>
        <v>#DIV/0!</v>
      </c>
      <c r="BL34" s="59" t="e">
        <f>Links!AQ34</f>
        <v>#DIV/0!</v>
      </c>
      <c r="BM34" s="59" t="e">
        <f>(Links!N34*Links!AR34+'On-Ramps'!AL34*'On-Ramps'!CM34)/(Links!N34+'On-Ramps'!AL34)</f>
        <v>#DIV/0!</v>
      </c>
      <c r="BN34" s="59" t="e">
        <f>Links!AS34</f>
        <v>#DIV/0!</v>
      </c>
      <c r="BO34" s="60" t="e">
        <f>(Links!R34^2+'Off-Ramp'!L34^2)/(Links!R34+'Off-Ramp'!L34)</f>
        <v>#DIV/0!</v>
      </c>
      <c r="BP34" s="60" t="e">
        <f>Links!S34</f>
        <v>#DIV/0!</v>
      </c>
      <c r="BQ34" s="60" t="e">
        <f>(Links!S34^2+'Off-Ramp'!C34^2)/(Links!S34+'Off-Ramp'!C34)</f>
        <v>#DIV/0!</v>
      </c>
      <c r="BR34" s="60" t="e">
        <f>Links!T34</f>
        <v>#DIV/0!</v>
      </c>
      <c r="BS34" s="60" t="e">
        <f>(Links!X34^2+'Off-Ramp'!V34^2+'Off-Ramp'!W34^2+'Off-Ramp'!X34^2)/(Links!X34+'Off-Ramp'!V34+'Off-Ramp'!W34+'Off-Ramp'!X34)</f>
        <v>#DIV/0!</v>
      </c>
      <c r="BT34" s="60" t="e">
        <f>(Links!Y34^2+'Off-Ramp'!Y34^2+'Off-Ramp'!Z34^2+'Off-Ramp'!AA34^2)/(Links!Y34+'Off-Ramp'!Y34+'Off-Ramp'!Z34+'Off-Ramp'!AA34)</f>
        <v>#DIV/0!</v>
      </c>
      <c r="BU34" s="60" t="e">
        <f>(Links!W34^2+'Off-Ramp'!P34^2)/(Links!W34+'Off-Ramp'!P34)</f>
        <v>#DIV/0!</v>
      </c>
      <c r="BV34" s="60" t="e">
        <f>(Links!Y34^2+'Off-Ramp'!Q34^2)/(Links!Y34+'Off-Ramp'!Q34)</f>
        <v>#DIV/0!</v>
      </c>
      <c r="BW34" s="60" t="e">
        <f>(Links!Z34^2+'Off-Ramp'!R34^2)/(Links!Z34+'Off-Ramp'!R34)</f>
        <v>#DIV/0!</v>
      </c>
      <c r="BX34" s="60" t="e">
        <f>(Links!AA34+'Off-Ramp'!S34)/(Links!AA34^2+'Off-Ramp'!S34^2)</f>
        <v>#DIV/0!</v>
      </c>
      <c r="BY34" s="60" t="e">
        <f>(Links!AB34^2+'Off-Ramp'!T34^2)/(Links!AB34+'Off-Ramp'!T34)</f>
        <v>#DIV/0!</v>
      </c>
      <c r="BZ34" s="60" t="e">
        <f>Links!AC34</f>
        <v>#DIV/0!</v>
      </c>
      <c r="CA34" s="60" t="e">
        <f>(Links!AD34^2+'Off-Ramp'!U34^2)/(Links!AD34+'Off-Ramp'!U34)</f>
        <v>#DIV/0!</v>
      </c>
    </row>
    <row r="35" spans="1:79" x14ac:dyDescent="0.15">
      <c r="A35" s="58">
        <v>33</v>
      </c>
      <c r="B35" s="59" t="e">
        <f t="shared" si="2"/>
        <v>#DIV/0!</v>
      </c>
      <c r="C35" s="59" t="e">
        <f t="shared" si="3"/>
        <v>#DIV/0!</v>
      </c>
      <c r="D35" s="59" t="e">
        <f t="shared" si="4"/>
        <v>#DIV/0!</v>
      </c>
      <c r="E35" s="59" t="e">
        <f t="shared" si="5"/>
        <v>#DIV/0!</v>
      </c>
      <c r="F35" s="59" t="e">
        <f t="shared" si="6"/>
        <v>#DIV/0!</v>
      </c>
      <c r="G35" s="59" t="e">
        <f t="shared" si="7"/>
        <v>#DIV/0!</v>
      </c>
      <c r="H35" s="59" t="e">
        <f t="shared" si="8"/>
        <v>#DIV/0!</v>
      </c>
      <c r="I35" s="59" t="e">
        <f t="shared" si="9"/>
        <v>#DIV/0!</v>
      </c>
      <c r="J35" s="59" t="e">
        <f t="shared" si="10"/>
        <v>#DIV/0!</v>
      </c>
      <c r="K35" s="59" t="e">
        <f t="shared" si="11"/>
        <v>#DIV/0!</v>
      </c>
      <c r="L35" s="59" t="e">
        <f t="shared" si="12"/>
        <v>#DIV/0!</v>
      </c>
      <c r="M35" s="59" t="e">
        <f t="shared" si="13"/>
        <v>#DIV/0!</v>
      </c>
      <c r="N35" s="59" t="e">
        <f t="shared" si="14"/>
        <v>#DIV/0!</v>
      </c>
      <c r="O35" s="60" t="e">
        <f>Links!B35</f>
        <v>#DIV/0!</v>
      </c>
      <c r="P35" s="60" t="e">
        <f>Links!C35+'On-Ramps'!AC35</f>
        <v>#DIV/0!</v>
      </c>
      <c r="Q35" s="60" t="e">
        <f>Links!D35</f>
        <v>#DIV/0!</v>
      </c>
      <c r="R35" s="60" t="e">
        <f>Links!E35+'On-Ramps'!AD35</f>
        <v>#DIV/0!</v>
      </c>
      <c r="S35" s="60" t="e">
        <f>Links!F35+'On-Ramps'!AE35</f>
        <v>#DIV/0!</v>
      </c>
      <c r="T35" s="60" t="e">
        <f>Links!G35+'On-Ramps'!AF35</f>
        <v>#DIV/0!</v>
      </c>
      <c r="U35" s="60" t="e">
        <f>Links!H35+'On-Ramps'!AG35</f>
        <v>#DIV/0!</v>
      </c>
      <c r="V35" s="60" t="e">
        <f>Links!J35+'On-Ramps'!AH35</f>
        <v>#DIV/0!</v>
      </c>
      <c r="W35" s="60" t="e">
        <f>Links!K35+'On-Ramps'!AI35</f>
        <v>#DIV/0!</v>
      </c>
      <c r="X35" s="60" t="e">
        <f>Links!L35+'On-Ramps'!AJ35</f>
        <v>#DIV/0!</v>
      </c>
      <c r="Y35" s="60" t="e">
        <f>Links!M35</f>
        <v>#DIV/0!</v>
      </c>
      <c r="Z35" s="60" t="e">
        <f>Links!N35+'On-Ramps'!AK35</f>
        <v>#DIV/0!</v>
      </c>
      <c r="AA35" s="60" t="e">
        <f>Links!O35</f>
        <v>#DIV/0!</v>
      </c>
      <c r="AB35" s="59" t="e">
        <f t="shared" si="17"/>
        <v>#DIV/0!</v>
      </c>
      <c r="AC35" s="65"/>
      <c r="AD35" s="59" t="e">
        <f t="shared" si="18"/>
        <v>#DIV/0!</v>
      </c>
      <c r="AE35" s="65"/>
      <c r="AF35" s="59" t="e">
        <f t="shared" si="19"/>
        <v>#DIV/0!</v>
      </c>
      <c r="AG35" s="59" t="e">
        <f t="shared" si="20"/>
        <v>#DIV/0!</v>
      </c>
      <c r="AH35" s="59" t="e">
        <f t="shared" si="21"/>
        <v>#DIV/0!</v>
      </c>
      <c r="AI35" s="59" t="e">
        <f t="shared" si="22"/>
        <v>#DIV/0!</v>
      </c>
      <c r="AJ35" s="59" t="e">
        <f t="shared" si="23"/>
        <v>#DIV/0!</v>
      </c>
      <c r="AK35" s="59" t="e">
        <f t="shared" si="24"/>
        <v>#DIV/0!</v>
      </c>
      <c r="AL35" s="59" t="e">
        <f t="shared" si="25"/>
        <v>#DIV/0!</v>
      </c>
      <c r="AM35" s="65"/>
      <c r="AN35" s="59" t="e">
        <f t="shared" si="27"/>
        <v>#DIV/0!</v>
      </c>
      <c r="AO35" s="60" t="e">
        <f t="shared" si="26"/>
        <v>#DIV/0!</v>
      </c>
      <c r="AP35" s="65"/>
      <c r="AQ35" s="60" t="e">
        <f t="shared" si="26"/>
        <v>#DIV/0!</v>
      </c>
      <c r="AR35" s="65"/>
      <c r="AS35" s="60" t="e">
        <f t="shared" si="26"/>
        <v>#DIV/0!</v>
      </c>
      <c r="AT35" s="60" t="e">
        <f t="shared" si="26"/>
        <v>#DIV/0!</v>
      </c>
      <c r="AU35" s="60" t="e">
        <f t="shared" si="26"/>
        <v>#DIV/0!</v>
      </c>
      <c r="AV35" s="60" t="e">
        <f t="shared" si="26"/>
        <v>#DIV/0!</v>
      </c>
      <c r="AW35" s="60" t="e">
        <f t="shared" si="26"/>
        <v>#DIV/0!</v>
      </c>
      <c r="AX35" s="60" t="e">
        <f t="shared" si="26"/>
        <v>#DIV/0!</v>
      </c>
      <c r="AY35" s="60" t="e">
        <f t="shared" si="26"/>
        <v>#DIV/0!</v>
      </c>
      <c r="AZ35" s="65"/>
      <c r="BA35" s="60" t="e">
        <f t="shared" si="26"/>
        <v>#DIV/0!</v>
      </c>
      <c r="BB35" s="59" t="e">
        <f>Links!AF35</f>
        <v>#DIV/0!</v>
      </c>
      <c r="BC35" s="59" t="e">
        <f>(Links!AG35*Links!C35+'On-Ramps'!AC35*'On-Ramps'!CE35)/('On-Ramps'!AC35+Links!C35)</f>
        <v>#DIV/0!</v>
      </c>
      <c r="BD35" s="59" t="e">
        <f>Links!AH35</f>
        <v>#DIV/0!</v>
      </c>
      <c r="BE35" s="59" t="e">
        <f>(Links!AI35*Links!E35+'On-Ramps'!AD35*'On-Ramps'!CF34)/('On-Ramps'!AD35+Links!E35)</f>
        <v>#DIV/0!</v>
      </c>
      <c r="BF35" s="59" t="e">
        <f>(Links!F35*Links!AJ35+'On-Ramps'!AE35*'On-Ramps'!CG35)/('On-Ramps'!AE35+Links!F35)</f>
        <v>#DIV/0!</v>
      </c>
      <c r="BG35" s="59" t="e">
        <f>(Links!G35*Links!AK35+'On-Ramps'!AF35*'On-Ramps'!CH35)/('On-Ramps'!AF35+Links!G35)</f>
        <v>#DIV/0!</v>
      </c>
      <c r="BH35" s="59" t="e">
        <f>(Links!H35*Links!AL35+'On-Ramps'!AG35*'On-Ramps'!CI35)/('On-Ramps'!AG35+Links!H35)</f>
        <v>#DIV/0!</v>
      </c>
      <c r="BI35" s="59" t="e">
        <f>(Links!J35*Links!AN35+'On-Ramps'!AH35*'On-Ramps'!CJ35)/('On-Ramps'!AH35+Links!J35)</f>
        <v>#DIV/0!</v>
      </c>
      <c r="BJ35" s="59" t="e">
        <f>(Links!K35*Links!AO35+'On-Ramps'!AI35*'On-Ramps'!CK35)/('On-Ramps'!AI35+Links!K35)</f>
        <v>#DIV/0!</v>
      </c>
      <c r="BK35" s="59" t="e">
        <f>(Links!L35*Links!AP35+'On-Ramps'!AJ35*'On-Ramps'!CL35)/(Links!L35+'On-Ramps'!AJ35)</f>
        <v>#DIV/0!</v>
      </c>
      <c r="BL35" s="59" t="e">
        <f>Links!AQ35</f>
        <v>#DIV/0!</v>
      </c>
      <c r="BM35" s="59" t="e">
        <f>(Links!N35*Links!AR35+'On-Ramps'!AL35*'On-Ramps'!CM35)/(Links!N35+'On-Ramps'!AL35)</f>
        <v>#DIV/0!</v>
      </c>
      <c r="BN35" s="59" t="e">
        <f>Links!AS35</f>
        <v>#DIV/0!</v>
      </c>
      <c r="BO35" s="60" t="e">
        <f>(Links!R35^2+'Off-Ramp'!L35^2)/(Links!R35+'Off-Ramp'!L35)</f>
        <v>#DIV/0!</v>
      </c>
      <c r="BP35" s="60" t="e">
        <f>Links!S35</f>
        <v>#DIV/0!</v>
      </c>
      <c r="BQ35" s="60" t="e">
        <f>(Links!S35^2+'Off-Ramp'!C35^2)/(Links!S35+'Off-Ramp'!C35)</f>
        <v>#DIV/0!</v>
      </c>
      <c r="BR35" s="60" t="e">
        <f>Links!T35</f>
        <v>#DIV/0!</v>
      </c>
      <c r="BS35" s="60" t="e">
        <f>(Links!X35^2+'Off-Ramp'!V35^2+'Off-Ramp'!W35^2+'Off-Ramp'!X35^2)/(Links!X35+'Off-Ramp'!V35+'Off-Ramp'!W35+'Off-Ramp'!X35)</f>
        <v>#DIV/0!</v>
      </c>
      <c r="BT35" s="60" t="e">
        <f>(Links!Y35^2+'Off-Ramp'!Y35^2+'Off-Ramp'!Z35^2+'Off-Ramp'!AA35^2)/(Links!Y35+'Off-Ramp'!Y35+'Off-Ramp'!Z35+'Off-Ramp'!AA35)</f>
        <v>#DIV/0!</v>
      </c>
      <c r="BU35" s="60" t="e">
        <f>(Links!W35^2+'Off-Ramp'!P35^2)/(Links!W35+'Off-Ramp'!P35)</f>
        <v>#DIV/0!</v>
      </c>
      <c r="BV35" s="60" t="e">
        <f>(Links!Y35^2+'Off-Ramp'!Q35^2)/(Links!Y35+'Off-Ramp'!Q35)</f>
        <v>#DIV/0!</v>
      </c>
      <c r="BW35" s="60" t="e">
        <f>(Links!Z35^2+'Off-Ramp'!R35^2)/(Links!Z35+'Off-Ramp'!R35)</f>
        <v>#DIV/0!</v>
      </c>
      <c r="BX35" s="60" t="e">
        <f>(Links!AA35+'Off-Ramp'!S35)/(Links!AA35^2+'Off-Ramp'!S35^2)</f>
        <v>#DIV/0!</v>
      </c>
      <c r="BY35" s="60" t="e">
        <f>(Links!AB35^2+'Off-Ramp'!T35^2)/(Links!AB35+'Off-Ramp'!T35)</f>
        <v>#DIV/0!</v>
      </c>
      <c r="BZ35" s="60" t="e">
        <f>Links!AC35</f>
        <v>#DIV/0!</v>
      </c>
      <c r="CA35" s="60" t="e">
        <f>(Links!AD35^2+'Off-Ramp'!U35^2)/(Links!AD35+'Off-Ramp'!U35)</f>
        <v>#DIV/0!</v>
      </c>
    </row>
    <row r="36" spans="1:79" x14ac:dyDescent="0.15">
      <c r="A36" s="58">
        <v>34</v>
      </c>
      <c r="B36" s="59" t="e">
        <f t="shared" si="2"/>
        <v>#DIV/0!</v>
      </c>
      <c r="C36" s="59" t="e">
        <f t="shared" si="3"/>
        <v>#DIV/0!</v>
      </c>
      <c r="D36" s="59" t="e">
        <f t="shared" si="4"/>
        <v>#DIV/0!</v>
      </c>
      <c r="E36" s="59" t="e">
        <f t="shared" si="5"/>
        <v>#DIV/0!</v>
      </c>
      <c r="F36" s="59" t="e">
        <f t="shared" si="6"/>
        <v>#DIV/0!</v>
      </c>
      <c r="G36" s="59" t="e">
        <f t="shared" si="7"/>
        <v>#DIV/0!</v>
      </c>
      <c r="H36" s="59" t="e">
        <f t="shared" si="8"/>
        <v>#DIV/0!</v>
      </c>
      <c r="I36" s="59" t="e">
        <f t="shared" si="9"/>
        <v>#DIV/0!</v>
      </c>
      <c r="J36" s="59" t="e">
        <f t="shared" si="10"/>
        <v>#DIV/0!</v>
      </c>
      <c r="K36" s="59" t="e">
        <f t="shared" si="11"/>
        <v>#DIV/0!</v>
      </c>
      <c r="L36" s="59" t="e">
        <f t="shared" si="12"/>
        <v>#DIV/0!</v>
      </c>
      <c r="M36" s="59" t="e">
        <f t="shared" si="13"/>
        <v>#DIV/0!</v>
      </c>
      <c r="N36" s="59" t="e">
        <f t="shared" si="14"/>
        <v>#DIV/0!</v>
      </c>
      <c r="O36" s="60" t="e">
        <f>Links!B36</f>
        <v>#DIV/0!</v>
      </c>
      <c r="P36" s="60" t="e">
        <f>Links!C36+'On-Ramps'!AC36</f>
        <v>#DIV/0!</v>
      </c>
      <c r="Q36" s="60" t="e">
        <f>Links!D36</f>
        <v>#DIV/0!</v>
      </c>
      <c r="R36" s="60" t="e">
        <f>Links!E36+'On-Ramps'!AD36</f>
        <v>#DIV/0!</v>
      </c>
      <c r="S36" s="60" t="e">
        <f>Links!F36+'On-Ramps'!AE36</f>
        <v>#DIV/0!</v>
      </c>
      <c r="T36" s="60" t="e">
        <f>Links!G36+'On-Ramps'!AF36</f>
        <v>#DIV/0!</v>
      </c>
      <c r="U36" s="60" t="e">
        <f>Links!H36+'On-Ramps'!AG36</f>
        <v>#DIV/0!</v>
      </c>
      <c r="V36" s="60" t="e">
        <f>Links!J36+'On-Ramps'!AH36</f>
        <v>#DIV/0!</v>
      </c>
      <c r="W36" s="60" t="e">
        <f>Links!K36+'On-Ramps'!AI36</f>
        <v>#DIV/0!</v>
      </c>
      <c r="X36" s="60" t="e">
        <f>Links!L36+'On-Ramps'!AJ36</f>
        <v>#DIV/0!</v>
      </c>
      <c r="Y36" s="60" t="e">
        <f>Links!M36</f>
        <v>#DIV/0!</v>
      </c>
      <c r="Z36" s="60" t="e">
        <f>Links!N36+'On-Ramps'!AK36</f>
        <v>#DIV/0!</v>
      </c>
      <c r="AA36" s="60" t="e">
        <f>Links!O36</f>
        <v>#DIV/0!</v>
      </c>
      <c r="AB36" s="59" t="e">
        <f t="shared" si="17"/>
        <v>#DIV/0!</v>
      </c>
      <c r="AC36" s="65"/>
      <c r="AD36" s="59" t="e">
        <f t="shared" si="18"/>
        <v>#DIV/0!</v>
      </c>
      <c r="AE36" s="65"/>
      <c r="AF36" s="59" t="e">
        <f t="shared" si="19"/>
        <v>#DIV/0!</v>
      </c>
      <c r="AG36" s="59" t="e">
        <f t="shared" si="20"/>
        <v>#DIV/0!</v>
      </c>
      <c r="AH36" s="59" t="e">
        <f t="shared" si="21"/>
        <v>#DIV/0!</v>
      </c>
      <c r="AI36" s="59" t="e">
        <f t="shared" si="22"/>
        <v>#DIV/0!</v>
      </c>
      <c r="AJ36" s="59" t="e">
        <f t="shared" si="23"/>
        <v>#DIV/0!</v>
      </c>
      <c r="AK36" s="59" t="e">
        <f t="shared" si="24"/>
        <v>#DIV/0!</v>
      </c>
      <c r="AL36" s="59" t="e">
        <f t="shared" si="25"/>
        <v>#DIV/0!</v>
      </c>
      <c r="AM36" s="65"/>
      <c r="AN36" s="59" t="e">
        <f t="shared" si="27"/>
        <v>#DIV/0!</v>
      </c>
      <c r="AO36" s="60" t="e">
        <f t="shared" si="26"/>
        <v>#DIV/0!</v>
      </c>
      <c r="AP36" s="65"/>
      <c r="AQ36" s="60" t="e">
        <f t="shared" si="26"/>
        <v>#DIV/0!</v>
      </c>
      <c r="AR36" s="65"/>
      <c r="AS36" s="60" t="e">
        <f t="shared" si="26"/>
        <v>#DIV/0!</v>
      </c>
      <c r="AT36" s="60" t="e">
        <f t="shared" si="26"/>
        <v>#DIV/0!</v>
      </c>
      <c r="AU36" s="60" t="e">
        <f t="shared" si="26"/>
        <v>#DIV/0!</v>
      </c>
      <c r="AV36" s="60" t="e">
        <f t="shared" si="26"/>
        <v>#DIV/0!</v>
      </c>
      <c r="AW36" s="60" t="e">
        <f t="shared" si="26"/>
        <v>#DIV/0!</v>
      </c>
      <c r="AX36" s="60" t="e">
        <f t="shared" si="26"/>
        <v>#DIV/0!</v>
      </c>
      <c r="AY36" s="60" t="e">
        <f t="shared" si="26"/>
        <v>#DIV/0!</v>
      </c>
      <c r="AZ36" s="65"/>
      <c r="BA36" s="60" t="e">
        <f t="shared" si="26"/>
        <v>#DIV/0!</v>
      </c>
      <c r="BB36" s="59" t="e">
        <f>Links!AF36</f>
        <v>#DIV/0!</v>
      </c>
      <c r="BC36" s="59" t="e">
        <f>(Links!AG36*Links!C36+'On-Ramps'!AC36*'On-Ramps'!CE36)/('On-Ramps'!AC36+Links!C36)</f>
        <v>#DIV/0!</v>
      </c>
      <c r="BD36" s="59" t="e">
        <f>Links!AH36</f>
        <v>#DIV/0!</v>
      </c>
      <c r="BE36" s="59" t="e">
        <f>(Links!AI36*Links!E36+'On-Ramps'!AD36*'On-Ramps'!CF35)/('On-Ramps'!AD36+Links!E36)</f>
        <v>#DIV/0!</v>
      </c>
      <c r="BF36" s="59" t="e">
        <f>(Links!F36*Links!AJ36+'On-Ramps'!AE36*'On-Ramps'!CG36)/('On-Ramps'!AE36+Links!F36)</f>
        <v>#DIV/0!</v>
      </c>
      <c r="BG36" s="59" t="e">
        <f>(Links!G36*Links!AK36+'On-Ramps'!AF36*'On-Ramps'!CH36)/('On-Ramps'!AF36+Links!G36)</f>
        <v>#DIV/0!</v>
      </c>
      <c r="BH36" s="59" t="e">
        <f>(Links!H36*Links!AL36+'On-Ramps'!AG36*'On-Ramps'!CI36)/('On-Ramps'!AG36+Links!H36)</f>
        <v>#DIV/0!</v>
      </c>
      <c r="BI36" s="59" t="e">
        <f>(Links!J36*Links!AN36+'On-Ramps'!AH36*'On-Ramps'!CJ36)/('On-Ramps'!AH36+Links!J36)</f>
        <v>#DIV/0!</v>
      </c>
      <c r="BJ36" s="59" t="e">
        <f>(Links!K36*Links!AO36+'On-Ramps'!AI36*'On-Ramps'!CK36)/('On-Ramps'!AI36+Links!K36)</f>
        <v>#DIV/0!</v>
      </c>
      <c r="BK36" s="59" t="e">
        <f>(Links!L36*Links!AP36+'On-Ramps'!AJ36*'On-Ramps'!CL36)/(Links!L36+'On-Ramps'!AJ36)</f>
        <v>#DIV/0!</v>
      </c>
      <c r="BL36" s="59" t="e">
        <f>Links!AQ36</f>
        <v>#DIV/0!</v>
      </c>
      <c r="BM36" s="59" t="e">
        <f>(Links!N36*Links!AR36+'On-Ramps'!AL36*'On-Ramps'!CM36)/(Links!N36+'On-Ramps'!AL36)</f>
        <v>#DIV/0!</v>
      </c>
      <c r="BN36" s="59" t="e">
        <f>Links!AS36</f>
        <v>#DIV/0!</v>
      </c>
      <c r="BO36" s="60" t="e">
        <f>(Links!R36^2+'Off-Ramp'!L36^2)/(Links!R36+'Off-Ramp'!L36)</f>
        <v>#DIV/0!</v>
      </c>
      <c r="BP36" s="60" t="e">
        <f>Links!S36</f>
        <v>#DIV/0!</v>
      </c>
      <c r="BQ36" s="60" t="e">
        <f>(Links!S36^2+'Off-Ramp'!C36^2)/(Links!S36+'Off-Ramp'!C36)</f>
        <v>#DIV/0!</v>
      </c>
      <c r="BR36" s="60" t="e">
        <f>Links!T36</f>
        <v>#DIV/0!</v>
      </c>
      <c r="BS36" s="60" t="e">
        <f>(Links!X36^2+'Off-Ramp'!V36^2+'Off-Ramp'!W36^2+'Off-Ramp'!X36^2)/(Links!X36+'Off-Ramp'!V36+'Off-Ramp'!W36+'Off-Ramp'!X36)</f>
        <v>#DIV/0!</v>
      </c>
      <c r="BT36" s="60" t="e">
        <f>(Links!Y36^2+'Off-Ramp'!Y36^2+'Off-Ramp'!Z36^2+'Off-Ramp'!AA36^2)/(Links!Y36+'Off-Ramp'!Y36+'Off-Ramp'!Z36+'Off-Ramp'!AA36)</f>
        <v>#DIV/0!</v>
      </c>
      <c r="BU36" s="60" t="e">
        <f>(Links!W36^2+'Off-Ramp'!P36^2)/(Links!W36+'Off-Ramp'!P36)</f>
        <v>#DIV/0!</v>
      </c>
      <c r="BV36" s="60" t="e">
        <f>(Links!Y36^2+'Off-Ramp'!Q36^2)/(Links!Y36+'Off-Ramp'!Q36)</f>
        <v>#DIV/0!</v>
      </c>
      <c r="BW36" s="60" t="e">
        <f>(Links!Z36^2+'Off-Ramp'!R36^2)/(Links!Z36+'Off-Ramp'!R36)</f>
        <v>#DIV/0!</v>
      </c>
      <c r="BX36" s="60" t="e">
        <f>(Links!AA36+'Off-Ramp'!S36)/(Links!AA36^2+'Off-Ramp'!S36^2)</f>
        <v>#DIV/0!</v>
      </c>
      <c r="BY36" s="60" t="e">
        <f>(Links!AB36^2+'Off-Ramp'!T36^2)/(Links!AB36+'Off-Ramp'!T36)</f>
        <v>#DIV/0!</v>
      </c>
      <c r="BZ36" s="60" t="e">
        <f>Links!AC36</f>
        <v>#DIV/0!</v>
      </c>
      <c r="CA36" s="60" t="e">
        <f>(Links!AD36^2+'Off-Ramp'!U36^2)/(Links!AD36+'Off-Ramp'!U36)</f>
        <v>#DIV/0!</v>
      </c>
    </row>
    <row r="37" spans="1:79" x14ac:dyDescent="0.15">
      <c r="A37" s="58">
        <v>35</v>
      </c>
      <c r="B37" s="59" t="e">
        <f t="shared" si="2"/>
        <v>#DIV/0!</v>
      </c>
      <c r="C37" s="59" t="e">
        <f t="shared" si="3"/>
        <v>#DIV/0!</v>
      </c>
      <c r="D37" s="59" t="e">
        <f t="shared" si="4"/>
        <v>#DIV/0!</v>
      </c>
      <c r="E37" s="59" t="e">
        <f t="shared" si="5"/>
        <v>#DIV/0!</v>
      </c>
      <c r="F37" s="59" t="e">
        <f t="shared" si="6"/>
        <v>#DIV/0!</v>
      </c>
      <c r="G37" s="59" t="e">
        <f t="shared" si="7"/>
        <v>#DIV/0!</v>
      </c>
      <c r="H37" s="59" t="e">
        <f t="shared" si="8"/>
        <v>#DIV/0!</v>
      </c>
      <c r="I37" s="59" t="e">
        <f t="shared" si="9"/>
        <v>#DIV/0!</v>
      </c>
      <c r="J37" s="59" t="e">
        <f t="shared" si="10"/>
        <v>#DIV/0!</v>
      </c>
      <c r="K37" s="59" t="e">
        <f t="shared" si="11"/>
        <v>#DIV/0!</v>
      </c>
      <c r="L37" s="59" t="e">
        <f t="shared" si="12"/>
        <v>#DIV/0!</v>
      </c>
      <c r="M37" s="59" t="e">
        <f t="shared" si="13"/>
        <v>#DIV/0!</v>
      </c>
      <c r="N37" s="59" t="e">
        <f t="shared" si="14"/>
        <v>#DIV/0!</v>
      </c>
      <c r="O37" s="60" t="e">
        <f>Links!B37</f>
        <v>#DIV/0!</v>
      </c>
      <c r="P37" s="60" t="e">
        <f>Links!C37+'On-Ramps'!AC37</f>
        <v>#DIV/0!</v>
      </c>
      <c r="Q37" s="60" t="e">
        <f>Links!D37</f>
        <v>#DIV/0!</v>
      </c>
      <c r="R37" s="60" t="e">
        <f>Links!E37+'On-Ramps'!AD37</f>
        <v>#DIV/0!</v>
      </c>
      <c r="S37" s="60" t="e">
        <f>Links!F37+'On-Ramps'!AE37</f>
        <v>#DIV/0!</v>
      </c>
      <c r="T37" s="60" t="e">
        <f>Links!G37+'On-Ramps'!AF37</f>
        <v>#DIV/0!</v>
      </c>
      <c r="U37" s="60" t="e">
        <f>Links!H37+'On-Ramps'!AG37</f>
        <v>#DIV/0!</v>
      </c>
      <c r="V37" s="60" t="e">
        <f>Links!J37+'On-Ramps'!AH37</f>
        <v>#DIV/0!</v>
      </c>
      <c r="W37" s="60" t="e">
        <f>Links!K37+'On-Ramps'!AI37</f>
        <v>#DIV/0!</v>
      </c>
      <c r="X37" s="60" t="e">
        <f>Links!L37+'On-Ramps'!AJ37</f>
        <v>#DIV/0!</v>
      </c>
      <c r="Y37" s="60" t="e">
        <f>Links!M37</f>
        <v>#DIV/0!</v>
      </c>
      <c r="Z37" s="60" t="e">
        <f>Links!N37+'On-Ramps'!AK37</f>
        <v>#DIV/0!</v>
      </c>
      <c r="AA37" s="60" t="e">
        <f>Links!O37</f>
        <v>#DIV/0!</v>
      </c>
      <c r="AB37" s="59" t="e">
        <f t="shared" si="17"/>
        <v>#DIV/0!</v>
      </c>
      <c r="AC37" s="65"/>
      <c r="AD37" s="59" t="e">
        <f t="shared" si="18"/>
        <v>#DIV/0!</v>
      </c>
      <c r="AE37" s="65"/>
      <c r="AF37" s="59" t="e">
        <f t="shared" si="19"/>
        <v>#DIV/0!</v>
      </c>
      <c r="AG37" s="59" t="e">
        <f t="shared" si="20"/>
        <v>#DIV/0!</v>
      </c>
      <c r="AH37" s="59" t="e">
        <f t="shared" si="21"/>
        <v>#DIV/0!</v>
      </c>
      <c r="AI37" s="59" t="e">
        <f t="shared" si="22"/>
        <v>#DIV/0!</v>
      </c>
      <c r="AJ37" s="59" t="e">
        <f t="shared" si="23"/>
        <v>#DIV/0!</v>
      </c>
      <c r="AK37" s="59" t="e">
        <f t="shared" si="24"/>
        <v>#DIV/0!</v>
      </c>
      <c r="AL37" s="59" t="e">
        <f t="shared" si="25"/>
        <v>#DIV/0!</v>
      </c>
      <c r="AM37" s="65"/>
      <c r="AN37" s="59" t="e">
        <f t="shared" si="27"/>
        <v>#DIV/0!</v>
      </c>
      <c r="AO37" s="60" t="e">
        <f t="shared" ref="AO37:BA56" si="28">AO$3</f>
        <v>#DIV/0!</v>
      </c>
      <c r="AP37" s="65"/>
      <c r="AQ37" s="60" t="e">
        <f t="shared" si="28"/>
        <v>#DIV/0!</v>
      </c>
      <c r="AR37" s="65"/>
      <c r="AS37" s="60" t="e">
        <f t="shared" si="28"/>
        <v>#DIV/0!</v>
      </c>
      <c r="AT37" s="60" t="e">
        <f t="shared" si="28"/>
        <v>#DIV/0!</v>
      </c>
      <c r="AU37" s="60" t="e">
        <f t="shared" si="28"/>
        <v>#DIV/0!</v>
      </c>
      <c r="AV37" s="60" t="e">
        <f t="shared" si="28"/>
        <v>#DIV/0!</v>
      </c>
      <c r="AW37" s="60" t="e">
        <f t="shared" si="28"/>
        <v>#DIV/0!</v>
      </c>
      <c r="AX37" s="60" t="e">
        <f t="shared" si="28"/>
        <v>#DIV/0!</v>
      </c>
      <c r="AY37" s="60" t="e">
        <f t="shared" si="28"/>
        <v>#DIV/0!</v>
      </c>
      <c r="AZ37" s="65"/>
      <c r="BA37" s="60" t="e">
        <f t="shared" si="28"/>
        <v>#DIV/0!</v>
      </c>
      <c r="BB37" s="59" t="e">
        <f>Links!AF37</f>
        <v>#DIV/0!</v>
      </c>
      <c r="BC37" s="59" t="e">
        <f>(Links!AG37*Links!C37+'On-Ramps'!AC37*'On-Ramps'!CE37)/('On-Ramps'!AC37+Links!C37)</f>
        <v>#DIV/0!</v>
      </c>
      <c r="BD37" s="59" t="e">
        <f>Links!AH37</f>
        <v>#DIV/0!</v>
      </c>
      <c r="BE37" s="59" t="e">
        <f>(Links!AI37*Links!E37+'On-Ramps'!AD37*'On-Ramps'!CF36)/('On-Ramps'!AD37+Links!E37)</f>
        <v>#DIV/0!</v>
      </c>
      <c r="BF37" s="59" t="e">
        <f>(Links!F37*Links!AJ37+'On-Ramps'!AE37*'On-Ramps'!CG37)/('On-Ramps'!AE37+Links!F37)</f>
        <v>#DIV/0!</v>
      </c>
      <c r="BG37" s="59" t="e">
        <f>(Links!G37*Links!AK37+'On-Ramps'!AF37*'On-Ramps'!CH37)/('On-Ramps'!AF37+Links!G37)</f>
        <v>#DIV/0!</v>
      </c>
      <c r="BH37" s="59" t="e">
        <f>(Links!H37*Links!AL37+'On-Ramps'!AG37*'On-Ramps'!CI37)/('On-Ramps'!AG37+Links!H37)</f>
        <v>#DIV/0!</v>
      </c>
      <c r="BI37" s="59" t="e">
        <f>(Links!J37*Links!AN37+'On-Ramps'!AH37*'On-Ramps'!CJ37)/('On-Ramps'!AH37+Links!J37)</f>
        <v>#DIV/0!</v>
      </c>
      <c r="BJ37" s="59" t="e">
        <f>(Links!K37*Links!AO37+'On-Ramps'!AI37*'On-Ramps'!CK37)/('On-Ramps'!AI37+Links!K37)</f>
        <v>#DIV/0!</v>
      </c>
      <c r="BK37" s="59" t="e">
        <f>(Links!L37*Links!AP37+'On-Ramps'!AJ37*'On-Ramps'!CL37)/(Links!L37+'On-Ramps'!AJ37)</f>
        <v>#DIV/0!</v>
      </c>
      <c r="BL37" s="59" t="e">
        <f>Links!AQ37</f>
        <v>#DIV/0!</v>
      </c>
      <c r="BM37" s="59" t="e">
        <f>(Links!N37*Links!AR37+'On-Ramps'!AL37*'On-Ramps'!CM37)/(Links!N37+'On-Ramps'!AL37)</f>
        <v>#DIV/0!</v>
      </c>
      <c r="BN37" s="59" t="e">
        <f>Links!AS37</f>
        <v>#DIV/0!</v>
      </c>
      <c r="BO37" s="60" t="e">
        <f>(Links!R37^2+'Off-Ramp'!L37^2)/(Links!R37+'Off-Ramp'!L37)</f>
        <v>#DIV/0!</v>
      </c>
      <c r="BP37" s="60" t="e">
        <f>Links!S37</f>
        <v>#DIV/0!</v>
      </c>
      <c r="BQ37" s="60" t="e">
        <f>(Links!S37^2+'Off-Ramp'!C37^2)/(Links!S37+'Off-Ramp'!C37)</f>
        <v>#DIV/0!</v>
      </c>
      <c r="BR37" s="60" t="e">
        <f>Links!T37</f>
        <v>#DIV/0!</v>
      </c>
      <c r="BS37" s="60" t="e">
        <f>(Links!X37^2+'Off-Ramp'!V37^2+'Off-Ramp'!W37^2+'Off-Ramp'!X37^2)/(Links!X37+'Off-Ramp'!V37+'Off-Ramp'!W37+'Off-Ramp'!X37)</f>
        <v>#DIV/0!</v>
      </c>
      <c r="BT37" s="60" t="e">
        <f>(Links!Y37^2+'Off-Ramp'!Y37^2+'Off-Ramp'!Z37^2+'Off-Ramp'!AA37^2)/(Links!Y37+'Off-Ramp'!Y37+'Off-Ramp'!Z37+'Off-Ramp'!AA37)</f>
        <v>#DIV/0!</v>
      </c>
      <c r="BU37" s="60" t="e">
        <f>(Links!W37^2+'Off-Ramp'!P37^2)/(Links!W37+'Off-Ramp'!P37)</f>
        <v>#DIV/0!</v>
      </c>
      <c r="BV37" s="60" t="e">
        <f>(Links!Y37^2+'Off-Ramp'!Q37^2)/(Links!Y37+'Off-Ramp'!Q37)</f>
        <v>#DIV/0!</v>
      </c>
      <c r="BW37" s="60" t="e">
        <f>(Links!Z37^2+'Off-Ramp'!R37^2)/(Links!Z37+'Off-Ramp'!R37)</f>
        <v>#DIV/0!</v>
      </c>
      <c r="BX37" s="60" t="e">
        <f>(Links!AA37+'Off-Ramp'!S37)/(Links!AA37^2+'Off-Ramp'!S37^2)</f>
        <v>#DIV/0!</v>
      </c>
      <c r="BY37" s="60" t="e">
        <f>(Links!AB37^2+'Off-Ramp'!T37^2)/(Links!AB37+'Off-Ramp'!T37)</f>
        <v>#DIV/0!</v>
      </c>
      <c r="BZ37" s="60" t="e">
        <f>Links!AC37</f>
        <v>#DIV/0!</v>
      </c>
      <c r="CA37" s="60" t="e">
        <f>(Links!AD37^2+'Off-Ramp'!U37^2)/(Links!AD37+'Off-Ramp'!U37)</f>
        <v>#DIV/0!</v>
      </c>
    </row>
    <row r="38" spans="1:79" x14ac:dyDescent="0.15">
      <c r="A38" s="58">
        <v>36</v>
      </c>
      <c r="B38" s="59" t="e">
        <f t="shared" si="2"/>
        <v>#DIV/0!</v>
      </c>
      <c r="C38" s="59" t="e">
        <f t="shared" si="3"/>
        <v>#DIV/0!</v>
      </c>
      <c r="D38" s="59" t="e">
        <f t="shared" si="4"/>
        <v>#DIV/0!</v>
      </c>
      <c r="E38" s="59" t="e">
        <f t="shared" si="5"/>
        <v>#DIV/0!</v>
      </c>
      <c r="F38" s="59" t="e">
        <f t="shared" si="6"/>
        <v>#DIV/0!</v>
      </c>
      <c r="G38" s="59" t="e">
        <f t="shared" si="7"/>
        <v>#DIV/0!</v>
      </c>
      <c r="H38" s="59" t="e">
        <f t="shared" si="8"/>
        <v>#DIV/0!</v>
      </c>
      <c r="I38" s="59" t="e">
        <f t="shared" si="9"/>
        <v>#DIV/0!</v>
      </c>
      <c r="J38" s="59" t="e">
        <f t="shared" si="10"/>
        <v>#DIV/0!</v>
      </c>
      <c r="K38" s="59" t="e">
        <f t="shared" si="11"/>
        <v>#DIV/0!</v>
      </c>
      <c r="L38" s="59" t="e">
        <f t="shared" si="12"/>
        <v>#DIV/0!</v>
      </c>
      <c r="M38" s="59" t="e">
        <f t="shared" si="13"/>
        <v>#DIV/0!</v>
      </c>
      <c r="N38" s="59" t="e">
        <f t="shared" si="14"/>
        <v>#DIV/0!</v>
      </c>
      <c r="O38" s="60" t="e">
        <f>Links!B38</f>
        <v>#DIV/0!</v>
      </c>
      <c r="P38" s="60" t="e">
        <f>Links!C38+'On-Ramps'!AC38</f>
        <v>#DIV/0!</v>
      </c>
      <c r="Q38" s="60" t="e">
        <f>Links!D38</f>
        <v>#DIV/0!</v>
      </c>
      <c r="R38" s="60" t="e">
        <f>Links!E38+'On-Ramps'!AD38</f>
        <v>#DIV/0!</v>
      </c>
      <c r="S38" s="60" t="e">
        <f>Links!F38+'On-Ramps'!AE38</f>
        <v>#DIV/0!</v>
      </c>
      <c r="T38" s="60" t="e">
        <f>Links!G38+'On-Ramps'!AF38</f>
        <v>#DIV/0!</v>
      </c>
      <c r="U38" s="60" t="e">
        <f>Links!H38+'On-Ramps'!AG38</f>
        <v>#DIV/0!</v>
      </c>
      <c r="V38" s="60" t="e">
        <f>Links!J38+'On-Ramps'!AH38</f>
        <v>#DIV/0!</v>
      </c>
      <c r="W38" s="60" t="e">
        <f>Links!K38+'On-Ramps'!AI38</f>
        <v>#DIV/0!</v>
      </c>
      <c r="X38" s="60" t="e">
        <f>Links!L38+'On-Ramps'!AJ38</f>
        <v>#DIV/0!</v>
      </c>
      <c r="Y38" s="60" t="e">
        <f>Links!M38</f>
        <v>#DIV/0!</v>
      </c>
      <c r="Z38" s="60" t="e">
        <f>Links!N38+'On-Ramps'!AK38</f>
        <v>#DIV/0!</v>
      </c>
      <c r="AA38" s="60" t="e">
        <f>Links!O38</f>
        <v>#DIV/0!</v>
      </c>
      <c r="AB38" s="59" t="e">
        <f t="shared" si="17"/>
        <v>#DIV/0!</v>
      </c>
      <c r="AC38" s="65"/>
      <c r="AD38" s="59" t="e">
        <f t="shared" si="18"/>
        <v>#DIV/0!</v>
      </c>
      <c r="AE38" s="65"/>
      <c r="AF38" s="59" t="e">
        <f t="shared" si="19"/>
        <v>#DIV/0!</v>
      </c>
      <c r="AG38" s="59" t="e">
        <f t="shared" si="20"/>
        <v>#DIV/0!</v>
      </c>
      <c r="AH38" s="59" t="e">
        <f t="shared" si="21"/>
        <v>#DIV/0!</v>
      </c>
      <c r="AI38" s="59" t="e">
        <f t="shared" si="22"/>
        <v>#DIV/0!</v>
      </c>
      <c r="AJ38" s="59" t="e">
        <f t="shared" si="23"/>
        <v>#DIV/0!</v>
      </c>
      <c r="AK38" s="59" t="e">
        <f t="shared" si="24"/>
        <v>#DIV/0!</v>
      </c>
      <c r="AL38" s="59" t="e">
        <f t="shared" si="25"/>
        <v>#DIV/0!</v>
      </c>
      <c r="AM38" s="65"/>
      <c r="AN38" s="59" t="e">
        <f t="shared" si="27"/>
        <v>#DIV/0!</v>
      </c>
      <c r="AO38" s="60" t="e">
        <f t="shared" si="28"/>
        <v>#DIV/0!</v>
      </c>
      <c r="AP38" s="65"/>
      <c r="AQ38" s="60" t="e">
        <f t="shared" si="28"/>
        <v>#DIV/0!</v>
      </c>
      <c r="AR38" s="65"/>
      <c r="AS38" s="60" t="e">
        <f t="shared" si="28"/>
        <v>#DIV/0!</v>
      </c>
      <c r="AT38" s="60" t="e">
        <f t="shared" si="28"/>
        <v>#DIV/0!</v>
      </c>
      <c r="AU38" s="60" t="e">
        <f t="shared" si="28"/>
        <v>#DIV/0!</v>
      </c>
      <c r="AV38" s="60" t="e">
        <f t="shared" si="28"/>
        <v>#DIV/0!</v>
      </c>
      <c r="AW38" s="60" t="e">
        <f t="shared" si="28"/>
        <v>#DIV/0!</v>
      </c>
      <c r="AX38" s="60" t="e">
        <f t="shared" si="28"/>
        <v>#DIV/0!</v>
      </c>
      <c r="AY38" s="60" t="e">
        <f t="shared" si="28"/>
        <v>#DIV/0!</v>
      </c>
      <c r="AZ38" s="65"/>
      <c r="BA38" s="60" t="e">
        <f t="shared" si="28"/>
        <v>#DIV/0!</v>
      </c>
      <c r="BB38" s="59" t="e">
        <f>Links!AF38</f>
        <v>#DIV/0!</v>
      </c>
      <c r="BC38" s="59" t="e">
        <f>(Links!AG38*Links!C38+'On-Ramps'!AC38*'On-Ramps'!CE38)/('On-Ramps'!AC38+Links!C38)</f>
        <v>#DIV/0!</v>
      </c>
      <c r="BD38" s="59" t="e">
        <f>Links!AH38</f>
        <v>#DIV/0!</v>
      </c>
      <c r="BE38" s="59" t="e">
        <f>(Links!AI38*Links!E38+'On-Ramps'!AD38*'On-Ramps'!CF37)/('On-Ramps'!AD38+Links!E38)</f>
        <v>#DIV/0!</v>
      </c>
      <c r="BF38" s="59" t="e">
        <f>(Links!F38*Links!AJ38+'On-Ramps'!AE38*'On-Ramps'!CG38)/('On-Ramps'!AE38+Links!F38)</f>
        <v>#DIV/0!</v>
      </c>
      <c r="BG38" s="59" t="e">
        <f>(Links!G38*Links!AK38+'On-Ramps'!AF38*'On-Ramps'!CH38)/('On-Ramps'!AF38+Links!G38)</f>
        <v>#DIV/0!</v>
      </c>
      <c r="BH38" s="59" t="e">
        <f>(Links!H38*Links!AL38+'On-Ramps'!AG38*'On-Ramps'!CI38)/('On-Ramps'!AG38+Links!H38)</f>
        <v>#DIV/0!</v>
      </c>
      <c r="BI38" s="59" t="e">
        <f>(Links!J38*Links!AN38+'On-Ramps'!AH38*'On-Ramps'!CJ38)/('On-Ramps'!AH38+Links!J38)</f>
        <v>#DIV/0!</v>
      </c>
      <c r="BJ38" s="59" t="e">
        <f>(Links!K38*Links!AO38+'On-Ramps'!AI38*'On-Ramps'!CK38)/('On-Ramps'!AI38+Links!K38)</f>
        <v>#DIV/0!</v>
      </c>
      <c r="BK38" s="59" t="e">
        <f>(Links!L38*Links!AP38+'On-Ramps'!AJ38*'On-Ramps'!CL38)/(Links!L38+'On-Ramps'!AJ38)</f>
        <v>#DIV/0!</v>
      </c>
      <c r="BL38" s="59" t="e">
        <f>Links!AQ38</f>
        <v>#DIV/0!</v>
      </c>
      <c r="BM38" s="59" t="e">
        <f>(Links!N38*Links!AR38+'On-Ramps'!AL38*'On-Ramps'!CM38)/(Links!N38+'On-Ramps'!AL38)</f>
        <v>#DIV/0!</v>
      </c>
      <c r="BN38" s="59" t="e">
        <f>Links!AS38</f>
        <v>#DIV/0!</v>
      </c>
      <c r="BO38" s="60" t="e">
        <f>(Links!R38^2+'Off-Ramp'!L38^2)/(Links!R38+'Off-Ramp'!L38)</f>
        <v>#DIV/0!</v>
      </c>
      <c r="BP38" s="60" t="e">
        <f>Links!S38</f>
        <v>#DIV/0!</v>
      </c>
      <c r="BQ38" s="60" t="e">
        <f>(Links!S38^2+'Off-Ramp'!C38^2)/(Links!S38+'Off-Ramp'!C38)</f>
        <v>#DIV/0!</v>
      </c>
      <c r="BR38" s="60" t="e">
        <f>Links!T38</f>
        <v>#DIV/0!</v>
      </c>
      <c r="BS38" s="60" t="e">
        <f>(Links!X38^2+'Off-Ramp'!V38^2+'Off-Ramp'!W38^2+'Off-Ramp'!X38^2)/(Links!X38+'Off-Ramp'!V38+'Off-Ramp'!W38+'Off-Ramp'!X38)</f>
        <v>#DIV/0!</v>
      </c>
      <c r="BT38" s="60" t="e">
        <f>(Links!Y38^2+'Off-Ramp'!Y38^2+'Off-Ramp'!Z38^2+'Off-Ramp'!AA38^2)/(Links!Y38+'Off-Ramp'!Y38+'Off-Ramp'!Z38+'Off-Ramp'!AA38)</f>
        <v>#DIV/0!</v>
      </c>
      <c r="BU38" s="60" t="e">
        <f>(Links!W38^2+'Off-Ramp'!P38^2)/(Links!W38+'Off-Ramp'!P38)</f>
        <v>#DIV/0!</v>
      </c>
      <c r="BV38" s="60" t="e">
        <f>(Links!Y38^2+'Off-Ramp'!Q38^2)/(Links!Y38+'Off-Ramp'!Q38)</f>
        <v>#DIV/0!</v>
      </c>
      <c r="BW38" s="60" t="e">
        <f>(Links!Z38^2+'Off-Ramp'!R38^2)/(Links!Z38+'Off-Ramp'!R38)</f>
        <v>#DIV/0!</v>
      </c>
      <c r="BX38" s="60" t="e">
        <f>(Links!AA38+'Off-Ramp'!S38)/(Links!AA38^2+'Off-Ramp'!S38^2)</f>
        <v>#DIV/0!</v>
      </c>
      <c r="BY38" s="60" t="e">
        <f>(Links!AB38^2+'Off-Ramp'!T38^2)/(Links!AB38+'Off-Ramp'!T38)</f>
        <v>#DIV/0!</v>
      </c>
      <c r="BZ38" s="60" t="e">
        <f>Links!AC38</f>
        <v>#DIV/0!</v>
      </c>
      <c r="CA38" s="60" t="e">
        <f>(Links!AD38^2+'Off-Ramp'!U38^2)/(Links!AD38+'Off-Ramp'!U38)</f>
        <v>#DIV/0!</v>
      </c>
    </row>
    <row r="39" spans="1:79" x14ac:dyDescent="0.15">
      <c r="A39" s="58">
        <v>37</v>
      </c>
      <c r="B39" s="59" t="e">
        <f t="shared" si="2"/>
        <v>#DIV/0!</v>
      </c>
      <c r="C39" s="59" t="e">
        <f t="shared" si="3"/>
        <v>#DIV/0!</v>
      </c>
      <c r="D39" s="59" t="e">
        <f t="shared" si="4"/>
        <v>#DIV/0!</v>
      </c>
      <c r="E39" s="59" t="e">
        <f t="shared" si="5"/>
        <v>#DIV/0!</v>
      </c>
      <c r="F39" s="59" t="e">
        <f t="shared" si="6"/>
        <v>#DIV/0!</v>
      </c>
      <c r="G39" s="59" t="e">
        <f t="shared" si="7"/>
        <v>#DIV/0!</v>
      </c>
      <c r="H39" s="59" t="e">
        <f t="shared" si="8"/>
        <v>#DIV/0!</v>
      </c>
      <c r="I39" s="59" t="e">
        <f t="shared" si="9"/>
        <v>#DIV/0!</v>
      </c>
      <c r="J39" s="59" t="e">
        <f t="shared" si="10"/>
        <v>#DIV/0!</v>
      </c>
      <c r="K39" s="59" t="e">
        <f t="shared" si="11"/>
        <v>#DIV/0!</v>
      </c>
      <c r="L39" s="59" t="e">
        <f t="shared" si="12"/>
        <v>#DIV/0!</v>
      </c>
      <c r="M39" s="59" t="e">
        <f t="shared" si="13"/>
        <v>#DIV/0!</v>
      </c>
      <c r="N39" s="59" t="e">
        <f t="shared" si="14"/>
        <v>#DIV/0!</v>
      </c>
      <c r="O39" s="60" t="e">
        <f>Links!B39</f>
        <v>#DIV/0!</v>
      </c>
      <c r="P39" s="60" t="e">
        <f>Links!C39+'On-Ramps'!AC39</f>
        <v>#DIV/0!</v>
      </c>
      <c r="Q39" s="60" t="e">
        <f>Links!D39</f>
        <v>#DIV/0!</v>
      </c>
      <c r="R39" s="60" t="e">
        <f>Links!E39+'On-Ramps'!AD39</f>
        <v>#DIV/0!</v>
      </c>
      <c r="S39" s="60" t="e">
        <f>Links!F39+'On-Ramps'!AE39</f>
        <v>#DIV/0!</v>
      </c>
      <c r="T39" s="60" t="e">
        <f>Links!G39+'On-Ramps'!AF39</f>
        <v>#DIV/0!</v>
      </c>
      <c r="U39" s="60" t="e">
        <f>Links!H39+'On-Ramps'!AG39</f>
        <v>#DIV/0!</v>
      </c>
      <c r="V39" s="60" t="e">
        <f>Links!J39+'On-Ramps'!AH39</f>
        <v>#DIV/0!</v>
      </c>
      <c r="W39" s="60" t="e">
        <f>Links!K39+'On-Ramps'!AI39</f>
        <v>#DIV/0!</v>
      </c>
      <c r="X39" s="60" t="e">
        <f>Links!L39+'On-Ramps'!AJ39</f>
        <v>#DIV/0!</v>
      </c>
      <c r="Y39" s="60" t="e">
        <f>Links!M39</f>
        <v>#DIV/0!</v>
      </c>
      <c r="Z39" s="60" t="e">
        <f>Links!N39+'On-Ramps'!AK39</f>
        <v>#DIV/0!</v>
      </c>
      <c r="AA39" s="60" t="e">
        <f>Links!O39</f>
        <v>#DIV/0!</v>
      </c>
      <c r="AB39" s="59" t="e">
        <f t="shared" si="17"/>
        <v>#DIV/0!</v>
      </c>
      <c r="AC39" s="65"/>
      <c r="AD39" s="59" t="e">
        <f t="shared" si="18"/>
        <v>#DIV/0!</v>
      </c>
      <c r="AE39" s="65"/>
      <c r="AF39" s="59" t="e">
        <f t="shared" si="19"/>
        <v>#DIV/0!</v>
      </c>
      <c r="AG39" s="59" t="e">
        <f t="shared" si="20"/>
        <v>#DIV/0!</v>
      </c>
      <c r="AH39" s="59" t="e">
        <f t="shared" si="21"/>
        <v>#DIV/0!</v>
      </c>
      <c r="AI39" s="59" t="e">
        <f t="shared" si="22"/>
        <v>#DIV/0!</v>
      </c>
      <c r="AJ39" s="59" t="e">
        <f t="shared" si="23"/>
        <v>#DIV/0!</v>
      </c>
      <c r="AK39" s="59" t="e">
        <f t="shared" si="24"/>
        <v>#DIV/0!</v>
      </c>
      <c r="AL39" s="59" t="e">
        <f t="shared" si="25"/>
        <v>#DIV/0!</v>
      </c>
      <c r="AM39" s="65"/>
      <c r="AN39" s="59" t="e">
        <f t="shared" si="27"/>
        <v>#DIV/0!</v>
      </c>
      <c r="AO39" s="60" t="e">
        <f t="shared" si="28"/>
        <v>#DIV/0!</v>
      </c>
      <c r="AP39" s="65"/>
      <c r="AQ39" s="60" t="e">
        <f t="shared" si="28"/>
        <v>#DIV/0!</v>
      </c>
      <c r="AR39" s="65"/>
      <c r="AS39" s="60" t="e">
        <f t="shared" si="28"/>
        <v>#DIV/0!</v>
      </c>
      <c r="AT39" s="60" t="e">
        <f t="shared" si="28"/>
        <v>#DIV/0!</v>
      </c>
      <c r="AU39" s="60" t="e">
        <f t="shared" si="28"/>
        <v>#DIV/0!</v>
      </c>
      <c r="AV39" s="60" t="e">
        <f t="shared" si="28"/>
        <v>#DIV/0!</v>
      </c>
      <c r="AW39" s="60" t="e">
        <f t="shared" si="28"/>
        <v>#DIV/0!</v>
      </c>
      <c r="AX39" s="60" t="e">
        <f t="shared" si="28"/>
        <v>#DIV/0!</v>
      </c>
      <c r="AY39" s="60" t="e">
        <f t="shared" si="28"/>
        <v>#DIV/0!</v>
      </c>
      <c r="AZ39" s="65"/>
      <c r="BA39" s="60" t="e">
        <f t="shared" si="28"/>
        <v>#DIV/0!</v>
      </c>
      <c r="BB39" s="59" t="e">
        <f>Links!AF39</f>
        <v>#DIV/0!</v>
      </c>
      <c r="BC39" s="59" t="e">
        <f>(Links!AG39*Links!C39+'On-Ramps'!AC39*'On-Ramps'!CE39)/('On-Ramps'!AC39+Links!C39)</f>
        <v>#DIV/0!</v>
      </c>
      <c r="BD39" s="59" t="e">
        <f>Links!AH39</f>
        <v>#DIV/0!</v>
      </c>
      <c r="BE39" s="59" t="e">
        <f>(Links!AI39*Links!E39+'On-Ramps'!AD39*'On-Ramps'!CF38)/('On-Ramps'!AD39+Links!E39)</f>
        <v>#DIV/0!</v>
      </c>
      <c r="BF39" s="59" t="e">
        <f>(Links!F39*Links!AJ39+'On-Ramps'!AE39*'On-Ramps'!CG39)/('On-Ramps'!AE39+Links!F39)</f>
        <v>#DIV/0!</v>
      </c>
      <c r="BG39" s="59" t="e">
        <f>(Links!G39*Links!AK39+'On-Ramps'!AF39*'On-Ramps'!CH39)/('On-Ramps'!AF39+Links!G39)</f>
        <v>#DIV/0!</v>
      </c>
      <c r="BH39" s="59" t="e">
        <f>(Links!H39*Links!AL39+'On-Ramps'!AG39*'On-Ramps'!CI39)/('On-Ramps'!AG39+Links!H39)</f>
        <v>#DIV/0!</v>
      </c>
      <c r="BI39" s="59" t="e">
        <f>(Links!J39*Links!AN39+'On-Ramps'!AH39*'On-Ramps'!CJ39)/('On-Ramps'!AH39+Links!J39)</f>
        <v>#DIV/0!</v>
      </c>
      <c r="BJ39" s="59" t="e">
        <f>(Links!K39*Links!AO39+'On-Ramps'!AI39*'On-Ramps'!CK39)/('On-Ramps'!AI39+Links!K39)</f>
        <v>#DIV/0!</v>
      </c>
      <c r="BK39" s="59" t="e">
        <f>(Links!L39*Links!AP39+'On-Ramps'!AJ39*'On-Ramps'!CL39)/(Links!L39+'On-Ramps'!AJ39)</f>
        <v>#DIV/0!</v>
      </c>
      <c r="BL39" s="59" t="e">
        <f>Links!AQ39</f>
        <v>#DIV/0!</v>
      </c>
      <c r="BM39" s="59" t="e">
        <f>(Links!N39*Links!AR39+'On-Ramps'!AL39*'On-Ramps'!CM39)/(Links!N39+'On-Ramps'!AL39)</f>
        <v>#DIV/0!</v>
      </c>
      <c r="BN39" s="59" t="e">
        <f>Links!AS39</f>
        <v>#DIV/0!</v>
      </c>
      <c r="BO39" s="60" t="e">
        <f>(Links!R39^2+'Off-Ramp'!L39^2)/(Links!R39+'Off-Ramp'!L39)</f>
        <v>#DIV/0!</v>
      </c>
      <c r="BP39" s="60" t="e">
        <f>Links!S39</f>
        <v>#DIV/0!</v>
      </c>
      <c r="BQ39" s="60" t="e">
        <f>(Links!S39^2+'Off-Ramp'!C39^2)/(Links!S39+'Off-Ramp'!C39)</f>
        <v>#DIV/0!</v>
      </c>
      <c r="BR39" s="60" t="e">
        <f>Links!T39</f>
        <v>#DIV/0!</v>
      </c>
      <c r="BS39" s="60" t="e">
        <f>(Links!X39^2+'Off-Ramp'!V39^2+'Off-Ramp'!W39^2+'Off-Ramp'!X39^2)/(Links!X39+'Off-Ramp'!V39+'Off-Ramp'!W39+'Off-Ramp'!X39)</f>
        <v>#DIV/0!</v>
      </c>
      <c r="BT39" s="60" t="e">
        <f>(Links!Y39^2+'Off-Ramp'!Y39^2+'Off-Ramp'!Z39^2+'Off-Ramp'!AA39^2)/(Links!Y39+'Off-Ramp'!Y39+'Off-Ramp'!Z39+'Off-Ramp'!AA39)</f>
        <v>#DIV/0!</v>
      </c>
      <c r="BU39" s="60" t="e">
        <f>(Links!W39^2+'Off-Ramp'!P39^2)/(Links!W39+'Off-Ramp'!P39)</f>
        <v>#DIV/0!</v>
      </c>
      <c r="BV39" s="60" t="e">
        <f>(Links!Y39^2+'Off-Ramp'!Q39^2)/(Links!Y39+'Off-Ramp'!Q39)</f>
        <v>#DIV/0!</v>
      </c>
      <c r="BW39" s="60" t="e">
        <f>(Links!Z39^2+'Off-Ramp'!R39^2)/(Links!Z39+'Off-Ramp'!R39)</f>
        <v>#DIV/0!</v>
      </c>
      <c r="BX39" s="60" t="e">
        <f>(Links!AA39+'Off-Ramp'!S39)/(Links!AA39^2+'Off-Ramp'!S39^2)</f>
        <v>#DIV/0!</v>
      </c>
      <c r="BY39" s="60" t="e">
        <f>(Links!AB39^2+'Off-Ramp'!T39^2)/(Links!AB39+'Off-Ramp'!T39)</f>
        <v>#DIV/0!</v>
      </c>
      <c r="BZ39" s="60" t="e">
        <f>Links!AC39</f>
        <v>#DIV/0!</v>
      </c>
      <c r="CA39" s="60" t="e">
        <f>(Links!AD39^2+'Off-Ramp'!U39^2)/(Links!AD39+'Off-Ramp'!U39)</f>
        <v>#DIV/0!</v>
      </c>
    </row>
    <row r="40" spans="1:79" x14ac:dyDescent="0.15">
      <c r="A40" s="58">
        <v>38</v>
      </c>
      <c r="B40" s="59" t="e">
        <f t="shared" si="2"/>
        <v>#DIV/0!</v>
      </c>
      <c r="C40" s="59" t="e">
        <f t="shared" si="3"/>
        <v>#DIV/0!</v>
      </c>
      <c r="D40" s="59" t="e">
        <f t="shared" si="4"/>
        <v>#DIV/0!</v>
      </c>
      <c r="E40" s="59" t="e">
        <f t="shared" si="5"/>
        <v>#DIV/0!</v>
      </c>
      <c r="F40" s="59" t="e">
        <f t="shared" si="6"/>
        <v>#DIV/0!</v>
      </c>
      <c r="G40" s="59" t="e">
        <f t="shared" si="7"/>
        <v>#DIV/0!</v>
      </c>
      <c r="H40" s="59" t="e">
        <f t="shared" si="8"/>
        <v>#DIV/0!</v>
      </c>
      <c r="I40" s="59" t="e">
        <f t="shared" si="9"/>
        <v>#DIV/0!</v>
      </c>
      <c r="J40" s="59" t="e">
        <f t="shared" si="10"/>
        <v>#DIV/0!</v>
      </c>
      <c r="K40" s="59" t="e">
        <f t="shared" si="11"/>
        <v>#DIV/0!</v>
      </c>
      <c r="L40" s="59" t="e">
        <f t="shared" si="12"/>
        <v>#DIV/0!</v>
      </c>
      <c r="M40" s="59" t="e">
        <f t="shared" si="13"/>
        <v>#DIV/0!</v>
      </c>
      <c r="N40" s="59" t="e">
        <f t="shared" si="14"/>
        <v>#DIV/0!</v>
      </c>
      <c r="O40" s="60" t="e">
        <f>Links!B40</f>
        <v>#DIV/0!</v>
      </c>
      <c r="P40" s="60" t="e">
        <f>Links!C40+'On-Ramps'!AC40</f>
        <v>#DIV/0!</v>
      </c>
      <c r="Q40" s="60" t="e">
        <f>Links!D40</f>
        <v>#DIV/0!</v>
      </c>
      <c r="R40" s="60" t="e">
        <f>Links!E40+'On-Ramps'!AD40</f>
        <v>#DIV/0!</v>
      </c>
      <c r="S40" s="60" t="e">
        <f>Links!F40+'On-Ramps'!AE40</f>
        <v>#DIV/0!</v>
      </c>
      <c r="T40" s="60" t="e">
        <f>Links!G40+'On-Ramps'!AF40</f>
        <v>#DIV/0!</v>
      </c>
      <c r="U40" s="60" t="e">
        <f>Links!H40+'On-Ramps'!AG40</f>
        <v>#DIV/0!</v>
      </c>
      <c r="V40" s="60" t="e">
        <f>Links!J40+'On-Ramps'!AH40</f>
        <v>#DIV/0!</v>
      </c>
      <c r="W40" s="60" t="e">
        <f>Links!K40+'On-Ramps'!AI40</f>
        <v>#DIV/0!</v>
      </c>
      <c r="X40" s="60" t="e">
        <f>Links!L40+'On-Ramps'!AJ40</f>
        <v>#DIV/0!</v>
      </c>
      <c r="Y40" s="60" t="e">
        <f>Links!M40</f>
        <v>#DIV/0!</v>
      </c>
      <c r="Z40" s="60" t="e">
        <f>Links!N40+'On-Ramps'!AK40</f>
        <v>#DIV/0!</v>
      </c>
      <c r="AA40" s="60" t="e">
        <f>Links!O40</f>
        <v>#DIV/0!</v>
      </c>
      <c r="AB40" s="59" t="e">
        <f t="shared" si="17"/>
        <v>#DIV/0!</v>
      </c>
      <c r="AC40" s="65"/>
      <c r="AD40" s="59" t="e">
        <f t="shared" si="18"/>
        <v>#DIV/0!</v>
      </c>
      <c r="AE40" s="65"/>
      <c r="AF40" s="59" t="e">
        <f t="shared" si="19"/>
        <v>#DIV/0!</v>
      </c>
      <c r="AG40" s="59" t="e">
        <f t="shared" si="20"/>
        <v>#DIV/0!</v>
      </c>
      <c r="AH40" s="59" t="e">
        <f t="shared" si="21"/>
        <v>#DIV/0!</v>
      </c>
      <c r="AI40" s="59" t="e">
        <f t="shared" si="22"/>
        <v>#DIV/0!</v>
      </c>
      <c r="AJ40" s="59" t="e">
        <f t="shared" si="23"/>
        <v>#DIV/0!</v>
      </c>
      <c r="AK40" s="59" t="e">
        <f t="shared" si="24"/>
        <v>#DIV/0!</v>
      </c>
      <c r="AL40" s="59" t="e">
        <f t="shared" si="25"/>
        <v>#DIV/0!</v>
      </c>
      <c r="AM40" s="65"/>
      <c r="AN40" s="59" t="e">
        <f t="shared" si="27"/>
        <v>#DIV/0!</v>
      </c>
      <c r="AO40" s="60" t="e">
        <f t="shared" si="28"/>
        <v>#DIV/0!</v>
      </c>
      <c r="AP40" s="65"/>
      <c r="AQ40" s="60" t="e">
        <f t="shared" si="28"/>
        <v>#DIV/0!</v>
      </c>
      <c r="AR40" s="65"/>
      <c r="AS40" s="60" t="e">
        <f t="shared" si="28"/>
        <v>#DIV/0!</v>
      </c>
      <c r="AT40" s="60" t="e">
        <f t="shared" si="28"/>
        <v>#DIV/0!</v>
      </c>
      <c r="AU40" s="60" t="e">
        <f t="shared" si="28"/>
        <v>#DIV/0!</v>
      </c>
      <c r="AV40" s="60" t="e">
        <f t="shared" si="28"/>
        <v>#DIV/0!</v>
      </c>
      <c r="AW40" s="60" t="e">
        <f t="shared" si="28"/>
        <v>#DIV/0!</v>
      </c>
      <c r="AX40" s="60" t="e">
        <f t="shared" si="28"/>
        <v>#DIV/0!</v>
      </c>
      <c r="AY40" s="60" t="e">
        <f t="shared" si="28"/>
        <v>#DIV/0!</v>
      </c>
      <c r="AZ40" s="65"/>
      <c r="BA40" s="60" t="e">
        <f t="shared" si="28"/>
        <v>#DIV/0!</v>
      </c>
      <c r="BB40" s="59" t="e">
        <f>Links!AF40</f>
        <v>#DIV/0!</v>
      </c>
      <c r="BC40" s="59" t="e">
        <f>(Links!AG40*Links!C40+'On-Ramps'!AC40*'On-Ramps'!CE40)/('On-Ramps'!AC40+Links!C40)</f>
        <v>#DIV/0!</v>
      </c>
      <c r="BD40" s="59" t="e">
        <f>Links!AH40</f>
        <v>#DIV/0!</v>
      </c>
      <c r="BE40" s="59" t="e">
        <f>(Links!AI40*Links!E40+'On-Ramps'!AD40*'On-Ramps'!CF39)/('On-Ramps'!AD40+Links!E40)</f>
        <v>#DIV/0!</v>
      </c>
      <c r="BF40" s="59" t="e">
        <f>(Links!F40*Links!AJ40+'On-Ramps'!AE40*'On-Ramps'!CG40)/('On-Ramps'!AE40+Links!F40)</f>
        <v>#DIV/0!</v>
      </c>
      <c r="BG40" s="59" t="e">
        <f>(Links!G40*Links!AK40+'On-Ramps'!AF40*'On-Ramps'!CH40)/('On-Ramps'!AF40+Links!G40)</f>
        <v>#DIV/0!</v>
      </c>
      <c r="BH40" s="59" t="e">
        <f>(Links!H40*Links!AL40+'On-Ramps'!AG40*'On-Ramps'!CI40)/('On-Ramps'!AG40+Links!H40)</f>
        <v>#DIV/0!</v>
      </c>
      <c r="BI40" s="59" t="e">
        <f>(Links!J40*Links!AN40+'On-Ramps'!AH40*'On-Ramps'!CJ40)/('On-Ramps'!AH40+Links!J40)</f>
        <v>#DIV/0!</v>
      </c>
      <c r="BJ40" s="59" t="e">
        <f>(Links!K40*Links!AO40+'On-Ramps'!AI40*'On-Ramps'!CK40)/('On-Ramps'!AI40+Links!K40)</f>
        <v>#DIV/0!</v>
      </c>
      <c r="BK40" s="59" t="e">
        <f>(Links!L40*Links!AP40+'On-Ramps'!AJ40*'On-Ramps'!CL40)/(Links!L40+'On-Ramps'!AJ40)</f>
        <v>#DIV/0!</v>
      </c>
      <c r="BL40" s="59" t="e">
        <f>Links!AQ40</f>
        <v>#DIV/0!</v>
      </c>
      <c r="BM40" s="59" t="e">
        <f>(Links!N40*Links!AR40+'On-Ramps'!AL40*'On-Ramps'!CM40)/(Links!N40+'On-Ramps'!AL40)</f>
        <v>#DIV/0!</v>
      </c>
      <c r="BN40" s="59" t="e">
        <f>Links!AS40</f>
        <v>#DIV/0!</v>
      </c>
      <c r="BO40" s="60" t="e">
        <f>(Links!R40^2+'Off-Ramp'!L40^2)/(Links!R40+'Off-Ramp'!L40)</f>
        <v>#DIV/0!</v>
      </c>
      <c r="BP40" s="60" t="e">
        <f>Links!S40</f>
        <v>#DIV/0!</v>
      </c>
      <c r="BQ40" s="60" t="e">
        <f>(Links!S40^2+'Off-Ramp'!C40^2)/(Links!S40+'Off-Ramp'!C40)</f>
        <v>#DIV/0!</v>
      </c>
      <c r="BR40" s="60" t="e">
        <f>Links!T40</f>
        <v>#DIV/0!</v>
      </c>
      <c r="BS40" s="60" t="e">
        <f>(Links!X40^2+'Off-Ramp'!V40^2+'Off-Ramp'!W40^2+'Off-Ramp'!X40^2)/(Links!X40+'Off-Ramp'!V40+'Off-Ramp'!W40+'Off-Ramp'!X40)</f>
        <v>#DIV/0!</v>
      </c>
      <c r="BT40" s="60" t="e">
        <f>(Links!Y40^2+'Off-Ramp'!Y40^2+'Off-Ramp'!Z40^2+'Off-Ramp'!AA40^2)/(Links!Y40+'Off-Ramp'!Y40+'Off-Ramp'!Z40+'Off-Ramp'!AA40)</f>
        <v>#DIV/0!</v>
      </c>
      <c r="BU40" s="60" t="e">
        <f>(Links!W40^2+'Off-Ramp'!P40^2)/(Links!W40+'Off-Ramp'!P40)</f>
        <v>#DIV/0!</v>
      </c>
      <c r="BV40" s="60" t="e">
        <f>(Links!Y40^2+'Off-Ramp'!Q40^2)/(Links!Y40+'Off-Ramp'!Q40)</f>
        <v>#DIV/0!</v>
      </c>
      <c r="BW40" s="60" t="e">
        <f>(Links!Z40^2+'Off-Ramp'!R40^2)/(Links!Z40+'Off-Ramp'!R40)</f>
        <v>#DIV/0!</v>
      </c>
      <c r="BX40" s="60" t="e">
        <f>(Links!AA40+'Off-Ramp'!S40)/(Links!AA40^2+'Off-Ramp'!S40^2)</f>
        <v>#DIV/0!</v>
      </c>
      <c r="BY40" s="60" t="e">
        <f>(Links!AB40^2+'Off-Ramp'!T40^2)/(Links!AB40+'Off-Ramp'!T40)</f>
        <v>#DIV/0!</v>
      </c>
      <c r="BZ40" s="60" t="e">
        <f>Links!AC40</f>
        <v>#DIV/0!</v>
      </c>
      <c r="CA40" s="60" t="e">
        <f>(Links!AD40^2+'Off-Ramp'!U40^2)/(Links!AD40+'Off-Ramp'!U40)</f>
        <v>#DIV/0!</v>
      </c>
    </row>
    <row r="41" spans="1:79" x14ac:dyDescent="0.15">
      <c r="A41" s="58">
        <v>39</v>
      </c>
      <c r="B41" s="59" t="e">
        <f t="shared" si="2"/>
        <v>#DIV/0!</v>
      </c>
      <c r="C41" s="59" t="e">
        <f t="shared" si="3"/>
        <v>#DIV/0!</v>
      </c>
      <c r="D41" s="59" t="e">
        <f t="shared" si="4"/>
        <v>#DIV/0!</v>
      </c>
      <c r="E41" s="59" t="e">
        <f t="shared" si="5"/>
        <v>#DIV/0!</v>
      </c>
      <c r="F41" s="59" t="e">
        <f t="shared" si="6"/>
        <v>#DIV/0!</v>
      </c>
      <c r="G41" s="59" t="e">
        <f t="shared" si="7"/>
        <v>#DIV/0!</v>
      </c>
      <c r="H41" s="59" t="e">
        <f t="shared" si="8"/>
        <v>#DIV/0!</v>
      </c>
      <c r="I41" s="59" t="e">
        <f t="shared" si="9"/>
        <v>#DIV/0!</v>
      </c>
      <c r="J41" s="59" t="e">
        <f t="shared" si="10"/>
        <v>#DIV/0!</v>
      </c>
      <c r="K41" s="59" t="e">
        <f t="shared" si="11"/>
        <v>#DIV/0!</v>
      </c>
      <c r="L41" s="59" t="e">
        <f t="shared" si="12"/>
        <v>#DIV/0!</v>
      </c>
      <c r="M41" s="59" t="e">
        <f t="shared" si="13"/>
        <v>#DIV/0!</v>
      </c>
      <c r="N41" s="59" t="e">
        <f t="shared" si="14"/>
        <v>#DIV/0!</v>
      </c>
      <c r="O41" s="60" t="e">
        <f>Links!B41</f>
        <v>#DIV/0!</v>
      </c>
      <c r="P41" s="60" t="e">
        <f>Links!C41+'On-Ramps'!AC41</f>
        <v>#DIV/0!</v>
      </c>
      <c r="Q41" s="60" t="e">
        <f>Links!D41</f>
        <v>#DIV/0!</v>
      </c>
      <c r="R41" s="60" t="e">
        <f>Links!E41+'On-Ramps'!AD41</f>
        <v>#DIV/0!</v>
      </c>
      <c r="S41" s="60" t="e">
        <f>Links!F41+'On-Ramps'!AE41</f>
        <v>#DIV/0!</v>
      </c>
      <c r="T41" s="60" t="e">
        <f>Links!G41+'On-Ramps'!AF41</f>
        <v>#DIV/0!</v>
      </c>
      <c r="U41" s="60" t="e">
        <f>Links!H41+'On-Ramps'!AG41</f>
        <v>#DIV/0!</v>
      </c>
      <c r="V41" s="60" t="e">
        <f>Links!J41+'On-Ramps'!AH41</f>
        <v>#DIV/0!</v>
      </c>
      <c r="W41" s="60" t="e">
        <f>Links!K41+'On-Ramps'!AI41</f>
        <v>#DIV/0!</v>
      </c>
      <c r="X41" s="60" t="e">
        <f>Links!L41+'On-Ramps'!AJ41</f>
        <v>#DIV/0!</v>
      </c>
      <c r="Y41" s="60" t="e">
        <f>Links!M41</f>
        <v>#DIV/0!</v>
      </c>
      <c r="Z41" s="60" t="e">
        <f>Links!N41+'On-Ramps'!AK41</f>
        <v>#DIV/0!</v>
      </c>
      <c r="AA41" s="60" t="e">
        <f>Links!O41</f>
        <v>#DIV/0!</v>
      </c>
      <c r="AB41" s="59" t="e">
        <f t="shared" si="17"/>
        <v>#DIV/0!</v>
      </c>
      <c r="AC41" s="65"/>
      <c r="AD41" s="59" t="e">
        <f t="shared" si="18"/>
        <v>#DIV/0!</v>
      </c>
      <c r="AE41" s="65"/>
      <c r="AF41" s="59" t="e">
        <f t="shared" si="19"/>
        <v>#DIV/0!</v>
      </c>
      <c r="AG41" s="59" t="e">
        <f t="shared" si="20"/>
        <v>#DIV/0!</v>
      </c>
      <c r="AH41" s="59" t="e">
        <f t="shared" si="21"/>
        <v>#DIV/0!</v>
      </c>
      <c r="AI41" s="59" t="e">
        <f t="shared" si="22"/>
        <v>#DIV/0!</v>
      </c>
      <c r="AJ41" s="59" t="e">
        <f t="shared" si="23"/>
        <v>#DIV/0!</v>
      </c>
      <c r="AK41" s="59" t="e">
        <f t="shared" si="24"/>
        <v>#DIV/0!</v>
      </c>
      <c r="AL41" s="59" t="e">
        <f t="shared" si="25"/>
        <v>#DIV/0!</v>
      </c>
      <c r="AM41" s="65"/>
      <c r="AN41" s="59" t="e">
        <f t="shared" si="27"/>
        <v>#DIV/0!</v>
      </c>
      <c r="AO41" s="60" t="e">
        <f t="shared" si="28"/>
        <v>#DIV/0!</v>
      </c>
      <c r="AP41" s="65"/>
      <c r="AQ41" s="60" t="e">
        <f t="shared" si="28"/>
        <v>#DIV/0!</v>
      </c>
      <c r="AR41" s="65"/>
      <c r="AS41" s="60" t="e">
        <f t="shared" si="28"/>
        <v>#DIV/0!</v>
      </c>
      <c r="AT41" s="60" t="e">
        <f t="shared" si="28"/>
        <v>#DIV/0!</v>
      </c>
      <c r="AU41" s="60" t="e">
        <f t="shared" si="28"/>
        <v>#DIV/0!</v>
      </c>
      <c r="AV41" s="60" t="e">
        <f t="shared" si="28"/>
        <v>#DIV/0!</v>
      </c>
      <c r="AW41" s="60" t="e">
        <f t="shared" si="28"/>
        <v>#DIV/0!</v>
      </c>
      <c r="AX41" s="60" t="e">
        <f t="shared" si="28"/>
        <v>#DIV/0!</v>
      </c>
      <c r="AY41" s="60" t="e">
        <f t="shared" si="28"/>
        <v>#DIV/0!</v>
      </c>
      <c r="AZ41" s="65"/>
      <c r="BA41" s="60" t="e">
        <f t="shared" si="28"/>
        <v>#DIV/0!</v>
      </c>
      <c r="BB41" s="59" t="e">
        <f>Links!AF41</f>
        <v>#DIV/0!</v>
      </c>
      <c r="BC41" s="59" t="e">
        <f>(Links!AG41*Links!C41+'On-Ramps'!AC41*'On-Ramps'!CE41)/('On-Ramps'!AC41+Links!C41)</f>
        <v>#DIV/0!</v>
      </c>
      <c r="BD41" s="59" t="e">
        <f>Links!AH41</f>
        <v>#DIV/0!</v>
      </c>
      <c r="BE41" s="59" t="e">
        <f>(Links!AI41*Links!E41+'On-Ramps'!AD41*'On-Ramps'!CF40)/('On-Ramps'!AD41+Links!E41)</f>
        <v>#DIV/0!</v>
      </c>
      <c r="BF41" s="59" t="e">
        <f>(Links!F41*Links!AJ41+'On-Ramps'!AE41*'On-Ramps'!CG41)/('On-Ramps'!AE41+Links!F41)</f>
        <v>#DIV/0!</v>
      </c>
      <c r="BG41" s="59" t="e">
        <f>(Links!G41*Links!AK41+'On-Ramps'!AF41*'On-Ramps'!CH41)/('On-Ramps'!AF41+Links!G41)</f>
        <v>#DIV/0!</v>
      </c>
      <c r="BH41" s="59" t="e">
        <f>(Links!H41*Links!AL41+'On-Ramps'!AG41*'On-Ramps'!CI41)/('On-Ramps'!AG41+Links!H41)</f>
        <v>#DIV/0!</v>
      </c>
      <c r="BI41" s="59" t="e">
        <f>(Links!J41*Links!AN41+'On-Ramps'!AH41*'On-Ramps'!CJ41)/('On-Ramps'!AH41+Links!J41)</f>
        <v>#DIV/0!</v>
      </c>
      <c r="BJ41" s="59" t="e">
        <f>(Links!K41*Links!AO41+'On-Ramps'!AI41*'On-Ramps'!CK41)/('On-Ramps'!AI41+Links!K41)</f>
        <v>#DIV/0!</v>
      </c>
      <c r="BK41" s="59" t="e">
        <f>(Links!L41*Links!AP41+'On-Ramps'!AJ41*'On-Ramps'!CL41)/(Links!L41+'On-Ramps'!AJ41)</f>
        <v>#DIV/0!</v>
      </c>
      <c r="BL41" s="59" t="e">
        <f>Links!AQ41</f>
        <v>#DIV/0!</v>
      </c>
      <c r="BM41" s="59" t="e">
        <f>(Links!N41*Links!AR41+'On-Ramps'!AL41*'On-Ramps'!CM41)/(Links!N41+'On-Ramps'!AL41)</f>
        <v>#DIV/0!</v>
      </c>
      <c r="BN41" s="59" t="e">
        <f>Links!AS41</f>
        <v>#DIV/0!</v>
      </c>
      <c r="BO41" s="60" t="e">
        <f>(Links!R41^2+'Off-Ramp'!L41^2)/(Links!R41+'Off-Ramp'!L41)</f>
        <v>#DIV/0!</v>
      </c>
      <c r="BP41" s="60" t="e">
        <f>Links!S41</f>
        <v>#DIV/0!</v>
      </c>
      <c r="BQ41" s="60" t="e">
        <f>(Links!S41^2+'Off-Ramp'!C41^2)/(Links!S41+'Off-Ramp'!C41)</f>
        <v>#DIV/0!</v>
      </c>
      <c r="BR41" s="60" t="e">
        <f>Links!T41</f>
        <v>#DIV/0!</v>
      </c>
      <c r="BS41" s="60" t="e">
        <f>(Links!X41^2+'Off-Ramp'!V41^2+'Off-Ramp'!W41^2+'Off-Ramp'!X41^2)/(Links!X41+'Off-Ramp'!V41+'Off-Ramp'!W41+'Off-Ramp'!X41)</f>
        <v>#DIV/0!</v>
      </c>
      <c r="BT41" s="60" t="e">
        <f>(Links!Y41^2+'Off-Ramp'!Y41^2+'Off-Ramp'!Z41^2+'Off-Ramp'!AA41^2)/(Links!Y41+'Off-Ramp'!Y41+'Off-Ramp'!Z41+'Off-Ramp'!AA41)</f>
        <v>#DIV/0!</v>
      </c>
      <c r="BU41" s="60" t="e">
        <f>(Links!W41^2+'Off-Ramp'!P41^2)/(Links!W41+'Off-Ramp'!P41)</f>
        <v>#DIV/0!</v>
      </c>
      <c r="BV41" s="60" t="e">
        <f>(Links!Y41^2+'Off-Ramp'!Q41^2)/(Links!Y41+'Off-Ramp'!Q41)</f>
        <v>#DIV/0!</v>
      </c>
      <c r="BW41" s="60" t="e">
        <f>(Links!Z41^2+'Off-Ramp'!R41^2)/(Links!Z41+'Off-Ramp'!R41)</f>
        <v>#DIV/0!</v>
      </c>
      <c r="BX41" s="60" t="e">
        <f>(Links!AA41+'Off-Ramp'!S41)/(Links!AA41^2+'Off-Ramp'!S41^2)</f>
        <v>#DIV/0!</v>
      </c>
      <c r="BY41" s="60" t="e">
        <f>(Links!AB41^2+'Off-Ramp'!T41^2)/(Links!AB41+'Off-Ramp'!T41)</f>
        <v>#DIV/0!</v>
      </c>
      <c r="BZ41" s="60" t="e">
        <f>Links!AC41</f>
        <v>#DIV/0!</v>
      </c>
      <c r="CA41" s="60" t="e">
        <f>(Links!AD41^2+'Off-Ramp'!U41^2)/(Links!AD41+'Off-Ramp'!U41)</f>
        <v>#DIV/0!</v>
      </c>
    </row>
    <row r="42" spans="1:79" x14ac:dyDescent="0.15">
      <c r="A42" s="58">
        <v>40</v>
      </c>
      <c r="B42" s="59" t="e">
        <f t="shared" si="2"/>
        <v>#DIV/0!</v>
      </c>
      <c r="C42" s="59" t="e">
        <f t="shared" si="3"/>
        <v>#DIV/0!</v>
      </c>
      <c r="D42" s="59" t="e">
        <f t="shared" si="4"/>
        <v>#DIV/0!</v>
      </c>
      <c r="E42" s="59" t="e">
        <f t="shared" si="5"/>
        <v>#DIV/0!</v>
      </c>
      <c r="F42" s="59" t="e">
        <f t="shared" si="6"/>
        <v>#DIV/0!</v>
      </c>
      <c r="G42" s="59" t="e">
        <f t="shared" si="7"/>
        <v>#DIV/0!</v>
      </c>
      <c r="H42" s="59" t="e">
        <f t="shared" si="8"/>
        <v>#DIV/0!</v>
      </c>
      <c r="I42" s="59" t="e">
        <f t="shared" si="9"/>
        <v>#DIV/0!</v>
      </c>
      <c r="J42" s="59" t="e">
        <f t="shared" si="10"/>
        <v>#DIV/0!</v>
      </c>
      <c r="K42" s="59" t="e">
        <f t="shared" si="11"/>
        <v>#DIV/0!</v>
      </c>
      <c r="L42" s="59" t="e">
        <f t="shared" si="12"/>
        <v>#DIV/0!</v>
      </c>
      <c r="M42" s="59" t="e">
        <f t="shared" si="13"/>
        <v>#DIV/0!</v>
      </c>
      <c r="N42" s="59" t="e">
        <f t="shared" si="14"/>
        <v>#DIV/0!</v>
      </c>
      <c r="O42" s="60" t="e">
        <f>Links!B42</f>
        <v>#DIV/0!</v>
      </c>
      <c r="P42" s="60" t="e">
        <f>Links!C42+'On-Ramps'!AC42</f>
        <v>#DIV/0!</v>
      </c>
      <c r="Q42" s="60" t="e">
        <f>Links!D42</f>
        <v>#DIV/0!</v>
      </c>
      <c r="R42" s="60" t="e">
        <f>Links!E42+'On-Ramps'!AD42</f>
        <v>#DIV/0!</v>
      </c>
      <c r="S42" s="60" t="e">
        <f>Links!F42+'On-Ramps'!AE42</f>
        <v>#DIV/0!</v>
      </c>
      <c r="T42" s="60" t="e">
        <f>Links!G42+'On-Ramps'!AF42</f>
        <v>#DIV/0!</v>
      </c>
      <c r="U42" s="60" t="e">
        <f>Links!H42+'On-Ramps'!AG42</f>
        <v>#DIV/0!</v>
      </c>
      <c r="V42" s="60" t="e">
        <f>Links!J42+'On-Ramps'!AH42</f>
        <v>#DIV/0!</v>
      </c>
      <c r="W42" s="60" t="e">
        <f>Links!K42+'On-Ramps'!AI42</f>
        <v>#DIV/0!</v>
      </c>
      <c r="X42" s="60" t="e">
        <f>Links!L42+'On-Ramps'!AJ42</f>
        <v>#DIV/0!</v>
      </c>
      <c r="Y42" s="60" t="e">
        <f>Links!M42</f>
        <v>#DIV/0!</v>
      </c>
      <c r="Z42" s="60" t="e">
        <f>Links!N42+'On-Ramps'!AK42</f>
        <v>#DIV/0!</v>
      </c>
      <c r="AA42" s="60" t="e">
        <f>Links!O42</f>
        <v>#DIV/0!</v>
      </c>
      <c r="AB42" s="59" t="e">
        <f t="shared" si="17"/>
        <v>#DIV/0!</v>
      </c>
      <c r="AC42" s="65"/>
      <c r="AD42" s="59" t="e">
        <f t="shared" si="18"/>
        <v>#DIV/0!</v>
      </c>
      <c r="AE42" s="65"/>
      <c r="AF42" s="59" t="e">
        <f t="shared" si="19"/>
        <v>#DIV/0!</v>
      </c>
      <c r="AG42" s="59" t="e">
        <f t="shared" si="20"/>
        <v>#DIV/0!</v>
      </c>
      <c r="AH42" s="59" t="e">
        <f t="shared" si="21"/>
        <v>#DIV/0!</v>
      </c>
      <c r="AI42" s="59" t="e">
        <f t="shared" si="22"/>
        <v>#DIV/0!</v>
      </c>
      <c r="AJ42" s="59" t="e">
        <f t="shared" si="23"/>
        <v>#DIV/0!</v>
      </c>
      <c r="AK42" s="59" t="e">
        <f t="shared" si="24"/>
        <v>#DIV/0!</v>
      </c>
      <c r="AL42" s="59" t="e">
        <f t="shared" si="25"/>
        <v>#DIV/0!</v>
      </c>
      <c r="AM42" s="65"/>
      <c r="AN42" s="59" t="e">
        <f t="shared" si="27"/>
        <v>#DIV/0!</v>
      </c>
      <c r="AO42" s="60" t="e">
        <f t="shared" si="28"/>
        <v>#DIV/0!</v>
      </c>
      <c r="AP42" s="65"/>
      <c r="AQ42" s="60" t="e">
        <f t="shared" si="28"/>
        <v>#DIV/0!</v>
      </c>
      <c r="AR42" s="65"/>
      <c r="AS42" s="60" t="e">
        <f t="shared" si="28"/>
        <v>#DIV/0!</v>
      </c>
      <c r="AT42" s="60" t="e">
        <f t="shared" si="28"/>
        <v>#DIV/0!</v>
      </c>
      <c r="AU42" s="60" t="e">
        <f t="shared" si="28"/>
        <v>#DIV/0!</v>
      </c>
      <c r="AV42" s="60" t="e">
        <f t="shared" si="28"/>
        <v>#DIV/0!</v>
      </c>
      <c r="AW42" s="60" t="e">
        <f t="shared" si="28"/>
        <v>#DIV/0!</v>
      </c>
      <c r="AX42" s="60" t="e">
        <f t="shared" si="28"/>
        <v>#DIV/0!</v>
      </c>
      <c r="AY42" s="60" t="e">
        <f t="shared" si="28"/>
        <v>#DIV/0!</v>
      </c>
      <c r="AZ42" s="65"/>
      <c r="BA42" s="60" t="e">
        <f t="shared" si="28"/>
        <v>#DIV/0!</v>
      </c>
      <c r="BB42" s="59" t="e">
        <f>Links!AF42</f>
        <v>#DIV/0!</v>
      </c>
      <c r="BC42" s="59" t="e">
        <f>(Links!AG42*Links!C42+'On-Ramps'!AC42*'On-Ramps'!CE42)/('On-Ramps'!AC42+Links!C42)</f>
        <v>#DIV/0!</v>
      </c>
      <c r="BD42" s="59" t="e">
        <f>Links!AH42</f>
        <v>#DIV/0!</v>
      </c>
      <c r="BE42" s="59" t="e">
        <f>(Links!AI42*Links!E42+'On-Ramps'!AD42*'On-Ramps'!CF41)/('On-Ramps'!AD42+Links!E42)</f>
        <v>#DIV/0!</v>
      </c>
      <c r="BF42" s="59" t="e">
        <f>(Links!F42*Links!AJ42+'On-Ramps'!AE42*'On-Ramps'!CG42)/('On-Ramps'!AE42+Links!F42)</f>
        <v>#DIV/0!</v>
      </c>
      <c r="BG42" s="59" t="e">
        <f>(Links!G42*Links!AK42+'On-Ramps'!AF42*'On-Ramps'!CH42)/('On-Ramps'!AF42+Links!G42)</f>
        <v>#DIV/0!</v>
      </c>
      <c r="BH42" s="59" t="e">
        <f>(Links!H42*Links!AL42+'On-Ramps'!AG42*'On-Ramps'!CI42)/('On-Ramps'!AG42+Links!H42)</f>
        <v>#DIV/0!</v>
      </c>
      <c r="BI42" s="59" t="e">
        <f>(Links!J42*Links!AN42+'On-Ramps'!AH42*'On-Ramps'!CJ42)/('On-Ramps'!AH42+Links!J42)</f>
        <v>#DIV/0!</v>
      </c>
      <c r="BJ42" s="59" t="e">
        <f>(Links!K42*Links!AO42+'On-Ramps'!AI42*'On-Ramps'!CK42)/('On-Ramps'!AI42+Links!K42)</f>
        <v>#DIV/0!</v>
      </c>
      <c r="BK42" s="59" t="e">
        <f>(Links!L42*Links!AP42+'On-Ramps'!AJ42*'On-Ramps'!CL42)/(Links!L42+'On-Ramps'!AJ42)</f>
        <v>#DIV/0!</v>
      </c>
      <c r="BL42" s="59" t="e">
        <f>Links!AQ42</f>
        <v>#DIV/0!</v>
      </c>
      <c r="BM42" s="59" t="e">
        <f>(Links!N42*Links!AR42+'On-Ramps'!AL42*'On-Ramps'!CM42)/(Links!N42+'On-Ramps'!AL42)</f>
        <v>#DIV/0!</v>
      </c>
      <c r="BN42" s="59" t="e">
        <f>Links!AS42</f>
        <v>#DIV/0!</v>
      </c>
      <c r="BO42" s="60" t="e">
        <f>(Links!R42^2+'Off-Ramp'!L42^2)/(Links!R42+'Off-Ramp'!L42)</f>
        <v>#DIV/0!</v>
      </c>
      <c r="BP42" s="60" t="e">
        <f>Links!S42</f>
        <v>#DIV/0!</v>
      </c>
      <c r="BQ42" s="60" t="e">
        <f>(Links!S42^2+'Off-Ramp'!C42^2)/(Links!S42+'Off-Ramp'!C42)</f>
        <v>#DIV/0!</v>
      </c>
      <c r="BR42" s="60" t="e">
        <f>Links!T42</f>
        <v>#DIV/0!</v>
      </c>
      <c r="BS42" s="60" t="e">
        <f>(Links!X42^2+'Off-Ramp'!V42^2+'Off-Ramp'!W42^2+'Off-Ramp'!X42^2)/(Links!X42+'Off-Ramp'!V42+'Off-Ramp'!W42+'Off-Ramp'!X42)</f>
        <v>#DIV/0!</v>
      </c>
      <c r="BT42" s="60" t="e">
        <f>(Links!Y42^2+'Off-Ramp'!Y42^2+'Off-Ramp'!Z42^2+'Off-Ramp'!AA42^2)/(Links!Y42+'Off-Ramp'!Y42+'Off-Ramp'!Z42+'Off-Ramp'!AA42)</f>
        <v>#DIV/0!</v>
      </c>
      <c r="BU42" s="60" t="e">
        <f>(Links!W42^2+'Off-Ramp'!P42^2)/(Links!W42+'Off-Ramp'!P42)</f>
        <v>#DIV/0!</v>
      </c>
      <c r="BV42" s="60" t="e">
        <f>(Links!Y42^2+'Off-Ramp'!Q42^2)/(Links!Y42+'Off-Ramp'!Q42)</f>
        <v>#DIV/0!</v>
      </c>
      <c r="BW42" s="60" t="e">
        <f>(Links!Z42^2+'Off-Ramp'!R42^2)/(Links!Z42+'Off-Ramp'!R42)</f>
        <v>#DIV/0!</v>
      </c>
      <c r="BX42" s="60" t="e">
        <f>(Links!AA42+'Off-Ramp'!S42)/(Links!AA42^2+'Off-Ramp'!S42^2)</f>
        <v>#DIV/0!</v>
      </c>
      <c r="BY42" s="60" t="e">
        <f>(Links!AB42^2+'Off-Ramp'!T42^2)/(Links!AB42+'Off-Ramp'!T42)</f>
        <v>#DIV/0!</v>
      </c>
      <c r="BZ42" s="60" t="e">
        <f>Links!AC42</f>
        <v>#DIV/0!</v>
      </c>
      <c r="CA42" s="60" t="e">
        <f>(Links!AD42^2+'Off-Ramp'!U42^2)/(Links!AD42+'Off-Ramp'!U42)</f>
        <v>#DIV/0!</v>
      </c>
    </row>
    <row r="43" spans="1:79" x14ac:dyDescent="0.15">
      <c r="A43" s="58">
        <v>41</v>
      </c>
      <c r="B43" s="59" t="e">
        <f t="shared" si="2"/>
        <v>#DIV/0!</v>
      </c>
      <c r="C43" s="59" t="e">
        <f t="shared" si="3"/>
        <v>#DIV/0!</v>
      </c>
      <c r="D43" s="59" t="e">
        <f t="shared" si="4"/>
        <v>#DIV/0!</v>
      </c>
      <c r="E43" s="59" t="e">
        <f t="shared" si="5"/>
        <v>#DIV/0!</v>
      </c>
      <c r="F43" s="59" t="e">
        <f t="shared" si="6"/>
        <v>#DIV/0!</v>
      </c>
      <c r="G43" s="59" t="e">
        <f t="shared" si="7"/>
        <v>#DIV/0!</v>
      </c>
      <c r="H43" s="59" t="e">
        <f t="shared" si="8"/>
        <v>#DIV/0!</v>
      </c>
      <c r="I43" s="59" t="e">
        <f t="shared" si="9"/>
        <v>#DIV/0!</v>
      </c>
      <c r="J43" s="59" t="e">
        <f t="shared" si="10"/>
        <v>#DIV/0!</v>
      </c>
      <c r="K43" s="59" t="e">
        <f t="shared" si="11"/>
        <v>#DIV/0!</v>
      </c>
      <c r="L43" s="59" t="e">
        <f t="shared" si="12"/>
        <v>#DIV/0!</v>
      </c>
      <c r="M43" s="59" t="e">
        <f t="shared" si="13"/>
        <v>#DIV/0!</v>
      </c>
      <c r="N43" s="59" t="e">
        <f t="shared" si="14"/>
        <v>#DIV/0!</v>
      </c>
      <c r="O43" s="60" t="e">
        <f>Links!B43</f>
        <v>#DIV/0!</v>
      </c>
      <c r="P43" s="60" t="e">
        <f>Links!C43+'On-Ramps'!AC43</f>
        <v>#DIV/0!</v>
      </c>
      <c r="Q43" s="60" t="e">
        <f>Links!D43</f>
        <v>#DIV/0!</v>
      </c>
      <c r="R43" s="60" t="e">
        <f>Links!E43+'On-Ramps'!AD43</f>
        <v>#DIV/0!</v>
      </c>
      <c r="S43" s="60" t="e">
        <f>Links!F43+'On-Ramps'!AE43</f>
        <v>#DIV/0!</v>
      </c>
      <c r="T43" s="60" t="e">
        <f>Links!G43+'On-Ramps'!AF43</f>
        <v>#DIV/0!</v>
      </c>
      <c r="U43" s="60" t="e">
        <f>Links!H43+'On-Ramps'!AG43</f>
        <v>#DIV/0!</v>
      </c>
      <c r="V43" s="60" t="e">
        <f>Links!J43+'On-Ramps'!AH43</f>
        <v>#DIV/0!</v>
      </c>
      <c r="W43" s="60" t="e">
        <f>Links!K43+'On-Ramps'!AI43</f>
        <v>#DIV/0!</v>
      </c>
      <c r="X43" s="60" t="e">
        <f>Links!L43+'On-Ramps'!AJ43</f>
        <v>#DIV/0!</v>
      </c>
      <c r="Y43" s="60" t="e">
        <f>Links!M43</f>
        <v>#DIV/0!</v>
      </c>
      <c r="Z43" s="60" t="e">
        <f>Links!N43+'On-Ramps'!AK43</f>
        <v>#DIV/0!</v>
      </c>
      <c r="AA43" s="60" t="e">
        <f>Links!O43</f>
        <v>#DIV/0!</v>
      </c>
      <c r="AB43" s="59" t="e">
        <f t="shared" si="17"/>
        <v>#DIV/0!</v>
      </c>
      <c r="AC43" s="65"/>
      <c r="AD43" s="59" t="e">
        <f t="shared" si="18"/>
        <v>#DIV/0!</v>
      </c>
      <c r="AE43" s="65"/>
      <c r="AF43" s="59" t="e">
        <f t="shared" si="19"/>
        <v>#DIV/0!</v>
      </c>
      <c r="AG43" s="59" t="e">
        <f t="shared" si="20"/>
        <v>#DIV/0!</v>
      </c>
      <c r="AH43" s="59" t="e">
        <f t="shared" si="21"/>
        <v>#DIV/0!</v>
      </c>
      <c r="AI43" s="59" t="e">
        <f t="shared" si="22"/>
        <v>#DIV/0!</v>
      </c>
      <c r="AJ43" s="59" t="e">
        <f t="shared" si="23"/>
        <v>#DIV/0!</v>
      </c>
      <c r="AK43" s="59" t="e">
        <f t="shared" si="24"/>
        <v>#DIV/0!</v>
      </c>
      <c r="AL43" s="59" t="e">
        <f t="shared" si="25"/>
        <v>#DIV/0!</v>
      </c>
      <c r="AM43" s="65"/>
      <c r="AN43" s="59" t="e">
        <f t="shared" si="27"/>
        <v>#DIV/0!</v>
      </c>
      <c r="AO43" s="60" t="e">
        <f t="shared" si="28"/>
        <v>#DIV/0!</v>
      </c>
      <c r="AP43" s="65"/>
      <c r="AQ43" s="60" t="e">
        <f t="shared" si="28"/>
        <v>#DIV/0!</v>
      </c>
      <c r="AR43" s="65"/>
      <c r="AS43" s="60" t="e">
        <f t="shared" si="28"/>
        <v>#DIV/0!</v>
      </c>
      <c r="AT43" s="60" t="e">
        <f t="shared" si="28"/>
        <v>#DIV/0!</v>
      </c>
      <c r="AU43" s="60" t="e">
        <f t="shared" si="28"/>
        <v>#DIV/0!</v>
      </c>
      <c r="AV43" s="60" t="e">
        <f t="shared" si="28"/>
        <v>#DIV/0!</v>
      </c>
      <c r="AW43" s="60" t="e">
        <f t="shared" si="28"/>
        <v>#DIV/0!</v>
      </c>
      <c r="AX43" s="60" t="e">
        <f t="shared" si="28"/>
        <v>#DIV/0!</v>
      </c>
      <c r="AY43" s="60" t="e">
        <f t="shared" si="28"/>
        <v>#DIV/0!</v>
      </c>
      <c r="AZ43" s="65"/>
      <c r="BA43" s="60" t="e">
        <f t="shared" si="28"/>
        <v>#DIV/0!</v>
      </c>
      <c r="BB43" s="59" t="e">
        <f>Links!AF43</f>
        <v>#DIV/0!</v>
      </c>
      <c r="BC43" s="59" t="e">
        <f>(Links!AG43*Links!C43+'On-Ramps'!AC43*'On-Ramps'!CE43)/('On-Ramps'!AC43+Links!C43)</f>
        <v>#DIV/0!</v>
      </c>
      <c r="BD43" s="59" t="e">
        <f>Links!AH43</f>
        <v>#DIV/0!</v>
      </c>
      <c r="BE43" s="59" t="e">
        <f>(Links!AI43*Links!E43+'On-Ramps'!AD43*'On-Ramps'!CF42)/('On-Ramps'!AD43+Links!E43)</f>
        <v>#DIV/0!</v>
      </c>
      <c r="BF43" s="59" t="e">
        <f>(Links!F43*Links!AJ43+'On-Ramps'!AE43*'On-Ramps'!CG43)/('On-Ramps'!AE43+Links!F43)</f>
        <v>#DIV/0!</v>
      </c>
      <c r="BG43" s="59" t="e">
        <f>(Links!G43*Links!AK43+'On-Ramps'!AF43*'On-Ramps'!CH43)/('On-Ramps'!AF43+Links!G43)</f>
        <v>#DIV/0!</v>
      </c>
      <c r="BH43" s="59" t="e">
        <f>(Links!H43*Links!AL43+'On-Ramps'!AG43*'On-Ramps'!CI43)/('On-Ramps'!AG43+Links!H43)</f>
        <v>#DIV/0!</v>
      </c>
      <c r="BI43" s="59" t="e">
        <f>(Links!J43*Links!AN43+'On-Ramps'!AH43*'On-Ramps'!CJ43)/('On-Ramps'!AH43+Links!J43)</f>
        <v>#DIV/0!</v>
      </c>
      <c r="BJ43" s="59" t="e">
        <f>(Links!K43*Links!AO43+'On-Ramps'!AI43*'On-Ramps'!CK43)/('On-Ramps'!AI43+Links!K43)</f>
        <v>#DIV/0!</v>
      </c>
      <c r="BK43" s="59" t="e">
        <f>(Links!L43*Links!AP43+'On-Ramps'!AJ43*'On-Ramps'!CL43)/(Links!L43+'On-Ramps'!AJ43)</f>
        <v>#DIV/0!</v>
      </c>
      <c r="BL43" s="59" t="e">
        <f>Links!AQ43</f>
        <v>#DIV/0!</v>
      </c>
      <c r="BM43" s="59" t="e">
        <f>(Links!N43*Links!AR43+'On-Ramps'!AL43*'On-Ramps'!CM43)/(Links!N43+'On-Ramps'!AL43)</f>
        <v>#DIV/0!</v>
      </c>
      <c r="BN43" s="59" t="e">
        <f>Links!AS43</f>
        <v>#DIV/0!</v>
      </c>
      <c r="BO43" s="60" t="e">
        <f>(Links!R43^2+'Off-Ramp'!L43^2)/(Links!R43+'Off-Ramp'!L43)</f>
        <v>#DIV/0!</v>
      </c>
      <c r="BP43" s="60" t="e">
        <f>Links!S43</f>
        <v>#DIV/0!</v>
      </c>
      <c r="BQ43" s="60" t="e">
        <f>(Links!S43^2+'Off-Ramp'!C43^2)/(Links!S43+'Off-Ramp'!C43)</f>
        <v>#DIV/0!</v>
      </c>
      <c r="BR43" s="60" t="e">
        <f>Links!T43</f>
        <v>#DIV/0!</v>
      </c>
      <c r="BS43" s="60" t="e">
        <f>(Links!X43^2+'Off-Ramp'!V43^2+'Off-Ramp'!W43^2+'Off-Ramp'!X43^2)/(Links!X43+'Off-Ramp'!V43+'Off-Ramp'!W43+'Off-Ramp'!X43)</f>
        <v>#DIV/0!</v>
      </c>
      <c r="BT43" s="60" t="e">
        <f>(Links!Y43^2+'Off-Ramp'!Y43^2+'Off-Ramp'!Z43^2+'Off-Ramp'!AA43^2)/(Links!Y43+'Off-Ramp'!Y43+'Off-Ramp'!Z43+'Off-Ramp'!AA43)</f>
        <v>#DIV/0!</v>
      </c>
      <c r="BU43" s="60" t="e">
        <f>(Links!W43^2+'Off-Ramp'!P43^2)/(Links!W43+'Off-Ramp'!P43)</f>
        <v>#DIV/0!</v>
      </c>
      <c r="BV43" s="60" t="e">
        <f>(Links!Y43^2+'Off-Ramp'!Q43^2)/(Links!Y43+'Off-Ramp'!Q43)</f>
        <v>#DIV/0!</v>
      </c>
      <c r="BW43" s="60" t="e">
        <f>(Links!Z43^2+'Off-Ramp'!R43^2)/(Links!Z43+'Off-Ramp'!R43)</f>
        <v>#DIV/0!</v>
      </c>
      <c r="BX43" s="60" t="e">
        <f>(Links!AA43+'Off-Ramp'!S43)/(Links!AA43^2+'Off-Ramp'!S43^2)</f>
        <v>#DIV/0!</v>
      </c>
      <c r="BY43" s="60" t="e">
        <f>(Links!AB43^2+'Off-Ramp'!T43^2)/(Links!AB43+'Off-Ramp'!T43)</f>
        <v>#DIV/0!</v>
      </c>
      <c r="BZ43" s="60" t="e">
        <f>Links!AC43</f>
        <v>#DIV/0!</v>
      </c>
      <c r="CA43" s="60" t="e">
        <f>(Links!AD43^2+'Off-Ramp'!U43^2)/(Links!AD43+'Off-Ramp'!U43)</f>
        <v>#DIV/0!</v>
      </c>
    </row>
    <row r="44" spans="1:79" x14ac:dyDescent="0.15">
      <c r="A44" s="58">
        <v>42</v>
      </c>
      <c r="B44" s="59" t="e">
        <f t="shared" si="2"/>
        <v>#DIV/0!</v>
      </c>
      <c r="C44" s="59" t="e">
        <f t="shared" si="3"/>
        <v>#DIV/0!</v>
      </c>
      <c r="D44" s="59" t="e">
        <f t="shared" si="4"/>
        <v>#DIV/0!</v>
      </c>
      <c r="E44" s="59" t="e">
        <f t="shared" si="5"/>
        <v>#DIV/0!</v>
      </c>
      <c r="F44" s="59" t="e">
        <f t="shared" si="6"/>
        <v>#DIV/0!</v>
      </c>
      <c r="G44" s="59" t="e">
        <f t="shared" si="7"/>
        <v>#DIV/0!</v>
      </c>
      <c r="H44" s="59" t="e">
        <f t="shared" si="8"/>
        <v>#DIV/0!</v>
      </c>
      <c r="I44" s="59" t="e">
        <f t="shared" si="9"/>
        <v>#DIV/0!</v>
      </c>
      <c r="J44" s="59" t="e">
        <f t="shared" si="10"/>
        <v>#DIV/0!</v>
      </c>
      <c r="K44" s="59" t="e">
        <f t="shared" si="11"/>
        <v>#DIV/0!</v>
      </c>
      <c r="L44" s="59" t="e">
        <f t="shared" si="12"/>
        <v>#DIV/0!</v>
      </c>
      <c r="M44" s="59" t="e">
        <f t="shared" si="13"/>
        <v>#DIV/0!</v>
      </c>
      <c r="N44" s="59" t="e">
        <f t="shared" si="14"/>
        <v>#DIV/0!</v>
      </c>
      <c r="O44" s="60" t="e">
        <f>Links!B44</f>
        <v>#DIV/0!</v>
      </c>
      <c r="P44" s="60" t="e">
        <f>Links!C44+'On-Ramps'!AC44</f>
        <v>#DIV/0!</v>
      </c>
      <c r="Q44" s="60" t="e">
        <f>Links!D44</f>
        <v>#DIV/0!</v>
      </c>
      <c r="R44" s="60" t="e">
        <f>Links!E44+'On-Ramps'!AD44</f>
        <v>#DIV/0!</v>
      </c>
      <c r="S44" s="60" t="e">
        <f>Links!F44+'On-Ramps'!AE44</f>
        <v>#DIV/0!</v>
      </c>
      <c r="T44" s="60" t="e">
        <f>Links!G44+'On-Ramps'!AF44</f>
        <v>#DIV/0!</v>
      </c>
      <c r="U44" s="60" t="e">
        <f>Links!H44+'On-Ramps'!AG44</f>
        <v>#DIV/0!</v>
      </c>
      <c r="V44" s="60" t="e">
        <f>Links!J44+'On-Ramps'!AH44</f>
        <v>#DIV/0!</v>
      </c>
      <c r="W44" s="60" t="e">
        <f>Links!K44+'On-Ramps'!AI44</f>
        <v>#DIV/0!</v>
      </c>
      <c r="X44" s="60" t="e">
        <f>Links!L44+'On-Ramps'!AJ44</f>
        <v>#DIV/0!</v>
      </c>
      <c r="Y44" s="60" t="e">
        <f>Links!M44</f>
        <v>#DIV/0!</v>
      </c>
      <c r="Z44" s="60" t="e">
        <f>Links!N44+'On-Ramps'!AK44</f>
        <v>#DIV/0!</v>
      </c>
      <c r="AA44" s="60" t="e">
        <f>Links!O44</f>
        <v>#DIV/0!</v>
      </c>
      <c r="AB44" s="59" t="e">
        <f t="shared" si="17"/>
        <v>#DIV/0!</v>
      </c>
      <c r="AC44" s="65"/>
      <c r="AD44" s="59" t="e">
        <f t="shared" si="18"/>
        <v>#DIV/0!</v>
      </c>
      <c r="AE44" s="65"/>
      <c r="AF44" s="59" t="e">
        <f t="shared" si="19"/>
        <v>#DIV/0!</v>
      </c>
      <c r="AG44" s="59" t="e">
        <f t="shared" si="20"/>
        <v>#DIV/0!</v>
      </c>
      <c r="AH44" s="59" t="e">
        <f t="shared" si="21"/>
        <v>#DIV/0!</v>
      </c>
      <c r="AI44" s="59" t="e">
        <f t="shared" si="22"/>
        <v>#DIV/0!</v>
      </c>
      <c r="AJ44" s="59" t="e">
        <f t="shared" si="23"/>
        <v>#DIV/0!</v>
      </c>
      <c r="AK44" s="59" t="e">
        <f t="shared" si="24"/>
        <v>#DIV/0!</v>
      </c>
      <c r="AL44" s="59" t="e">
        <f t="shared" si="25"/>
        <v>#DIV/0!</v>
      </c>
      <c r="AM44" s="65"/>
      <c r="AN44" s="59" t="e">
        <f t="shared" si="27"/>
        <v>#DIV/0!</v>
      </c>
      <c r="AO44" s="60" t="e">
        <f t="shared" si="28"/>
        <v>#DIV/0!</v>
      </c>
      <c r="AP44" s="65"/>
      <c r="AQ44" s="60" t="e">
        <f t="shared" si="28"/>
        <v>#DIV/0!</v>
      </c>
      <c r="AR44" s="65"/>
      <c r="AS44" s="60" t="e">
        <f t="shared" si="28"/>
        <v>#DIV/0!</v>
      </c>
      <c r="AT44" s="60" t="e">
        <f t="shared" si="28"/>
        <v>#DIV/0!</v>
      </c>
      <c r="AU44" s="60" t="e">
        <f t="shared" si="28"/>
        <v>#DIV/0!</v>
      </c>
      <c r="AV44" s="60" t="e">
        <f t="shared" si="28"/>
        <v>#DIV/0!</v>
      </c>
      <c r="AW44" s="60" t="e">
        <f t="shared" si="28"/>
        <v>#DIV/0!</v>
      </c>
      <c r="AX44" s="60" t="e">
        <f t="shared" si="28"/>
        <v>#DIV/0!</v>
      </c>
      <c r="AY44" s="60" t="e">
        <f t="shared" si="28"/>
        <v>#DIV/0!</v>
      </c>
      <c r="AZ44" s="65"/>
      <c r="BA44" s="60" t="e">
        <f t="shared" si="28"/>
        <v>#DIV/0!</v>
      </c>
      <c r="BB44" s="59" t="e">
        <f>Links!AF44</f>
        <v>#DIV/0!</v>
      </c>
      <c r="BC44" s="59" t="e">
        <f>(Links!AG44*Links!C44+'On-Ramps'!AC44*'On-Ramps'!CE44)/('On-Ramps'!AC44+Links!C44)</f>
        <v>#DIV/0!</v>
      </c>
      <c r="BD44" s="59" t="e">
        <f>Links!AH44</f>
        <v>#DIV/0!</v>
      </c>
      <c r="BE44" s="59" t="e">
        <f>(Links!AI44*Links!E44+'On-Ramps'!AD44*'On-Ramps'!CF43)/('On-Ramps'!AD44+Links!E44)</f>
        <v>#DIV/0!</v>
      </c>
      <c r="BF44" s="59" t="e">
        <f>(Links!F44*Links!AJ44+'On-Ramps'!AE44*'On-Ramps'!CG44)/('On-Ramps'!AE44+Links!F44)</f>
        <v>#DIV/0!</v>
      </c>
      <c r="BG44" s="59" t="e">
        <f>(Links!G44*Links!AK44+'On-Ramps'!AF44*'On-Ramps'!CH44)/('On-Ramps'!AF44+Links!G44)</f>
        <v>#DIV/0!</v>
      </c>
      <c r="BH44" s="59" t="e">
        <f>(Links!H44*Links!AL44+'On-Ramps'!AG44*'On-Ramps'!CI44)/('On-Ramps'!AG44+Links!H44)</f>
        <v>#DIV/0!</v>
      </c>
      <c r="BI44" s="59" t="e">
        <f>(Links!J44*Links!AN44+'On-Ramps'!AH44*'On-Ramps'!CJ44)/('On-Ramps'!AH44+Links!J44)</f>
        <v>#DIV/0!</v>
      </c>
      <c r="BJ44" s="59" t="e">
        <f>(Links!K44*Links!AO44+'On-Ramps'!AI44*'On-Ramps'!CK44)/('On-Ramps'!AI44+Links!K44)</f>
        <v>#DIV/0!</v>
      </c>
      <c r="BK44" s="59" t="e">
        <f>(Links!L44*Links!AP44+'On-Ramps'!AJ44*'On-Ramps'!CL44)/(Links!L44+'On-Ramps'!AJ44)</f>
        <v>#DIV/0!</v>
      </c>
      <c r="BL44" s="59" t="e">
        <f>Links!AQ44</f>
        <v>#DIV/0!</v>
      </c>
      <c r="BM44" s="59" t="e">
        <f>(Links!N44*Links!AR44+'On-Ramps'!AL44*'On-Ramps'!CM44)/(Links!N44+'On-Ramps'!AL44)</f>
        <v>#DIV/0!</v>
      </c>
      <c r="BN44" s="59" t="e">
        <f>Links!AS44</f>
        <v>#DIV/0!</v>
      </c>
      <c r="BO44" s="60" t="e">
        <f>(Links!R44^2+'Off-Ramp'!L44^2)/(Links!R44+'Off-Ramp'!L44)</f>
        <v>#DIV/0!</v>
      </c>
      <c r="BP44" s="60" t="e">
        <f>Links!S44</f>
        <v>#DIV/0!</v>
      </c>
      <c r="BQ44" s="60" t="e">
        <f>(Links!S44^2+'Off-Ramp'!C44^2)/(Links!S44+'Off-Ramp'!C44)</f>
        <v>#DIV/0!</v>
      </c>
      <c r="BR44" s="60" t="e">
        <f>Links!T44</f>
        <v>#DIV/0!</v>
      </c>
      <c r="BS44" s="60" t="e">
        <f>(Links!X44^2+'Off-Ramp'!V44^2+'Off-Ramp'!W44^2+'Off-Ramp'!X44^2)/(Links!X44+'Off-Ramp'!V44+'Off-Ramp'!W44+'Off-Ramp'!X44)</f>
        <v>#DIV/0!</v>
      </c>
      <c r="BT44" s="60" t="e">
        <f>(Links!Y44^2+'Off-Ramp'!Y44^2+'Off-Ramp'!Z44^2+'Off-Ramp'!AA44^2)/(Links!Y44+'Off-Ramp'!Y44+'Off-Ramp'!Z44+'Off-Ramp'!AA44)</f>
        <v>#DIV/0!</v>
      </c>
      <c r="BU44" s="60" t="e">
        <f>(Links!W44^2+'Off-Ramp'!P44^2)/(Links!W44+'Off-Ramp'!P44)</f>
        <v>#DIV/0!</v>
      </c>
      <c r="BV44" s="60" t="e">
        <f>(Links!Y44^2+'Off-Ramp'!Q44^2)/(Links!Y44+'Off-Ramp'!Q44)</f>
        <v>#DIV/0!</v>
      </c>
      <c r="BW44" s="60" t="e">
        <f>(Links!Z44^2+'Off-Ramp'!R44^2)/(Links!Z44+'Off-Ramp'!R44)</f>
        <v>#DIV/0!</v>
      </c>
      <c r="BX44" s="60" t="e">
        <f>(Links!AA44+'Off-Ramp'!S44)/(Links!AA44^2+'Off-Ramp'!S44^2)</f>
        <v>#DIV/0!</v>
      </c>
      <c r="BY44" s="60" t="e">
        <f>(Links!AB44^2+'Off-Ramp'!T44^2)/(Links!AB44+'Off-Ramp'!T44)</f>
        <v>#DIV/0!</v>
      </c>
      <c r="BZ44" s="60" t="e">
        <f>Links!AC44</f>
        <v>#DIV/0!</v>
      </c>
      <c r="CA44" s="60" t="e">
        <f>(Links!AD44^2+'Off-Ramp'!U44^2)/(Links!AD44+'Off-Ramp'!U44)</f>
        <v>#DIV/0!</v>
      </c>
    </row>
    <row r="45" spans="1:79" x14ac:dyDescent="0.15">
      <c r="A45" s="58">
        <v>43</v>
      </c>
      <c r="B45" s="59" t="e">
        <f t="shared" si="2"/>
        <v>#DIV/0!</v>
      </c>
      <c r="C45" s="59" t="e">
        <f t="shared" si="3"/>
        <v>#DIV/0!</v>
      </c>
      <c r="D45" s="59" t="e">
        <f t="shared" si="4"/>
        <v>#DIV/0!</v>
      </c>
      <c r="E45" s="59" t="e">
        <f t="shared" si="5"/>
        <v>#DIV/0!</v>
      </c>
      <c r="F45" s="59" t="e">
        <f t="shared" si="6"/>
        <v>#DIV/0!</v>
      </c>
      <c r="G45" s="59" t="e">
        <f t="shared" si="7"/>
        <v>#DIV/0!</v>
      </c>
      <c r="H45" s="59" t="e">
        <f t="shared" si="8"/>
        <v>#DIV/0!</v>
      </c>
      <c r="I45" s="59" t="e">
        <f t="shared" si="9"/>
        <v>#DIV/0!</v>
      </c>
      <c r="J45" s="59" t="e">
        <f t="shared" si="10"/>
        <v>#DIV/0!</v>
      </c>
      <c r="K45" s="59" t="e">
        <f t="shared" si="11"/>
        <v>#DIV/0!</v>
      </c>
      <c r="L45" s="59" t="e">
        <f t="shared" si="12"/>
        <v>#DIV/0!</v>
      </c>
      <c r="M45" s="59" t="e">
        <f t="shared" si="13"/>
        <v>#DIV/0!</v>
      </c>
      <c r="N45" s="59" t="e">
        <f t="shared" si="14"/>
        <v>#DIV/0!</v>
      </c>
      <c r="O45" s="60" t="e">
        <f>Links!B45</f>
        <v>#DIV/0!</v>
      </c>
      <c r="P45" s="60" t="e">
        <f>Links!C45+'On-Ramps'!AC45</f>
        <v>#DIV/0!</v>
      </c>
      <c r="Q45" s="60" t="e">
        <f>Links!D45</f>
        <v>#DIV/0!</v>
      </c>
      <c r="R45" s="60" t="e">
        <f>Links!E45+'On-Ramps'!AD45</f>
        <v>#DIV/0!</v>
      </c>
      <c r="S45" s="60" t="e">
        <f>Links!F45+'On-Ramps'!AE45</f>
        <v>#DIV/0!</v>
      </c>
      <c r="T45" s="60" t="e">
        <f>Links!G45+'On-Ramps'!AF45</f>
        <v>#DIV/0!</v>
      </c>
      <c r="U45" s="60" t="e">
        <f>Links!H45+'On-Ramps'!AG45</f>
        <v>#DIV/0!</v>
      </c>
      <c r="V45" s="60" t="e">
        <f>Links!J45+'On-Ramps'!AH45</f>
        <v>#DIV/0!</v>
      </c>
      <c r="W45" s="60" t="e">
        <f>Links!K45+'On-Ramps'!AI45</f>
        <v>#DIV/0!</v>
      </c>
      <c r="X45" s="60" t="e">
        <f>Links!L45+'On-Ramps'!AJ45</f>
        <v>#DIV/0!</v>
      </c>
      <c r="Y45" s="60" t="e">
        <f>Links!M45</f>
        <v>#DIV/0!</v>
      </c>
      <c r="Z45" s="60" t="e">
        <f>Links!N45+'On-Ramps'!AK45</f>
        <v>#DIV/0!</v>
      </c>
      <c r="AA45" s="60" t="e">
        <f>Links!O45</f>
        <v>#DIV/0!</v>
      </c>
      <c r="AB45" s="59" t="e">
        <f t="shared" si="17"/>
        <v>#DIV/0!</v>
      </c>
      <c r="AC45" s="65"/>
      <c r="AD45" s="59" t="e">
        <f t="shared" si="18"/>
        <v>#DIV/0!</v>
      </c>
      <c r="AE45" s="65"/>
      <c r="AF45" s="59" t="e">
        <f t="shared" si="19"/>
        <v>#DIV/0!</v>
      </c>
      <c r="AG45" s="59" t="e">
        <f t="shared" si="20"/>
        <v>#DIV/0!</v>
      </c>
      <c r="AH45" s="59" t="e">
        <f t="shared" si="21"/>
        <v>#DIV/0!</v>
      </c>
      <c r="AI45" s="59" t="e">
        <f t="shared" si="22"/>
        <v>#DIV/0!</v>
      </c>
      <c r="AJ45" s="59" t="e">
        <f t="shared" si="23"/>
        <v>#DIV/0!</v>
      </c>
      <c r="AK45" s="59" t="e">
        <f t="shared" si="24"/>
        <v>#DIV/0!</v>
      </c>
      <c r="AL45" s="59" t="e">
        <f t="shared" si="25"/>
        <v>#DIV/0!</v>
      </c>
      <c r="AM45" s="65"/>
      <c r="AN45" s="59" t="e">
        <f t="shared" si="27"/>
        <v>#DIV/0!</v>
      </c>
      <c r="AO45" s="60" t="e">
        <f t="shared" si="28"/>
        <v>#DIV/0!</v>
      </c>
      <c r="AP45" s="65"/>
      <c r="AQ45" s="60" t="e">
        <f t="shared" si="28"/>
        <v>#DIV/0!</v>
      </c>
      <c r="AR45" s="65"/>
      <c r="AS45" s="60" t="e">
        <f t="shared" si="28"/>
        <v>#DIV/0!</v>
      </c>
      <c r="AT45" s="60" t="e">
        <f t="shared" si="28"/>
        <v>#DIV/0!</v>
      </c>
      <c r="AU45" s="60" t="e">
        <f t="shared" si="28"/>
        <v>#DIV/0!</v>
      </c>
      <c r="AV45" s="60" t="e">
        <f t="shared" si="28"/>
        <v>#DIV/0!</v>
      </c>
      <c r="AW45" s="60" t="e">
        <f t="shared" si="28"/>
        <v>#DIV/0!</v>
      </c>
      <c r="AX45" s="60" t="e">
        <f t="shared" si="28"/>
        <v>#DIV/0!</v>
      </c>
      <c r="AY45" s="60" t="e">
        <f t="shared" si="28"/>
        <v>#DIV/0!</v>
      </c>
      <c r="AZ45" s="65"/>
      <c r="BA45" s="60" t="e">
        <f t="shared" si="28"/>
        <v>#DIV/0!</v>
      </c>
      <c r="BB45" s="59" t="e">
        <f>Links!AF45</f>
        <v>#DIV/0!</v>
      </c>
      <c r="BC45" s="59" t="e">
        <f>(Links!AG45*Links!C45+'On-Ramps'!AC45*'On-Ramps'!CE45)/('On-Ramps'!AC45+Links!C45)</f>
        <v>#DIV/0!</v>
      </c>
      <c r="BD45" s="59" t="e">
        <f>Links!AH45</f>
        <v>#DIV/0!</v>
      </c>
      <c r="BE45" s="59" t="e">
        <f>(Links!AI45*Links!E45+'On-Ramps'!AD45*'On-Ramps'!CF44)/('On-Ramps'!AD45+Links!E45)</f>
        <v>#DIV/0!</v>
      </c>
      <c r="BF45" s="59" t="e">
        <f>(Links!F45*Links!AJ45+'On-Ramps'!AE45*'On-Ramps'!CG45)/('On-Ramps'!AE45+Links!F45)</f>
        <v>#DIV/0!</v>
      </c>
      <c r="BG45" s="59" t="e">
        <f>(Links!G45*Links!AK45+'On-Ramps'!AF45*'On-Ramps'!CH45)/('On-Ramps'!AF45+Links!G45)</f>
        <v>#DIV/0!</v>
      </c>
      <c r="BH45" s="59" t="e">
        <f>(Links!H45*Links!AL45+'On-Ramps'!AG45*'On-Ramps'!CI45)/('On-Ramps'!AG45+Links!H45)</f>
        <v>#DIV/0!</v>
      </c>
      <c r="BI45" s="59" t="e">
        <f>(Links!J45*Links!AN45+'On-Ramps'!AH45*'On-Ramps'!CJ45)/('On-Ramps'!AH45+Links!J45)</f>
        <v>#DIV/0!</v>
      </c>
      <c r="BJ45" s="59" t="e">
        <f>(Links!K45*Links!AO45+'On-Ramps'!AI45*'On-Ramps'!CK45)/('On-Ramps'!AI45+Links!K45)</f>
        <v>#DIV/0!</v>
      </c>
      <c r="BK45" s="59" t="e">
        <f>(Links!L45*Links!AP45+'On-Ramps'!AJ45*'On-Ramps'!CL45)/(Links!L45+'On-Ramps'!AJ45)</f>
        <v>#DIV/0!</v>
      </c>
      <c r="BL45" s="59" t="e">
        <f>Links!AQ45</f>
        <v>#DIV/0!</v>
      </c>
      <c r="BM45" s="59" t="e">
        <f>(Links!N45*Links!AR45+'On-Ramps'!AL45*'On-Ramps'!CM45)/(Links!N45+'On-Ramps'!AL45)</f>
        <v>#DIV/0!</v>
      </c>
      <c r="BN45" s="59" t="e">
        <f>Links!AS45</f>
        <v>#DIV/0!</v>
      </c>
      <c r="BO45" s="60" t="e">
        <f>(Links!R45^2+'Off-Ramp'!L45^2)/(Links!R45+'Off-Ramp'!L45)</f>
        <v>#DIV/0!</v>
      </c>
      <c r="BP45" s="60" t="e">
        <f>Links!S45</f>
        <v>#DIV/0!</v>
      </c>
      <c r="BQ45" s="60" t="e">
        <f>(Links!S45^2+'Off-Ramp'!C45^2)/(Links!S45+'Off-Ramp'!C45)</f>
        <v>#DIV/0!</v>
      </c>
      <c r="BR45" s="60" t="e">
        <f>Links!T45</f>
        <v>#DIV/0!</v>
      </c>
      <c r="BS45" s="60" t="e">
        <f>(Links!X45^2+'Off-Ramp'!V45^2+'Off-Ramp'!W45^2+'Off-Ramp'!X45^2)/(Links!X45+'Off-Ramp'!V45+'Off-Ramp'!W45+'Off-Ramp'!X45)</f>
        <v>#DIV/0!</v>
      </c>
      <c r="BT45" s="60" t="e">
        <f>(Links!Y45^2+'Off-Ramp'!Y45^2+'Off-Ramp'!Z45^2+'Off-Ramp'!AA45^2)/(Links!Y45+'Off-Ramp'!Y45+'Off-Ramp'!Z45+'Off-Ramp'!AA45)</f>
        <v>#DIV/0!</v>
      </c>
      <c r="BU45" s="60" t="e">
        <f>(Links!W45^2+'Off-Ramp'!P45^2)/(Links!W45+'Off-Ramp'!P45)</f>
        <v>#DIV/0!</v>
      </c>
      <c r="BV45" s="60" t="e">
        <f>(Links!Y45^2+'Off-Ramp'!Q45^2)/(Links!Y45+'Off-Ramp'!Q45)</f>
        <v>#DIV/0!</v>
      </c>
      <c r="BW45" s="60" t="e">
        <f>(Links!Z45^2+'Off-Ramp'!R45^2)/(Links!Z45+'Off-Ramp'!R45)</f>
        <v>#DIV/0!</v>
      </c>
      <c r="BX45" s="60" t="e">
        <f>(Links!AA45+'Off-Ramp'!S45)/(Links!AA45^2+'Off-Ramp'!S45^2)</f>
        <v>#DIV/0!</v>
      </c>
      <c r="BY45" s="60" t="e">
        <f>(Links!AB45^2+'Off-Ramp'!T45^2)/(Links!AB45+'Off-Ramp'!T45)</f>
        <v>#DIV/0!</v>
      </c>
      <c r="BZ45" s="60" t="e">
        <f>Links!AC45</f>
        <v>#DIV/0!</v>
      </c>
      <c r="CA45" s="60" t="e">
        <f>(Links!AD45^2+'Off-Ramp'!U45^2)/(Links!AD45+'Off-Ramp'!U45)</f>
        <v>#DIV/0!</v>
      </c>
    </row>
    <row r="46" spans="1:79" x14ac:dyDescent="0.15">
      <c r="A46" s="58">
        <v>44</v>
      </c>
      <c r="B46" s="59" t="e">
        <f t="shared" si="2"/>
        <v>#DIV/0!</v>
      </c>
      <c r="C46" s="59" t="e">
        <f t="shared" si="3"/>
        <v>#DIV/0!</v>
      </c>
      <c r="D46" s="59" t="e">
        <f t="shared" si="4"/>
        <v>#DIV/0!</v>
      </c>
      <c r="E46" s="59" t="e">
        <f t="shared" si="5"/>
        <v>#DIV/0!</v>
      </c>
      <c r="F46" s="59" t="e">
        <f t="shared" si="6"/>
        <v>#DIV/0!</v>
      </c>
      <c r="G46" s="59" t="e">
        <f t="shared" si="7"/>
        <v>#DIV/0!</v>
      </c>
      <c r="H46" s="59" t="e">
        <f t="shared" si="8"/>
        <v>#DIV/0!</v>
      </c>
      <c r="I46" s="59" t="e">
        <f t="shared" si="9"/>
        <v>#DIV/0!</v>
      </c>
      <c r="J46" s="59" t="e">
        <f t="shared" si="10"/>
        <v>#DIV/0!</v>
      </c>
      <c r="K46" s="59" t="e">
        <f t="shared" si="11"/>
        <v>#DIV/0!</v>
      </c>
      <c r="L46" s="59" t="e">
        <f t="shared" si="12"/>
        <v>#DIV/0!</v>
      </c>
      <c r="M46" s="59" t="e">
        <f t="shared" si="13"/>
        <v>#DIV/0!</v>
      </c>
      <c r="N46" s="59" t="e">
        <f t="shared" si="14"/>
        <v>#DIV/0!</v>
      </c>
      <c r="O46" s="60" t="e">
        <f>Links!B46</f>
        <v>#DIV/0!</v>
      </c>
      <c r="P46" s="60" t="e">
        <f>Links!C46+'On-Ramps'!AC46</f>
        <v>#DIV/0!</v>
      </c>
      <c r="Q46" s="60" t="e">
        <f>Links!D46</f>
        <v>#DIV/0!</v>
      </c>
      <c r="R46" s="60" t="e">
        <f>Links!E46+'On-Ramps'!AD46</f>
        <v>#DIV/0!</v>
      </c>
      <c r="S46" s="60" t="e">
        <f>Links!F46+'On-Ramps'!AE46</f>
        <v>#DIV/0!</v>
      </c>
      <c r="T46" s="60" t="e">
        <f>Links!G46+'On-Ramps'!AF46</f>
        <v>#DIV/0!</v>
      </c>
      <c r="U46" s="60" t="e">
        <f>Links!H46+'On-Ramps'!AG46</f>
        <v>#DIV/0!</v>
      </c>
      <c r="V46" s="60" t="e">
        <f>Links!J46+'On-Ramps'!AH46</f>
        <v>#DIV/0!</v>
      </c>
      <c r="W46" s="60" t="e">
        <f>Links!K46+'On-Ramps'!AI46</f>
        <v>#DIV/0!</v>
      </c>
      <c r="X46" s="60" t="e">
        <f>Links!L46+'On-Ramps'!AJ46</f>
        <v>#DIV/0!</v>
      </c>
      <c r="Y46" s="60" t="e">
        <f>Links!M46</f>
        <v>#DIV/0!</v>
      </c>
      <c r="Z46" s="60" t="e">
        <f>Links!N46+'On-Ramps'!AK46</f>
        <v>#DIV/0!</v>
      </c>
      <c r="AA46" s="60" t="e">
        <f>Links!O46</f>
        <v>#DIV/0!</v>
      </c>
      <c r="AB46" s="59" t="e">
        <f t="shared" si="17"/>
        <v>#DIV/0!</v>
      </c>
      <c r="AC46" s="65"/>
      <c r="AD46" s="59" t="e">
        <f t="shared" si="18"/>
        <v>#DIV/0!</v>
      </c>
      <c r="AE46" s="65"/>
      <c r="AF46" s="59" t="e">
        <f t="shared" si="19"/>
        <v>#DIV/0!</v>
      </c>
      <c r="AG46" s="59" t="e">
        <f t="shared" si="20"/>
        <v>#DIV/0!</v>
      </c>
      <c r="AH46" s="59" t="e">
        <f t="shared" si="21"/>
        <v>#DIV/0!</v>
      </c>
      <c r="AI46" s="59" t="e">
        <f t="shared" si="22"/>
        <v>#DIV/0!</v>
      </c>
      <c r="AJ46" s="59" t="e">
        <f t="shared" si="23"/>
        <v>#DIV/0!</v>
      </c>
      <c r="AK46" s="59" t="e">
        <f t="shared" si="24"/>
        <v>#DIV/0!</v>
      </c>
      <c r="AL46" s="59" t="e">
        <f t="shared" si="25"/>
        <v>#DIV/0!</v>
      </c>
      <c r="AM46" s="65"/>
      <c r="AN46" s="59" t="e">
        <f t="shared" si="27"/>
        <v>#DIV/0!</v>
      </c>
      <c r="AO46" s="60" t="e">
        <f t="shared" si="28"/>
        <v>#DIV/0!</v>
      </c>
      <c r="AP46" s="65"/>
      <c r="AQ46" s="60" t="e">
        <f t="shared" si="28"/>
        <v>#DIV/0!</v>
      </c>
      <c r="AR46" s="65"/>
      <c r="AS46" s="60" t="e">
        <f t="shared" si="28"/>
        <v>#DIV/0!</v>
      </c>
      <c r="AT46" s="60" t="e">
        <f t="shared" si="28"/>
        <v>#DIV/0!</v>
      </c>
      <c r="AU46" s="60" t="e">
        <f t="shared" si="28"/>
        <v>#DIV/0!</v>
      </c>
      <c r="AV46" s="60" t="e">
        <f t="shared" si="28"/>
        <v>#DIV/0!</v>
      </c>
      <c r="AW46" s="60" t="e">
        <f t="shared" si="28"/>
        <v>#DIV/0!</v>
      </c>
      <c r="AX46" s="60" t="e">
        <f t="shared" si="28"/>
        <v>#DIV/0!</v>
      </c>
      <c r="AY46" s="60" t="e">
        <f t="shared" si="28"/>
        <v>#DIV/0!</v>
      </c>
      <c r="AZ46" s="65"/>
      <c r="BA46" s="60" t="e">
        <f t="shared" si="28"/>
        <v>#DIV/0!</v>
      </c>
      <c r="BB46" s="59" t="e">
        <f>Links!AF46</f>
        <v>#DIV/0!</v>
      </c>
      <c r="BC46" s="59" t="e">
        <f>(Links!AG46*Links!C46+'On-Ramps'!AC46*'On-Ramps'!CE46)/('On-Ramps'!AC46+Links!C46)</f>
        <v>#DIV/0!</v>
      </c>
      <c r="BD46" s="59" t="e">
        <f>Links!AH46</f>
        <v>#DIV/0!</v>
      </c>
      <c r="BE46" s="59" t="e">
        <f>(Links!AI46*Links!E46+'On-Ramps'!AD46*'On-Ramps'!CF45)/('On-Ramps'!AD46+Links!E46)</f>
        <v>#DIV/0!</v>
      </c>
      <c r="BF46" s="59" t="e">
        <f>(Links!F46*Links!AJ46+'On-Ramps'!AE46*'On-Ramps'!CG46)/('On-Ramps'!AE46+Links!F46)</f>
        <v>#DIV/0!</v>
      </c>
      <c r="BG46" s="59" t="e">
        <f>(Links!G46*Links!AK46+'On-Ramps'!AF46*'On-Ramps'!CH46)/('On-Ramps'!AF46+Links!G46)</f>
        <v>#DIV/0!</v>
      </c>
      <c r="BH46" s="59" t="e">
        <f>(Links!H46*Links!AL46+'On-Ramps'!AG46*'On-Ramps'!CI46)/('On-Ramps'!AG46+Links!H46)</f>
        <v>#DIV/0!</v>
      </c>
      <c r="BI46" s="59" t="e">
        <f>(Links!J46*Links!AN46+'On-Ramps'!AH46*'On-Ramps'!CJ46)/('On-Ramps'!AH46+Links!J46)</f>
        <v>#DIV/0!</v>
      </c>
      <c r="BJ46" s="59" t="e">
        <f>(Links!K46*Links!AO46+'On-Ramps'!AI46*'On-Ramps'!CK46)/('On-Ramps'!AI46+Links!K46)</f>
        <v>#DIV/0!</v>
      </c>
      <c r="BK46" s="59" t="e">
        <f>(Links!L46*Links!AP46+'On-Ramps'!AJ46*'On-Ramps'!CL46)/(Links!L46+'On-Ramps'!AJ46)</f>
        <v>#DIV/0!</v>
      </c>
      <c r="BL46" s="59" t="e">
        <f>Links!AQ46</f>
        <v>#DIV/0!</v>
      </c>
      <c r="BM46" s="59" t="e">
        <f>(Links!N46*Links!AR46+'On-Ramps'!AL46*'On-Ramps'!CM46)/(Links!N46+'On-Ramps'!AL46)</f>
        <v>#DIV/0!</v>
      </c>
      <c r="BN46" s="59" t="e">
        <f>Links!AS46</f>
        <v>#DIV/0!</v>
      </c>
      <c r="BO46" s="60" t="e">
        <f>(Links!R46^2+'Off-Ramp'!L46^2)/(Links!R46+'Off-Ramp'!L46)</f>
        <v>#DIV/0!</v>
      </c>
      <c r="BP46" s="60" t="e">
        <f>Links!S46</f>
        <v>#DIV/0!</v>
      </c>
      <c r="BQ46" s="60" t="e">
        <f>(Links!S46^2+'Off-Ramp'!C46^2)/(Links!S46+'Off-Ramp'!C46)</f>
        <v>#DIV/0!</v>
      </c>
      <c r="BR46" s="60" t="e">
        <f>Links!T46</f>
        <v>#DIV/0!</v>
      </c>
      <c r="BS46" s="60" t="e">
        <f>(Links!X46^2+'Off-Ramp'!V46^2+'Off-Ramp'!W46^2+'Off-Ramp'!X46^2)/(Links!X46+'Off-Ramp'!V46+'Off-Ramp'!W46+'Off-Ramp'!X46)</f>
        <v>#DIV/0!</v>
      </c>
      <c r="BT46" s="60" t="e">
        <f>(Links!Y46^2+'Off-Ramp'!Y46^2+'Off-Ramp'!Z46^2+'Off-Ramp'!AA46^2)/(Links!Y46+'Off-Ramp'!Y46+'Off-Ramp'!Z46+'Off-Ramp'!AA46)</f>
        <v>#DIV/0!</v>
      </c>
      <c r="BU46" s="60" t="e">
        <f>(Links!W46^2+'Off-Ramp'!P46^2)/(Links!W46+'Off-Ramp'!P46)</f>
        <v>#DIV/0!</v>
      </c>
      <c r="BV46" s="60" t="e">
        <f>(Links!Y46^2+'Off-Ramp'!Q46^2)/(Links!Y46+'Off-Ramp'!Q46)</f>
        <v>#DIV/0!</v>
      </c>
      <c r="BW46" s="60" t="e">
        <f>(Links!Z46^2+'Off-Ramp'!R46^2)/(Links!Z46+'Off-Ramp'!R46)</f>
        <v>#DIV/0!</v>
      </c>
      <c r="BX46" s="60" t="e">
        <f>(Links!AA46+'Off-Ramp'!S46)/(Links!AA46^2+'Off-Ramp'!S46^2)</f>
        <v>#DIV/0!</v>
      </c>
      <c r="BY46" s="60" t="e">
        <f>(Links!AB46^2+'Off-Ramp'!T46^2)/(Links!AB46+'Off-Ramp'!T46)</f>
        <v>#DIV/0!</v>
      </c>
      <c r="BZ46" s="60" t="e">
        <f>Links!AC46</f>
        <v>#DIV/0!</v>
      </c>
      <c r="CA46" s="60" t="e">
        <f>(Links!AD46^2+'Off-Ramp'!U46^2)/(Links!AD46+'Off-Ramp'!U46)</f>
        <v>#DIV/0!</v>
      </c>
    </row>
    <row r="47" spans="1:79" x14ac:dyDescent="0.15">
      <c r="A47" s="58">
        <v>45</v>
      </c>
      <c r="B47" s="59" t="e">
        <f t="shared" si="2"/>
        <v>#DIV/0!</v>
      </c>
      <c r="C47" s="59" t="e">
        <f t="shared" si="3"/>
        <v>#DIV/0!</v>
      </c>
      <c r="D47" s="59" t="e">
        <f t="shared" si="4"/>
        <v>#DIV/0!</v>
      </c>
      <c r="E47" s="59" t="e">
        <f t="shared" si="5"/>
        <v>#DIV/0!</v>
      </c>
      <c r="F47" s="59" t="e">
        <f t="shared" si="6"/>
        <v>#DIV/0!</v>
      </c>
      <c r="G47" s="59" t="e">
        <f t="shared" si="7"/>
        <v>#DIV/0!</v>
      </c>
      <c r="H47" s="59" t="e">
        <f t="shared" si="8"/>
        <v>#DIV/0!</v>
      </c>
      <c r="I47" s="59" t="e">
        <f t="shared" si="9"/>
        <v>#DIV/0!</v>
      </c>
      <c r="J47" s="59" t="e">
        <f t="shared" si="10"/>
        <v>#DIV/0!</v>
      </c>
      <c r="K47" s="59" t="e">
        <f t="shared" si="11"/>
        <v>#DIV/0!</v>
      </c>
      <c r="L47" s="59" t="e">
        <f t="shared" si="12"/>
        <v>#DIV/0!</v>
      </c>
      <c r="M47" s="59" t="e">
        <f t="shared" si="13"/>
        <v>#DIV/0!</v>
      </c>
      <c r="N47" s="59" t="e">
        <f t="shared" si="14"/>
        <v>#DIV/0!</v>
      </c>
      <c r="O47" s="60" t="e">
        <f>Links!B47</f>
        <v>#DIV/0!</v>
      </c>
      <c r="P47" s="60" t="e">
        <f>Links!C47+'On-Ramps'!AC47</f>
        <v>#DIV/0!</v>
      </c>
      <c r="Q47" s="60" t="e">
        <f>Links!D47</f>
        <v>#DIV/0!</v>
      </c>
      <c r="R47" s="60" t="e">
        <f>Links!E47+'On-Ramps'!AD47</f>
        <v>#DIV/0!</v>
      </c>
      <c r="S47" s="60" t="e">
        <f>Links!F47+'On-Ramps'!AE47</f>
        <v>#DIV/0!</v>
      </c>
      <c r="T47" s="60" t="e">
        <f>Links!G47+'On-Ramps'!AF47</f>
        <v>#DIV/0!</v>
      </c>
      <c r="U47" s="60" t="e">
        <f>Links!H47+'On-Ramps'!AG47</f>
        <v>#DIV/0!</v>
      </c>
      <c r="V47" s="60" t="e">
        <f>Links!J47+'On-Ramps'!AH47</f>
        <v>#DIV/0!</v>
      </c>
      <c r="W47" s="60" t="e">
        <f>Links!K47+'On-Ramps'!AI47</f>
        <v>#DIV/0!</v>
      </c>
      <c r="X47" s="60" t="e">
        <f>Links!L47+'On-Ramps'!AJ47</f>
        <v>#DIV/0!</v>
      </c>
      <c r="Y47" s="60" t="e">
        <f>Links!M47</f>
        <v>#DIV/0!</v>
      </c>
      <c r="Z47" s="60" t="e">
        <f>Links!N47+'On-Ramps'!AK47</f>
        <v>#DIV/0!</v>
      </c>
      <c r="AA47" s="60" t="e">
        <f>Links!O47</f>
        <v>#DIV/0!</v>
      </c>
      <c r="AB47" s="59" t="e">
        <f t="shared" si="17"/>
        <v>#DIV/0!</v>
      </c>
      <c r="AC47" s="65"/>
      <c r="AD47" s="59" t="e">
        <f t="shared" si="18"/>
        <v>#DIV/0!</v>
      </c>
      <c r="AE47" s="65"/>
      <c r="AF47" s="59" t="e">
        <f t="shared" si="19"/>
        <v>#DIV/0!</v>
      </c>
      <c r="AG47" s="59" t="e">
        <f t="shared" si="20"/>
        <v>#DIV/0!</v>
      </c>
      <c r="AH47" s="59" t="e">
        <f t="shared" si="21"/>
        <v>#DIV/0!</v>
      </c>
      <c r="AI47" s="59" t="e">
        <f t="shared" si="22"/>
        <v>#DIV/0!</v>
      </c>
      <c r="AJ47" s="59" t="e">
        <f t="shared" si="23"/>
        <v>#DIV/0!</v>
      </c>
      <c r="AK47" s="59" t="e">
        <f t="shared" si="24"/>
        <v>#DIV/0!</v>
      </c>
      <c r="AL47" s="59" t="e">
        <f t="shared" si="25"/>
        <v>#DIV/0!</v>
      </c>
      <c r="AM47" s="65"/>
      <c r="AN47" s="59" t="e">
        <f t="shared" si="27"/>
        <v>#DIV/0!</v>
      </c>
      <c r="AO47" s="60" t="e">
        <f t="shared" si="28"/>
        <v>#DIV/0!</v>
      </c>
      <c r="AP47" s="65"/>
      <c r="AQ47" s="60" t="e">
        <f t="shared" si="28"/>
        <v>#DIV/0!</v>
      </c>
      <c r="AR47" s="65"/>
      <c r="AS47" s="60" t="e">
        <f t="shared" si="28"/>
        <v>#DIV/0!</v>
      </c>
      <c r="AT47" s="60" t="e">
        <f t="shared" si="28"/>
        <v>#DIV/0!</v>
      </c>
      <c r="AU47" s="60" t="e">
        <f t="shared" si="28"/>
        <v>#DIV/0!</v>
      </c>
      <c r="AV47" s="60" t="e">
        <f t="shared" si="28"/>
        <v>#DIV/0!</v>
      </c>
      <c r="AW47" s="60" t="e">
        <f t="shared" si="28"/>
        <v>#DIV/0!</v>
      </c>
      <c r="AX47" s="60" t="e">
        <f t="shared" si="28"/>
        <v>#DIV/0!</v>
      </c>
      <c r="AY47" s="60" t="e">
        <f t="shared" si="28"/>
        <v>#DIV/0!</v>
      </c>
      <c r="AZ47" s="65"/>
      <c r="BA47" s="60" t="e">
        <f t="shared" si="28"/>
        <v>#DIV/0!</v>
      </c>
      <c r="BB47" s="59" t="e">
        <f>Links!AF47</f>
        <v>#DIV/0!</v>
      </c>
      <c r="BC47" s="59" t="e">
        <f>(Links!AG47*Links!C47+'On-Ramps'!AC47*'On-Ramps'!CE47)/('On-Ramps'!AC47+Links!C47)</f>
        <v>#DIV/0!</v>
      </c>
      <c r="BD47" s="59" t="e">
        <f>Links!AH47</f>
        <v>#DIV/0!</v>
      </c>
      <c r="BE47" s="59" t="e">
        <f>(Links!AI47*Links!E47+'On-Ramps'!AD47*'On-Ramps'!CF46)/('On-Ramps'!AD47+Links!E47)</f>
        <v>#DIV/0!</v>
      </c>
      <c r="BF47" s="59" t="e">
        <f>(Links!F47*Links!AJ47+'On-Ramps'!AE47*'On-Ramps'!CG47)/('On-Ramps'!AE47+Links!F47)</f>
        <v>#DIV/0!</v>
      </c>
      <c r="BG47" s="59" t="e">
        <f>(Links!G47*Links!AK47+'On-Ramps'!AF47*'On-Ramps'!CH47)/('On-Ramps'!AF47+Links!G47)</f>
        <v>#DIV/0!</v>
      </c>
      <c r="BH47" s="59" t="e">
        <f>(Links!H47*Links!AL47+'On-Ramps'!AG47*'On-Ramps'!CI47)/('On-Ramps'!AG47+Links!H47)</f>
        <v>#DIV/0!</v>
      </c>
      <c r="BI47" s="59" t="e">
        <f>(Links!J47*Links!AN47+'On-Ramps'!AH47*'On-Ramps'!CJ47)/('On-Ramps'!AH47+Links!J47)</f>
        <v>#DIV/0!</v>
      </c>
      <c r="BJ47" s="59" t="e">
        <f>(Links!K47*Links!AO47+'On-Ramps'!AI47*'On-Ramps'!CK47)/('On-Ramps'!AI47+Links!K47)</f>
        <v>#DIV/0!</v>
      </c>
      <c r="BK47" s="59" t="e">
        <f>(Links!L47*Links!AP47+'On-Ramps'!AJ47*'On-Ramps'!CL47)/(Links!L47+'On-Ramps'!AJ47)</f>
        <v>#DIV/0!</v>
      </c>
      <c r="BL47" s="59" t="e">
        <f>Links!AQ47</f>
        <v>#DIV/0!</v>
      </c>
      <c r="BM47" s="59" t="e">
        <f>(Links!N47*Links!AR47+'On-Ramps'!AL47*'On-Ramps'!CM47)/(Links!N47+'On-Ramps'!AL47)</f>
        <v>#DIV/0!</v>
      </c>
      <c r="BN47" s="59" t="e">
        <f>Links!AS47</f>
        <v>#DIV/0!</v>
      </c>
      <c r="BO47" s="60" t="e">
        <f>(Links!R47^2+'Off-Ramp'!L47^2)/(Links!R47+'Off-Ramp'!L47)</f>
        <v>#DIV/0!</v>
      </c>
      <c r="BP47" s="60" t="e">
        <f>Links!S47</f>
        <v>#DIV/0!</v>
      </c>
      <c r="BQ47" s="60" t="e">
        <f>(Links!S47^2+'Off-Ramp'!C47^2)/(Links!S47+'Off-Ramp'!C47)</f>
        <v>#DIV/0!</v>
      </c>
      <c r="BR47" s="60" t="e">
        <f>Links!T47</f>
        <v>#DIV/0!</v>
      </c>
      <c r="BS47" s="60" t="e">
        <f>(Links!X47^2+'Off-Ramp'!V47^2+'Off-Ramp'!W47^2+'Off-Ramp'!X47^2)/(Links!X47+'Off-Ramp'!V47+'Off-Ramp'!W47+'Off-Ramp'!X47)</f>
        <v>#DIV/0!</v>
      </c>
      <c r="BT47" s="60" t="e">
        <f>(Links!Y47^2+'Off-Ramp'!Y47^2+'Off-Ramp'!Z47^2+'Off-Ramp'!AA47^2)/(Links!Y47+'Off-Ramp'!Y47+'Off-Ramp'!Z47+'Off-Ramp'!AA47)</f>
        <v>#DIV/0!</v>
      </c>
      <c r="BU47" s="60" t="e">
        <f>(Links!W47^2+'Off-Ramp'!P47^2)/(Links!W47+'Off-Ramp'!P47)</f>
        <v>#DIV/0!</v>
      </c>
      <c r="BV47" s="60" t="e">
        <f>(Links!Y47^2+'Off-Ramp'!Q47^2)/(Links!Y47+'Off-Ramp'!Q47)</f>
        <v>#DIV/0!</v>
      </c>
      <c r="BW47" s="60" t="e">
        <f>(Links!Z47^2+'Off-Ramp'!R47^2)/(Links!Z47+'Off-Ramp'!R47)</f>
        <v>#DIV/0!</v>
      </c>
      <c r="BX47" s="60" t="e">
        <f>(Links!AA47+'Off-Ramp'!S47)/(Links!AA47^2+'Off-Ramp'!S47^2)</f>
        <v>#DIV/0!</v>
      </c>
      <c r="BY47" s="60" t="e">
        <f>(Links!AB47^2+'Off-Ramp'!T47^2)/(Links!AB47+'Off-Ramp'!T47)</f>
        <v>#DIV/0!</v>
      </c>
      <c r="BZ47" s="60" t="e">
        <f>Links!AC47</f>
        <v>#DIV/0!</v>
      </c>
      <c r="CA47" s="60" t="e">
        <f>(Links!AD47^2+'Off-Ramp'!U47^2)/(Links!AD47+'Off-Ramp'!U47)</f>
        <v>#DIV/0!</v>
      </c>
    </row>
    <row r="48" spans="1:79" x14ac:dyDescent="0.15">
      <c r="A48" s="58">
        <v>46</v>
      </c>
      <c r="B48" s="59" t="e">
        <f t="shared" si="2"/>
        <v>#DIV/0!</v>
      </c>
      <c r="C48" s="59" t="e">
        <f t="shared" si="3"/>
        <v>#DIV/0!</v>
      </c>
      <c r="D48" s="59" t="e">
        <f t="shared" si="4"/>
        <v>#DIV/0!</v>
      </c>
      <c r="E48" s="59" t="e">
        <f t="shared" si="5"/>
        <v>#DIV/0!</v>
      </c>
      <c r="F48" s="59" t="e">
        <f t="shared" si="6"/>
        <v>#DIV/0!</v>
      </c>
      <c r="G48" s="59" t="e">
        <f t="shared" si="7"/>
        <v>#DIV/0!</v>
      </c>
      <c r="H48" s="59" t="e">
        <f t="shared" si="8"/>
        <v>#DIV/0!</v>
      </c>
      <c r="I48" s="59" t="e">
        <f t="shared" si="9"/>
        <v>#DIV/0!</v>
      </c>
      <c r="J48" s="59" t="e">
        <f t="shared" si="10"/>
        <v>#DIV/0!</v>
      </c>
      <c r="K48" s="59" t="e">
        <f t="shared" si="11"/>
        <v>#DIV/0!</v>
      </c>
      <c r="L48" s="59" t="e">
        <f t="shared" si="12"/>
        <v>#DIV/0!</v>
      </c>
      <c r="M48" s="59" t="e">
        <f t="shared" si="13"/>
        <v>#DIV/0!</v>
      </c>
      <c r="N48" s="59" t="e">
        <f t="shared" si="14"/>
        <v>#DIV/0!</v>
      </c>
      <c r="O48" s="60" t="e">
        <f>Links!B48</f>
        <v>#DIV/0!</v>
      </c>
      <c r="P48" s="60" t="e">
        <f>Links!C48+'On-Ramps'!AC48</f>
        <v>#DIV/0!</v>
      </c>
      <c r="Q48" s="60" t="e">
        <f>Links!D48</f>
        <v>#DIV/0!</v>
      </c>
      <c r="R48" s="60" t="e">
        <f>Links!E48+'On-Ramps'!AD48</f>
        <v>#DIV/0!</v>
      </c>
      <c r="S48" s="60" t="e">
        <f>Links!F48+'On-Ramps'!AE48</f>
        <v>#DIV/0!</v>
      </c>
      <c r="T48" s="60" t="e">
        <f>Links!G48+'On-Ramps'!AF48</f>
        <v>#DIV/0!</v>
      </c>
      <c r="U48" s="60" t="e">
        <f>Links!H48+'On-Ramps'!AG48</f>
        <v>#DIV/0!</v>
      </c>
      <c r="V48" s="60" t="e">
        <f>Links!J48+'On-Ramps'!AH48</f>
        <v>#DIV/0!</v>
      </c>
      <c r="W48" s="60" t="e">
        <f>Links!K48+'On-Ramps'!AI48</f>
        <v>#DIV/0!</v>
      </c>
      <c r="X48" s="60" t="e">
        <f>Links!L48+'On-Ramps'!AJ48</f>
        <v>#DIV/0!</v>
      </c>
      <c r="Y48" s="60" t="e">
        <f>Links!M48</f>
        <v>#DIV/0!</v>
      </c>
      <c r="Z48" s="60" t="e">
        <f>Links!N48+'On-Ramps'!AK48</f>
        <v>#DIV/0!</v>
      </c>
      <c r="AA48" s="60" t="e">
        <f>Links!O48</f>
        <v>#DIV/0!</v>
      </c>
      <c r="AB48" s="59" t="e">
        <f t="shared" si="17"/>
        <v>#DIV/0!</v>
      </c>
      <c r="AC48" s="65"/>
      <c r="AD48" s="59" t="e">
        <f t="shared" si="18"/>
        <v>#DIV/0!</v>
      </c>
      <c r="AE48" s="65"/>
      <c r="AF48" s="59" t="e">
        <f t="shared" si="19"/>
        <v>#DIV/0!</v>
      </c>
      <c r="AG48" s="59" t="e">
        <f t="shared" si="20"/>
        <v>#DIV/0!</v>
      </c>
      <c r="AH48" s="59" t="e">
        <f t="shared" si="21"/>
        <v>#DIV/0!</v>
      </c>
      <c r="AI48" s="59" t="e">
        <f t="shared" si="22"/>
        <v>#DIV/0!</v>
      </c>
      <c r="AJ48" s="59" t="e">
        <f t="shared" si="23"/>
        <v>#DIV/0!</v>
      </c>
      <c r="AK48" s="59" t="e">
        <f t="shared" si="24"/>
        <v>#DIV/0!</v>
      </c>
      <c r="AL48" s="59" t="e">
        <f t="shared" si="25"/>
        <v>#DIV/0!</v>
      </c>
      <c r="AM48" s="65"/>
      <c r="AN48" s="59" t="e">
        <f t="shared" si="27"/>
        <v>#DIV/0!</v>
      </c>
      <c r="AO48" s="60" t="e">
        <f t="shared" si="28"/>
        <v>#DIV/0!</v>
      </c>
      <c r="AP48" s="65"/>
      <c r="AQ48" s="60" t="e">
        <f t="shared" si="28"/>
        <v>#DIV/0!</v>
      </c>
      <c r="AR48" s="65"/>
      <c r="AS48" s="60" t="e">
        <f t="shared" si="28"/>
        <v>#DIV/0!</v>
      </c>
      <c r="AT48" s="60" t="e">
        <f t="shared" si="28"/>
        <v>#DIV/0!</v>
      </c>
      <c r="AU48" s="60" t="e">
        <f t="shared" si="28"/>
        <v>#DIV/0!</v>
      </c>
      <c r="AV48" s="60" t="e">
        <f t="shared" si="28"/>
        <v>#DIV/0!</v>
      </c>
      <c r="AW48" s="60" t="e">
        <f t="shared" si="28"/>
        <v>#DIV/0!</v>
      </c>
      <c r="AX48" s="60" t="e">
        <f t="shared" si="28"/>
        <v>#DIV/0!</v>
      </c>
      <c r="AY48" s="60" t="e">
        <f t="shared" si="28"/>
        <v>#DIV/0!</v>
      </c>
      <c r="AZ48" s="65"/>
      <c r="BA48" s="60" t="e">
        <f t="shared" si="28"/>
        <v>#DIV/0!</v>
      </c>
      <c r="BB48" s="59" t="e">
        <f>Links!AF48</f>
        <v>#DIV/0!</v>
      </c>
      <c r="BC48" s="59" t="e">
        <f>(Links!AG48*Links!C48+'On-Ramps'!AC48*'On-Ramps'!CE48)/('On-Ramps'!AC48+Links!C48)</f>
        <v>#DIV/0!</v>
      </c>
      <c r="BD48" s="59" t="e">
        <f>Links!AH48</f>
        <v>#DIV/0!</v>
      </c>
      <c r="BE48" s="59" t="e">
        <f>(Links!AI48*Links!E48+'On-Ramps'!AD48*'On-Ramps'!CF47)/('On-Ramps'!AD48+Links!E48)</f>
        <v>#DIV/0!</v>
      </c>
      <c r="BF48" s="59" t="e">
        <f>(Links!F48*Links!AJ48+'On-Ramps'!AE48*'On-Ramps'!CG48)/('On-Ramps'!AE48+Links!F48)</f>
        <v>#DIV/0!</v>
      </c>
      <c r="BG48" s="59" t="e">
        <f>(Links!G48*Links!AK48+'On-Ramps'!AF48*'On-Ramps'!CH48)/('On-Ramps'!AF48+Links!G48)</f>
        <v>#DIV/0!</v>
      </c>
      <c r="BH48" s="59" t="e">
        <f>(Links!H48*Links!AL48+'On-Ramps'!AG48*'On-Ramps'!CI48)/('On-Ramps'!AG48+Links!H48)</f>
        <v>#DIV/0!</v>
      </c>
      <c r="BI48" s="59" t="e">
        <f>(Links!J48*Links!AN48+'On-Ramps'!AH48*'On-Ramps'!CJ48)/('On-Ramps'!AH48+Links!J48)</f>
        <v>#DIV/0!</v>
      </c>
      <c r="BJ48" s="59" t="e">
        <f>(Links!K48*Links!AO48+'On-Ramps'!AI48*'On-Ramps'!CK48)/('On-Ramps'!AI48+Links!K48)</f>
        <v>#DIV/0!</v>
      </c>
      <c r="BK48" s="59" t="e">
        <f>(Links!L48*Links!AP48+'On-Ramps'!AJ48*'On-Ramps'!CL48)/(Links!L48+'On-Ramps'!AJ48)</f>
        <v>#DIV/0!</v>
      </c>
      <c r="BL48" s="59" t="e">
        <f>Links!AQ48</f>
        <v>#DIV/0!</v>
      </c>
      <c r="BM48" s="59" t="e">
        <f>(Links!N48*Links!AR48+'On-Ramps'!AL48*'On-Ramps'!CM48)/(Links!N48+'On-Ramps'!AL48)</f>
        <v>#DIV/0!</v>
      </c>
      <c r="BN48" s="59" t="e">
        <f>Links!AS48</f>
        <v>#DIV/0!</v>
      </c>
      <c r="BO48" s="60" t="e">
        <f>(Links!R48^2+'Off-Ramp'!L48^2)/(Links!R48+'Off-Ramp'!L48)</f>
        <v>#DIV/0!</v>
      </c>
      <c r="BP48" s="60" t="e">
        <f>Links!S48</f>
        <v>#DIV/0!</v>
      </c>
      <c r="BQ48" s="60" t="e">
        <f>(Links!S48^2+'Off-Ramp'!C48^2)/(Links!S48+'Off-Ramp'!C48)</f>
        <v>#DIV/0!</v>
      </c>
      <c r="BR48" s="60" t="e">
        <f>Links!T48</f>
        <v>#DIV/0!</v>
      </c>
      <c r="BS48" s="60" t="e">
        <f>(Links!X48^2+'Off-Ramp'!V48^2+'Off-Ramp'!W48^2+'Off-Ramp'!X48^2)/(Links!X48+'Off-Ramp'!V48+'Off-Ramp'!W48+'Off-Ramp'!X48)</f>
        <v>#DIV/0!</v>
      </c>
      <c r="BT48" s="60" t="e">
        <f>(Links!Y48^2+'Off-Ramp'!Y48^2+'Off-Ramp'!Z48^2+'Off-Ramp'!AA48^2)/(Links!Y48+'Off-Ramp'!Y48+'Off-Ramp'!Z48+'Off-Ramp'!AA48)</f>
        <v>#DIV/0!</v>
      </c>
      <c r="BU48" s="60" t="e">
        <f>(Links!W48^2+'Off-Ramp'!P48^2)/(Links!W48+'Off-Ramp'!P48)</f>
        <v>#DIV/0!</v>
      </c>
      <c r="BV48" s="60" t="e">
        <f>(Links!Y48^2+'Off-Ramp'!Q48^2)/(Links!Y48+'Off-Ramp'!Q48)</f>
        <v>#DIV/0!</v>
      </c>
      <c r="BW48" s="60" t="e">
        <f>(Links!Z48^2+'Off-Ramp'!R48^2)/(Links!Z48+'Off-Ramp'!R48)</f>
        <v>#DIV/0!</v>
      </c>
      <c r="BX48" s="60" t="e">
        <f>(Links!AA48+'Off-Ramp'!S48)/(Links!AA48^2+'Off-Ramp'!S48^2)</f>
        <v>#DIV/0!</v>
      </c>
      <c r="BY48" s="60" t="e">
        <f>(Links!AB48^2+'Off-Ramp'!T48^2)/(Links!AB48+'Off-Ramp'!T48)</f>
        <v>#DIV/0!</v>
      </c>
      <c r="BZ48" s="60" t="e">
        <f>Links!AC48</f>
        <v>#DIV/0!</v>
      </c>
      <c r="CA48" s="60" t="e">
        <f>(Links!AD48^2+'Off-Ramp'!U48^2)/(Links!AD48+'Off-Ramp'!U48)</f>
        <v>#DIV/0!</v>
      </c>
    </row>
    <row r="49" spans="1:79" x14ac:dyDescent="0.15">
      <c r="A49" s="58">
        <v>47</v>
      </c>
      <c r="B49" s="59" t="e">
        <f t="shared" si="2"/>
        <v>#DIV/0!</v>
      </c>
      <c r="C49" s="59" t="e">
        <f t="shared" si="3"/>
        <v>#DIV/0!</v>
      </c>
      <c r="D49" s="59" t="e">
        <f t="shared" si="4"/>
        <v>#DIV/0!</v>
      </c>
      <c r="E49" s="59" t="e">
        <f t="shared" si="5"/>
        <v>#DIV/0!</v>
      </c>
      <c r="F49" s="59" t="e">
        <f t="shared" si="6"/>
        <v>#DIV/0!</v>
      </c>
      <c r="G49" s="59" t="e">
        <f t="shared" si="7"/>
        <v>#DIV/0!</v>
      </c>
      <c r="H49" s="59" t="e">
        <f t="shared" si="8"/>
        <v>#DIV/0!</v>
      </c>
      <c r="I49" s="59" t="e">
        <f t="shared" si="9"/>
        <v>#DIV/0!</v>
      </c>
      <c r="J49" s="59" t="e">
        <f t="shared" si="10"/>
        <v>#DIV/0!</v>
      </c>
      <c r="K49" s="59" t="e">
        <f t="shared" si="11"/>
        <v>#DIV/0!</v>
      </c>
      <c r="L49" s="59" t="e">
        <f t="shared" si="12"/>
        <v>#DIV/0!</v>
      </c>
      <c r="M49" s="59" t="e">
        <f t="shared" si="13"/>
        <v>#DIV/0!</v>
      </c>
      <c r="N49" s="59" t="e">
        <f t="shared" si="14"/>
        <v>#DIV/0!</v>
      </c>
      <c r="O49" s="60" t="e">
        <f>Links!B49</f>
        <v>#DIV/0!</v>
      </c>
      <c r="P49" s="60" t="e">
        <f>Links!C49+'On-Ramps'!AC49</f>
        <v>#DIV/0!</v>
      </c>
      <c r="Q49" s="60" t="e">
        <f>Links!D49</f>
        <v>#DIV/0!</v>
      </c>
      <c r="R49" s="60" t="e">
        <f>Links!E49+'On-Ramps'!AD49</f>
        <v>#DIV/0!</v>
      </c>
      <c r="S49" s="60" t="e">
        <f>Links!F49+'On-Ramps'!AE49</f>
        <v>#DIV/0!</v>
      </c>
      <c r="T49" s="60" t="e">
        <f>Links!G49+'On-Ramps'!AF49</f>
        <v>#DIV/0!</v>
      </c>
      <c r="U49" s="60" t="e">
        <f>Links!H49+'On-Ramps'!AG49</f>
        <v>#DIV/0!</v>
      </c>
      <c r="V49" s="60" t="e">
        <f>Links!J49+'On-Ramps'!AH49</f>
        <v>#DIV/0!</v>
      </c>
      <c r="W49" s="60" t="e">
        <f>Links!K49+'On-Ramps'!AI49</f>
        <v>#DIV/0!</v>
      </c>
      <c r="X49" s="60" t="e">
        <f>Links!L49+'On-Ramps'!AJ49</f>
        <v>#DIV/0!</v>
      </c>
      <c r="Y49" s="60" t="e">
        <f>Links!M49</f>
        <v>#DIV/0!</v>
      </c>
      <c r="Z49" s="60" t="e">
        <f>Links!N49+'On-Ramps'!AK49</f>
        <v>#DIV/0!</v>
      </c>
      <c r="AA49" s="60" t="e">
        <f>Links!O49</f>
        <v>#DIV/0!</v>
      </c>
      <c r="AB49" s="59" t="e">
        <f t="shared" si="17"/>
        <v>#DIV/0!</v>
      </c>
      <c r="AC49" s="65"/>
      <c r="AD49" s="59" t="e">
        <f t="shared" si="18"/>
        <v>#DIV/0!</v>
      </c>
      <c r="AE49" s="65"/>
      <c r="AF49" s="59" t="e">
        <f t="shared" si="19"/>
        <v>#DIV/0!</v>
      </c>
      <c r="AG49" s="59" t="e">
        <f t="shared" si="20"/>
        <v>#DIV/0!</v>
      </c>
      <c r="AH49" s="59" t="e">
        <f t="shared" si="21"/>
        <v>#DIV/0!</v>
      </c>
      <c r="AI49" s="59" t="e">
        <f t="shared" si="22"/>
        <v>#DIV/0!</v>
      </c>
      <c r="AJ49" s="59" t="e">
        <f t="shared" si="23"/>
        <v>#DIV/0!</v>
      </c>
      <c r="AK49" s="59" t="e">
        <f t="shared" si="24"/>
        <v>#DIV/0!</v>
      </c>
      <c r="AL49" s="59" t="e">
        <f t="shared" si="25"/>
        <v>#DIV/0!</v>
      </c>
      <c r="AM49" s="65"/>
      <c r="AN49" s="59" t="e">
        <f t="shared" si="27"/>
        <v>#DIV/0!</v>
      </c>
      <c r="AO49" s="60" t="e">
        <f t="shared" si="28"/>
        <v>#DIV/0!</v>
      </c>
      <c r="AP49" s="65"/>
      <c r="AQ49" s="60" t="e">
        <f t="shared" si="28"/>
        <v>#DIV/0!</v>
      </c>
      <c r="AR49" s="65"/>
      <c r="AS49" s="60" t="e">
        <f t="shared" si="28"/>
        <v>#DIV/0!</v>
      </c>
      <c r="AT49" s="60" t="e">
        <f t="shared" si="28"/>
        <v>#DIV/0!</v>
      </c>
      <c r="AU49" s="60" t="e">
        <f t="shared" si="28"/>
        <v>#DIV/0!</v>
      </c>
      <c r="AV49" s="60" t="e">
        <f t="shared" si="28"/>
        <v>#DIV/0!</v>
      </c>
      <c r="AW49" s="60" t="e">
        <f t="shared" si="28"/>
        <v>#DIV/0!</v>
      </c>
      <c r="AX49" s="60" t="e">
        <f t="shared" si="28"/>
        <v>#DIV/0!</v>
      </c>
      <c r="AY49" s="60" t="e">
        <f t="shared" si="28"/>
        <v>#DIV/0!</v>
      </c>
      <c r="AZ49" s="65"/>
      <c r="BA49" s="60" t="e">
        <f t="shared" si="28"/>
        <v>#DIV/0!</v>
      </c>
      <c r="BB49" s="59" t="e">
        <f>Links!AF49</f>
        <v>#DIV/0!</v>
      </c>
      <c r="BC49" s="59" t="e">
        <f>(Links!AG49*Links!C49+'On-Ramps'!AC49*'On-Ramps'!CE49)/('On-Ramps'!AC49+Links!C49)</f>
        <v>#DIV/0!</v>
      </c>
      <c r="BD49" s="59" t="e">
        <f>Links!AH49</f>
        <v>#DIV/0!</v>
      </c>
      <c r="BE49" s="59" t="e">
        <f>(Links!AI49*Links!E49+'On-Ramps'!AD49*'On-Ramps'!CF48)/('On-Ramps'!AD49+Links!E49)</f>
        <v>#DIV/0!</v>
      </c>
      <c r="BF49" s="59" t="e">
        <f>(Links!F49*Links!AJ49+'On-Ramps'!AE49*'On-Ramps'!CG49)/('On-Ramps'!AE49+Links!F49)</f>
        <v>#DIV/0!</v>
      </c>
      <c r="BG49" s="59" t="e">
        <f>(Links!G49*Links!AK49+'On-Ramps'!AF49*'On-Ramps'!CH49)/('On-Ramps'!AF49+Links!G49)</f>
        <v>#DIV/0!</v>
      </c>
      <c r="BH49" s="59" t="e">
        <f>(Links!H49*Links!AL49+'On-Ramps'!AG49*'On-Ramps'!CI49)/('On-Ramps'!AG49+Links!H49)</f>
        <v>#DIV/0!</v>
      </c>
      <c r="BI49" s="59" t="e">
        <f>(Links!J49*Links!AN49+'On-Ramps'!AH49*'On-Ramps'!CJ49)/('On-Ramps'!AH49+Links!J49)</f>
        <v>#DIV/0!</v>
      </c>
      <c r="BJ49" s="59" t="e">
        <f>(Links!K49*Links!AO49+'On-Ramps'!AI49*'On-Ramps'!CK49)/('On-Ramps'!AI49+Links!K49)</f>
        <v>#DIV/0!</v>
      </c>
      <c r="BK49" s="59" t="e">
        <f>(Links!L49*Links!AP49+'On-Ramps'!AJ49*'On-Ramps'!CL49)/(Links!L49+'On-Ramps'!AJ49)</f>
        <v>#DIV/0!</v>
      </c>
      <c r="BL49" s="59" t="e">
        <f>Links!AQ49</f>
        <v>#DIV/0!</v>
      </c>
      <c r="BM49" s="59" t="e">
        <f>(Links!N49*Links!AR49+'On-Ramps'!AL49*'On-Ramps'!CM49)/(Links!N49+'On-Ramps'!AL49)</f>
        <v>#DIV/0!</v>
      </c>
      <c r="BN49" s="59" t="e">
        <f>Links!AS49</f>
        <v>#DIV/0!</v>
      </c>
      <c r="BO49" s="60" t="e">
        <f>(Links!R49^2+'Off-Ramp'!L49^2)/(Links!R49+'Off-Ramp'!L49)</f>
        <v>#DIV/0!</v>
      </c>
      <c r="BP49" s="60" t="e">
        <f>Links!S49</f>
        <v>#DIV/0!</v>
      </c>
      <c r="BQ49" s="60" t="e">
        <f>(Links!S49^2+'Off-Ramp'!C49^2)/(Links!S49+'Off-Ramp'!C49)</f>
        <v>#DIV/0!</v>
      </c>
      <c r="BR49" s="60" t="e">
        <f>Links!T49</f>
        <v>#DIV/0!</v>
      </c>
      <c r="BS49" s="60" t="e">
        <f>(Links!X49^2+'Off-Ramp'!V49^2+'Off-Ramp'!W49^2+'Off-Ramp'!X49^2)/(Links!X49+'Off-Ramp'!V49+'Off-Ramp'!W49+'Off-Ramp'!X49)</f>
        <v>#DIV/0!</v>
      </c>
      <c r="BT49" s="60" t="e">
        <f>(Links!Y49^2+'Off-Ramp'!Y49^2+'Off-Ramp'!Z49^2+'Off-Ramp'!AA49^2)/(Links!Y49+'Off-Ramp'!Y49+'Off-Ramp'!Z49+'Off-Ramp'!AA49)</f>
        <v>#DIV/0!</v>
      </c>
      <c r="BU49" s="60" t="e">
        <f>(Links!W49^2+'Off-Ramp'!P49^2)/(Links!W49+'Off-Ramp'!P49)</f>
        <v>#DIV/0!</v>
      </c>
      <c r="BV49" s="60" t="e">
        <f>(Links!Y49^2+'Off-Ramp'!Q49^2)/(Links!Y49+'Off-Ramp'!Q49)</f>
        <v>#DIV/0!</v>
      </c>
      <c r="BW49" s="60" t="e">
        <f>(Links!Z49^2+'Off-Ramp'!R49^2)/(Links!Z49+'Off-Ramp'!R49)</f>
        <v>#DIV/0!</v>
      </c>
      <c r="BX49" s="60" t="e">
        <f>(Links!AA49+'Off-Ramp'!S49)/(Links!AA49^2+'Off-Ramp'!S49^2)</f>
        <v>#DIV/0!</v>
      </c>
      <c r="BY49" s="60" t="e">
        <f>(Links!AB49^2+'Off-Ramp'!T49^2)/(Links!AB49+'Off-Ramp'!T49)</f>
        <v>#DIV/0!</v>
      </c>
      <c r="BZ49" s="60" t="e">
        <f>Links!AC49</f>
        <v>#DIV/0!</v>
      </c>
      <c r="CA49" s="60" t="e">
        <f>(Links!AD49^2+'Off-Ramp'!U49^2)/(Links!AD49+'Off-Ramp'!U49)</f>
        <v>#DIV/0!</v>
      </c>
    </row>
    <row r="50" spans="1:79" x14ac:dyDescent="0.15">
      <c r="A50" s="58">
        <v>48</v>
      </c>
      <c r="B50" s="59" t="e">
        <f t="shared" si="2"/>
        <v>#DIV/0!</v>
      </c>
      <c r="C50" s="59" t="e">
        <f t="shared" si="3"/>
        <v>#DIV/0!</v>
      </c>
      <c r="D50" s="59" t="e">
        <f t="shared" si="4"/>
        <v>#DIV/0!</v>
      </c>
      <c r="E50" s="59" t="e">
        <f t="shared" si="5"/>
        <v>#DIV/0!</v>
      </c>
      <c r="F50" s="59" t="e">
        <f t="shared" si="6"/>
        <v>#DIV/0!</v>
      </c>
      <c r="G50" s="59" t="e">
        <f t="shared" si="7"/>
        <v>#DIV/0!</v>
      </c>
      <c r="H50" s="59" t="e">
        <f t="shared" si="8"/>
        <v>#DIV/0!</v>
      </c>
      <c r="I50" s="59" t="e">
        <f t="shared" si="9"/>
        <v>#DIV/0!</v>
      </c>
      <c r="J50" s="59" t="e">
        <f t="shared" si="10"/>
        <v>#DIV/0!</v>
      </c>
      <c r="K50" s="59" t="e">
        <f t="shared" si="11"/>
        <v>#DIV/0!</v>
      </c>
      <c r="L50" s="59" t="e">
        <f t="shared" si="12"/>
        <v>#DIV/0!</v>
      </c>
      <c r="M50" s="59" t="e">
        <f t="shared" si="13"/>
        <v>#DIV/0!</v>
      </c>
      <c r="N50" s="59" t="e">
        <f t="shared" si="14"/>
        <v>#DIV/0!</v>
      </c>
      <c r="O50" s="60" t="e">
        <f>Links!B50</f>
        <v>#DIV/0!</v>
      </c>
      <c r="P50" s="60" t="e">
        <f>Links!C50+'On-Ramps'!AC50</f>
        <v>#DIV/0!</v>
      </c>
      <c r="Q50" s="60" t="e">
        <f>Links!D50</f>
        <v>#DIV/0!</v>
      </c>
      <c r="R50" s="60" t="e">
        <f>Links!E50+'On-Ramps'!AD50</f>
        <v>#DIV/0!</v>
      </c>
      <c r="S50" s="60" t="e">
        <f>Links!F50+'On-Ramps'!AE50</f>
        <v>#DIV/0!</v>
      </c>
      <c r="T50" s="60" t="e">
        <f>Links!G50+'On-Ramps'!AF50</f>
        <v>#DIV/0!</v>
      </c>
      <c r="U50" s="60" t="e">
        <f>Links!H50+'On-Ramps'!AG50</f>
        <v>#DIV/0!</v>
      </c>
      <c r="V50" s="60" t="e">
        <f>Links!J50+'On-Ramps'!AH50</f>
        <v>#DIV/0!</v>
      </c>
      <c r="W50" s="60" t="e">
        <f>Links!K50+'On-Ramps'!AI50</f>
        <v>#DIV/0!</v>
      </c>
      <c r="X50" s="60" t="e">
        <f>Links!L50+'On-Ramps'!AJ50</f>
        <v>#DIV/0!</v>
      </c>
      <c r="Y50" s="60" t="e">
        <f>Links!M50</f>
        <v>#DIV/0!</v>
      </c>
      <c r="Z50" s="60" t="e">
        <f>Links!N50+'On-Ramps'!AK50</f>
        <v>#DIV/0!</v>
      </c>
      <c r="AA50" s="60" t="e">
        <f>Links!O50</f>
        <v>#DIV/0!</v>
      </c>
      <c r="AB50" s="59" t="e">
        <f t="shared" si="17"/>
        <v>#DIV/0!</v>
      </c>
      <c r="AC50" s="65"/>
      <c r="AD50" s="59" t="e">
        <f t="shared" si="18"/>
        <v>#DIV/0!</v>
      </c>
      <c r="AE50" s="65"/>
      <c r="AF50" s="59" t="e">
        <f t="shared" si="19"/>
        <v>#DIV/0!</v>
      </c>
      <c r="AG50" s="59" t="e">
        <f t="shared" si="20"/>
        <v>#DIV/0!</v>
      </c>
      <c r="AH50" s="59" t="e">
        <f t="shared" si="21"/>
        <v>#DIV/0!</v>
      </c>
      <c r="AI50" s="59" t="e">
        <f t="shared" si="22"/>
        <v>#DIV/0!</v>
      </c>
      <c r="AJ50" s="59" t="e">
        <f t="shared" si="23"/>
        <v>#DIV/0!</v>
      </c>
      <c r="AK50" s="59" t="e">
        <f t="shared" si="24"/>
        <v>#DIV/0!</v>
      </c>
      <c r="AL50" s="59" t="e">
        <f t="shared" si="25"/>
        <v>#DIV/0!</v>
      </c>
      <c r="AM50" s="65"/>
      <c r="AN50" s="59" t="e">
        <f t="shared" si="27"/>
        <v>#DIV/0!</v>
      </c>
      <c r="AO50" s="60" t="e">
        <f t="shared" si="28"/>
        <v>#DIV/0!</v>
      </c>
      <c r="AP50" s="65"/>
      <c r="AQ50" s="60" t="e">
        <f t="shared" si="28"/>
        <v>#DIV/0!</v>
      </c>
      <c r="AR50" s="65"/>
      <c r="AS50" s="60" t="e">
        <f t="shared" si="28"/>
        <v>#DIV/0!</v>
      </c>
      <c r="AT50" s="60" t="e">
        <f t="shared" si="28"/>
        <v>#DIV/0!</v>
      </c>
      <c r="AU50" s="60" t="e">
        <f t="shared" si="28"/>
        <v>#DIV/0!</v>
      </c>
      <c r="AV50" s="60" t="e">
        <f t="shared" si="28"/>
        <v>#DIV/0!</v>
      </c>
      <c r="AW50" s="60" t="e">
        <f t="shared" si="28"/>
        <v>#DIV/0!</v>
      </c>
      <c r="AX50" s="60" t="e">
        <f t="shared" si="28"/>
        <v>#DIV/0!</v>
      </c>
      <c r="AY50" s="60" t="e">
        <f t="shared" si="28"/>
        <v>#DIV/0!</v>
      </c>
      <c r="AZ50" s="65"/>
      <c r="BA50" s="60" t="e">
        <f t="shared" si="28"/>
        <v>#DIV/0!</v>
      </c>
      <c r="BB50" s="59" t="e">
        <f>Links!AF50</f>
        <v>#DIV/0!</v>
      </c>
      <c r="BC50" s="59" t="e">
        <f>(Links!AG50*Links!C50+'On-Ramps'!AC50*'On-Ramps'!CE50)/('On-Ramps'!AC50+Links!C50)</f>
        <v>#DIV/0!</v>
      </c>
      <c r="BD50" s="59" t="e">
        <f>Links!AH50</f>
        <v>#DIV/0!</v>
      </c>
      <c r="BE50" s="59" t="e">
        <f>(Links!AI50*Links!E50+'On-Ramps'!AD50*'On-Ramps'!CF49)/('On-Ramps'!AD50+Links!E50)</f>
        <v>#DIV/0!</v>
      </c>
      <c r="BF50" s="59" t="e">
        <f>(Links!F50*Links!AJ50+'On-Ramps'!AE50*'On-Ramps'!CG50)/('On-Ramps'!AE50+Links!F50)</f>
        <v>#DIV/0!</v>
      </c>
      <c r="BG50" s="59" t="e">
        <f>(Links!G50*Links!AK50+'On-Ramps'!AF50*'On-Ramps'!CH50)/('On-Ramps'!AF50+Links!G50)</f>
        <v>#DIV/0!</v>
      </c>
      <c r="BH50" s="59" t="e">
        <f>(Links!H50*Links!AL50+'On-Ramps'!AG50*'On-Ramps'!CI50)/('On-Ramps'!AG50+Links!H50)</f>
        <v>#DIV/0!</v>
      </c>
      <c r="BI50" s="59" t="e">
        <f>(Links!J50*Links!AN50+'On-Ramps'!AH50*'On-Ramps'!CJ50)/('On-Ramps'!AH50+Links!J50)</f>
        <v>#DIV/0!</v>
      </c>
      <c r="BJ50" s="59" t="e">
        <f>(Links!K50*Links!AO50+'On-Ramps'!AI50*'On-Ramps'!CK50)/('On-Ramps'!AI50+Links!K50)</f>
        <v>#DIV/0!</v>
      </c>
      <c r="BK50" s="59" t="e">
        <f>(Links!L50*Links!AP50+'On-Ramps'!AJ50*'On-Ramps'!CL50)/(Links!L50+'On-Ramps'!AJ50)</f>
        <v>#DIV/0!</v>
      </c>
      <c r="BL50" s="59" t="e">
        <f>Links!AQ50</f>
        <v>#DIV/0!</v>
      </c>
      <c r="BM50" s="59" t="e">
        <f>(Links!N50*Links!AR50+'On-Ramps'!AL50*'On-Ramps'!CM50)/(Links!N50+'On-Ramps'!AL50)</f>
        <v>#DIV/0!</v>
      </c>
      <c r="BN50" s="59" t="e">
        <f>Links!AS50</f>
        <v>#DIV/0!</v>
      </c>
      <c r="BO50" s="60" t="e">
        <f>(Links!R50^2+'Off-Ramp'!L50^2)/(Links!R50+'Off-Ramp'!L50)</f>
        <v>#DIV/0!</v>
      </c>
      <c r="BP50" s="60" t="e">
        <f>Links!S50</f>
        <v>#DIV/0!</v>
      </c>
      <c r="BQ50" s="60" t="e">
        <f>(Links!S50^2+'Off-Ramp'!C50^2)/(Links!S50+'Off-Ramp'!C50)</f>
        <v>#DIV/0!</v>
      </c>
      <c r="BR50" s="60" t="e">
        <f>Links!T50</f>
        <v>#DIV/0!</v>
      </c>
      <c r="BS50" s="60" t="e">
        <f>(Links!X50^2+'Off-Ramp'!V50^2+'Off-Ramp'!W50^2+'Off-Ramp'!X50^2)/(Links!X50+'Off-Ramp'!V50+'Off-Ramp'!W50+'Off-Ramp'!X50)</f>
        <v>#DIV/0!</v>
      </c>
      <c r="BT50" s="60" t="e">
        <f>(Links!Y50^2+'Off-Ramp'!Y50^2+'Off-Ramp'!Z50^2+'Off-Ramp'!AA50^2)/(Links!Y50+'Off-Ramp'!Y50+'Off-Ramp'!Z50+'Off-Ramp'!AA50)</f>
        <v>#DIV/0!</v>
      </c>
      <c r="BU50" s="60" t="e">
        <f>(Links!W50^2+'Off-Ramp'!P50^2)/(Links!W50+'Off-Ramp'!P50)</f>
        <v>#DIV/0!</v>
      </c>
      <c r="BV50" s="60" t="e">
        <f>(Links!Y50^2+'Off-Ramp'!Q50^2)/(Links!Y50+'Off-Ramp'!Q50)</f>
        <v>#DIV/0!</v>
      </c>
      <c r="BW50" s="60" t="e">
        <f>(Links!Z50^2+'Off-Ramp'!R50^2)/(Links!Z50+'Off-Ramp'!R50)</f>
        <v>#DIV/0!</v>
      </c>
      <c r="BX50" s="60" t="e">
        <f>(Links!AA50+'Off-Ramp'!S50)/(Links!AA50^2+'Off-Ramp'!S50^2)</f>
        <v>#DIV/0!</v>
      </c>
      <c r="BY50" s="60" t="e">
        <f>(Links!AB50^2+'Off-Ramp'!T50^2)/(Links!AB50+'Off-Ramp'!T50)</f>
        <v>#DIV/0!</v>
      </c>
      <c r="BZ50" s="60" t="e">
        <f>Links!AC50</f>
        <v>#DIV/0!</v>
      </c>
      <c r="CA50" s="60" t="e">
        <f>(Links!AD50^2+'Off-Ramp'!U50^2)/(Links!AD50+'Off-Ramp'!U50)</f>
        <v>#DIV/0!</v>
      </c>
    </row>
    <row r="51" spans="1:79" x14ac:dyDescent="0.15">
      <c r="A51" s="58">
        <v>49</v>
      </c>
      <c r="B51" s="59" t="e">
        <f t="shared" si="2"/>
        <v>#DIV/0!</v>
      </c>
      <c r="C51" s="59" t="e">
        <f t="shared" si="3"/>
        <v>#DIV/0!</v>
      </c>
      <c r="D51" s="59" t="e">
        <f t="shared" si="4"/>
        <v>#DIV/0!</v>
      </c>
      <c r="E51" s="59" t="e">
        <f t="shared" si="5"/>
        <v>#DIV/0!</v>
      </c>
      <c r="F51" s="59" t="e">
        <f t="shared" si="6"/>
        <v>#DIV/0!</v>
      </c>
      <c r="G51" s="59" t="e">
        <f t="shared" si="7"/>
        <v>#DIV/0!</v>
      </c>
      <c r="H51" s="59" t="e">
        <f t="shared" si="8"/>
        <v>#DIV/0!</v>
      </c>
      <c r="I51" s="59" t="e">
        <f t="shared" si="9"/>
        <v>#DIV/0!</v>
      </c>
      <c r="J51" s="59" t="e">
        <f t="shared" si="10"/>
        <v>#DIV/0!</v>
      </c>
      <c r="K51" s="59" t="e">
        <f t="shared" si="11"/>
        <v>#DIV/0!</v>
      </c>
      <c r="L51" s="59" t="e">
        <f t="shared" si="12"/>
        <v>#DIV/0!</v>
      </c>
      <c r="M51" s="59" t="e">
        <f t="shared" si="13"/>
        <v>#DIV/0!</v>
      </c>
      <c r="N51" s="59" t="e">
        <f t="shared" si="14"/>
        <v>#DIV/0!</v>
      </c>
      <c r="O51" s="60" t="e">
        <f>Links!B51</f>
        <v>#DIV/0!</v>
      </c>
      <c r="P51" s="60" t="e">
        <f>Links!C51+'On-Ramps'!AC51</f>
        <v>#DIV/0!</v>
      </c>
      <c r="Q51" s="60" t="e">
        <f>Links!D51</f>
        <v>#DIV/0!</v>
      </c>
      <c r="R51" s="60" t="e">
        <f>Links!E51+'On-Ramps'!AD51</f>
        <v>#DIV/0!</v>
      </c>
      <c r="S51" s="60" t="e">
        <f>Links!F51+'On-Ramps'!AE51</f>
        <v>#DIV/0!</v>
      </c>
      <c r="T51" s="60" t="e">
        <f>Links!G51+'On-Ramps'!AF51</f>
        <v>#DIV/0!</v>
      </c>
      <c r="U51" s="60" t="e">
        <f>Links!H51+'On-Ramps'!AG51</f>
        <v>#DIV/0!</v>
      </c>
      <c r="V51" s="60" t="e">
        <f>Links!J51+'On-Ramps'!AH51</f>
        <v>#DIV/0!</v>
      </c>
      <c r="W51" s="60" t="e">
        <f>Links!K51+'On-Ramps'!AI51</f>
        <v>#DIV/0!</v>
      </c>
      <c r="X51" s="60" t="e">
        <f>Links!L51+'On-Ramps'!AJ51</f>
        <v>#DIV/0!</v>
      </c>
      <c r="Y51" s="60" t="e">
        <f>Links!M51</f>
        <v>#DIV/0!</v>
      </c>
      <c r="Z51" s="60" t="e">
        <f>Links!N51+'On-Ramps'!AK51</f>
        <v>#DIV/0!</v>
      </c>
      <c r="AA51" s="60" t="e">
        <f>Links!O51</f>
        <v>#DIV/0!</v>
      </c>
      <c r="AB51" s="59" t="e">
        <f t="shared" si="17"/>
        <v>#DIV/0!</v>
      </c>
      <c r="AC51" s="65"/>
      <c r="AD51" s="59" t="e">
        <f t="shared" si="18"/>
        <v>#DIV/0!</v>
      </c>
      <c r="AE51" s="65"/>
      <c r="AF51" s="59" t="e">
        <f t="shared" si="19"/>
        <v>#DIV/0!</v>
      </c>
      <c r="AG51" s="59" t="e">
        <f t="shared" si="20"/>
        <v>#DIV/0!</v>
      </c>
      <c r="AH51" s="59" t="e">
        <f t="shared" si="21"/>
        <v>#DIV/0!</v>
      </c>
      <c r="AI51" s="59" t="e">
        <f t="shared" si="22"/>
        <v>#DIV/0!</v>
      </c>
      <c r="AJ51" s="59" t="e">
        <f t="shared" si="23"/>
        <v>#DIV/0!</v>
      </c>
      <c r="AK51" s="59" t="e">
        <f t="shared" si="24"/>
        <v>#DIV/0!</v>
      </c>
      <c r="AL51" s="59" t="e">
        <f t="shared" si="25"/>
        <v>#DIV/0!</v>
      </c>
      <c r="AM51" s="65"/>
      <c r="AN51" s="59" t="e">
        <f t="shared" si="27"/>
        <v>#DIV/0!</v>
      </c>
      <c r="AO51" s="60" t="e">
        <f t="shared" si="28"/>
        <v>#DIV/0!</v>
      </c>
      <c r="AP51" s="65"/>
      <c r="AQ51" s="60" t="e">
        <f t="shared" si="28"/>
        <v>#DIV/0!</v>
      </c>
      <c r="AR51" s="65"/>
      <c r="AS51" s="60" t="e">
        <f t="shared" si="28"/>
        <v>#DIV/0!</v>
      </c>
      <c r="AT51" s="60" t="e">
        <f t="shared" si="28"/>
        <v>#DIV/0!</v>
      </c>
      <c r="AU51" s="60" t="e">
        <f t="shared" si="28"/>
        <v>#DIV/0!</v>
      </c>
      <c r="AV51" s="60" t="e">
        <f t="shared" si="28"/>
        <v>#DIV/0!</v>
      </c>
      <c r="AW51" s="60" t="e">
        <f t="shared" si="28"/>
        <v>#DIV/0!</v>
      </c>
      <c r="AX51" s="60" t="e">
        <f t="shared" si="28"/>
        <v>#DIV/0!</v>
      </c>
      <c r="AY51" s="60" t="e">
        <f t="shared" si="28"/>
        <v>#DIV/0!</v>
      </c>
      <c r="AZ51" s="65"/>
      <c r="BA51" s="60" t="e">
        <f t="shared" si="28"/>
        <v>#DIV/0!</v>
      </c>
      <c r="BB51" s="59" t="e">
        <f>Links!AF51</f>
        <v>#DIV/0!</v>
      </c>
      <c r="BC51" s="59" t="e">
        <f>(Links!AG51*Links!C51+'On-Ramps'!AC51*'On-Ramps'!CE51)/('On-Ramps'!AC51+Links!C51)</f>
        <v>#DIV/0!</v>
      </c>
      <c r="BD51" s="59" t="e">
        <f>Links!AH51</f>
        <v>#DIV/0!</v>
      </c>
      <c r="BE51" s="59" t="e">
        <f>(Links!AI51*Links!E51+'On-Ramps'!AD51*'On-Ramps'!CF50)/('On-Ramps'!AD51+Links!E51)</f>
        <v>#DIV/0!</v>
      </c>
      <c r="BF51" s="59" t="e">
        <f>(Links!F51*Links!AJ51+'On-Ramps'!AE51*'On-Ramps'!CG51)/('On-Ramps'!AE51+Links!F51)</f>
        <v>#DIV/0!</v>
      </c>
      <c r="BG51" s="59" t="e">
        <f>(Links!G51*Links!AK51+'On-Ramps'!AF51*'On-Ramps'!CH51)/('On-Ramps'!AF51+Links!G51)</f>
        <v>#DIV/0!</v>
      </c>
      <c r="BH51" s="59" t="e">
        <f>(Links!H51*Links!AL51+'On-Ramps'!AG51*'On-Ramps'!CI51)/('On-Ramps'!AG51+Links!H51)</f>
        <v>#DIV/0!</v>
      </c>
      <c r="BI51" s="59" t="e">
        <f>(Links!J51*Links!AN51+'On-Ramps'!AH51*'On-Ramps'!CJ51)/('On-Ramps'!AH51+Links!J51)</f>
        <v>#DIV/0!</v>
      </c>
      <c r="BJ51" s="59" t="e">
        <f>(Links!K51*Links!AO51+'On-Ramps'!AI51*'On-Ramps'!CK51)/('On-Ramps'!AI51+Links!K51)</f>
        <v>#DIV/0!</v>
      </c>
      <c r="BK51" s="59" t="e">
        <f>(Links!L51*Links!AP51+'On-Ramps'!AJ51*'On-Ramps'!CL51)/(Links!L51+'On-Ramps'!AJ51)</f>
        <v>#DIV/0!</v>
      </c>
      <c r="BL51" s="59" t="e">
        <f>Links!AQ51</f>
        <v>#DIV/0!</v>
      </c>
      <c r="BM51" s="59" t="e">
        <f>(Links!N51*Links!AR51+'On-Ramps'!AL51*'On-Ramps'!CM51)/(Links!N51+'On-Ramps'!AL51)</f>
        <v>#DIV/0!</v>
      </c>
      <c r="BN51" s="59" t="e">
        <f>Links!AS51</f>
        <v>#DIV/0!</v>
      </c>
      <c r="BO51" s="60" t="e">
        <f>(Links!R51^2+'Off-Ramp'!L51^2)/(Links!R51+'Off-Ramp'!L51)</f>
        <v>#DIV/0!</v>
      </c>
      <c r="BP51" s="60" t="e">
        <f>Links!S51</f>
        <v>#DIV/0!</v>
      </c>
      <c r="BQ51" s="60" t="e">
        <f>(Links!S51^2+'Off-Ramp'!C51^2)/(Links!S51+'Off-Ramp'!C51)</f>
        <v>#DIV/0!</v>
      </c>
      <c r="BR51" s="60" t="e">
        <f>Links!T51</f>
        <v>#DIV/0!</v>
      </c>
      <c r="BS51" s="60" t="e">
        <f>(Links!X51^2+'Off-Ramp'!V51^2+'Off-Ramp'!W51^2+'Off-Ramp'!X51^2)/(Links!X51+'Off-Ramp'!V51+'Off-Ramp'!W51+'Off-Ramp'!X51)</f>
        <v>#DIV/0!</v>
      </c>
      <c r="BT51" s="60" t="e">
        <f>(Links!Y51^2+'Off-Ramp'!Y51^2+'Off-Ramp'!Z51^2+'Off-Ramp'!AA51^2)/(Links!Y51+'Off-Ramp'!Y51+'Off-Ramp'!Z51+'Off-Ramp'!AA51)</f>
        <v>#DIV/0!</v>
      </c>
      <c r="BU51" s="60" t="e">
        <f>(Links!W51^2+'Off-Ramp'!P51^2)/(Links!W51+'Off-Ramp'!P51)</f>
        <v>#DIV/0!</v>
      </c>
      <c r="BV51" s="60" t="e">
        <f>(Links!Y51^2+'Off-Ramp'!Q51^2)/(Links!Y51+'Off-Ramp'!Q51)</f>
        <v>#DIV/0!</v>
      </c>
      <c r="BW51" s="60" t="e">
        <f>(Links!Z51^2+'Off-Ramp'!R51^2)/(Links!Z51+'Off-Ramp'!R51)</f>
        <v>#DIV/0!</v>
      </c>
      <c r="BX51" s="60" t="e">
        <f>(Links!AA51+'Off-Ramp'!S51)/(Links!AA51^2+'Off-Ramp'!S51^2)</f>
        <v>#DIV/0!</v>
      </c>
      <c r="BY51" s="60" t="e">
        <f>(Links!AB51^2+'Off-Ramp'!T51^2)/(Links!AB51+'Off-Ramp'!T51)</f>
        <v>#DIV/0!</v>
      </c>
      <c r="BZ51" s="60" t="e">
        <f>Links!AC51</f>
        <v>#DIV/0!</v>
      </c>
      <c r="CA51" s="60" t="e">
        <f>(Links!AD51^2+'Off-Ramp'!U51^2)/(Links!AD51+'Off-Ramp'!U51)</f>
        <v>#DIV/0!</v>
      </c>
    </row>
    <row r="52" spans="1:79" x14ac:dyDescent="0.15">
      <c r="A52" s="58">
        <v>50</v>
      </c>
      <c r="B52" s="59" t="e">
        <f t="shared" si="2"/>
        <v>#DIV/0!</v>
      </c>
      <c r="C52" s="59" t="e">
        <f t="shared" si="3"/>
        <v>#DIV/0!</v>
      </c>
      <c r="D52" s="59" t="e">
        <f t="shared" si="4"/>
        <v>#DIV/0!</v>
      </c>
      <c r="E52" s="59" t="e">
        <f t="shared" si="5"/>
        <v>#DIV/0!</v>
      </c>
      <c r="F52" s="59" t="e">
        <f t="shared" si="6"/>
        <v>#DIV/0!</v>
      </c>
      <c r="G52" s="59" t="e">
        <f t="shared" si="7"/>
        <v>#DIV/0!</v>
      </c>
      <c r="H52" s="59" t="e">
        <f t="shared" si="8"/>
        <v>#DIV/0!</v>
      </c>
      <c r="I52" s="59" t="e">
        <f t="shared" si="9"/>
        <v>#DIV/0!</v>
      </c>
      <c r="J52" s="59" t="e">
        <f t="shared" si="10"/>
        <v>#DIV/0!</v>
      </c>
      <c r="K52" s="59" t="e">
        <f t="shared" si="11"/>
        <v>#DIV/0!</v>
      </c>
      <c r="L52" s="59" t="e">
        <f t="shared" si="12"/>
        <v>#DIV/0!</v>
      </c>
      <c r="M52" s="59" t="e">
        <f t="shared" si="13"/>
        <v>#DIV/0!</v>
      </c>
      <c r="N52" s="59" t="e">
        <f t="shared" si="14"/>
        <v>#DIV/0!</v>
      </c>
      <c r="O52" s="60" t="e">
        <f>Links!B52</f>
        <v>#DIV/0!</v>
      </c>
      <c r="P52" s="60" t="e">
        <f>Links!C52+'On-Ramps'!AC52</f>
        <v>#DIV/0!</v>
      </c>
      <c r="Q52" s="60" t="e">
        <f>Links!D52</f>
        <v>#DIV/0!</v>
      </c>
      <c r="R52" s="60" t="e">
        <f>Links!E52+'On-Ramps'!AD52</f>
        <v>#DIV/0!</v>
      </c>
      <c r="S52" s="60" t="e">
        <f>Links!F52+'On-Ramps'!AE52</f>
        <v>#DIV/0!</v>
      </c>
      <c r="T52" s="60" t="e">
        <f>Links!G52+'On-Ramps'!AF52</f>
        <v>#DIV/0!</v>
      </c>
      <c r="U52" s="60" t="e">
        <f>Links!H52+'On-Ramps'!AG52</f>
        <v>#DIV/0!</v>
      </c>
      <c r="V52" s="60" t="e">
        <f>Links!J52+'On-Ramps'!AH52</f>
        <v>#DIV/0!</v>
      </c>
      <c r="W52" s="60" t="e">
        <f>Links!K52+'On-Ramps'!AI52</f>
        <v>#DIV/0!</v>
      </c>
      <c r="X52" s="60" t="e">
        <f>Links!L52+'On-Ramps'!AJ52</f>
        <v>#DIV/0!</v>
      </c>
      <c r="Y52" s="60" t="e">
        <f>Links!M52</f>
        <v>#DIV/0!</v>
      </c>
      <c r="Z52" s="60" t="e">
        <f>Links!N52+'On-Ramps'!AK52</f>
        <v>#DIV/0!</v>
      </c>
      <c r="AA52" s="60" t="e">
        <f>Links!O52</f>
        <v>#DIV/0!</v>
      </c>
      <c r="AB52" s="59" t="e">
        <f t="shared" si="17"/>
        <v>#DIV/0!</v>
      </c>
      <c r="AC52" s="65"/>
      <c r="AD52" s="59" t="e">
        <f t="shared" si="18"/>
        <v>#DIV/0!</v>
      </c>
      <c r="AE52" s="65"/>
      <c r="AF52" s="59" t="e">
        <f t="shared" si="19"/>
        <v>#DIV/0!</v>
      </c>
      <c r="AG52" s="59" t="e">
        <f t="shared" si="20"/>
        <v>#DIV/0!</v>
      </c>
      <c r="AH52" s="59" t="e">
        <f t="shared" si="21"/>
        <v>#DIV/0!</v>
      </c>
      <c r="AI52" s="59" t="e">
        <f t="shared" si="22"/>
        <v>#DIV/0!</v>
      </c>
      <c r="AJ52" s="59" t="e">
        <f t="shared" si="23"/>
        <v>#DIV/0!</v>
      </c>
      <c r="AK52" s="59" t="e">
        <f t="shared" si="24"/>
        <v>#DIV/0!</v>
      </c>
      <c r="AL52" s="59" t="e">
        <f t="shared" si="25"/>
        <v>#DIV/0!</v>
      </c>
      <c r="AM52" s="65"/>
      <c r="AN52" s="59" t="e">
        <f t="shared" si="27"/>
        <v>#DIV/0!</v>
      </c>
      <c r="AO52" s="60" t="e">
        <f t="shared" si="28"/>
        <v>#DIV/0!</v>
      </c>
      <c r="AP52" s="65"/>
      <c r="AQ52" s="60" t="e">
        <f t="shared" si="28"/>
        <v>#DIV/0!</v>
      </c>
      <c r="AR52" s="65"/>
      <c r="AS52" s="60" t="e">
        <f t="shared" si="28"/>
        <v>#DIV/0!</v>
      </c>
      <c r="AT52" s="60" t="e">
        <f t="shared" si="28"/>
        <v>#DIV/0!</v>
      </c>
      <c r="AU52" s="60" t="e">
        <f t="shared" si="28"/>
        <v>#DIV/0!</v>
      </c>
      <c r="AV52" s="60" t="e">
        <f t="shared" si="28"/>
        <v>#DIV/0!</v>
      </c>
      <c r="AW52" s="60" t="e">
        <f t="shared" si="28"/>
        <v>#DIV/0!</v>
      </c>
      <c r="AX52" s="60" t="e">
        <f t="shared" si="28"/>
        <v>#DIV/0!</v>
      </c>
      <c r="AY52" s="60" t="e">
        <f t="shared" si="28"/>
        <v>#DIV/0!</v>
      </c>
      <c r="AZ52" s="65"/>
      <c r="BA52" s="60" t="e">
        <f t="shared" si="28"/>
        <v>#DIV/0!</v>
      </c>
      <c r="BB52" s="59" t="e">
        <f>Links!AF52</f>
        <v>#DIV/0!</v>
      </c>
      <c r="BC52" s="59" t="e">
        <f>(Links!AG52*Links!C52+'On-Ramps'!AC52*'On-Ramps'!CE52)/('On-Ramps'!AC52+Links!C52)</f>
        <v>#DIV/0!</v>
      </c>
      <c r="BD52" s="59" t="e">
        <f>Links!AH52</f>
        <v>#DIV/0!</v>
      </c>
      <c r="BE52" s="59" t="e">
        <f>(Links!AI52*Links!E52+'On-Ramps'!AD52*'On-Ramps'!CF51)/('On-Ramps'!AD52+Links!E52)</f>
        <v>#DIV/0!</v>
      </c>
      <c r="BF52" s="59" t="e">
        <f>(Links!F52*Links!AJ52+'On-Ramps'!AE52*'On-Ramps'!CG52)/('On-Ramps'!AE52+Links!F52)</f>
        <v>#DIV/0!</v>
      </c>
      <c r="BG52" s="59" t="e">
        <f>(Links!G52*Links!AK52+'On-Ramps'!AF52*'On-Ramps'!CH52)/('On-Ramps'!AF52+Links!G52)</f>
        <v>#DIV/0!</v>
      </c>
      <c r="BH52" s="59" t="e">
        <f>(Links!H52*Links!AL52+'On-Ramps'!AG52*'On-Ramps'!CI52)/('On-Ramps'!AG52+Links!H52)</f>
        <v>#DIV/0!</v>
      </c>
      <c r="BI52" s="59" t="e">
        <f>(Links!J52*Links!AN52+'On-Ramps'!AH52*'On-Ramps'!CJ52)/('On-Ramps'!AH52+Links!J52)</f>
        <v>#DIV/0!</v>
      </c>
      <c r="BJ52" s="59" t="e">
        <f>(Links!K52*Links!AO52+'On-Ramps'!AI52*'On-Ramps'!CK52)/('On-Ramps'!AI52+Links!K52)</f>
        <v>#DIV/0!</v>
      </c>
      <c r="BK52" s="59" t="e">
        <f>(Links!L52*Links!AP52+'On-Ramps'!AJ52*'On-Ramps'!CL52)/(Links!L52+'On-Ramps'!AJ52)</f>
        <v>#DIV/0!</v>
      </c>
      <c r="BL52" s="59" t="e">
        <f>Links!AQ52</f>
        <v>#DIV/0!</v>
      </c>
      <c r="BM52" s="59" t="e">
        <f>(Links!N52*Links!AR52+'On-Ramps'!AL52*'On-Ramps'!CM52)/(Links!N52+'On-Ramps'!AL52)</f>
        <v>#DIV/0!</v>
      </c>
      <c r="BN52" s="59" t="e">
        <f>Links!AS52</f>
        <v>#DIV/0!</v>
      </c>
      <c r="BO52" s="60" t="e">
        <f>(Links!R52^2+'Off-Ramp'!L52^2)/(Links!R52+'Off-Ramp'!L52)</f>
        <v>#DIV/0!</v>
      </c>
      <c r="BP52" s="60" t="e">
        <f>Links!S52</f>
        <v>#DIV/0!</v>
      </c>
      <c r="BQ52" s="60" t="e">
        <f>(Links!S52^2+'Off-Ramp'!C52^2)/(Links!S52+'Off-Ramp'!C52)</f>
        <v>#DIV/0!</v>
      </c>
      <c r="BR52" s="60" t="e">
        <f>Links!T52</f>
        <v>#DIV/0!</v>
      </c>
      <c r="BS52" s="60" t="e">
        <f>(Links!X52^2+'Off-Ramp'!V52^2+'Off-Ramp'!W52^2+'Off-Ramp'!X52^2)/(Links!X52+'Off-Ramp'!V52+'Off-Ramp'!W52+'Off-Ramp'!X52)</f>
        <v>#DIV/0!</v>
      </c>
      <c r="BT52" s="60" t="e">
        <f>(Links!Y52^2+'Off-Ramp'!Y52^2+'Off-Ramp'!Z52^2+'Off-Ramp'!AA52^2)/(Links!Y52+'Off-Ramp'!Y52+'Off-Ramp'!Z52+'Off-Ramp'!AA52)</f>
        <v>#DIV/0!</v>
      </c>
      <c r="BU52" s="60" t="e">
        <f>(Links!W52^2+'Off-Ramp'!P52^2)/(Links!W52+'Off-Ramp'!P52)</f>
        <v>#DIV/0!</v>
      </c>
      <c r="BV52" s="60" t="e">
        <f>(Links!Y52^2+'Off-Ramp'!Q52^2)/(Links!Y52+'Off-Ramp'!Q52)</f>
        <v>#DIV/0!</v>
      </c>
      <c r="BW52" s="60" t="e">
        <f>(Links!Z52^2+'Off-Ramp'!R52^2)/(Links!Z52+'Off-Ramp'!R52)</f>
        <v>#DIV/0!</v>
      </c>
      <c r="BX52" s="60" t="e">
        <f>(Links!AA52+'Off-Ramp'!S52)/(Links!AA52^2+'Off-Ramp'!S52^2)</f>
        <v>#DIV/0!</v>
      </c>
      <c r="BY52" s="60" t="e">
        <f>(Links!AB52^2+'Off-Ramp'!T52^2)/(Links!AB52+'Off-Ramp'!T52)</f>
        <v>#DIV/0!</v>
      </c>
      <c r="BZ52" s="60" t="e">
        <f>Links!AC52</f>
        <v>#DIV/0!</v>
      </c>
      <c r="CA52" s="60" t="e">
        <f>(Links!AD52^2+'Off-Ramp'!U52^2)/(Links!AD52+'Off-Ramp'!U52)</f>
        <v>#DIV/0!</v>
      </c>
    </row>
    <row r="53" spans="1:79" x14ac:dyDescent="0.15">
      <c r="A53" s="58">
        <v>51</v>
      </c>
      <c r="B53" s="59" t="e">
        <f t="shared" si="2"/>
        <v>#DIV/0!</v>
      </c>
      <c r="C53" s="59" t="e">
        <f t="shared" si="3"/>
        <v>#DIV/0!</v>
      </c>
      <c r="D53" s="59" t="e">
        <f t="shared" si="4"/>
        <v>#DIV/0!</v>
      </c>
      <c r="E53" s="59" t="e">
        <f t="shared" si="5"/>
        <v>#DIV/0!</v>
      </c>
      <c r="F53" s="59" t="e">
        <f t="shared" si="6"/>
        <v>#DIV/0!</v>
      </c>
      <c r="G53" s="59" t="e">
        <f t="shared" si="7"/>
        <v>#DIV/0!</v>
      </c>
      <c r="H53" s="59" t="e">
        <f t="shared" si="8"/>
        <v>#DIV/0!</v>
      </c>
      <c r="I53" s="59" t="e">
        <f t="shared" si="9"/>
        <v>#DIV/0!</v>
      </c>
      <c r="J53" s="59" t="e">
        <f t="shared" si="10"/>
        <v>#DIV/0!</v>
      </c>
      <c r="K53" s="59" t="e">
        <f t="shared" si="11"/>
        <v>#DIV/0!</v>
      </c>
      <c r="L53" s="59" t="e">
        <f t="shared" si="12"/>
        <v>#DIV/0!</v>
      </c>
      <c r="M53" s="59" t="e">
        <f t="shared" si="13"/>
        <v>#DIV/0!</v>
      </c>
      <c r="N53" s="59" t="e">
        <f t="shared" si="14"/>
        <v>#DIV/0!</v>
      </c>
      <c r="O53" s="60" t="e">
        <f>Links!B53</f>
        <v>#DIV/0!</v>
      </c>
      <c r="P53" s="60" t="e">
        <f>Links!C53+'On-Ramps'!AC53</f>
        <v>#DIV/0!</v>
      </c>
      <c r="Q53" s="60" t="e">
        <f>Links!D53</f>
        <v>#DIV/0!</v>
      </c>
      <c r="R53" s="60" t="e">
        <f>Links!E53+'On-Ramps'!AD53</f>
        <v>#DIV/0!</v>
      </c>
      <c r="S53" s="60" t="e">
        <f>Links!F53+'On-Ramps'!AE53</f>
        <v>#DIV/0!</v>
      </c>
      <c r="T53" s="60" t="e">
        <f>Links!G53+'On-Ramps'!AF53</f>
        <v>#DIV/0!</v>
      </c>
      <c r="U53" s="60" t="e">
        <f>Links!H53+'On-Ramps'!AG53</f>
        <v>#DIV/0!</v>
      </c>
      <c r="V53" s="60" t="e">
        <f>Links!J53+'On-Ramps'!AH53</f>
        <v>#DIV/0!</v>
      </c>
      <c r="W53" s="60" t="e">
        <f>Links!K53+'On-Ramps'!AI53</f>
        <v>#DIV/0!</v>
      </c>
      <c r="X53" s="60" t="e">
        <f>Links!L53+'On-Ramps'!AJ53</f>
        <v>#DIV/0!</v>
      </c>
      <c r="Y53" s="60" t="e">
        <f>Links!M53</f>
        <v>#DIV/0!</v>
      </c>
      <c r="Z53" s="60" t="e">
        <f>Links!N53+'On-Ramps'!AK53</f>
        <v>#DIV/0!</v>
      </c>
      <c r="AA53" s="60" t="e">
        <f>Links!O53</f>
        <v>#DIV/0!</v>
      </c>
      <c r="AB53" s="59" t="e">
        <f t="shared" si="17"/>
        <v>#DIV/0!</v>
      </c>
      <c r="AC53" s="65"/>
      <c r="AD53" s="59" t="e">
        <f t="shared" si="18"/>
        <v>#DIV/0!</v>
      </c>
      <c r="AE53" s="65"/>
      <c r="AF53" s="59" t="e">
        <f t="shared" si="19"/>
        <v>#DIV/0!</v>
      </c>
      <c r="AG53" s="59" t="e">
        <f t="shared" si="20"/>
        <v>#DIV/0!</v>
      </c>
      <c r="AH53" s="59" t="e">
        <f t="shared" si="21"/>
        <v>#DIV/0!</v>
      </c>
      <c r="AI53" s="59" t="e">
        <f t="shared" si="22"/>
        <v>#DIV/0!</v>
      </c>
      <c r="AJ53" s="59" t="e">
        <f t="shared" si="23"/>
        <v>#DIV/0!</v>
      </c>
      <c r="AK53" s="59" t="e">
        <f t="shared" si="24"/>
        <v>#DIV/0!</v>
      </c>
      <c r="AL53" s="59" t="e">
        <f t="shared" si="25"/>
        <v>#DIV/0!</v>
      </c>
      <c r="AM53" s="65"/>
      <c r="AN53" s="59" t="e">
        <f t="shared" si="27"/>
        <v>#DIV/0!</v>
      </c>
      <c r="AO53" s="60" t="e">
        <f t="shared" si="28"/>
        <v>#DIV/0!</v>
      </c>
      <c r="AP53" s="65"/>
      <c r="AQ53" s="60" t="e">
        <f t="shared" si="28"/>
        <v>#DIV/0!</v>
      </c>
      <c r="AR53" s="65"/>
      <c r="AS53" s="60" t="e">
        <f t="shared" si="28"/>
        <v>#DIV/0!</v>
      </c>
      <c r="AT53" s="60" t="e">
        <f t="shared" si="28"/>
        <v>#DIV/0!</v>
      </c>
      <c r="AU53" s="60" t="e">
        <f t="shared" si="28"/>
        <v>#DIV/0!</v>
      </c>
      <c r="AV53" s="60" t="e">
        <f t="shared" si="28"/>
        <v>#DIV/0!</v>
      </c>
      <c r="AW53" s="60" t="e">
        <f t="shared" si="28"/>
        <v>#DIV/0!</v>
      </c>
      <c r="AX53" s="60" t="e">
        <f t="shared" si="28"/>
        <v>#DIV/0!</v>
      </c>
      <c r="AY53" s="60" t="e">
        <f t="shared" si="28"/>
        <v>#DIV/0!</v>
      </c>
      <c r="AZ53" s="65"/>
      <c r="BA53" s="60" t="e">
        <f t="shared" si="28"/>
        <v>#DIV/0!</v>
      </c>
      <c r="BB53" s="59" t="e">
        <f>Links!AF53</f>
        <v>#DIV/0!</v>
      </c>
      <c r="BC53" s="59" t="e">
        <f>(Links!AG53*Links!C53+'On-Ramps'!AC53*'On-Ramps'!CE53)/('On-Ramps'!AC53+Links!C53)</f>
        <v>#DIV/0!</v>
      </c>
      <c r="BD53" s="59" t="e">
        <f>Links!AH53</f>
        <v>#DIV/0!</v>
      </c>
      <c r="BE53" s="59" t="e">
        <f>(Links!AI53*Links!E53+'On-Ramps'!AD53*'On-Ramps'!CF52)/('On-Ramps'!AD53+Links!E53)</f>
        <v>#DIV/0!</v>
      </c>
      <c r="BF53" s="59" t="e">
        <f>(Links!F53*Links!AJ53+'On-Ramps'!AE53*'On-Ramps'!CG53)/('On-Ramps'!AE53+Links!F53)</f>
        <v>#DIV/0!</v>
      </c>
      <c r="BG53" s="59" t="e">
        <f>(Links!G53*Links!AK53+'On-Ramps'!AF53*'On-Ramps'!CH53)/('On-Ramps'!AF53+Links!G53)</f>
        <v>#DIV/0!</v>
      </c>
      <c r="BH53" s="59" t="e">
        <f>(Links!H53*Links!AL53+'On-Ramps'!AG53*'On-Ramps'!CI53)/('On-Ramps'!AG53+Links!H53)</f>
        <v>#DIV/0!</v>
      </c>
      <c r="BI53" s="59" t="e">
        <f>(Links!J53*Links!AN53+'On-Ramps'!AH53*'On-Ramps'!CJ53)/('On-Ramps'!AH53+Links!J53)</f>
        <v>#DIV/0!</v>
      </c>
      <c r="BJ53" s="59" t="e">
        <f>(Links!K53*Links!AO53+'On-Ramps'!AI53*'On-Ramps'!CK53)/('On-Ramps'!AI53+Links!K53)</f>
        <v>#DIV/0!</v>
      </c>
      <c r="BK53" s="59" t="e">
        <f>(Links!L53*Links!AP53+'On-Ramps'!AJ53*'On-Ramps'!CL53)/(Links!L53+'On-Ramps'!AJ53)</f>
        <v>#DIV/0!</v>
      </c>
      <c r="BL53" s="59" t="e">
        <f>Links!AQ53</f>
        <v>#DIV/0!</v>
      </c>
      <c r="BM53" s="59" t="e">
        <f>(Links!N53*Links!AR53+'On-Ramps'!AL53*'On-Ramps'!CM53)/(Links!N53+'On-Ramps'!AL53)</f>
        <v>#DIV/0!</v>
      </c>
      <c r="BN53" s="59" t="e">
        <f>Links!AS53</f>
        <v>#DIV/0!</v>
      </c>
      <c r="BO53" s="60" t="e">
        <f>(Links!R53^2+'Off-Ramp'!L53^2)/(Links!R53+'Off-Ramp'!L53)</f>
        <v>#DIV/0!</v>
      </c>
      <c r="BP53" s="60" t="e">
        <f>Links!S53</f>
        <v>#DIV/0!</v>
      </c>
      <c r="BQ53" s="60" t="e">
        <f>(Links!S53^2+'Off-Ramp'!C53^2)/(Links!S53+'Off-Ramp'!C53)</f>
        <v>#DIV/0!</v>
      </c>
      <c r="BR53" s="60" t="e">
        <f>Links!T53</f>
        <v>#DIV/0!</v>
      </c>
      <c r="BS53" s="60" t="e">
        <f>(Links!X53^2+'Off-Ramp'!V53^2+'Off-Ramp'!W53^2+'Off-Ramp'!X53^2)/(Links!X53+'Off-Ramp'!V53+'Off-Ramp'!W53+'Off-Ramp'!X53)</f>
        <v>#DIV/0!</v>
      </c>
      <c r="BT53" s="60" t="e">
        <f>(Links!Y53^2+'Off-Ramp'!Y53^2+'Off-Ramp'!Z53^2+'Off-Ramp'!AA53^2)/(Links!Y53+'Off-Ramp'!Y53+'Off-Ramp'!Z53+'Off-Ramp'!AA53)</f>
        <v>#DIV/0!</v>
      </c>
      <c r="BU53" s="60" t="e">
        <f>(Links!W53^2+'Off-Ramp'!P53^2)/(Links!W53+'Off-Ramp'!P53)</f>
        <v>#DIV/0!</v>
      </c>
      <c r="BV53" s="60" t="e">
        <f>(Links!Y53^2+'Off-Ramp'!Q53^2)/(Links!Y53+'Off-Ramp'!Q53)</f>
        <v>#DIV/0!</v>
      </c>
      <c r="BW53" s="60" t="e">
        <f>(Links!Z53^2+'Off-Ramp'!R53^2)/(Links!Z53+'Off-Ramp'!R53)</f>
        <v>#DIV/0!</v>
      </c>
      <c r="BX53" s="60" t="e">
        <f>(Links!AA53+'Off-Ramp'!S53)/(Links!AA53^2+'Off-Ramp'!S53^2)</f>
        <v>#DIV/0!</v>
      </c>
      <c r="BY53" s="60" t="e">
        <f>(Links!AB53^2+'Off-Ramp'!T53^2)/(Links!AB53+'Off-Ramp'!T53)</f>
        <v>#DIV/0!</v>
      </c>
      <c r="BZ53" s="60" t="e">
        <f>Links!AC53</f>
        <v>#DIV/0!</v>
      </c>
      <c r="CA53" s="60" t="e">
        <f>(Links!AD53^2+'Off-Ramp'!U53^2)/(Links!AD53+'Off-Ramp'!U53)</f>
        <v>#DIV/0!</v>
      </c>
    </row>
    <row r="54" spans="1:79" x14ac:dyDescent="0.15">
      <c r="A54" s="58">
        <v>52</v>
      </c>
      <c r="B54" s="59" t="e">
        <f t="shared" si="2"/>
        <v>#DIV/0!</v>
      </c>
      <c r="C54" s="59" t="e">
        <f t="shared" si="3"/>
        <v>#DIV/0!</v>
      </c>
      <c r="D54" s="59" t="e">
        <f t="shared" si="4"/>
        <v>#DIV/0!</v>
      </c>
      <c r="E54" s="59" t="e">
        <f t="shared" si="5"/>
        <v>#DIV/0!</v>
      </c>
      <c r="F54" s="59" t="e">
        <f t="shared" si="6"/>
        <v>#DIV/0!</v>
      </c>
      <c r="G54" s="59" t="e">
        <f t="shared" si="7"/>
        <v>#DIV/0!</v>
      </c>
      <c r="H54" s="59" t="e">
        <f t="shared" si="8"/>
        <v>#DIV/0!</v>
      </c>
      <c r="I54" s="59" t="e">
        <f t="shared" si="9"/>
        <v>#DIV/0!</v>
      </c>
      <c r="J54" s="59" t="e">
        <f t="shared" si="10"/>
        <v>#DIV/0!</v>
      </c>
      <c r="K54" s="59" t="e">
        <f t="shared" si="11"/>
        <v>#DIV/0!</v>
      </c>
      <c r="L54" s="59" t="e">
        <f t="shared" si="12"/>
        <v>#DIV/0!</v>
      </c>
      <c r="M54" s="59" t="e">
        <f t="shared" si="13"/>
        <v>#DIV/0!</v>
      </c>
      <c r="N54" s="59" t="e">
        <f t="shared" si="14"/>
        <v>#DIV/0!</v>
      </c>
      <c r="O54" s="60" t="e">
        <f>Links!B54</f>
        <v>#DIV/0!</v>
      </c>
      <c r="P54" s="60" t="e">
        <f>Links!C54+'On-Ramps'!AC54</f>
        <v>#DIV/0!</v>
      </c>
      <c r="Q54" s="60" t="e">
        <f>Links!D54</f>
        <v>#DIV/0!</v>
      </c>
      <c r="R54" s="60" t="e">
        <f>Links!E54+'On-Ramps'!AD54</f>
        <v>#DIV/0!</v>
      </c>
      <c r="S54" s="60" t="e">
        <f>Links!F54+'On-Ramps'!AE54</f>
        <v>#DIV/0!</v>
      </c>
      <c r="T54" s="60" t="e">
        <f>Links!G54+'On-Ramps'!AF54</f>
        <v>#DIV/0!</v>
      </c>
      <c r="U54" s="60" t="e">
        <f>Links!H54+'On-Ramps'!AG54</f>
        <v>#DIV/0!</v>
      </c>
      <c r="V54" s="60" t="e">
        <f>Links!J54+'On-Ramps'!AH54</f>
        <v>#DIV/0!</v>
      </c>
      <c r="W54" s="60" t="e">
        <f>Links!K54+'On-Ramps'!AI54</f>
        <v>#DIV/0!</v>
      </c>
      <c r="X54" s="60" t="e">
        <f>Links!L54+'On-Ramps'!AJ54</f>
        <v>#DIV/0!</v>
      </c>
      <c r="Y54" s="60" t="e">
        <f>Links!M54</f>
        <v>#DIV/0!</v>
      </c>
      <c r="Z54" s="60" t="e">
        <f>Links!N54+'On-Ramps'!AK54</f>
        <v>#DIV/0!</v>
      </c>
      <c r="AA54" s="60" t="e">
        <f>Links!O54</f>
        <v>#DIV/0!</v>
      </c>
      <c r="AB54" s="59" t="e">
        <f t="shared" si="17"/>
        <v>#DIV/0!</v>
      </c>
      <c r="AC54" s="65"/>
      <c r="AD54" s="59" t="e">
        <f t="shared" si="18"/>
        <v>#DIV/0!</v>
      </c>
      <c r="AE54" s="65"/>
      <c r="AF54" s="59" t="e">
        <f t="shared" si="19"/>
        <v>#DIV/0!</v>
      </c>
      <c r="AG54" s="59" t="e">
        <f t="shared" si="20"/>
        <v>#DIV/0!</v>
      </c>
      <c r="AH54" s="59" t="e">
        <f t="shared" si="21"/>
        <v>#DIV/0!</v>
      </c>
      <c r="AI54" s="59" t="e">
        <f t="shared" si="22"/>
        <v>#DIV/0!</v>
      </c>
      <c r="AJ54" s="59" t="e">
        <f t="shared" si="23"/>
        <v>#DIV/0!</v>
      </c>
      <c r="AK54" s="59" t="e">
        <f t="shared" si="24"/>
        <v>#DIV/0!</v>
      </c>
      <c r="AL54" s="59" t="e">
        <f t="shared" si="25"/>
        <v>#DIV/0!</v>
      </c>
      <c r="AM54" s="65"/>
      <c r="AN54" s="59" t="e">
        <f t="shared" si="27"/>
        <v>#DIV/0!</v>
      </c>
      <c r="AO54" s="60" t="e">
        <f t="shared" si="28"/>
        <v>#DIV/0!</v>
      </c>
      <c r="AP54" s="65"/>
      <c r="AQ54" s="60" t="e">
        <f t="shared" si="28"/>
        <v>#DIV/0!</v>
      </c>
      <c r="AR54" s="65"/>
      <c r="AS54" s="60" t="e">
        <f t="shared" si="28"/>
        <v>#DIV/0!</v>
      </c>
      <c r="AT54" s="60" t="e">
        <f t="shared" si="28"/>
        <v>#DIV/0!</v>
      </c>
      <c r="AU54" s="60" t="e">
        <f t="shared" si="28"/>
        <v>#DIV/0!</v>
      </c>
      <c r="AV54" s="60" t="e">
        <f t="shared" si="28"/>
        <v>#DIV/0!</v>
      </c>
      <c r="AW54" s="60" t="e">
        <f t="shared" si="28"/>
        <v>#DIV/0!</v>
      </c>
      <c r="AX54" s="60" t="e">
        <f t="shared" si="28"/>
        <v>#DIV/0!</v>
      </c>
      <c r="AY54" s="60" t="e">
        <f t="shared" si="28"/>
        <v>#DIV/0!</v>
      </c>
      <c r="AZ54" s="65"/>
      <c r="BA54" s="60" t="e">
        <f t="shared" si="28"/>
        <v>#DIV/0!</v>
      </c>
      <c r="BB54" s="59" t="e">
        <f>Links!AF54</f>
        <v>#DIV/0!</v>
      </c>
      <c r="BC54" s="59" t="e">
        <f>(Links!AG54*Links!C54+'On-Ramps'!AC54*'On-Ramps'!CE54)/('On-Ramps'!AC54+Links!C54)</f>
        <v>#DIV/0!</v>
      </c>
      <c r="BD54" s="59" t="e">
        <f>Links!AH54</f>
        <v>#DIV/0!</v>
      </c>
      <c r="BE54" s="59" t="e">
        <f>(Links!AI54*Links!E54+'On-Ramps'!AD54*'On-Ramps'!CF53)/('On-Ramps'!AD54+Links!E54)</f>
        <v>#DIV/0!</v>
      </c>
      <c r="BF54" s="59" t="e">
        <f>(Links!F54*Links!AJ54+'On-Ramps'!AE54*'On-Ramps'!CG54)/('On-Ramps'!AE54+Links!F54)</f>
        <v>#DIV/0!</v>
      </c>
      <c r="BG54" s="59" t="e">
        <f>(Links!G54*Links!AK54+'On-Ramps'!AF54*'On-Ramps'!CH54)/('On-Ramps'!AF54+Links!G54)</f>
        <v>#DIV/0!</v>
      </c>
      <c r="BH54" s="59" t="e">
        <f>(Links!H54*Links!AL54+'On-Ramps'!AG54*'On-Ramps'!CI54)/('On-Ramps'!AG54+Links!H54)</f>
        <v>#DIV/0!</v>
      </c>
      <c r="BI54" s="59" t="e">
        <f>(Links!J54*Links!AN54+'On-Ramps'!AH54*'On-Ramps'!CJ54)/('On-Ramps'!AH54+Links!J54)</f>
        <v>#DIV/0!</v>
      </c>
      <c r="BJ54" s="59" t="e">
        <f>(Links!K54*Links!AO54+'On-Ramps'!AI54*'On-Ramps'!CK54)/('On-Ramps'!AI54+Links!K54)</f>
        <v>#DIV/0!</v>
      </c>
      <c r="BK54" s="59" t="e">
        <f>(Links!L54*Links!AP54+'On-Ramps'!AJ54*'On-Ramps'!CL54)/(Links!L54+'On-Ramps'!AJ54)</f>
        <v>#DIV/0!</v>
      </c>
      <c r="BL54" s="59" t="e">
        <f>Links!AQ54</f>
        <v>#DIV/0!</v>
      </c>
      <c r="BM54" s="59" t="e">
        <f>(Links!N54*Links!AR54+'On-Ramps'!AL54*'On-Ramps'!CM54)/(Links!N54+'On-Ramps'!AL54)</f>
        <v>#DIV/0!</v>
      </c>
      <c r="BN54" s="59" t="e">
        <f>Links!AS54</f>
        <v>#DIV/0!</v>
      </c>
      <c r="BO54" s="60" t="e">
        <f>(Links!R54^2+'Off-Ramp'!L54^2)/(Links!R54+'Off-Ramp'!L54)</f>
        <v>#DIV/0!</v>
      </c>
      <c r="BP54" s="60" t="e">
        <f>Links!S54</f>
        <v>#DIV/0!</v>
      </c>
      <c r="BQ54" s="60" t="e">
        <f>(Links!S54^2+'Off-Ramp'!C54^2)/(Links!S54+'Off-Ramp'!C54)</f>
        <v>#DIV/0!</v>
      </c>
      <c r="BR54" s="60" t="e">
        <f>Links!T54</f>
        <v>#DIV/0!</v>
      </c>
      <c r="BS54" s="60" t="e">
        <f>(Links!X54^2+'Off-Ramp'!V54^2+'Off-Ramp'!W54^2+'Off-Ramp'!X54^2)/(Links!X54+'Off-Ramp'!V54+'Off-Ramp'!W54+'Off-Ramp'!X54)</f>
        <v>#DIV/0!</v>
      </c>
      <c r="BT54" s="60" t="e">
        <f>(Links!Y54^2+'Off-Ramp'!Y54^2+'Off-Ramp'!Z54^2+'Off-Ramp'!AA54^2)/(Links!Y54+'Off-Ramp'!Y54+'Off-Ramp'!Z54+'Off-Ramp'!AA54)</f>
        <v>#DIV/0!</v>
      </c>
      <c r="BU54" s="60" t="e">
        <f>(Links!W54^2+'Off-Ramp'!P54^2)/(Links!W54+'Off-Ramp'!P54)</f>
        <v>#DIV/0!</v>
      </c>
      <c r="BV54" s="60" t="e">
        <f>(Links!Y54^2+'Off-Ramp'!Q54^2)/(Links!Y54+'Off-Ramp'!Q54)</f>
        <v>#DIV/0!</v>
      </c>
      <c r="BW54" s="60" t="e">
        <f>(Links!Z54^2+'Off-Ramp'!R54^2)/(Links!Z54+'Off-Ramp'!R54)</f>
        <v>#DIV/0!</v>
      </c>
      <c r="BX54" s="60" t="e">
        <f>(Links!AA54+'Off-Ramp'!S54)/(Links!AA54^2+'Off-Ramp'!S54^2)</f>
        <v>#DIV/0!</v>
      </c>
      <c r="BY54" s="60" t="e">
        <f>(Links!AB54^2+'Off-Ramp'!T54^2)/(Links!AB54+'Off-Ramp'!T54)</f>
        <v>#DIV/0!</v>
      </c>
      <c r="BZ54" s="60" t="e">
        <f>Links!AC54</f>
        <v>#DIV/0!</v>
      </c>
      <c r="CA54" s="60" t="e">
        <f>(Links!AD54^2+'Off-Ramp'!U54^2)/(Links!AD54+'Off-Ramp'!U54)</f>
        <v>#DIV/0!</v>
      </c>
    </row>
    <row r="55" spans="1:79" x14ac:dyDescent="0.15">
      <c r="A55" s="58">
        <v>53</v>
      </c>
      <c r="B55" s="59" t="e">
        <f t="shared" si="2"/>
        <v>#DIV/0!</v>
      </c>
      <c r="C55" s="59" t="e">
        <f t="shared" si="3"/>
        <v>#DIV/0!</v>
      </c>
      <c r="D55" s="59" t="e">
        <f t="shared" si="4"/>
        <v>#DIV/0!</v>
      </c>
      <c r="E55" s="59" t="e">
        <f t="shared" si="5"/>
        <v>#DIV/0!</v>
      </c>
      <c r="F55" s="59" t="e">
        <f t="shared" si="6"/>
        <v>#DIV/0!</v>
      </c>
      <c r="G55" s="59" t="e">
        <f t="shared" si="7"/>
        <v>#DIV/0!</v>
      </c>
      <c r="H55" s="59" t="e">
        <f t="shared" si="8"/>
        <v>#DIV/0!</v>
      </c>
      <c r="I55" s="59" t="e">
        <f t="shared" si="9"/>
        <v>#DIV/0!</v>
      </c>
      <c r="J55" s="59" t="e">
        <f t="shared" si="10"/>
        <v>#DIV/0!</v>
      </c>
      <c r="K55" s="59" t="e">
        <f t="shared" si="11"/>
        <v>#DIV/0!</v>
      </c>
      <c r="L55" s="59" t="e">
        <f t="shared" si="12"/>
        <v>#DIV/0!</v>
      </c>
      <c r="M55" s="59" t="e">
        <f t="shared" si="13"/>
        <v>#DIV/0!</v>
      </c>
      <c r="N55" s="59" t="e">
        <f t="shared" si="14"/>
        <v>#DIV/0!</v>
      </c>
      <c r="O55" s="60" t="e">
        <f>Links!B55</f>
        <v>#DIV/0!</v>
      </c>
      <c r="P55" s="60" t="e">
        <f>Links!C55+'On-Ramps'!AC55</f>
        <v>#DIV/0!</v>
      </c>
      <c r="Q55" s="60" t="e">
        <f>Links!D55</f>
        <v>#DIV/0!</v>
      </c>
      <c r="R55" s="60" t="e">
        <f>Links!E55+'On-Ramps'!AD55</f>
        <v>#DIV/0!</v>
      </c>
      <c r="S55" s="60" t="e">
        <f>Links!F55+'On-Ramps'!AE55</f>
        <v>#DIV/0!</v>
      </c>
      <c r="T55" s="60" t="e">
        <f>Links!G55+'On-Ramps'!AF55</f>
        <v>#DIV/0!</v>
      </c>
      <c r="U55" s="60" t="e">
        <f>Links!H55+'On-Ramps'!AG55</f>
        <v>#DIV/0!</v>
      </c>
      <c r="V55" s="60" t="e">
        <f>Links!J55+'On-Ramps'!AH55</f>
        <v>#DIV/0!</v>
      </c>
      <c r="W55" s="60" t="e">
        <f>Links!K55+'On-Ramps'!AI55</f>
        <v>#DIV/0!</v>
      </c>
      <c r="X55" s="60" t="e">
        <f>Links!L55+'On-Ramps'!AJ55</f>
        <v>#DIV/0!</v>
      </c>
      <c r="Y55" s="60" t="e">
        <f>Links!M55</f>
        <v>#DIV/0!</v>
      </c>
      <c r="Z55" s="60" t="e">
        <f>Links!N55+'On-Ramps'!AK55</f>
        <v>#DIV/0!</v>
      </c>
      <c r="AA55" s="60" t="e">
        <f>Links!O55</f>
        <v>#DIV/0!</v>
      </c>
      <c r="AB55" s="59" t="e">
        <f t="shared" si="17"/>
        <v>#DIV/0!</v>
      </c>
      <c r="AC55" s="65"/>
      <c r="AD55" s="59" t="e">
        <f t="shared" si="18"/>
        <v>#DIV/0!</v>
      </c>
      <c r="AE55" s="65"/>
      <c r="AF55" s="59" t="e">
        <f t="shared" si="19"/>
        <v>#DIV/0!</v>
      </c>
      <c r="AG55" s="59" t="e">
        <f t="shared" si="20"/>
        <v>#DIV/0!</v>
      </c>
      <c r="AH55" s="59" t="e">
        <f t="shared" si="21"/>
        <v>#DIV/0!</v>
      </c>
      <c r="AI55" s="59" t="e">
        <f t="shared" si="22"/>
        <v>#DIV/0!</v>
      </c>
      <c r="AJ55" s="59" t="e">
        <f t="shared" si="23"/>
        <v>#DIV/0!</v>
      </c>
      <c r="AK55" s="59" t="e">
        <f t="shared" si="24"/>
        <v>#DIV/0!</v>
      </c>
      <c r="AL55" s="59" t="e">
        <f t="shared" si="25"/>
        <v>#DIV/0!</v>
      </c>
      <c r="AM55" s="65"/>
      <c r="AN55" s="59" t="e">
        <f t="shared" si="27"/>
        <v>#DIV/0!</v>
      </c>
      <c r="AO55" s="60" t="e">
        <f t="shared" si="28"/>
        <v>#DIV/0!</v>
      </c>
      <c r="AP55" s="65"/>
      <c r="AQ55" s="60" t="e">
        <f t="shared" si="28"/>
        <v>#DIV/0!</v>
      </c>
      <c r="AR55" s="65"/>
      <c r="AS55" s="60" t="e">
        <f t="shared" si="28"/>
        <v>#DIV/0!</v>
      </c>
      <c r="AT55" s="60" t="e">
        <f t="shared" si="28"/>
        <v>#DIV/0!</v>
      </c>
      <c r="AU55" s="60" t="e">
        <f t="shared" si="28"/>
        <v>#DIV/0!</v>
      </c>
      <c r="AV55" s="60" t="e">
        <f t="shared" si="28"/>
        <v>#DIV/0!</v>
      </c>
      <c r="AW55" s="60" t="e">
        <f t="shared" si="28"/>
        <v>#DIV/0!</v>
      </c>
      <c r="AX55" s="60" t="e">
        <f t="shared" si="28"/>
        <v>#DIV/0!</v>
      </c>
      <c r="AY55" s="60" t="e">
        <f t="shared" si="28"/>
        <v>#DIV/0!</v>
      </c>
      <c r="AZ55" s="65"/>
      <c r="BA55" s="60" t="e">
        <f t="shared" si="28"/>
        <v>#DIV/0!</v>
      </c>
      <c r="BB55" s="59" t="e">
        <f>Links!AF55</f>
        <v>#DIV/0!</v>
      </c>
      <c r="BC55" s="59" t="e">
        <f>(Links!AG55*Links!C55+'On-Ramps'!AC55*'On-Ramps'!CE55)/('On-Ramps'!AC55+Links!C55)</f>
        <v>#DIV/0!</v>
      </c>
      <c r="BD55" s="59" t="e">
        <f>Links!AH55</f>
        <v>#DIV/0!</v>
      </c>
      <c r="BE55" s="59" t="e">
        <f>(Links!AI55*Links!E55+'On-Ramps'!AD55*'On-Ramps'!CF54)/('On-Ramps'!AD55+Links!E55)</f>
        <v>#DIV/0!</v>
      </c>
      <c r="BF55" s="59" t="e">
        <f>(Links!F55*Links!AJ55+'On-Ramps'!AE55*'On-Ramps'!CG55)/('On-Ramps'!AE55+Links!F55)</f>
        <v>#DIV/0!</v>
      </c>
      <c r="BG55" s="59" t="e">
        <f>(Links!G55*Links!AK55+'On-Ramps'!AF55*'On-Ramps'!CH55)/('On-Ramps'!AF55+Links!G55)</f>
        <v>#DIV/0!</v>
      </c>
      <c r="BH55" s="59" t="e">
        <f>(Links!H55*Links!AL55+'On-Ramps'!AG55*'On-Ramps'!CI55)/('On-Ramps'!AG55+Links!H55)</f>
        <v>#DIV/0!</v>
      </c>
      <c r="BI55" s="59" t="e">
        <f>(Links!J55*Links!AN55+'On-Ramps'!AH55*'On-Ramps'!CJ55)/('On-Ramps'!AH55+Links!J55)</f>
        <v>#DIV/0!</v>
      </c>
      <c r="BJ55" s="59" t="e">
        <f>(Links!K55*Links!AO55+'On-Ramps'!AI55*'On-Ramps'!CK55)/('On-Ramps'!AI55+Links!K55)</f>
        <v>#DIV/0!</v>
      </c>
      <c r="BK55" s="59" t="e">
        <f>(Links!L55*Links!AP55+'On-Ramps'!AJ55*'On-Ramps'!CL55)/(Links!L55+'On-Ramps'!AJ55)</f>
        <v>#DIV/0!</v>
      </c>
      <c r="BL55" s="59" t="e">
        <f>Links!AQ55</f>
        <v>#DIV/0!</v>
      </c>
      <c r="BM55" s="59" t="e">
        <f>(Links!N55*Links!AR55+'On-Ramps'!AL55*'On-Ramps'!CM55)/(Links!N55+'On-Ramps'!AL55)</f>
        <v>#DIV/0!</v>
      </c>
      <c r="BN55" s="59" t="e">
        <f>Links!AS55</f>
        <v>#DIV/0!</v>
      </c>
      <c r="BO55" s="60" t="e">
        <f>(Links!R55^2+'Off-Ramp'!L55^2)/(Links!R55+'Off-Ramp'!L55)</f>
        <v>#DIV/0!</v>
      </c>
      <c r="BP55" s="60" t="e">
        <f>Links!S55</f>
        <v>#DIV/0!</v>
      </c>
      <c r="BQ55" s="60" t="e">
        <f>(Links!S55^2+'Off-Ramp'!C55^2)/(Links!S55+'Off-Ramp'!C55)</f>
        <v>#DIV/0!</v>
      </c>
      <c r="BR55" s="60" t="e">
        <f>Links!T55</f>
        <v>#DIV/0!</v>
      </c>
      <c r="BS55" s="60" t="e">
        <f>(Links!X55^2+'Off-Ramp'!V55^2+'Off-Ramp'!W55^2+'Off-Ramp'!X55^2)/(Links!X55+'Off-Ramp'!V55+'Off-Ramp'!W55+'Off-Ramp'!X55)</f>
        <v>#DIV/0!</v>
      </c>
      <c r="BT55" s="60" t="e">
        <f>(Links!Y55^2+'Off-Ramp'!Y55^2+'Off-Ramp'!Z55^2+'Off-Ramp'!AA55^2)/(Links!Y55+'Off-Ramp'!Y55+'Off-Ramp'!Z55+'Off-Ramp'!AA55)</f>
        <v>#DIV/0!</v>
      </c>
      <c r="BU55" s="60" t="e">
        <f>(Links!W55^2+'Off-Ramp'!P55^2)/(Links!W55+'Off-Ramp'!P55)</f>
        <v>#DIV/0!</v>
      </c>
      <c r="BV55" s="60" t="e">
        <f>(Links!Y55^2+'Off-Ramp'!Q55^2)/(Links!Y55+'Off-Ramp'!Q55)</f>
        <v>#DIV/0!</v>
      </c>
      <c r="BW55" s="60" t="e">
        <f>(Links!Z55^2+'Off-Ramp'!R55^2)/(Links!Z55+'Off-Ramp'!R55)</f>
        <v>#DIV/0!</v>
      </c>
      <c r="BX55" s="60" t="e">
        <f>(Links!AA55+'Off-Ramp'!S55)/(Links!AA55^2+'Off-Ramp'!S55^2)</f>
        <v>#DIV/0!</v>
      </c>
      <c r="BY55" s="60" t="e">
        <f>(Links!AB55^2+'Off-Ramp'!T55^2)/(Links!AB55+'Off-Ramp'!T55)</f>
        <v>#DIV/0!</v>
      </c>
      <c r="BZ55" s="60" t="e">
        <f>Links!AC55</f>
        <v>#DIV/0!</v>
      </c>
      <c r="CA55" s="60" t="e">
        <f>(Links!AD55^2+'Off-Ramp'!U55^2)/(Links!AD55+'Off-Ramp'!U55)</f>
        <v>#DIV/0!</v>
      </c>
    </row>
    <row r="56" spans="1:79" x14ac:dyDescent="0.15">
      <c r="A56" s="58">
        <v>54</v>
      </c>
      <c r="B56" s="59" t="e">
        <f t="shared" si="2"/>
        <v>#DIV/0!</v>
      </c>
      <c r="C56" s="59" t="e">
        <f t="shared" si="3"/>
        <v>#DIV/0!</v>
      </c>
      <c r="D56" s="59" t="e">
        <f t="shared" si="4"/>
        <v>#DIV/0!</v>
      </c>
      <c r="E56" s="59" t="e">
        <f t="shared" si="5"/>
        <v>#DIV/0!</v>
      </c>
      <c r="F56" s="59" t="e">
        <f t="shared" si="6"/>
        <v>#DIV/0!</v>
      </c>
      <c r="G56" s="59" t="e">
        <f t="shared" si="7"/>
        <v>#DIV/0!</v>
      </c>
      <c r="H56" s="59" t="e">
        <f t="shared" si="8"/>
        <v>#DIV/0!</v>
      </c>
      <c r="I56" s="59" t="e">
        <f t="shared" si="9"/>
        <v>#DIV/0!</v>
      </c>
      <c r="J56" s="59" t="e">
        <f t="shared" si="10"/>
        <v>#DIV/0!</v>
      </c>
      <c r="K56" s="59" t="e">
        <f t="shared" si="11"/>
        <v>#DIV/0!</v>
      </c>
      <c r="L56" s="59" t="e">
        <f t="shared" si="12"/>
        <v>#DIV/0!</v>
      </c>
      <c r="M56" s="59" t="e">
        <f t="shared" si="13"/>
        <v>#DIV/0!</v>
      </c>
      <c r="N56" s="59" t="e">
        <f t="shared" si="14"/>
        <v>#DIV/0!</v>
      </c>
      <c r="O56" s="60" t="e">
        <f>Links!B56</f>
        <v>#DIV/0!</v>
      </c>
      <c r="P56" s="60" t="e">
        <f>Links!C56+'On-Ramps'!AC56</f>
        <v>#DIV/0!</v>
      </c>
      <c r="Q56" s="60" t="e">
        <f>Links!D56</f>
        <v>#DIV/0!</v>
      </c>
      <c r="R56" s="60" t="e">
        <f>Links!E56+'On-Ramps'!AD56</f>
        <v>#DIV/0!</v>
      </c>
      <c r="S56" s="60" t="e">
        <f>Links!F56+'On-Ramps'!AE56</f>
        <v>#DIV/0!</v>
      </c>
      <c r="T56" s="60" t="e">
        <f>Links!G56+'On-Ramps'!AF56</f>
        <v>#DIV/0!</v>
      </c>
      <c r="U56" s="60" t="e">
        <f>Links!H56+'On-Ramps'!AG56</f>
        <v>#DIV/0!</v>
      </c>
      <c r="V56" s="60" t="e">
        <f>Links!J56+'On-Ramps'!AH56</f>
        <v>#DIV/0!</v>
      </c>
      <c r="W56" s="60" t="e">
        <f>Links!K56+'On-Ramps'!AI56</f>
        <v>#DIV/0!</v>
      </c>
      <c r="X56" s="60" t="e">
        <f>Links!L56+'On-Ramps'!AJ56</f>
        <v>#DIV/0!</v>
      </c>
      <c r="Y56" s="60" t="e">
        <f>Links!M56</f>
        <v>#DIV/0!</v>
      </c>
      <c r="Z56" s="60" t="e">
        <f>Links!N56+'On-Ramps'!AK56</f>
        <v>#DIV/0!</v>
      </c>
      <c r="AA56" s="60" t="e">
        <f>Links!O56</f>
        <v>#DIV/0!</v>
      </c>
      <c r="AB56" s="59" t="e">
        <f t="shared" si="17"/>
        <v>#DIV/0!</v>
      </c>
      <c r="AC56" s="65"/>
      <c r="AD56" s="59" t="e">
        <f t="shared" si="18"/>
        <v>#DIV/0!</v>
      </c>
      <c r="AE56" s="65"/>
      <c r="AF56" s="59" t="e">
        <f t="shared" si="19"/>
        <v>#DIV/0!</v>
      </c>
      <c r="AG56" s="59" t="e">
        <f t="shared" si="20"/>
        <v>#DIV/0!</v>
      </c>
      <c r="AH56" s="59" t="e">
        <f t="shared" si="21"/>
        <v>#DIV/0!</v>
      </c>
      <c r="AI56" s="59" t="e">
        <f t="shared" si="22"/>
        <v>#DIV/0!</v>
      </c>
      <c r="AJ56" s="59" t="e">
        <f t="shared" si="23"/>
        <v>#DIV/0!</v>
      </c>
      <c r="AK56" s="59" t="e">
        <f t="shared" si="24"/>
        <v>#DIV/0!</v>
      </c>
      <c r="AL56" s="59" t="e">
        <f t="shared" si="25"/>
        <v>#DIV/0!</v>
      </c>
      <c r="AM56" s="65"/>
      <c r="AN56" s="59" t="e">
        <f t="shared" si="27"/>
        <v>#DIV/0!</v>
      </c>
      <c r="AO56" s="60" t="e">
        <f t="shared" si="28"/>
        <v>#DIV/0!</v>
      </c>
      <c r="AP56" s="65"/>
      <c r="AQ56" s="60" t="e">
        <f t="shared" si="28"/>
        <v>#DIV/0!</v>
      </c>
      <c r="AR56" s="65"/>
      <c r="AS56" s="60" t="e">
        <f t="shared" si="28"/>
        <v>#DIV/0!</v>
      </c>
      <c r="AT56" s="60" t="e">
        <f t="shared" si="28"/>
        <v>#DIV/0!</v>
      </c>
      <c r="AU56" s="60" t="e">
        <f t="shared" si="28"/>
        <v>#DIV/0!</v>
      </c>
      <c r="AV56" s="60" t="e">
        <f t="shared" si="28"/>
        <v>#DIV/0!</v>
      </c>
      <c r="AW56" s="60" t="e">
        <f t="shared" ref="AQ56:BA77" si="29">AW$3</f>
        <v>#DIV/0!</v>
      </c>
      <c r="AX56" s="60" t="e">
        <f t="shared" si="29"/>
        <v>#DIV/0!</v>
      </c>
      <c r="AY56" s="60" t="e">
        <f t="shared" si="29"/>
        <v>#DIV/0!</v>
      </c>
      <c r="AZ56" s="65"/>
      <c r="BA56" s="60" t="e">
        <f t="shared" si="29"/>
        <v>#DIV/0!</v>
      </c>
      <c r="BB56" s="59" t="e">
        <f>Links!AF56</f>
        <v>#DIV/0!</v>
      </c>
      <c r="BC56" s="59" t="e">
        <f>(Links!AG56*Links!C56+'On-Ramps'!AC56*'On-Ramps'!CE56)/('On-Ramps'!AC56+Links!C56)</f>
        <v>#DIV/0!</v>
      </c>
      <c r="BD56" s="59" t="e">
        <f>Links!AH56</f>
        <v>#DIV/0!</v>
      </c>
      <c r="BE56" s="59" t="e">
        <f>(Links!AI56*Links!E56+'On-Ramps'!AD56*'On-Ramps'!CF55)/('On-Ramps'!AD56+Links!E56)</f>
        <v>#DIV/0!</v>
      </c>
      <c r="BF56" s="59" t="e">
        <f>(Links!F56*Links!AJ56+'On-Ramps'!AE56*'On-Ramps'!CG56)/('On-Ramps'!AE56+Links!F56)</f>
        <v>#DIV/0!</v>
      </c>
      <c r="BG56" s="59" t="e">
        <f>(Links!G56*Links!AK56+'On-Ramps'!AF56*'On-Ramps'!CH56)/('On-Ramps'!AF56+Links!G56)</f>
        <v>#DIV/0!</v>
      </c>
      <c r="BH56" s="59" t="e">
        <f>(Links!H56*Links!AL56+'On-Ramps'!AG56*'On-Ramps'!CI56)/('On-Ramps'!AG56+Links!H56)</f>
        <v>#DIV/0!</v>
      </c>
      <c r="BI56" s="59" t="e">
        <f>(Links!J56*Links!AN56+'On-Ramps'!AH56*'On-Ramps'!CJ56)/('On-Ramps'!AH56+Links!J56)</f>
        <v>#DIV/0!</v>
      </c>
      <c r="BJ56" s="59" t="e">
        <f>(Links!K56*Links!AO56+'On-Ramps'!AI56*'On-Ramps'!CK56)/('On-Ramps'!AI56+Links!K56)</f>
        <v>#DIV/0!</v>
      </c>
      <c r="BK56" s="59" t="e">
        <f>(Links!L56*Links!AP56+'On-Ramps'!AJ56*'On-Ramps'!CL56)/(Links!L56+'On-Ramps'!AJ56)</f>
        <v>#DIV/0!</v>
      </c>
      <c r="BL56" s="59" t="e">
        <f>Links!AQ56</f>
        <v>#DIV/0!</v>
      </c>
      <c r="BM56" s="59" t="e">
        <f>(Links!N56*Links!AR56+'On-Ramps'!AL56*'On-Ramps'!CM56)/(Links!N56+'On-Ramps'!AL56)</f>
        <v>#DIV/0!</v>
      </c>
      <c r="BN56" s="59" t="e">
        <f>Links!AS56</f>
        <v>#DIV/0!</v>
      </c>
      <c r="BO56" s="60" t="e">
        <f>(Links!R56^2+'Off-Ramp'!L56^2)/(Links!R56+'Off-Ramp'!L56)</f>
        <v>#DIV/0!</v>
      </c>
      <c r="BP56" s="60" t="e">
        <f>Links!S56</f>
        <v>#DIV/0!</v>
      </c>
      <c r="BQ56" s="60" t="e">
        <f>(Links!S56^2+'Off-Ramp'!C56^2)/(Links!S56+'Off-Ramp'!C56)</f>
        <v>#DIV/0!</v>
      </c>
      <c r="BR56" s="60" t="e">
        <f>Links!T56</f>
        <v>#DIV/0!</v>
      </c>
      <c r="BS56" s="60" t="e">
        <f>(Links!X56^2+'Off-Ramp'!V56^2+'Off-Ramp'!W56^2+'Off-Ramp'!X56^2)/(Links!X56+'Off-Ramp'!V56+'Off-Ramp'!W56+'Off-Ramp'!X56)</f>
        <v>#DIV/0!</v>
      </c>
      <c r="BT56" s="60" t="e">
        <f>(Links!Y56^2+'Off-Ramp'!Y56^2+'Off-Ramp'!Z56^2+'Off-Ramp'!AA56^2)/(Links!Y56+'Off-Ramp'!Y56+'Off-Ramp'!Z56+'Off-Ramp'!AA56)</f>
        <v>#DIV/0!</v>
      </c>
      <c r="BU56" s="60" t="e">
        <f>(Links!W56^2+'Off-Ramp'!P56^2)/(Links!W56+'Off-Ramp'!P56)</f>
        <v>#DIV/0!</v>
      </c>
      <c r="BV56" s="60" t="e">
        <f>(Links!Y56^2+'Off-Ramp'!Q56^2)/(Links!Y56+'Off-Ramp'!Q56)</f>
        <v>#DIV/0!</v>
      </c>
      <c r="BW56" s="60" t="e">
        <f>(Links!Z56^2+'Off-Ramp'!R56^2)/(Links!Z56+'Off-Ramp'!R56)</f>
        <v>#DIV/0!</v>
      </c>
      <c r="BX56" s="60" t="e">
        <f>(Links!AA56+'Off-Ramp'!S56)/(Links!AA56^2+'Off-Ramp'!S56^2)</f>
        <v>#DIV/0!</v>
      </c>
      <c r="BY56" s="60" t="e">
        <f>(Links!AB56^2+'Off-Ramp'!T56^2)/(Links!AB56+'Off-Ramp'!T56)</f>
        <v>#DIV/0!</v>
      </c>
      <c r="BZ56" s="60" t="e">
        <f>Links!AC56</f>
        <v>#DIV/0!</v>
      </c>
      <c r="CA56" s="60" t="e">
        <f>(Links!AD56^2+'Off-Ramp'!U56^2)/(Links!AD56+'Off-Ramp'!U56)</f>
        <v>#DIV/0!</v>
      </c>
    </row>
    <row r="57" spans="1:79" x14ac:dyDescent="0.15">
      <c r="A57" s="58">
        <v>55</v>
      </c>
      <c r="B57" s="59" t="e">
        <f t="shared" si="2"/>
        <v>#DIV/0!</v>
      </c>
      <c r="C57" s="59" t="e">
        <f t="shared" si="3"/>
        <v>#DIV/0!</v>
      </c>
      <c r="D57" s="59" t="e">
        <f t="shared" si="4"/>
        <v>#DIV/0!</v>
      </c>
      <c r="E57" s="59" t="e">
        <f t="shared" si="5"/>
        <v>#DIV/0!</v>
      </c>
      <c r="F57" s="59" t="e">
        <f t="shared" si="6"/>
        <v>#DIV/0!</v>
      </c>
      <c r="G57" s="59" t="e">
        <f t="shared" si="7"/>
        <v>#DIV/0!</v>
      </c>
      <c r="H57" s="59" t="e">
        <f t="shared" si="8"/>
        <v>#DIV/0!</v>
      </c>
      <c r="I57" s="59" t="e">
        <f t="shared" si="9"/>
        <v>#DIV/0!</v>
      </c>
      <c r="J57" s="59" t="e">
        <f t="shared" si="10"/>
        <v>#DIV/0!</v>
      </c>
      <c r="K57" s="59" t="e">
        <f t="shared" si="11"/>
        <v>#DIV/0!</v>
      </c>
      <c r="L57" s="59" t="e">
        <f t="shared" si="12"/>
        <v>#DIV/0!</v>
      </c>
      <c r="M57" s="59" t="e">
        <f t="shared" si="13"/>
        <v>#DIV/0!</v>
      </c>
      <c r="N57" s="59" t="e">
        <f t="shared" si="14"/>
        <v>#DIV/0!</v>
      </c>
      <c r="O57" s="60" t="e">
        <f>Links!B57</f>
        <v>#DIV/0!</v>
      </c>
      <c r="P57" s="60" t="e">
        <f>Links!C57+'On-Ramps'!AC57</f>
        <v>#DIV/0!</v>
      </c>
      <c r="Q57" s="60" t="e">
        <f>Links!D57</f>
        <v>#DIV/0!</v>
      </c>
      <c r="R57" s="60" t="e">
        <f>Links!E57+'On-Ramps'!AD57</f>
        <v>#DIV/0!</v>
      </c>
      <c r="S57" s="60" t="e">
        <f>Links!F57+'On-Ramps'!AE57</f>
        <v>#DIV/0!</v>
      </c>
      <c r="T57" s="60" t="e">
        <f>Links!G57+'On-Ramps'!AF57</f>
        <v>#DIV/0!</v>
      </c>
      <c r="U57" s="60" t="e">
        <f>Links!H57+'On-Ramps'!AG57</f>
        <v>#DIV/0!</v>
      </c>
      <c r="V57" s="60" t="e">
        <f>Links!J57+'On-Ramps'!AH57</f>
        <v>#DIV/0!</v>
      </c>
      <c r="W57" s="60" t="e">
        <f>Links!K57+'On-Ramps'!AI57</f>
        <v>#DIV/0!</v>
      </c>
      <c r="X57" s="60" t="e">
        <f>Links!L57+'On-Ramps'!AJ57</f>
        <v>#DIV/0!</v>
      </c>
      <c r="Y57" s="60" t="e">
        <f>Links!M57</f>
        <v>#DIV/0!</v>
      </c>
      <c r="Z57" s="60" t="e">
        <f>Links!N57+'On-Ramps'!AK57</f>
        <v>#DIV/0!</v>
      </c>
      <c r="AA57" s="60" t="e">
        <f>Links!O57</f>
        <v>#DIV/0!</v>
      </c>
      <c r="AB57" s="59" t="e">
        <f t="shared" si="17"/>
        <v>#DIV/0!</v>
      </c>
      <c r="AC57" s="65"/>
      <c r="AD57" s="59" t="e">
        <f t="shared" si="18"/>
        <v>#DIV/0!</v>
      </c>
      <c r="AE57" s="65"/>
      <c r="AF57" s="59" t="e">
        <f t="shared" si="19"/>
        <v>#DIV/0!</v>
      </c>
      <c r="AG57" s="59" t="e">
        <f t="shared" si="20"/>
        <v>#DIV/0!</v>
      </c>
      <c r="AH57" s="59" t="e">
        <f t="shared" si="21"/>
        <v>#DIV/0!</v>
      </c>
      <c r="AI57" s="59" t="e">
        <f t="shared" si="22"/>
        <v>#DIV/0!</v>
      </c>
      <c r="AJ57" s="59" t="e">
        <f t="shared" si="23"/>
        <v>#DIV/0!</v>
      </c>
      <c r="AK57" s="59" t="e">
        <f t="shared" si="24"/>
        <v>#DIV/0!</v>
      </c>
      <c r="AL57" s="59" t="e">
        <f t="shared" si="25"/>
        <v>#DIV/0!</v>
      </c>
      <c r="AM57" s="65"/>
      <c r="AN57" s="59" t="e">
        <f t="shared" si="27"/>
        <v>#DIV/0!</v>
      </c>
      <c r="AO57" s="60" t="e">
        <f t="shared" ref="AO57:AO120" si="30">AO$3</f>
        <v>#DIV/0!</v>
      </c>
      <c r="AP57" s="65"/>
      <c r="AQ57" s="60" t="e">
        <f t="shared" si="29"/>
        <v>#DIV/0!</v>
      </c>
      <c r="AR57" s="65"/>
      <c r="AS57" s="60" t="e">
        <f t="shared" si="29"/>
        <v>#DIV/0!</v>
      </c>
      <c r="AT57" s="60" t="e">
        <f t="shared" si="29"/>
        <v>#DIV/0!</v>
      </c>
      <c r="AU57" s="60" t="e">
        <f t="shared" si="29"/>
        <v>#DIV/0!</v>
      </c>
      <c r="AV57" s="60" t="e">
        <f t="shared" si="29"/>
        <v>#DIV/0!</v>
      </c>
      <c r="AW57" s="60" t="e">
        <f t="shared" si="29"/>
        <v>#DIV/0!</v>
      </c>
      <c r="AX57" s="60" t="e">
        <f t="shared" si="29"/>
        <v>#DIV/0!</v>
      </c>
      <c r="AY57" s="60" t="e">
        <f t="shared" si="29"/>
        <v>#DIV/0!</v>
      </c>
      <c r="AZ57" s="65"/>
      <c r="BA57" s="60" t="e">
        <f t="shared" si="29"/>
        <v>#DIV/0!</v>
      </c>
      <c r="BB57" s="59" t="e">
        <f>Links!AF57</f>
        <v>#DIV/0!</v>
      </c>
      <c r="BC57" s="59" t="e">
        <f>(Links!AG57*Links!C57+'On-Ramps'!AC57*'On-Ramps'!CE57)/('On-Ramps'!AC57+Links!C57)</f>
        <v>#DIV/0!</v>
      </c>
      <c r="BD57" s="59" t="e">
        <f>Links!AH57</f>
        <v>#DIV/0!</v>
      </c>
      <c r="BE57" s="59" t="e">
        <f>(Links!AI57*Links!E57+'On-Ramps'!AD57*'On-Ramps'!CF56)/('On-Ramps'!AD57+Links!E57)</f>
        <v>#DIV/0!</v>
      </c>
      <c r="BF57" s="59" t="e">
        <f>(Links!F57*Links!AJ57+'On-Ramps'!AE57*'On-Ramps'!CG57)/('On-Ramps'!AE57+Links!F57)</f>
        <v>#DIV/0!</v>
      </c>
      <c r="BG57" s="59" t="e">
        <f>(Links!G57*Links!AK57+'On-Ramps'!AF57*'On-Ramps'!CH57)/('On-Ramps'!AF57+Links!G57)</f>
        <v>#DIV/0!</v>
      </c>
      <c r="BH57" s="59" t="e">
        <f>(Links!H57*Links!AL57+'On-Ramps'!AG57*'On-Ramps'!CI57)/('On-Ramps'!AG57+Links!H57)</f>
        <v>#DIV/0!</v>
      </c>
      <c r="BI57" s="59" t="e">
        <f>(Links!J57*Links!AN57+'On-Ramps'!AH57*'On-Ramps'!CJ57)/('On-Ramps'!AH57+Links!J57)</f>
        <v>#DIV/0!</v>
      </c>
      <c r="BJ57" s="59" t="e">
        <f>(Links!K57*Links!AO57+'On-Ramps'!AI57*'On-Ramps'!CK57)/('On-Ramps'!AI57+Links!K57)</f>
        <v>#DIV/0!</v>
      </c>
      <c r="BK57" s="59" t="e">
        <f>(Links!L57*Links!AP57+'On-Ramps'!AJ57*'On-Ramps'!CL57)/(Links!L57+'On-Ramps'!AJ57)</f>
        <v>#DIV/0!</v>
      </c>
      <c r="BL57" s="59" t="e">
        <f>Links!AQ57</f>
        <v>#DIV/0!</v>
      </c>
      <c r="BM57" s="59" t="e">
        <f>(Links!N57*Links!AR57+'On-Ramps'!AL57*'On-Ramps'!CM57)/(Links!N57+'On-Ramps'!AL57)</f>
        <v>#DIV/0!</v>
      </c>
      <c r="BN57" s="59" t="e">
        <f>Links!AS57</f>
        <v>#DIV/0!</v>
      </c>
      <c r="BO57" s="60" t="e">
        <f>(Links!R57^2+'Off-Ramp'!L57^2)/(Links!R57+'Off-Ramp'!L57)</f>
        <v>#DIV/0!</v>
      </c>
      <c r="BP57" s="60" t="e">
        <f>Links!S57</f>
        <v>#DIV/0!</v>
      </c>
      <c r="BQ57" s="60" t="e">
        <f>(Links!S57^2+'Off-Ramp'!C57^2)/(Links!S57+'Off-Ramp'!C57)</f>
        <v>#DIV/0!</v>
      </c>
      <c r="BR57" s="60" t="e">
        <f>Links!T57</f>
        <v>#DIV/0!</v>
      </c>
      <c r="BS57" s="60" t="e">
        <f>(Links!X57^2+'Off-Ramp'!V57^2+'Off-Ramp'!W57^2+'Off-Ramp'!X57^2)/(Links!X57+'Off-Ramp'!V57+'Off-Ramp'!W57+'Off-Ramp'!X57)</f>
        <v>#DIV/0!</v>
      </c>
      <c r="BT57" s="60" t="e">
        <f>(Links!Y57^2+'Off-Ramp'!Y57^2+'Off-Ramp'!Z57^2+'Off-Ramp'!AA57^2)/(Links!Y57+'Off-Ramp'!Y57+'Off-Ramp'!Z57+'Off-Ramp'!AA57)</f>
        <v>#DIV/0!</v>
      </c>
      <c r="BU57" s="60" t="e">
        <f>(Links!W57^2+'Off-Ramp'!P57^2)/(Links!W57+'Off-Ramp'!P57)</f>
        <v>#DIV/0!</v>
      </c>
      <c r="BV57" s="60" t="e">
        <f>(Links!Y57^2+'Off-Ramp'!Q57^2)/(Links!Y57+'Off-Ramp'!Q57)</f>
        <v>#DIV/0!</v>
      </c>
      <c r="BW57" s="60" t="e">
        <f>(Links!Z57^2+'Off-Ramp'!R57^2)/(Links!Z57+'Off-Ramp'!R57)</f>
        <v>#DIV/0!</v>
      </c>
      <c r="BX57" s="60" t="e">
        <f>(Links!AA57+'Off-Ramp'!S57)/(Links!AA57^2+'Off-Ramp'!S57^2)</f>
        <v>#DIV/0!</v>
      </c>
      <c r="BY57" s="60" t="e">
        <f>(Links!AB57^2+'Off-Ramp'!T57^2)/(Links!AB57+'Off-Ramp'!T57)</f>
        <v>#DIV/0!</v>
      </c>
      <c r="BZ57" s="60" t="e">
        <f>Links!AC57</f>
        <v>#DIV/0!</v>
      </c>
      <c r="CA57" s="60" t="e">
        <f>(Links!AD57^2+'Off-Ramp'!U57^2)/(Links!AD57+'Off-Ramp'!U57)</f>
        <v>#DIV/0!</v>
      </c>
    </row>
    <row r="58" spans="1:79" x14ac:dyDescent="0.15">
      <c r="A58" s="58">
        <v>56</v>
      </c>
      <c r="B58" s="59" t="e">
        <f t="shared" si="2"/>
        <v>#DIV/0!</v>
      </c>
      <c r="C58" s="59" t="e">
        <f t="shared" si="3"/>
        <v>#DIV/0!</v>
      </c>
      <c r="D58" s="59" t="e">
        <f t="shared" si="4"/>
        <v>#DIV/0!</v>
      </c>
      <c r="E58" s="59" t="e">
        <f t="shared" si="5"/>
        <v>#DIV/0!</v>
      </c>
      <c r="F58" s="59" t="e">
        <f t="shared" si="6"/>
        <v>#DIV/0!</v>
      </c>
      <c r="G58" s="59" t="e">
        <f t="shared" si="7"/>
        <v>#DIV/0!</v>
      </c>
      <c r="H58" s="59" t="e">
        <f t="shared" si="8"/>
        <v>#DIV/0!</v>
      </c>
      <c r="I58" s="59" t="e">
        <f t="shared" si="9"/>
        <v>#DIV/0!</v>
      </c>
      <c r="J58" s="59" t="e">
        <f t="shared" si="10"/>
        <v>#DIV/0!</v>
      </c>
      <c r="K58" s="59" t="e">
        <f t="shared" si="11"/>
        <v>#DIV/0!</v>
      </c>
      <c r="L58" s="59" t="e">
        <f t="shared" si="12"/>
        <v>#DIV/0!</v>
      </c>
      <c r="M58" s="59" t="e">
        <f t="shared" si="13"/>
        <v>#DIV/0!</v>
      </c>
      <c r="N58" s="59" t="e">
        <f t="shared" si="14"/>
        <v>#DIV/0!</v>
      </c>
      <c r="O58" s="60" t="e">
        <f>Links!B58</f>
        <v>#DIV/0!</v>
      </c>
      <c r="P58" s="60" t="e">
        <f>Links!C58+'On-Ramps'!AC58</f>
        <v>#DIV/0!</v>
      </c>
      <c r="Q58" s="60" t="e">
        <f>Links!D58</f>
        <v>#DIV/0!</v>
      </c>
      <c r="R58" s="60" t="e">
        <f>Links!E58+'On-Ramps'!AD58</f>
        <v>#DIV/0!</v>
      </c>
      <c r="S58" s="60" t="e">
        <f>Links!F58+'On-Ramps'!AE58</f>
        <v>#DIV/0!</v>
      </c>
      <c r="T58" s="60" t="e">
        <f>Links!G58+'On-Ramps'!AF58</f>
        <v>#DIV/0!</v>
      </c>
      <c r="U58" s="60" t="e">
        <f>Links!H58+'On-Ramps'!AG58</f>
        <v>#DIV/0!</v>
      </c>
      <c r="V58" s="60" t="e">
        <f>Links!J58+'On-Ramps'!AH58</f>
        <v>#DIV/0!</v>
      </c>
      <c r="W58" s="60" t="e">
        <f>Links!K58+'On-Ramps'!AI58</f>
        <v>#DIV/0!</v>
      </c>
      <c r="X58" s="60" t="e">
        <f>Links!L58+'On-Ramps'!AJ58</f>
        <v>#DIV/0!</v>
      </c>
      <c r="Y58" s="60" t="e">
        <f>Links!M58</f>
        <v>#DIV/0!</v>
      </c>
      <c r="Z58" s="60" t="e">
        <f>Links!N58+'On-Ramps'!AK58</f>
        <v>#DIV/0!</v>
      </c>
      <c r="AA58" s="60" t="e">
        <f>Links!O58</f>
        <v>#DIV/0!</v>
      </c>
      <c r="AB58" s="59" t="e">
        <f t="shared" si="17"/>
        <v>#DIV/0!</v>
      </c>
      <c r="AC58" s="65"/>
      <c r="AD58" s="59" t="e">
        <f t="shared" si="18"/>
        <v>#DIV/0!</v>
      </c>
      <c r="AE58" s="65"/>
      <c r="AF58" s="59" t="e">
        <f t="shared" si="19"/>
        <v>#DIV/0!</v>
      </c>
      <c r="AG58" s="59" t="e">
        <f t="shared" si="20"/>
        <v>#DIV/0!</v>
      </c>
      <c r="AH58" s="59" t="e">
        <f t="shared" si="21"/>
        <v>#DIV/0!</v>
      </c>
      <c r="AI58" s="59" t="e">
        <f t="shared" si="22"/>
        <v>#DIV/0!</v>
      </c>
      <c r="AJ58" s="59" t="e">
        <f t="shared" si="23"/>
        <v>#DIV/0!</v>
      </c>
      <c r="AK58" s="59" t="e">
        <f t="shared" si="24"/>
        <v>#DIV/0!</v>
      </c>
      <c r="AL58" s="59" t="e">
        <f t="shared" si="25"/>
        <v>#DIV/0!</v>
      </c>
      <c r="AM58" s="65"/>
      <c r="AN58" s="59" t="e">
        <f t="shared" si="27"/>
        <v>#DIV/0!</v>
      </c>
      <c r="AO58" s="60" t="e">
        <f t="shared" si="30"/>
        <v>#DIV/0!</v>
      </c>
      <c r="AP58" s="65"/>
      <c r="AQ58" s="60" t="e">
        <f t="shared" si="29"/>
        <v>#DIV/0!</v>
      </c>
      <c r="AR58" s="65"/>
      <c r="AS58" s="60" t="e">
        <f t="shared" si="29"/>
        <v>#DIV/0!</v>
      </c>
      <c r="AT58" s="60" t="e">
        <f t="shared" si="29"/>
        <v>#DIV/0!</v>
      </c>
      <c r="AU58" s="60" t="e">
        <f t="shared" si="29"/>
        <v>#DIV/0!</v>
      </c>
      <c r="AV58" s="60" t="e">
        <f t="shared" si="29"/>
        <v>#DIV/0!</v>
      </c>
      <c r="AW58" s="60" t="e">
        <f t="shared" si="29"/>
        <v>#DIV/0!</v>
      </c>
      <c r="AX58" s="60" t="e">
        <f t="shared" si="29"/>
        <v>#DIV/0!</v>
      </c>
      <c r="AY58" s="60" t="e">
        <f t="shared" si="29"/>
        <v>#DIV/0!</v>
      </c>
      <c r="AZ58" s="65"/>
      <c r="BA58" s="60" t="e">
        <f t="shared" si="29"/>
        <v>#DIV/0!</v>
      </c>
      <c r="BB58" s="59" t="e">
        <f>Links!AF58</f>
        <v>#DIV/0!</v>
      </c>
      <c r="BC58" s="59" t="e">
        <f>(Links!AG58*Links!C58+'On-Ramps'!AC58*'On-Ramps'!CE58)/('On-Ramps'!AC58+Links!C58)</f>
        <v>#DIV/0!</v>
      </c>
      <c r="BD58" s="59" t="e">
        <f>Links!AH58</f>
        <v>#DIV/0!</v>
      </c>
      <c r="BE58" s="59" t="e">
        <f>(Links!AI58*Links!E58+'On-Ramps'!AD58*'On-Ramps'!CF57)/('On-Ramps'!AD58+Links!E58)</f>
        <v>#DIV/0!</v>
      </c>
      <c r="BF58" s="59" t="e">
        <f>(Links!F58*Links!AJ58+'On-Ramps'!AE58*'On-Ramps'!CG58)/('On-Ramps'!AE58+Links!F58)</f>
        <v>#DIV/0!</v>
      </c>
      <c r="BG58" s="59" t="e">
        <f>(Links!G58*Links!AK58+'On-Ramps'!AF58*'On-Ramps'!CH58)/('On-Ramps'!AF58+Links!G58)</f>
        <v>#DIV/0!</v>
      </c>
      <c r="BH58" s="59" t="e">
        <f>(Links!H58*Links!AL58+'On-Ramps'!AG58*'On-Ramps'!CI58)/('On-Ramps'!AG58+Links!H58)</f>
        <v>#DIV/0!</v>
      </c>
      <c r="BI58" s="59" t="e">
        <f>(Links!J58*Links!AN58+'On-Ramps'!AH58*'On-Ramps'!CJ58)/('On-Ramps'!AH58+Links!J58)</f>
        <v>#DIV/0!</v>
      </c>
      <c r="BJ58" s="59" t="e">
        <f>(Links!K58*Links!AO58+'On-Ramps'!AI58*'On-Ramps'!CK58)/('On-Ramps'!AI58+Links!K58)</f>
        <v>#DIV/0!</v>
      </c>
      <c r="BK58" s="59" t="e">
        <f>(Links!L58*Links!AP58+'On-Ramps'!AJ58*'On-Ramps'!CL58)/(Links!L58+'On-Ramps'!AJ58)</f>
        <v>#DIV/0!</v>
      </c>
      <c r="BL58" s="59" t="e">
        <f>Links!AQ58</f>
        <v>#DIV/0!</v>
      </c>
      <c r="BM58" s="59" t="e">
        <f>(Links!N58*Links!AR58+'On-Ramps'!AL58*'On-Ramps'!CM58)/(Links!N58+'On-Ramps'!AL58)</f>
        <v>#DIV/0!</v>
      </c>
      <c r="BN58" s="59" t="e">
        <f>Links!AS58</f>
        <v>#DIV/0!</v>
      </c>
      <c r="BO58" s="60" t="e">
        <f>(Links!R58^2+'Off-Ramp'!L58^2)/(Links!R58+'Off-Ramp'!L58)</f>
        <v>#DIV/0!</v>
      </c>
      <c r="BP58" s="60" t="e">
        <f>Links!S58</f>
        <v>#DIV/0!</v>
      </c>
      <c r="BQ58" s="60" t="e">
        <f>(Links!S58^2+'Off-Ramp'!C58^2)/(Links!S58+'Off-Ramp'!C58)</f>
        <v>#DIV/0!</v>
      </c>
      <c r="BR58" s="60" t="e">
        <f>Links!T58</f>
        <v>#DIV/0!</v>
      </c>
      <c r="BS58" s="60" t="e">
        <f>(Links!X58^2+'Off-Ramp'!V58^2+'Off-Ramp'!W58^2+'Off-Ramp'!X58^2)/(Links!X58+'Off-Ramp'!V58+'Off-Ramp'!W58+'Off-Ramp'!X58)</f>
        <v>#DIV/0!</v>
      </c>
      <c r="BT58" s="60" t="e">
        <f>(Links!Y58^2+'Off-Ramp'!Y58^2+'Off-Ramp'!Z58^2+'Off-Ramp'!AA58^2)/(Links!Y58+'Off-Ramp'!Y58+'Off-Ramp'!Z58+'Off-Ramp'!AA58)</f>
        <v>#DIV/0!</v>
      </c>
      <c r="BU58" s="60" t="e">
        <f>(Links!W58^2+'Off-Ramp'!P58^2)/(Links!W58+'Off-Ramp'!P58)</f>
        <v>#DIV/0!</v>
      </c>
      <c r="BV58" s="60" t="e">
        <f>(Links!Y58^2+'Off-Ramp'!Q58^2)/(Links!Y58+'Off-Ramp'!Q58)</f>
        <v>#DIV/0!</v>
      </c>
      <c r="BW58" s="60" t="e">
        <f>(Links!Z58^2+'Off-Ramp'!R58^2)/(Links!Z58+'Off-Ramp'!R58)</f>
        <v>#DIV/0!</v>
      </c>
      <c r="BX58" s="60" t="e">
        <f>(Links!AA58+'Off-Ramp'!S58)/(Links!AA58^2+'Off-Ramp'!S58^2)</f>
        <v>#DIV/0!</v>
      </c>
      <c r="BY58" s="60" t="e">
        <f>(Links!AB58^2+'Off-Ramp'!T58^2)/(Links!AB58+'Off-Ramp'!T58)</f>
        <v>#DIV/0!</v>
      </c>
      <c r="BZ58" s="60" t="e">
        <f>Links!AC58</f>
        <v>#DIV/0!</v>
      </c>
      <c r="CA58" s="60" t="e">
        <f>(Links!AD58^2+'Off-Ramp'!U58^2)/(Links!AD58+'Off-Ramp'!U58)</f>
        <v>#DIV/0!</v>
      </c>
    </row>
    <row r="59" spans="1:79" x14ac:dyDescent="0.15">
      <c r="A59" s="58">
        <v>57</v>
      </c>
      <c r="B59" s="59" t="e">
        <f t="shared" si="2"/>
        <v>#DIV/0!</v>
      </c>
      <c r="C59" s="59" t="e">
        <f t="shared" si="3"/>
        <v>#DIV/0!</v>
      </c>
      <c r="D59" s="59" t="e">
        <f t="shared" si="4"/>
        <v>#DIV/0!</v>
      </c>
      <c r="E59" s="59" t="e">
        <f t="shared" si="5"/>
        <v>#DIV/0!</v>
      </c>
      <c r="F59" s="59" t="e">
        <f t="shared" si="6"/>
        <v>#DIV/0!</v>
      </c>
      <c r="G59" s="59" t="e">
        <f t="shared" si="7"/>
        <v>#DIV/0!</v>
      </c>
      <c r="H59" s="59" t="e">
        <f t="shared" si="8"/>
        <v>#DIV/0!</v>
      </c>
      <c r="I59" s="59" t="e">
        <f t="shared" si="9"/>
        <v>#DIV/0!</v>
      </c>
      <c r="J59" s="59" t="e">
        <f t="shared" si="10"/>
        <v>#DIV/0!</v>
      </c>
      <c r="K59" s="59" t="e">
        <f t="shared" si="11"/>
        <v>#DIV/0!</v>
      </c>
      <c r="L59" s="59" t="e">
        <f t="shared" si="12"/>
        <v>#DIV/0!</v>
      </c>
      <c r="M59" s="59" t="e">
        <f t="shared" si="13"/>
        <v>#DIV/0!</v>
      </c>
      <c r="N59" s="59" t="e">
        <f t="shared" si="14"/>
        <v>#DIV/0!</v>
      </c>
      <c r="O59" s="60" t="e">
        <f>Links!B59</f>
        <v>#DIV/0!</v>
      </c>
      <c r="P59" s="60" t="e">
        <f>Links!C59+'On-Ramps'!AC59</f>
        <v>#DIV/0!</v>
      </c>
      <c r="Q59" s="60" t="e">
        <f>Links!D59</f>
        <v>#DIV/0!</v>
      </c>
      <c r="R59" s="60" t="e">
        <f>Links!E59+'On-Ramps'!AD59</f>
        <v>#DIV/0!</v>
      </c>
      <c r="S59" s="60" t="e">
        <f>Links!F59+'On-Ramps'!AE59</f>
        <v>#DIV/0!</v>
      </c>
      <c r="T59" s="60" t="e">
        <f>Links!G59+'On-Ramps'!AF59</f>
        <v>#DIV/0!</v>
      </c>
      <c r="U59" s="60" t="e">
        <f>Links!H59+'On-Ramps'!AG59</f>
        <v>#DIV/0!</v>
      </c>
      <c r="V59" s="60" t="e">
        <f>Links!J59+'On-Ramps'!AH59</f>
        <v>#DIV/0!</v>
      </c>
      <c r="W59" s="60" t="e">
        <f>Links!K59+'On-Ramps'!AI59</f>
        <v>#DIV/0!</v>
      </c>
      <c r="X59" s="60" t="e">
        <f>Links!L59+'On-Ramps'!AJ59</f>
        <v>#DIV/0!</v>
      </c>
      <c r="Y59" s="60" t="e">
        <f>Links!M59</f>
        <v>#DIV/0!</v>
      </c>
      <c r="Z59" s="60" t="e">
        <f>Links!N59+'On-Ramps'!AK59</f>
        <v>#DIV/0!</v>
      </c>
      <c r="AA59" s="60" t="e">
        <f>Links!O59</f>
        <v>#DIV/0!</v>
      </c>
      <c r="AB59" s="59" t="e">
        <f t="shared" si="17"/>
        <v>#DIV/0!</v>
      </c>
      <c r="AC59" s="65"/>
      <c r="AD59" s="59" t="e">
        <f t="shared" si="18"/>
        <v>#DIV/0!</v>
      </c>
      <c r="AE59" s="65"/>
      <c r="AF59" s="59" t="e">
        <f t="shared" si="19"/>
        <v>#DIV/0!</v>
      </c>
      <c r="AG59" s="59" t="e">
        <f t="shared" si="20"/>
        <v>#DIV/0!</v>
      </c>
      <c r="AH59" s="59" t="e">
        <f t="shared" si="21"/>
        <v>#DIV/0!</v>
      </c>
      <c r="AI59" s="59" t="e">
        <f t="shared" si="22"/>
        <v>#DIV/0!</v>
      </c>
      <c r="AJ59" s="59" t="e">
        <f t="shared" si="23"/>
        <v>#DIV/0!</v>
      </c>
      <c r="AK59" s="59" t="e">
        <f t="shared" si="24"/>
        <v>#DIV/0!</v>
      </c>
      <c r="AL59" s="59" t="e">
        <f t="shared" si="25"/>
        <v>#DIV/0!</v>
      </c>
      <c r="AM59" s="65"/>
      <c r="AN59" s="59" t="e">
        <f t="shared" si="27"/>
        <v>#DIV/0!</v>
      </c>
      <c r="AO59" s="60" t="e">
        <f t="shared" si="30"/>
        <v>#DIV/0!</v>
      </c>
      <c r="AP59" s="65"/>
      <c r="AQ59" s="60" t="e">
        <f t="shared" si="29"/>
        <v>#DIV/0!</v>
      </c>
      <c r="AR59" s="65"/>
      <c r="AS59" s="60" t="e">
        <f t="shared" si="29"/>
        <v>#DIV/0!</v>
      </c>
      <c r="AT59" s="60" t="e">
        <f t="shared" si="29"/>
        <v>#DIV/0!</v>
      </c>
      <c r="AU59" s="60" t="e">
        <f t="shared" si="29"/>
        <v>#DIV/0!</v>
      </c>
      <c r="AV59" s="60" t="e">
        <f t="shared" si="29"/>
        <v>#DIV/0!</v>
      </c>
      <c r="AW59" s="60" t="e">
        <f t="shared" si="29"/>
        <v>#DIV/0!</v>
      </c>
      <c r="AX59" s="60" t="e">
        <f t="shared" si="29"/>
        <v>#DIV/0!</v>
      </c>
      <c r="AY59" s="60" t="e">
        <f t="shared" si="29"/>
        <v>#DIV/0!</v>
      </c>
      <c r="AZ59" s="65"/>
      <c r="BA59" s="60" t="e">
        <f t="shared" si="29"/>
        <v>#DIV/0!</v>
      </c>
      <c r="BB59" s="59" t="e">
        <f>Links!AF59</f>
        <v>#DIV/0!</v>
      </c>
      <c r="BC59" s="59" t="e">
        <f>(Links!AG59*Links!C59+'On-Ramps'!AC59*'On-Ramps'!CE59)/('On-Ramps'!AC59+Links!C59)</f>
        <v>#DIV/0!</v>
      </c>
      <c r="BD59" s="59" t="e">
        <f>Links!AH59</f>
        <v>#DIV/0!</v>
      </c>
      <c r="BE59" s="59" t="e">
        <f>(Links!AI59*Links!E59+'On-Ramps'!AD59*'On-Ramps'!CF58)/('On-Ramps'!AD59+Links!E59)</f>
        <v>#DIV/0!</v>
      </c>
      <c r="BF59" s="59" t="e">
        <f>(Links!F59*Links!AJ59+'On-Ramps'!AE59*'On-Ramps'!CG59)/('On-Ramps'!AE59+Links!F59)</f>
        <v>#DIV/0!</v>
      </c>
      <c r="BG59" s="59" t="e">
        <f>(Links!G59*Links!AK59+'On-Ramps'!AF59*'On-Ramps'!CH59)/('On-Ramps'!AF59+Links!G59)</f>
        <v>#DIV/0!</v>
      </c>
      <c r="BH59" s="59" t="e">
        <f>(Links!H59*Links!AL59+'On-Ramps'!AG59*'On-Ramps'!CI59)/('On-Ramps'!AG59+Links!H59)</f>
        <v>#DIV/0!</v>
      </c>
      <c r="BI59" s="59" t="e">
        <f>(Links!J59*Links!AN59+'On-Ramps'!AH59*'On-Ramps'!CJ59)/('On-Ramps'!AH59+Links!J59)</f>
        <v>#DIV/0!</v>
      </c>
      <c r="BJ59" s="59" t="e">
        <f>(Links!K59*Links!AO59+'On-Ramps'!AI59*'On-Ramps'!CK59)/('On-Ramps'!AI59+Links!K59)</f>
        <v>#DIV/0!</v>
      </c>
      <c r="BK59" s="59" t="e">
        <f>(Links!L59*Links!AP59+'On-Ramps'!AJ59*'On-Ramps'!CL59)/(Links!L59+'On-Ramps'!AJ59)</f>
        <v>#DIV/0!</v>
      </c>
      <c r="BL59" s="59" t="e">
        <f>Links!AQ59</f>
        <v>#DIV/0!</v>
      </c>
      <c r="BM59" s="59" t="e">
        <f>(Links!N59*Links!AR59+'On-Ramps'!AL59*'On-Ramps'!CM59)/(Links!N59+'On-Ramps'!AL59)</f>
        <v>#DIV/0!</v>
      </c>
      <c r="BN59" s="59" t="e">
        <f>Links!AS59</f>
        <v>#DIV/0!</v>
      </c>
      <c r="BO59" s="60" t="e">
        <f>(Links!R59^2+'Off-Ramp'!L59^2)/(Links!R59+'Off-Ramp'!L59)</f>
        <v>#DIV/0!</v>
      </c>
      <c r="BP59" s="60" t="e">
        <f>Links!S59</f>
        <v>#DIV/0!</v>
      </c>
      <c r="BQ59" s="60" t="e">
        <f>(Links!S59^2+'Off-Ramp'!C59^2)/(Links!S59+'Off-Ramp'!C59)</f>
        <v>#DIV/0!</v>
      </c>
      <c r="BR59" s="60" t="e">
        <f>Links!T59</f>
        <v>#DIV/0!</v>
      </c>
      <c r="BS59" s="60" t="e">
        <f>(Links!X59^2+'Off-Ramp'!V59^2+'Off-Ramp'!W59^2+'Off-Ramp'!X59^2)/(Links!X59+'Off-Ramp'!V59+'Off-Ramp'!W59+'Off-Ramp'!X59)</f>
        <v>#DIV/0!</v>
      </c>
      <c r="BT59" s="60" t="e">
        <f>(Links!Y59^2+'Off-Ramp'!Y59^2+'Off-Ramp'!Z59^2+'Off-Ramp'!AA59^2)/(Links!Y59+'Off-Ramp'!Y59+'Off-Ramp'!Z59+'Off-Ramp'!AA59)</f>
        <v>#DIV/0!</v>
      </c>
      <c r="BU59" s="60" t="e">
        <f>(Links!W59^2+'Off-Ramp'!P59^2)/(Links!W59+'Off-Ramp'!P59)</f>
        <v>#DIV/0!</v>
      </c>
      <c r="BV59" s="60" t="e">
        <f>(Links!Y59^2+'Off-Ramp'!Q59^2)/(Links!Y59+'Off-Ramp'!Q59)</f>
        <v>#DIV/0!</v>
      </c>
      <c r="BW59" s="60" t="e">
        <f>(Links!Z59^2+'Off-Ramp'!R59^2)/(Links!Z59+'Off-Ramp'!R59)</f>
        <v>#DIV/0!</v>
      </c>
      <c r="BX59" s="60" t="e">
        <f>(Links!AA59+'Off-Ramp'!S59)/(Links!AA59^2+'Off-Ramp'!S59^2)</f>
        <v>#DIV/0!</v>
      </c>
      <c r="BY59" s="60" t="e">
        <f>(Links!AB59^2+'Off-Ramp'!T59^2)/(Links!AB59+'Off-Ramp'!T59)</f>
        <v>#DIV/0!</v>
      </c>
      <c r="BZ59" s="60" t="e">
        <f>Links!AC59</f>
        <v>#DIV/0!</v>
      </c>
      <c r="CA59" s="60" t="e">
        <f>(Links!AD59^2+'Off-Ramp'!U59^2)/(Links!AD59+'Off-Ramp'!U59)</f>
        <v>#DIV/0!</v>
      </c>
    </row>
    <row r="60" spans="1:79" x14ac:dyDescent="0.15">
      <c r="A60" s="58">
        <v>58</v>
      </c>
      <c r="B60" s="59" t="e">
        <f t="shared" si="2"/>
        <v>#DIV/0!</v>
      </c>
      <c r="C60" s="59" t="e">
        <f t="shared" si="3"/>
        <v>#DIV/0!</v>
      </c>
      <c r="D60" s="59" t="e">
        <f t="shared" si="4"/>
        <v>#DIV/0!</v>
      </c>
      <c r="E60" s="59" t="e">
        <f t="shared" si="5"/>
        <v>#DIV/0!</v>
      </c>
      <c r="F60" s="59" t="e">
        <f t="shared" si="6"/>
        <v>#DIV/0!</v>
      </c>
      <c r="G60" s="59" t="e">
        <f t="shared" si="7"/>
        <v>#DIV/0!</v>
      </c>
      <c r="H60" s="59" t="e">
        <f t="shared" si="8"/>
        <v>#DIV/0!</v>
      </c>
      <c r="I60" s="59" t="e">
        <f t="shared" si="9"/>
        <v>#DIV/0!</v>
      </c>
      <c r="J60" s="59" t="e">
        <f t="shared" si="10"/>
        <v>#DIV/0!</v>
      </c>
      <c r="K60" s="59" t="e">
        <f t="shared" si="11"/>
        <v>#DIV/0!</v>
      </c>
      <c r="L60" s="59" t="e">
        <f t="shared" si="12"/>
        <v>#DIV/0!</v>
      </c>
      <c r="M60" s="59" t="e">
        <f t="shared" si="13"/>
        <v>#DIV/0!</v>
      </c>
      <c r="N60" s="59" t="e">
        <f t="shared" si="14"/>
        <v>#DIV/0!</v>
      </c>
      <c r="O60" s="60" t="e">
        <f>Links!B60</f>
        <v>#DIV/0!</v>
      </c>
      <c r="P60" s="60" t="e">
        <f>Links!C60+'On-Ramps'!AC60</f>
        <v>#DIV/0!</v>
      </c>
      <c r="Q60" s="60" t="e">
        <f>Links!D60</f>
        <v>#DIV/0!</v>
      </c>
      <c r="R60" s="60" t="e">
        <f>Links!E60+'On-Ramps'!AD60</f>
        <v>#DIV/0!</v>
      </c>
      <c r="S60" s="60" t="e">
        <f>Links!F60+'On-Ramps'!AE60</f>
        <v>#DIV/0!</v>
      </c>
      <c r="T60" s="60" t="e">
        <f>Links!G60+'On-Ramps'!AF60</f>
        <v>#DIV/0!</v>
      </c>
      <c r="U60" s="60" t="e">
        <f>Links!H60+'On-Ramps'!AG60</f>
        <v>#DIV/0!</v>
      </c>
      <c r="V60" s="60" t="e">
        <f>Links!J60+'On-Ramps'!AH60</f>
        <v>#DIV/0!</v>
      </c>
      <c r="W60" s="60" t="e">
        <f>Links!K60+'On-Ramps'!AI60</f>
        <v>#DIV/0!</v>
      </c>
      <c r="X60" s="60" t="e">
        <f>Links!L60+'On-Ramps'!AJ60</f>
        <v>#DIV/0!</v>
      </c>
      <c r="Y60" s="60" t="e">
        <f>Links!M60</f>
        <v>#DIV/0!</v>
      </c>
      <c r="Z60" s="60" t="e">
        <f>Links!N60+'On-Ramps'!AK60</f>
        <v>#DIV/0!</v>
      </c>
      <c r="AA60" s="60" t="e">
        <f>Links!O60</f>
        <v>#DIV/0!</v>
      </c>
      <c r="AB60" s="59" t="e">
        <f t="shared" si="17"/>
        <v>#DIV/0!</v>
      </c>
      <c r="AC60" s="65"/>
      <c r="AD60" s="59" t="e">
        <f t="shared" si="18"/>
        <v>#DIV/0!</v>
      </c>
      <c r="AE60" s="65"/>
      <c r="AF60" s="59" t="e">
        <f t="shared" si="19"/>
        <v>#DIV/0!</v>
      </c>
      <c r="AG60" s="59" t="e">
        <f t="shared" si="20"/>
        <v>#DIV/0!</v>
      </c>
      <c r="AH60" s="59" t="e">
        <f t="shared" si="21"/>
        <v>#DIV/0!</v>
      </c>
      <c r="AI60" s="59" t="e">
        <f t="shared" si="22"/>
        <v>#DIV/0!</v>
      </c>
      <c r="AJ60" s="59" t="e">
        <f t="shared" si="23"/>
        <v>#DIV/0!</v>
      </c>
      <c r="AK60" s="59" t="e">
        <f t="shared" si="24"/>
        <v>#DIV/0!</v>
      </c>
      <c r="AL60" s="59" t="e">
        <f t="shared" si="25"/>
        <v>#DIV/0!</v>
      </c>
      <c r="AM60" s="65"/>
      <c r="AN60" s="59" t="e">
        <f t="shared" si="27"/>
        <v>#DIV/0!</v>
      </c>
      <c r="AO60" s="60" t="e">
        <f t="shared" si="30"/>
        <v>#DIV/0!</v>
      </c>
      <c r="AP60" s="65"/>
      <c r="AQ60" s="60" t="e">
        <f t="shared" si="29"/>
        <v>#DIV/0!</v>
      </c>
      <c r="AR60" s="65"/>
      <c r="AS60" s="60" t="e">
        <f t="shared" si="29"/>
        <v>#DIV/0!</v>
      </c>
      <c r="AT60" s="60" t="e">
        <f t="shared" si="29"/>
        <v>#DIV/0!</v>
      </c>
      <c r="AU60" s="60" t="e">
        <f t="shared" si="29"/>
        <v>#DIV/0!</v>
      </c>
      <c r="AV60" s="60" t="e">
        <f t="shared" si="29"/>
        <v>#DIV/0!</v>
      </c>
      <c r="AW60" s="60" t="e">
        <f t="shared" si="29"/>
        <v>#DIV/0!</v>
      </c>
      <c r="AX60" s="60" t="e">
        <f t="shared" si="29"/>
        <v>#DIV/0!</v>
      </c>
      <c r="AY60" s="60" t="e">
        <f t="shared" si="29"/>
        <v>#DIV/0!</v>
      </c>
      <c r="AZ60" s="65"/>
      <c r="BA60" s="60" t="e">
        <f t="shared" si="29"/>
        <v>#DIV/0!</v>
      </c>
      <c r="BB60" s="59" t="e">
        <f>Links!AF60</f>
        <v>#DIV/0!</v>
      </c>
      <c r="BC60" s="59" t="e">
        <f>(Links!AG60*Links!C60+'On-Ramps'!AC60*'On-Ramps'!CE60)/('On-Ramps'!AC60+Links!C60)</f>
        <v>#DIV/0!</v>
      </c>
      <c r="BD60" s="59" t="e">
        <f>Links!AH60</f>
        <v>#DIV/0!</v>
      </c>
      <c r="BE60" s="59" t="e">
        <f>(Links!AI60*Links!E60+'On-Ramps'!AD60*'On-Ramps'!CF59)/('On-Ramps'!AD60+Links!E60)</f>
        <v>#DIV/0!</v>
      </c>
      <c r="BF60" s="59" t="e">
        <f>(Links!F60*Links!AJ60+'On-Ramps'!AE60*'On-Ramps'!CG60)/('On-Ramps'!AE60+Links!F60)</f>
        <v>#DIV/0!</v>
      </c>
      <c r="BG60" s="59" t="e">
        <f>(Links!G60*Links!AK60+'On-Ramps'!AF60*'On-Ramps'!CH60)/('On-Ramps'!AF60+Links!G60)</f>
        <v>#DIV/0!</v>
      </c>
      <c r="BH60" s="59" t="e">
        <f>(Links!H60*Links!AL60+'On-Ramps'!AG60*'On-Ramps'!CI60)/('On-Ramps'!AG60+Links!H60)</f>
        <v>#DIV/0!</v>
      </c>
      <c r="BI60" s="59" t="e">
        <f>(Links!J60*Links!AN60+'On-Ramps'!AH60*'On-Ramps'!CJ60)/('On-Ramps'!AH60+Links!J60)</f>
        <v>#DIV/0!</v>
      </c>
      <c r="BJ60" s="59" t="e">
        <f>(Links!K60*Links!AO60+'On-Ramps'!AI60*'On-Ramps'!CK60)/('On-Ramps'!AI60+Links!K60)</f>
        <v>#DIV/0!</v>
      </c>
      <c r="BK60" s="59" t="e">
        <f>(Links!L60*Links!AP60+'On-Ramps'!AJ60*'On-Ramps'!CL60)/(Links!L60+'On-Ramps'!AJ60)</f>
        <v>#DIV/0!</v>
      </c>
      <c r="BL60" s="59" t="e">
        <f>Links!AQ60</f>
        <v>#DIV/0!</v>
      </c>
      <c r="BM60" s="59" t="e">
        <f>(Links!N60*Links!AR60+'On-Ramps'!AL60*'On-Ramps'!CM60)/(Links!N60+'On-Ramps'!AL60)</f>
        <v>#DIV/0!</v>
      </c>
      <c r="BN60" s="59" t="e">
        <f>Links!AS60</f>
        <v>#DIV/0!</v>
      </c>
      <c r="BO60" s="60" t="e">
        <f>(Links!R60^2+'Off-Ramp'!L60^2)/(Links!R60+'Off-Ramp'!L60)</f>
        <v>#DIV/0!</v>
      </c>
      <c r="BP60" s="60" t="e">
        <f>Links!S60</f>
        <v>#DIV/0!</v>
      </c>
      <c r="BQ60" s="60" t="e">
        <f>(Links!S60^2+'Off-Ramp'!C60^2)/(Links!S60+'Off-Ramp'!C60)</f>
        <v>#DIV/0!</v>
      </c>
      <c r="BR60" s="60" t="e">
        <f>Links!T60</f>
        <v>#DIV/0!</v>
      </c>
      <c r="BS60" s="60" t="e">
        <f>(Links!X60^2+'Off-Ramp'!V60^2+'Off-Ramp'!W60^2+'Off-Ramp'!X60^2)/(Links!X60+'Off-Ramp'!V60+'Off-Ramp'!W60+'Off-Ramp'!X60)</f>
        <v>#DIV/0!</v>
      </c>
      <c r="BT60" s="60" t="e">
        <f>(Links!Y60^2+'Off-Ramp'!Y60^2+'Off-Ramp'!Z60^2+'Off-Ramp'!AA60^2)/(Links!Y60+'Off-Ramp'!Y60+'Off-Ramp'!Z60+'Off-Ramp'!AA60)</f>
        <v>#DIV/0!</v>
      </c>
      <c r="BU60" s="60" t="e">
        <f>(Links!W60^2+'Off-Ramp'!P60^2)/(Links!W60+'Off-Ramp'!P60)</f>
        <v>#DIV/0!</v>
      </c>
      <c r="BV60" s="60" t="e">
        <f>(Links!Y60^2+'Off-Ramp'!Q60^2)/(Links!Y60+'Off-Ramp'!Q60)</f>
        <v>#DIV/0!</v>
      </c>
      <c r="BW60" s="60" t="e">
        <f>(Links!Z60^2+'Off-Ramp'!R60^2)/(Links!Z60+'Off-Ramp'!R60)</f>
        <v>#DIV/0!</v>
      </c>
      <c r="BX60" s="60" t="e">
        <f>(Links!AA60+'Off-Ramp'!S60)/(Links!AA60^2+'Off-Ramp'!S60^2)</f>
        <v>#DIV/0!</v>
      </c>
      <c r="BY60" s="60" t="e">
        <f>(Links!AB60^2+'Off-Ramp'!T60^2)/(Links!AB60+'Off-Ramp'!T60)</f>
        <v>#DIV/0!</v>
      </c>
      <c r="BZ60" s="60" t="e">
        <f>Links!AC60</f>
        <v>#DIV/0!</v>
      </c>
      <c r="CA60" s="60" t="e">
        <f>(Links!AD60^2+'Off-Ramp'!U60^2)/(Links!AD60+'Off-Ramp'!U60)</f>
        <v>#DIV/0!</v>
      </c>
    </row>
    <row r="61" spans="1:79" x14ac:dyDescent="0.15">
      <c r="A61" s="58">
        <v>59</v>
      </c>
      <c r="B61" s="59" t="e">
        <f t="shared" si="2"/>
        <v>#DIV/0!</v>
      </c>
      <c r="C61" s="59" t="e">
        <f t="shared" si="3"/>
        <v>#DIV/0!</v>
      </c>
      <c r="D61" s="59" t="e">
        <f t="shared" si="4"/>
        <v>#DIV/0!</v>
      </c>
      <c r="E61" s="59" t="e">
        <f t="shared" si="5"/>
        <v>#DIV/0!</v>
      </c>
      <c r="F61" s="59" t="e">
        <f t="shared" si="6"/>
        <v>#DIV/0!</v>
      </c>
      <c r="G61" s="59" t="e">
        <f t="shared" si="7"/>
        <v>#DIV/0!</v>
      </c>
      <c r="H61" s="59" t="e">
        <f t="shared" si="8"/>
        <v>#DIV/0!</v>
      </c>
      <c r="I61" s="59" t="e">
        <f t="shared" si="9"/>
        <v>#DIV/0!</v>
      </c>
      <c r="J61" s="59" t="e">
        <f t="shared" si="10"/>
        <v>#DIV/0!</v>
      </c>
      <c r="K61" s="59" t="e">
        <f t="shared" si="11"/>
        <v>#DIV/0!</v>
      </c>
      <c r="L61" s="59" t="e">
        <f t="shared" si="12"/>
        <v>#DIV/0!</v>
      </c>
      <c r="M61" s="59" t="e">
        <f t="shared" si="13"/>
        <v>#DIV/0!</v>
      </c>
      <c r="N61" s="59" t="e">
        <f t="shared" si="14"/>
        <v>#DIV/0!</v>
      </c>
      <c r="O61" s="60" t="e">
        <f>Links!B61</f>
        <v>#DIV/0!</v>
      </c>
      <c r="P61" s="60" t="e">
        <f>Links!C61+'On-Ramps'!AC61</f>
        <v>#DIV/0!</v>
      </c>
      <c r="Q61" s="60" t="e">
        <f>Links!D61</f>
        <v>#DIV/0!</v>
      </c>
      <c r="R61" s="60" t="e">
        <f>Links!E61+'On-Ramps'!AD61</f>
        <v>#DIV/0!</v>
      </c>
      <c r="S61" s="60" t="e">
        <f>Links!F61+'On-Ramps'!AE61</f>
        <v>#DIV/0!</v>
      </c>
      <c r="T61" s="60" t="e">
        <f>Links!G61+'On-Ramps'!AF61</f>
        <v>#DIV/0!</v>
      </c>
      <c r="U61" s="60" t="e">
        <f>Links!H61+'On-Ramps'!AG61</f>
        <v>#DIV/0!</v>
      </c>
      <c r="V61" s="60" t="e">
        <f>Links!J61+'On-Ramps'!AH61</f>
        <v>#DIV/0!</v>
      </c>
      <c r="W61" s="60" t="e">
        <f>Links!K61+'On-Ramps'!AI61</f>
        <v>#DIV/0!</v>
      </c>
      <c r="X61" s="60" t="e">
        <f>Links!L61+'On-Ramps'!AJ61</f>
        <v>#DIV/0!</v>
      </c>
      <c r="Y61" s="60" t="e">
        <f>Links!M61</f>
        <v>#DIV/0!</v>
      </c>
      <c r="Z61" s="60" t="e">
        <f>Links!N61+'On-Ramps'!AK61</f>
        <v>#DIV/0!</v>
      </c>
      <c r="AA61" s="60" t="e">
        <f>Links!O61</f>
        <v>#DIV/0!</v>
      </c>
      <c r="AB61" s="59" t="e">
        <f t="shared" si="17"/>
        <v>#DIV/0!</v>
      </c>
      <c r="AC61" s="65"/>
      <c r="AD61" s="59" t="e">
        <f t="shared" si="18"/>
        <v>#DIV/0!</v>
      </c>
      <c r="AE61" s="65"/>
      <c r="AF61" s="59" t="e">
        <f t="shared" si="19"/>
        <v>#DIV/0!</v>
      </c>
      <c r="AG61" s="59" t="e">
        <f t="shared" si="20"/>
        <v>#DIV/0!</v>
      </c>
      <c r="AH61" s="59" t="e">
        <f t="shared" si="21"/>
        <v>#DIV/0!</v>
      </c>
      <c r="AI61" s="59" t="e">
        <f t="shared" si="22"/>
        <v>#DIV/0!</v>
      </c>
      <c r="AJ61" s="59" t="e">
        <f t="shared" si="23"/>
        <v>#DIV/0!</v>
      </c>
      <c r="AK61" s="59" t="e">
        <f t="shared" si="24"/>
        <v>#DIV/0!</v>
      </c>
      <c r="AL61" s="59" t="e">
        <f t="shared" si="25"/>
        <v>#DIV/0!</v>
      </c>
      <c r="AM61" s="65"/>
      <c r="AN61" s="59" t="e">
        <f t="shared" si="27"/>
        <v>#DIV/0!</v>
      </c>
      <c r="AO61" s="60" t="e">
        <f t="shared" si="30"/>
        <v>#DIV/0!</v>
      </c>
      <c r="AP61" s="65"/>
      <c r="AQ61" s="60" t="e">
        <f t="shared" si="29"/>
        <v>#DIV/0!</v>
      </c>
      <c r="AR61" s="65"/>
      <c r="AS61" s="60" t="e">
        <f t="shared" si="29"/>
        <v>#DIV/0!</v>
      </c>
      <c r="AT61" s="60" t="e">
        <f t="shared" si="29"/>
        <v>#DIV/0!</v>
      </c>
      <c r="AU61" s="60" t="e">
        <f t="shared" si="29"/>
        <v>#DIV/0!</v>
      </c>
      <c r="AV61" s="60" t="e">
        <f t="shared" si="29"/>
        <v>#DIV/0!</v>
      </c>
      <c r="AW61" s="60" t="e">
        <f t="shared" si="29"/>
        <v>#DIV/0!</v>
      </c>
      <c r="AX61" s="60" t="e">
        <f t="shared" si="29"/>
        <v>#DIV/0!</v>
      </c>
      <c r="AY61" s="60" t="e">
        <f t="shared" si="29"/>
        <v>#DIV/0!</v>
      </c>
      <c r="AZ61" s="65"/>
      <c r="BA61" s="60" t="e">
        <f t="shared" si="29"/>
        <v>#DIV/0!</v>
      </c>
      <c r="BB61" s="59" t="e">
        <f>Links!AF61</f>
        <v>#DIV/0!</v>
      </c>
      <c r="BC61" s="59" t="e">
        <f>(Links!AG61*Links!C61+'On-Ramps'!AC61*'On-Ramps'!CE61)/('On-Ramps'!AC61+Links!C61)</f>
        <v>#DIV/0!</v>
      </c>
      <c r="BD61" s="59" t="e">
        <f>Links!AH61</f>
        <v>#DIV/0!</v>
      </c>
      <c r="BE61" s="59" t="e">
        <f>(Links!AI61*Links!E61+'On-Ramps'!AD61*'On-Ramps'!CF60)/('On-Ramps'!AD61+Links!E61)</f>
        <v>#DIV/0!</v>
      </c>
      <c r="BF61" s="59" t="e">
        <f>(Links!F61*Links!AJ61+'On-Ramps'!AE61*'On-Ramps'!CG61)/('On-Ramps'!AE61+Links!F61)</f>
        <v>#DIV/0!</v>
      </c>
      <c r="BG61" s="59" t="e">
        <f>(Links!G61*Links!AK61+'On-Ramps'!AF61*'On-Ramps'!CH61)/('On-Ramps'!AF61+Links!G61)</f>
        <v>#DIV/0!</v>
      </c>
      <c r="BH61" s="59" t="e">
        <f>(Links!H61*Links!AL61+'On-Ramps'!AG61*'On-Ramps'!CI61)/('On-Ramps'!AG61+Links!H61)</f>
        <v>#DIV/0!</v>
      </c>
      <c r="BI61" s="59" t="e">
        <f>(Links!J61*Links!AN61+'On-Ramps'!AH61*'On-Ramps'!CJ61)/('On-Ramps'!AH61+Links!J61)</f>
        <v>#DIV/0!</v>
      </c>
      <c r="BJ61" s="59" t="e">
        <f>(Links!K61*Links!AO61+'On-Ramps'!AI61*'On-Ramps'!CK61)/('On-Ramps'!AI61+Links!K61)</f>
        <v>#DIV/0!</v>
      </c>
      <c r="BK61" s="59" t="e">
        <f>(Links!L61*Links!AP61+'On-Ramps'!AJ61*'On-Ramps'!CL61)/(Links!L61+'On-Ramps'!AJ61)</f>
        <v>#DIV/0!</v>
      </c>
      <c r="BL61" s="59" t="e">
        <f>Links!AQ61</f>
        <v>#DIV/0!</v>
      </c>
      <c r="BM61" s="59" t="e">
        <f>(Links!N61*Links!AR61+'On-Ramps'!AL61*'On-Ramps'!CM61)/(Links!N61+'On-Ramps'!AL61)</f>
        <v>#DIV/0!</v>
      </c>
      <c r="BN61" s="59" t="e">
        <f>Links!AS61</f>
        <v>#DIV/0!</v>
      </c>
      <c r="BO61" s="60" t="e">
        <f>(Links!R61^2+'Off-Ramp'!L61^2)/(Links!R61+'Off-Ramp'!L61)</f>
        <v>#DIV/0!</v>
      </c>
      <c r="BP61" s="60" t="e">
        <f>Links!S61</f>
        <v>#DIV/0!</v>
      </c>
      <c r="BQ61" s="60" t="e">
        <f>(Links!S61^2+'Off-Ramp'!C61^2)/(Links!S61+'Off-Ramp'!C61)</f>
        <v>#DIV/0!</v>
      </c>
      <c r="BR61" s="60" t="e">
        <f>Links!T61</f>
        <v>#DIV/0!</v>
      </c>
      <c r="BS61" s="60" t="e">
        <f>(Links!X61^2+'Off-Ramp'!V61^2+'Off-Ramp'!W61^2+'Off-Ramp'!X61^2)/(Links!X61+'Off-Ramp'!V61+'Off-Ramp'!W61+'Off-Ramp'!X61)</f>
        <v>#DIV/0!</v>
      </c>
      <c r="BT61" s="60" t="e">
        <f>(Links!Y61^2+'Off-Ramp'!Y61^2+'Off-Ramp'!Z61^2+'Off-Ramp'!AA61^2)/(Links!Y61+'Off-Ramp'!Y61+'Off-Ramp'!Z61+'Off-Ramp'!AA61)</f>
        <v>#DIV/0!</v>
      </c>
      <c r="BU61" s="60" t="e">
        <f>(Links!W61^2+'Off-Ramp'!P61^2)/(Links!W61+'Off-Ramp'!P61)</f>
        <v>#DIV/0!</v>
      </c>
      <c r="BV61" s="60" t="e">
        <f>(Links!Y61^2+'Off-Ramp'!Q61^2)/(Links!Y61+'Off-Ramp'!Q61)</f>
        <v>#DIV/0!</v>
      </c>
      <c r="BW61" s="60" t="e">
        <f>(Links!Z61^2+'Off-Ramp'!R61^2)/(Links!Z61+'Off-Ramp'!R61)</f>
        <v>#DIV/0!</v>
      </c>
      <c r="BX61" s="60" t="e">
        <f>(Links!AA61+'Off-Ramp'!S61)/(Links!AA61^2+'Off-Ramp'!S61^2)</f>
        <v>#DIV/0!</v>
      </c>
      <c r="BY61" s="60" t="e">
        <f>(Links!AB61^2+'Off-Ramp'!T61^2)/(Links!AB61+'Off-Ramp'!T61)</f>
        <v>#DIV/0!</v>
      </c>
      <c r="BZ61" s="60" t="e">
        <f>Links!AC61</f>
        <v>#DIV/0!</v>
      </c>
      <c r="CA61" s="60" t="e">
        <f>(Links!AD61^2+'Off-Ramp'!U61^2)/(Links!AD61+'Off-Ramp'!U61)</f>
        <v>#DIV/0!</v>
      </c>
    </row>
    <row r="62" spans="1:79" x14ac:dyDescent="0.15">
      <c r="A62" s="58">
        <v>60</v>
      </c>
      <c r="B62" s="59" t="e">
        <f t="shared" si="2"/>
        <v>#DIV/0!</v>
      </c>
      <c r="C62" s="59" t="e">
        <f t="shared" si="3"/>
        <v>#DIV/0!</v>
      </c>
      <c r="D62" s="59" t="e">
        <f t="shared" si="4"/>
        <v>#DIV/0!</v>
      </c>
      <c r="E62" s="59" t="e">
        <f t="shared" si="5"/>
        <v>#DIV/0!</v>
      </c>
      <c r="F62" s="59" t="e">
        <f t="shared" si="6"/>
        <v>#DIV/0!</v>
      </c>
      <c r="G62" s="59" t="e">
        <f t="shared" si="7"/>
        <v>#DIV/0!</v>
      </c>
      <c r="H62" s="59" t="e">
        <f t="shared" si="8"/>
        <v>#DIV/0!</v>
      </c>
      <c r="I62" s="59" t="e">
        <f t="shared" si="9"/>
        <v>#DIV/0!</v>
      </c>
      <c r="J62" s="59" t="e">
        <f t="shared" si="10"/>
        <v>#DIV/0!</v>
      </c>
      <c r="K62" s="59" t="e">
        <f t="shared" si="11"/>
        <v>#DIV/0!</v>
      </c>
      <c r="L62" s="59" t="e">
        <f t="shared" si="12"/>
        <v>#DIV/0!</v>
      </c>
      <c r="M62" s="59" t="e">
        <f t="shared" si="13"/>
        <v>#DIV/0!</v>
      </c>
      <c r="N62" s="59" t="e">
        <f t="shared" si="14"/>
        <v>#DIV/0!</v>
      </c>
      <c r="O62" s="60" t="e">
        <f>Links!B62</f>
        <v>#DIV/0!</v>
      </c>
      <c r="P62" s="60" t="e">
        <f>Links!C62+'On-Ramps'!AC62</f>
        <v>#DIV/0!</v>
      </c>
      <c r="Q62" s="60" t="e">
        <f>Links!D62</f>
        <v>#DIV/0!</v>
      </c>
      <c r="R62" s="60" t="e">
        <f>Links!E62+'On-Ramps'!AD62</f>
        <v>#DIV/0!</v>
      </c>
      <c r="S62" s="60" t="e">
        <f>Links!F62+'On-Ramps'!AE62</f>
        <v>#DIV/0!</v>
      </c>
      <c r="T62" s="60" t="e">
        <f>Links!G62+'On-Ramps'!AF62</f>
        <v>#DIV/0!</v>
      </c>
      <c r="U62" s="60" t="e">
        <f>Links!H62+'On-Ramps'!AG62</f>
        <v>#DIV/0!</v>
      </c>
      <c r="V62" s="60" t="e">
        <f>Links!J62+'On-Ramps'!AH62</f>
        <v>#DIV/0!</v>
      </c>
      <c r="W62" s="60" t="e">
        <f>Links!K62+'On-Ramps'!AI62</f>
        <v>#DIV/0!</v>
      </c>
      <c r="X62" s="60" t="e">
        <f>Links!L62+'On-Ramps'!AJ62</f>
        <v>#DIV/0!</v>
      </c>
      <c r="Y62" s="60" t="e">
        <f>Links!M62</f>
        <v>#DIV/0!</v>
      </c>
      <c r="Z62" s="60" t="e">
        <f>Links!N62+'On-Ramps'!AK62</f>
        <v>#DIV/0!</v>
      </c>
      <c r="AA62" s="60" t="e">
        <f>Links!O62</f>
        <v>#DIV/0!</v>
      </c>
      <c r="AB62" s="59" t="e">
        <f t="shared" si="17"/>
        <v>#DIV/0!</v>
      </c>
      <c r="AC62" s="65"/>
      <c r="AD62" s="59" t="e">
        <f t="shared" si="18"/>
        <v>#DIV/0!</v>
      </c>
      <c r="AE62" s="65"/>
      <c r="AF62" s="59" t="e">
        <f t="shared" si="19"/>
        <v>#DIV/0!</v>
      </c>
      <c r="AG62" s="59" t="e">
        <f t="shared" si="20"/>
        <v>#DIV/0!</v>
      </c>
      <c r="AH62" s="59" t="e">
        <f t="shared" si="21"/>
        <v>#DIV/0!</v>
      </c>
      <c r="AI62" s="59" t="e">
        <f t="shared" si="22"/>
        <v>#DIV/0!</v>
      </c>
      <c r="AJ62" s="59" t="e">
        <f t="shared" si="23"/>
        <v>#DIV/0!</v>
      </c>
      <c r="AK62" s="59" t="e">
        <f t="shared" si="24"/>
        <v>#DIV/0!</v>
      </c>
      <c r="AL62" s="59" t="e">
        <f t="shared" si="25"/>
        <v>#DIV/0!</v>
      </c>
      <c r="AM62" s="65"/>
      <c r="AN62" s="59" t="e">
        <f t="shared" si="27"/>
        <v>#DIV/0!</v>
      </c>
      <c r="AO62" s="60" t="e">
        <f t="shared" si="30"/>
        <v>#DIV/0!</v>
      </c>
      <c r="AP62" s="65"/>
      <c r="AQ62" s="60" t="e">
        <f t="shared" si="29"/>
        <v>#DIV/0!</v>
      </c>
      <c r="AR62" s="65"/>
      <c r="AS62" s="60" t="e">
        <f t="shared" si="29"/>
        <v>#DIV/0!</v>
      </c>
      <c r="AT62" s="60" t="e">
        <f t="shared" si="29"/>
        <v>#DIV/0!</v>
      </c>
      <c r="AU62" s="60" t="e">
        <f t="shared" si="29"/>
        <v>#DIV/0!</v>
      </c>
      <c r="AV62" s="60" t="e">
        <f t="shared" si="29"/>
        <v>#DIV/0!</v>
      </c>
      <c r="AW62" s="60" t="e">
        <f t="shared" si="29"/>
        <v>#DIV/0!</v>
      </c>
      <c r="AX62" s="60" t="e">
        <f t="shared" si="29"/>
        <v>#DIV/0!</v>
      </c>
      <c r="AY62" s="60" t="e">
        <f t="shared" si="29"/>
        <v>#DIV/0!</v>
      </c>
      <c r="AZ62" s="65"/>
      <c r="BA62" s="60" t="e">
        <f t="shared" si="29"/>
        <v>#DIV/0!</v>
      </c>
      <c r="BB62" s="59" t="e">
        <f>Links!AF62</f>
        <v>#DIV/0!</v>
      </c>
      <c r="BC62" s="59" t="e">
        <f>(Links!AG62*Links!C62+'On-Ramps'!AC62*'On-Ramps'!CE62)/('On-Ramps'!AC62+Links!C62)</f>
        <v>#DIV/0!</v>
      </c>
      <c r="BD62" s="59" t="e">
        <f>Links!AH62</f>
        <v>#DIV/0!</v>
      </c>
      <c r="BE62" s="59" t="e">
        <f>(Links!AI62*Links!E62+'On-Ramps'!AD62*'On-Ramps'!CF61)/('On-Ramps'!AD62+Links!E62)</f>
        <v>#DIV/0!</v>
      </c>
      <c r="BF62" s="59" t="e">
        <f>(Links!F62*Links!AJ62+'On-Ramps'!AE62*'On-Ramps'!CG62)/('On-Ramps'!AE62+Links!F62)</f>
        <v>#DIV/0!</v>
      </c>
      <c r="BG62" s="59" t="e">
        <f>(Links!G62*Links!AK62+'On-Ramps'!AF62*'On-Ramps'!CH62)/('On-Ramps'!AF62+Links!G62)</f>
        <v>#DIV/0!</v>
      </c>
      <c r="BH62" s="59" t="e">
        <f>(Links!H62*Links!AL62+'On-Ramps'!AG62*'On-Ramps'!CI62)/('On-Ramps'!AG62+Links!H62)</f>
        <v>#DIV/0!</v>
      </c>
      <c r="BI62" s="59" t="e">
        <f>(Links!J62*Links!AN62+'On-Ramps'!AH62*'On-Ramps'!CJ62)/('On-Ramps'!AH62+Links!J62)</f>
        <v>#DIV/0!</v>
      </c>
      <c r="BJ62" s="59" t="e">
        <f>(Links!K62*Links!AO62+'On-Ramps'!AI62*'On-Ramps'!CK62)/('On-Ramps'!AI62+Links!K62)</f>
        <v>#DIV/0!</v>
      </c>
      <c r="BK62" s="59" t="e">
        <f>(Links!L62*Links!AP62+'On-Ramps'!AJ62*'On-Ramps'!CL62)/(Links!L62+'On-Ramps'!AJ62)</f>
        <v>#DIV/0!</v>
      </c>
      <c r="BL62" s="59" t="e">
        <f>Links!AQ62</f>
        <v>#DIV/0!</v>
      </c>
      <c r="BM62" s="59" t="e">
        <f>(Links!N62*Links!AR62+'On-Ramps'!AL62*'On-Ramps'!CM62)/(Links!N62+'On-Ramps'!AL62)</f>
        <v>#DIV/0!</v>
      </c>
      <c r="BN62" s="59" t="e">
        <f>Links!AS62</f>
        <v>#DIV/0!</v>
      </c>
      <c r="BO62" s="60" t="e">
        <f>(Links!R62^2+'Off-Ramp'!L62^2)/(Links!R62+'Off-Ramp'!L62)</f>
        <v>#DIV/0!</v>
      </c>
      <c r="BP62" s="60" t="e">
        <f>Links!S62</f>
        <v>#DIV/0!</v>
      </c>
      <c r="BQ62" s="60" t="e">
        <f>(Links!S62^2+'Off-Ramp'!C62^2)/(Links!S62+'Off-Ramp'!C62)</f>
        <v>#DIV/0!</v>
      </c>
      <c r="BR62" s="60" t="e">
        <f>Links!T62</f>
        <v>#DIV/0!</v>
      </c>
      <c r="BS62" s="60" t="e">
        <f>(Links!X62^2+'Off-Ramp'!V62^2+'Off-Ramp'!W62^2+'Off-Ramp'!X62^2)/(Links!X62+'Off-Ramp'!V62+'Off-Ramp'!W62+'Off-Ramp'!X62)</f>
        <v>#DIV/0!</v>
      </c>
      <c r="BT62" s="60" t="e">
        <f>(Links!Y62^2+'Off-Ramp'!Y62^2+'Off-Ramp'!Z62^2+'Off-Ramp'!AA62^2)/(Links!Y62+'Off-Ramp'!Y62+'Off-Ramp'!Z62+'Off-Ramp'!AA62)</f>
        <v>#DIV/0!</v>
      </c>
      <c r="BU62" s="60" t="e">
        <f>(Links!W62^2+'Off-Ramp'!P62^2)/(Links!W62+'Off-Ramp'!P62)</f>
        <v>#DIV/0!</v>
      </c>
      <c r="BV62" s="60" t="e">
        <f>(Links!Y62^2+'Off-Ramp'!Q62^2)/(Links!Y62+'Off-Ramp'!Q62)</f>
        <v>#DIV/0!</v>
      </c>
      <c r="BW62" s="60" t="e">
        <f>(Links!Z62^2+'Off-Ramp'!R62^2)/(Links!Z62+'Off-Ramp'!R62)</f>
        <v>#DIV/0!</v>
      </c>
      <c r="BX62" s="60" t="e">
        <f>(Links!AA62+'Off-Ramp'!S62)/(Links!AA62^2+'Off-Ramp'!S62^2)</f>
        <v>#DIV/0!</v>
      </c>
      <c r="BY62" s="60" t="e">
        <f>(Links!AB62^2+'Off-Ramp'!T62^2)/(Links!AB62+'Off-Ramp'!T62)</f>
        <v>#DIV/0!</v>
      </c>
      <c r="BZ62" s="60" t="e">
        <f>Links!AC62</f>
        <v>#DIV/0!</v>
      </c>
      <c r="CA62" s="60" t="e">
        <f>(Links!AD62^2+'Off-Ramp'!U62^2)/(Links!AD62+'Off-Ramp'!U62)</f>
        <v>#DIV/0!</v>
      </c>
    </row>
    <row r="63" spans="1:79" x14ac:dyDescent="0.15">
      <c r="A63" s="58">
        <v>61</v>
      </c>
      <c r="B63" s="59" t="e">
        <f t="shared" si="2"/>
        <v>#DIV/0!</v>
      </c>
      <c r="C63" s="59" t="e">
        <f t="shared" si="3"/>
        <v>#DIV/0!</v>
      </c>
      <c r="D63" s="59" t="e">
        <f t="shared" si="4"/>
        <v>#DIV/0!</v>
      </c>
      <c r="E63" s="59" t="e">
        <f t="shared" si="5"/>
        <v>#DIV/0!</v>
      </c>
      <c r="F63" s="59" t="e">
        <f t="shared" si="6"/>
        <v>#DIV/0!</v>
      </c>
      <c r="G63" s="59" t="e">
        <f t="shared" si="7"/>
        <v>#DIV/0!</v>
      </c>
      <c r="H63" s="59" t="e">
        <f t="shared" si="8"/>
        <v>#DIV/0!</v>
      </c>
      <c r="I63" s="59" t="e">
        <f t="shared" si="9"/>
        <v>#DIV/0!</v>
      </c>
      <c r="J63" s="59" t="e">
        <f t="shared" si="10"/>
        <v>#DIV/0!</v>
      </c>
      <c r="K63" s="59" t="e">
        <f t="shared" si="11"/>
        <v>#DIV/0!</v>
      </c>
      <c r="L63" s="59" t="e">
        <f t="shared" si="12"/>
        <v>#DIV/0!</v>
      </c>
      <c r="M63" s="59" t="e">
        <f t="shared" si="13"/>
        <v>#DIV/0!</v>
      </c>
      <c r="N63" s="59" t="e">
        <f t="shared" si="14"/>
        <v>#DIV/0!</v>
      </c>
      <c r="O63" s="60" t="e">
        <f>Links!B63</f>
        <v>#DIV/0!</v>
      </c>
      <c r="P63" s="60" t="e">
        <f>Links!C63+'On-Ramps'!AC63</f>
        <v>#DIV/0!</v>
      </c>
      <c r="Q63" s="60" t="e">
        <f>Links!D63</f>
        <v>#DIV/0!</v>
      </c>
      <c r="R63" s="60" t="e">
        <f>Links!E63+'On-Ramps'!AD63</f>
        <v>#DIV/0!</v>
      </c>
      <c r="S63" s="60" t="e">
        <f>Links!F63+'On-Ramps'!AE63</f>
        <v>#DIV/0!</v>
      </c>
      <c r="T63" s="60" t="e">
        <f>Links!G63+'On-Ramps'!AF63</f>
        <v>#DIV/0!</v>
      </c>
      <c r="U63" s="60" t="e">
        <f>Links!H63+'On-Ramps'!AG63</f>
        <v>#DIV/0!</v>
      </c>
      <c r="V63" s="60" t="e">
        <f>Links!J63+'On-Ramps'!AH63</f>
        <v>#DIV/0!</v>
      </c>
      <c r="W63" s="60" t="e">
        <f>Links!K63+'On-Ramps'!AI63</f>
        <v>#DIV/0!</v>
      </c>
      <c r="X63" s="60" t="e">
        <f>Links!L63+'On-Ramps'!AJ63</f>
        <v>#DIV/0!</v>
      </c>
      <c r="Y63" s="60" t="e">
        <f>Links!M63</f>
        <v>#DIV/0!</v>
      </c>
      <c r="Z63" s="60" t="e">
        <f>Links!N63+'On-Ramps'!AK63</f>
        <v>#DIV/0!</v>
      </c>
      <c r="AA63" s="60" t="e">
        <f>Links!O63</f>
        <v>#DIV/0!</v>
      </c>
      <c r="AB63" s="59" t="e">
        <f t="shared" si="17"/>
        <v>#DIV/0!</v>
      </c>
      <c r="AC63" s="65"/>
      <c r="AD63" s="59" t="e">
        <f t="shared" si="18"/>
        <v>#DIV/0!</v>
      </c>
      <c r="AE63" s="65"/>
      <c r="AF63" s="59" t="e">
        <f t="shared" si="19"/>
        <v>#DIV/0!</v>
      </c>
      <c r="AG63" s="59" t="e">
        <f t="shared" si="20"/>
        <v>#DIV/0!</v>
      </c>
      <c r="AH63" s="59" t="e">
        <f t="shared" si="21"/>
        <v>#DIV/0!</v>
      </c>
      <c r="AI63" s="59" t="e">
        <f t="shared" si="22"/>
        <v>#DIV/0!</v>
      </c>
      <c r="AJ63" s="59" t="e">
        <f t="shared" si="23"/>
        <v>#DIV/0!</v>
      </c>
      <c r="AK63" s="59" t="e">
        <f t="shared" si="24"/>
        <v>#DIV/0!</v>
      </c>
      <c r="AL63" s="59" t="e">
        <f t="shared" si="25"/>
        <v>#DIV/0!</v>
      </c>
      <c r="AM63" s="65"/>
      <c r="AN63" s="59" t="e">
        <f t="shared" si="27"/>
        <v>#DIV/0!</v>
      </c>
      <c r="AO63" s="60" t="e">
        <f t="shared" si="30"/>
        <v>#DIV/0!</v>
      </c>
      <c r="AP63" s="65"/>
      <c r="AQ63" s="60" t="e">
        <f t="shared" si="29"/>
        <v>#DIV/0!</v>
      </c>
      <c r="AR63" s="65"/>
      <c r="AS63" s="60" t="e">
        <f t="shared" si="29"/>
        <v>#DIV/0!</v>
      </c>
      <c r="AT63" s="60" t="e">
        <f t="shared" si="29"/>
        <v>#DIV/0!</v>
      </c>
      <c r="AU63" s="60" t="e">
        <f t="shared" si="29"/>
        <v>#DIV/0!</v>
      </c>
      <c r="AV63" s="60" t="e">
        <f t="shared" si="29"/>
        <v>#DIV/0!</v>
      </c>
      <c r="AW63" s="60" t="e">
        <f t="shared" si="29"/>
        <v>#DIV/0!</v>
      </c>
      <c r="AX63" s="60" t="e">
        <f t="shared" si="29"/>
        <v>#DIV/0!</v>
      </c>
      <c r="AY63" s="60" t="e">
        <f t="shared" si="29"/>
        <v>#DIV/0!</v>
      </c>
      <c r="AZ63" s="65"/>
      <c r="BA63" s="60" t="e">
        <f t="shared" si="29"/>
        <v>#DIV/0!</v>
      </c>
      <c r="BB63" s="59" t="e">
        <f>Links!AF63</f>
        <v>#DIV/0!</v>
      </c>
      <c r="BC63" s="59" t="e">
        <f>(Links!AG63*Links!C63+'On-Ramps'!AC63*'On-Ramps'!CE63)/('On-Ramps'!AC63+Links!C63)</f>
        <v>#DIV/0!</v>
      </c>
      <c r="BD63" s="59" t="e">
        <f>Links!AH63</f>
        <v>#DIV/0!</v>
      </c>
      <c r="BE63" s="59" t="e">
        <f>(Links!AI63*Links!E63+'On-Ramps'!AD63*'On-Ramps'!CF62)/('On-Ramps'!AD63+Links!E63)</f>
        <v>#DIV/0!</v>
      </c>
      <c r="BF63" s="59" t="e">
        <f>(Links!F63*Links!AJ63+'On-Ramps'!AE63*'On-Ramps'!CG63)/('On-Ramps'!AE63+Links!F63)</f>
        <v>#DIV/0!</v>
      </c>
      <c r="BG63" s="59" t="e">
        <f>(Links!G63*Links!AK63+'On-Ramps'!AF63*'On-Ramps'!CH63)/('On-Ramps'!AF63+Links!G63)</f>
        <v>#DIV/0!</v>
      </c>
      <c r="BH63" s="59" t="e">
        <f>(Links!H63*Links!AL63+'On-Ramps'!AG63*'On-Ramps'!CI63)/('On-Ramps'!AG63+Links!H63)</f>
        <v>#DIV/0!</v>
      </c>
      <c r="BI63" s="59" t="e">
        <f>(Links!J63*Links!AN63+'On-Ramps'!AH63*'On-Ramps'!CJ63)/('On-Ramps'!AH63+Links!J63)</f>
        <v>#DIV/0!</v>
      </c>
      <c r="BJ63" s="59" t="e">
        <f>(Links!K63*Links!AO63+'On-Ramps'!AI63*'On-Ramps'!CK63)/('On-Ramps'!AI63+Links!K63)</f>
        <v>#DIV/0!</v>
      </c>
      <c r="BK63" s="59" t="e">
        <f>(Links!L63*Links!AP63+'On-Ramps'!AJ63*'On-Ramps'!CL63)/(Links!L63+'On-Ramps'!AJ63)</f>
        <v>#DIV/0!</v>
      </c>
      <c r="BL63" s="59" t="e">
        <f>Links!AQ63</f>
        <v>#DIV/0!</v>
      </c>
      <c r="BM63" s="59" t="e">
        <f>(Links!N63*Links!AR63+'On-Ramps'!AL63*'On-Ramps'!CM63)/(Links!N63+'On-Ramps'!AL63)</f>
        <v>#DIV/0!</v>
      </c>
      <c r="BN63" s="59" t="e">
        <f>Links!AS63</f>
        <v>#DIV/0!</v>
      </c>
      <c r="BO63" s="60" t="e">
        <f>(Links!R63^2+'Off-Ramp'!L63^2)/(Links!R63+'Off-Ramp'!L63)</f>
        <v>#DIV/0!</v>
      </c>
      <c r="BP63" s="60" t="e">
        <f>Links!S63</f>
        <v>#DIV/0!</v>
      </c>
      <c r="BQ63" s="60" t="e">
        <f>(Links!S63^2+'Off-Ramp'!C63^2)/(Links!S63+'Off-Ramp'!C63)</f>
        <v>#DIV/0!</v>
      </c>
      <c r="BR63" s="60" t="e">
        <f>Links!T63</f>
        <v>#DIV/0!</v>
      </c>
      <c r="BS63" s="60" t="e">
        <f>(Links!X63^2+'Off-Ramp'!V63^2+'Off-Ramp'!W63^2+'Off-Ramp'!X63^2)/(Links!X63+'Off-Ramp'!V63+'Off-Ramp'!W63+'Off-Ramp'!X63)</f>
        <v>#DIV/0!</v>
      </c>
      <c r="BT63" s="60" t="e">
        <f>(Links!Y63^2+'Off-Ramp'!Y63^2+'Off-Ramp'!Z63^2+'Off-Ramp'!AA63^2)/(Links!Y63+'Off-Ramp'!Y63+'Off-Ramp'!Z63+'Off-Ramp'!AA63)</f>
        <v>#DIV/0!</v>
      </c>
      <c r="BU63" s="60" t="e">
        <f>(Links!W63^2+'Off-Ramp'!P63^2)/(Links!W63+'Off-Ramp'!P63)</f>
        <v>#DIV/0!</v>
      </c>
      <c r="BV63" s="60" t="e">
        <f>(Links!Y63^2+'Off-Ramp'!Q63^2)/(Links!Y63+'Off-Ramp'!Q63)</f>
        <v>#DIV/0!</v>
      </c>
      <c r="BW63" s="60" t="e">
        <f>(Links!Z63^2+'Off-Ramp'!R63^2)/(Links!Z63+'Off-Ramp'!R63)</f>
        <v>#DIV/0!</v>
      </c>
      <c r="BX63" s="60" t="e">
        <f>(Links!AA63+'Off-Ramp'!S63)/(Links!AA63^2+'Off-Ramp'!S63^2)</f>
        <v>#DIV/0!</v>
      </c>
      <c r="BY63" s="60" t="e">
        <f>(Links!AB63^2+'Off-Ramp'!T63^2)/(Links!AB63+'Off-Ramp'!T63)</f>
        <v>#DIV/0!</v>
      </c>
      <c r="BZ63" s="60" t="e">
        <f>Links!AC63</f>
        <v>#DIV/0!</v>
      </c>
      <c r="CA63" s="60" t="e">
        <f>(Links!AD63^2+'Off-Ramp'!U63^2)/(Links!AD63+'Off-Ramp'!U63)</f>
        <v>#DIV/0!</v>
      </c>
    </row>
    <row r="64" spans="1:79" x14ac:dyDescent="0.15">
      <c r="A64" s="58">
        <v>62</v>
      </c>
      <c r="B64" s="59" t="e">
        <f t="shared" si="2"/>
        <v>#DIV/0!</v>
      </c>
      <c r="C64" s="59" t="e">
        <f t="shared" si="3"/>
        <v>#DIV/0!</v>
      </c>
      <c r="D64" s="59" t="e">
        <f t="shared" si="4"/>
        <v>#DIV/0!</v>
      </c>
      <c r="E64" s="59" t="e">
        <f t="shared" si="5"/>
        <v>#DIV/0!</v>
      </c>
      <c r="F64" s="59" t="e">
        <f t="shared" si="6"/>
        <v>#DIV/0!</v>
      </c>
      <c r="G64" s="59" t="e">
        <f t="shared" si="7"/>
        <v>#DIV/0!</v>
      </c>
      <c r="H64" s="59" t="e">
        <f t="shared" si="8"/>
        <v>#DIV/0!</v>
      </c>
      <c r="I64" s="59" t="e">
        <f t="shared" si="9"/>
        <v>#DIV/0!</v>
      </c>
      <c r="J64" s="59" t="e">
        <f t="shared" si="10"/>
        <v>#DIV/0!</v>
      </c>
      <c r="K64" s="59" t="e">
        <f t="shared" si="11"/>
        <v>#DIV/0!</v>
      </c>
      <c r="L64" s="59" t="e">
        <f t="shared" si="12"/>
        <v>#DIV/0!</v>
      </c>
      <c r="M64" s="59" t="e">
        <f t="shared" si="13"/>
        <v>#DIV/0!</v>
      </c>
      <c r="N64" s="59" t="e">
        <f t="shared" si="14"/>
        <v>#DIV/0!</v>
      </c>
      <c r="O64" s="60" t="e">
        <f>Links!B64</f>
        <v>#DIV/0!</v>
      </c>
      <c r="P64" s="60" t="e">
        <f>Links!C64+'On-Ramps'!AC64</f>
        <v>#DIV/0!</v>
      </c>
      <c r="Q64" s="60" t="e">
        <f>Links!D64</f>
        <v>#DIV/0!</v>
      </c>
      <c r="R64" s="60" t="e">
        <f>Links!E64+'On-Ramps'!AD64</f>
        <v>#DIV/0!</v>
      </c>
      <c r="S64" s="60" t="e">
        <f>Links!F64+'On-Ramps'!AE64</f>
        <v>#DIV/0!</v>
      </c>
      <c r="T64" s="60" t="e">
        <f>Links!G64+'On-Ramps'!AF64</f>
        <v>#DIV/0!</v>
      </c>
      <c r="U64" s="60" t="e">
        <f>Links!H64+'On-Ramps'!AG64</f>
        <v>#DIV/0!</v>
      </c>
      <c r="V64" s="60" t="e">
        <f>Links!J64+'On-Ramps'!AH64</f>
        <v>#DIV/0!</v>
      </c>
      <c r="W64" s="60" t="e">
        <f>Links!K64+'On-Ramps'!AI64</f>
        <v>#DIV/0!</v>
      </c>
      <c r="X64" s="60" t="e">
        <f>Links!L64+'On-Ramps'!AJ64</f>
        <v>#DIV/0!</v>
      </c>
      <c r="Y64" s="60" t="e">
        <f>Links!M64</f>
        <v>#DIV/0!</v>
      </c>
      <c r="Z64" s="60" t="e">
        <f>Links!N64+'On-Ramps'!AK64</f>
        <v>#DIV/0!</v>
      </c>
      <c r="AA64" s="60" t="e">
        <f>Links!O64</f>
        <v>#DIV/0!</v>
      </c>
      <c r="AB64" s="59" t="e">
        <f t="shared" si="17"/>
        <v>#DIV/0!</v>
      </c>
      <c r="AC64" s="65"/>
      <c r="AD64" s="59" t="e">
        <f t="shared" si="18"/>
        <v>#DIV/0!</v>
      </c>
      <c r="AE64" s="65"/>
      <c r="AF64" s="59" t="e">
        <f t="shared" si="19"/>
        <v>#DIV/0!</v>
      </c>
      <c r="AG64" s="59" t="e">
        <f t="shared" si="20"/>
        <v>#DIV/0!</v>
      </c>
      <c r="AH64" s="59" t="e">
        <f t="shared" si="21"/>
        <v>#DIV/0!</v>
      </c>
      <c r="AI64" s="59" t="e">
        <f t="shared" si="22"/>
        <v>#DIV/0!</v>
      </c>
      <c r="AJ64" s="59" t="e">
        <f t="shared" si="23"/>
        <v>#DIV/0!</v>
      </c>
      <c r="AK64" s="59" t="e">
        <f t="shared" si="24"/>
        <v>#DIV/0!</v>
      </c>
      <c r="AL64" s="59" t="e">
        <f t="shared" si="25"/>
        <v>#DIV/0!</v>
      </c>
      <c r="AM64" s="65"/>
      <c r="AN64" s="59" t="e">
        <f t="shared" si="27"/>
        <v>#DIV/0!</v>
      </c>
      <c r="AO64" s="60" t="e">
        <f t="shared" si="30"/>
        <v>#DIV/0!</v>
      </c>
      <c r="AP64" s="65"/>
      <c r="AQ64" s="60" t="e">
        <f t="shared" si="29"/>
        <v>#DIV/0!</v>
      </c>
      <c r="AR64" s="65"/>
      <c r="AS64" s="60" t="e">
        <f t="shared" si="29"/>
        <v>#DIV/0!</v>
      </c>
      <c r="AT64" s="60" t="e">
        <f t="shared" si="29"/>
        <v>#DIV/0!</v>
      </c>
      <c r="AU64" s="60" t="e">
        <f t="shared" si="29"/>
        <v>#DIV/0!</v>
      </c>
      <c r="AV64" s="60" t="e">
        <f t="shared" si="29"/>
        <v>#DIV/0!</v>
      </c>
      <c r="AW64" s="60" t="e">
        <f t="shared" si="29"/>
        <v>#DIV/0!</v>
      </c>
      <c r="AX64" s="60" t="e">
        <f t="shared" si="29"/>
        <v>#DIV/0!</v>
      </c>
      <c r="AY64" s="60" t="e">
        <f t="shared" si="29"/>
        <v>#DIV/0!</v>
      </c>
      <c r="AZ64" s="65"/>
      <c r="BA64" s="60" t="e">
        <f t="shared" si="29"/>
        <v>#DIV/0!</v>
      </c>
      <c r="BB64" s="59" t="e">
        <f>Links!AF64</f>
        <v>#DIV/0!</v>
      </c>
      <c r="BC64" s="59" t="e">
        <f>(Links!AG64*Links!C64+'On-Ramps'!AC64*'On-Ramps'!CE64)/('On-Ramps'!AC64+Links!C64)</f>
        <v>#DIV/0!</v>
      </c>
      <c r="BD64" s="59" t="e">
        <f>Links!AH64</f>
        <v>#DIV/0!</v>
      </c>
      <c r="BE64" s="59" t="e">
        <f>(Links!AI64*Links!E64+'On-Ramps'!AD64*'On-Ramps'!CF63)/('On-Ramps'!AD64+Links!E64)</f>
        <v>#DIV/0!</v>
      </c>
      <c r="BF64" s="59" t="e">
        <f>(Links!F64*Links!AJ64+'On-Ramps'!AE64*'On-Ramps'!CG64)/('On-Ramps'!AE64+Links!F64)</f>
        <v>#DIV/0!</v>
      </c>
      <c r="BG64" s="59" t="e">
        <f>(Links!G64*Links!AK64+'On-Ramps'!AF64*'On-Ramps'!CH64)/('On-Ramps'!AF64+Links!G64)</f>
        <v>#DIV/0!</v>
      </c>
      <c r="BH64" s="59" t="e">
        <f>(Links!H64*Links!AL64+'On-Ramps'!AG64*'On-Ramps'!CI64)/('On-Ramps'!AG64+Links!H64)</f>
        <v>#DIV/0!</v>
      </c>
      <c r="BI64" s="59" t="e">
        <f>(Links!J64*Links!AN64+'On-Ramps'!AH64*'On-Ramps'!CJ64)/('On-Ramps'!AH64+Links!J64)</f>
        <v>#DIV/0!</v>
      </c>
      <c r="BJ64" s="59" t="e">
        <f>(Links!K64*Links!AO64+'On-Ramps'!AI64*'On-Ramps'!CK64)/('On-Ramps'!AI64+Links!K64)</f>
        <v>#DIV/0!</v>
      </c>
      <c r="BK64" s="59" t="e">
        <f>(Links!L64*Links!AP64+'On-Ramps'!AJ64*'On-Ramps'!CL64)/(Links!L64+'On-Ramps'!AJ64)</f>
        <v>#DIV/0!</v>
      </c>
      <c r="BL64" s="59" t="e">
        <f>Links!AQ64</f>
        <v>#DIV/0!</v>
      </c>
      <c r="BM64" s="59" t="e">
        <f>(Links!N64*Links!AR64+'On-Ramps'!AL64*'On-Ramps'!CM64)/(Links!N64+'On-Ramps'!AL64)</f>
        <v>#DIV/0!</v>
      </c>
      <c r="BN64" s="59" t="e">
        <f>Links!AS64</f>
        <v>#DIV/0!</v>
      </c>
      <c r="BO64" s="60" t="e">
        <f>(Links!R64^2+'Off-Ramp'!L64^2)/(Links!R64+'Off-Ramp'!L64)</f>
        <v>#DIV/0!</v>
      </c>
      <c r="BP64" s="60" t="e">
        <f>Links!S64</f>
        <v>#DIV/0!</v>
      </c>
      <c r="BQ64" s="60" t="e">
        <f>(Links!S64^2+'Off-Ramp'!C64^2)/(Links!S64+'Off-Ramp'!C64)</f>
        <v>#DIV/0!</v>
      </c>
      <c r="BR64" s="60" t="e">
        <f>Links!T64</f>
        <v>#DIV/0!</v>
      </c>
      <c r="BS64" s="60" t="e">
        <f>(Links!X64^2+'Off-Ramp'!V64^2+'Off-Ramp'!W64^2+'Off-Ramp'!X64^2)/(Links!X64+'Off-Ramp'!V64+'Off-Ramp'!W64+'Off-Ramp'!X64)</f>
        <v>#DIV/0!</v>
      </c>
      <c r="BT64" s="60" t="e">
        <f>(Links!Y64^2+'Off-Ramp'!Y64^2+'Off-Ramp'!Z64^2+'Off-Ramp'!AA64^2)/(Links!Y64+'Off-Ramp'!Y64+'Off-Ramp'!Z64+'Off-Ramp'!AA64)</f>
        <v>#DIV/0!</v>
      </c>
      <c r="BU64" s="60" t="e">
        <f>(Links!W64^2+'Off-Ramp'!P64^2)/(Links!W64+'Off-Ramp'!P64)</f>
        <v>#DIV/0!</v>
      </c>
      <c r="BV64" s="60" t="e">
        <f>(Links!Y64^2+'Off-Ramp'!Q64^2)/(Links!Y64+'Off-Ramp'!Q64)</f>
        <v>#DIV/0!</v>
      </c>
      <c r="BW64" s="60" t="e">
        <f>(Links!Z64^2+'Off-Ramp'!R64^2)/(Links!Z64+'Off-Ramp'!R64)</f>
        <v>#DIV/0!</v>
      </c>
      <c r="BX64" s="60" t="e">
        <f>(Links!AA64+'Off-Ramp'!S64)/(Links!AA64^2+'Off-Ramp'!S64^2)</f>
        <v>#DIV/0!</v>
      </c>
      <c r="BY64" s="60" t="e">
        <f>(Links!AB64^2+'Off-Ramp'!T64^2)/(Links!AB64+'Off-Ramp'!T64)</f>
        <v>#DIV/0!</v>
      </c>
      <c r="BZ64" s="60" t="e">
        <f>Links!AC64</f>
        <v>#DIV/0!</v>
      </c>
      <c r="CA64" s="60" t="e">
        <f>(Links!AD64^2+'Off-Ramp'!U64^2)/(Links!AD64+'Off-Ramp'!U64)</f>
        <v>#DIV/0!</v>
      </c>
    </row>
    <row r="65" spans="1:79" x14ac:dyDescent="0.15">
      <c r="A65" s="58">
        <v>63</v>
      </c>
      <c r="B65" s="59" t="e">
        <f t="shared" si="2"/>
        <v>#DIV/0!</v>
      </c>
      <c r="C65" s="59" t="e">
        <f t="shared" si="3"/>
        <v>#DIV/0!</v>
      </c>
      <c r="D65" s="59" t="e">
        <f t="shared" si="4"/>
        <v>#DIV/0!</v>
      </c>
      <c r="E65" s="59" t="e">
        <f t="shared" si="5"/>
        <v>#DIV/0!</v>
      </c>
      <c r="F65" s="59" t="e">
        <f t="shared" si="6"/>
        <v>#DIV/0!</v>
      </c>
      <c r="G65" s="59" t="e">
        <f t="shared" si="7"/>
        <v>#DIV/0!</v>
      </c>
      <c r="H65" s="59" t="e">
        <f t="shared" si="8"/>
        <v>#DIV/0!</v>
      </c>
      <c r="I65" s="59" t="e">
        <f t="shared" si="9"/>
        <v>#DIV/0!</v>
      </c>
      <c r="J65" s="59" t="e">
        <f t="shared" si="10"/>
        <v>#DIV/0!</v>
      </c>
      <c r="K65" s="59" t="e">
        <f t="shared" si="11"/>
        <v>#DIV/0!</v>
      </c>
      <c r="L65" s="59" t="e">
        <f t="shared" si="12"/>
        <v>#DIV/0!</v>
      </c>
      <c r="M65" s="59" t="e">
        <f t="shared" si="13"/>
        <v>#DIV/0!</v>
      </c>
      <c r="N65" s="59" t="e">
        <f t="shared" si="14"/>
        <v>#DIV/0!</v>
      </c>
      <c r="O65" s="60" t="e">
        <f>Links!B65</f>
        <v>#DIV/0!</v>
      </c>
      <c r="P65" s="60" t="e">
        <f>Links!C65+'On-Ramps'!AC65</f>
        <v>#DIV/0!</v>
      </c>
      <c r="Q65" s="60" t="e">
        <f>Links!D65</f>
        <v>#DIV/0!</v>
      </c>
      <c r="R65" s="60" t="e">
        <f>Links!E65+'On-Ramps'!AD65</f>
        <v>#DIV/0!</v>
      </c>
      <c r="S65" s="60" t="e">
        <f>Links!F65+'On-Ramps'!AE65</f>
        <v>#DIV/0!</v>
      </c>
      <c r="T65" s="60" t="e">
        <f>Links!G65+'On-Ramps'!AF65</f>
        <v>#DIV/0!</v>
      </c>
      <c r="U65" s="60" t="e">
        <f>Links!H65+'On-Ramps'!AG65</f>
        <v>#DIV/0!</v>
      </c>
      <c r="V65" s="60" t="e">
        <f>Links!J65+'On-Ramps'!AH65</f>
        <v>#DIV/0!</v>
      </c>
      <c r="W65" s="60" t="e">
        <f>Links!K65+'On-Ramps'!AI65</f>
        <v>#DIV/0!</v>
      </c>
      <c r="X65" s="60" t="e">
        <f>Links!L65+'On-Ramps'!AJ65</f>
        <v>#DIV/0!</v>
      </c>
      <c r="Y65" s="60" t="e">
        <f>Links!M65</f>
        <v>#DIV/0!</v>
      </c>
      <c r="Z65" s="60" t="e">
        <f>Links!N65+'On-Ramps'!AK65</f>
        <v>#DIV/0!</v>
      </c>
      <c r="AA65" s="60" t="e">
        <f>Links!O65</f>
        <v>#DIV/0!</v>
      </c>
      <c r="AB65" s="59" t="e">
        <f t="shared" si="17"/>
        <v>#DIV/0!</v>
      </c>
      <c r="AC65" s="65"/>
      <c r="AD65" s="59" t="e">
        <f t="shared" si="18"/>
        <v>#DIV/0!</v>
      </c>
      <c r="AE65" s="65"/>
      <c r="AF65" s="59" t="e">
        <f t="shared" si="19"/>
        <v>#DIV/0!</v>
      </c>
      <c r="AG65" s="59" t="e">
        <f t="shared" si="20"/>
        <v>#DIV/0!</v>
      </c>
      <c r="AH65" s="59" t="e">
        <f t="shared" si="21"/>
        <v>#DIV/0!</v>
      </c>
      <c r="AI65" s="59" t="e">
        <f t="shared" si="22"/>
        <v>#DIV/0!</v>
      </c>
      <c r="AJ65" s="59" t="e">
        <f t="shared" si="23"/>
        <v>#DIV/0!</v>
      </c>
      <c r="AK65" s="59" t="e">
        <f t="shared" si="24"/>
        <v>#DIV/0!</v>
      </c>
      <c r="AL65" s="59" t="e">
        <f t="shared" si="25"/>
        <v>#DIV/0!</v>
      </c>
      <c r="AM65" s="65"/>
      <c r="AN65" s="59" t="e">
        <f t="shared" si="27"/>
        <v>#DIV/0!</v>
      </c>
      <c r="AO65" s="60" t="e">
        <f t="shared" si="30"/>
        <v>#DIV/0!</v>
      </c>
      <c r="AP65" s="65"/>
      <c r="AQ65" s="60" t="e">
        <f t="shared" si="29"/>
        <v>#DIV/0!</v>
      </c>
      <c r="AR65" s="65"/>
      <c r="AS65" s="60" t="e">
        <f t="shared" si="29"/>
        <v>#DIV/0!</v>
      </c>
      <c r="AT65" s="60" t="e">
        <f t="shared" si="29"/>
        <v>#DIV/0!</v>
      </c>
      <c r="AU65" s="60" t="e">
        <f t="shared" si="29"/>
        <v>#DIV/0!</v>
      </c>
      <c r="AV65" s="60" t="e">
        <f t="shared" si="29"/>
        <v>#DIV/0!</v>
      </c>
      <c r="AW65" s="60" t="e">
        <f t="shared" si="29"/>
        <v>#DIV/0!</v>
      </c>
      <c r="AX65" s="60" t="e">
        <f t="shared" si="29"/>
        <v>#DIV/0!</v>
      </c>
      <c r="AY65" s="60" t="e">
        <f t="shared" si="29"/>
        <v>#DIV/0!</v>
      </c>
      <c r="AZ65" s="65"/>
      <c r="BA65" s="60" t="e">
        <f t="shared" si="29"/>
        <v>#DIV/0!</v>
      </c>
      <c r="BB65" s="59" t="e">
        <f>Links!AF65</f>
        <v>#DIV/0!</v>
      </c>
      <c r="BC65" s="59" t="e">
        <f>(Links!AG65*Links!C65+'On-Ramps'!AC65*'On-Ramps'!CE65)/('On-Ramps'!AC65+Links!C65)</f>
        <v>#DIV/0!</v>
      </c>
      <c r="BD65" s="59" t="e">
        <f>Links!AH65</f>
        <v>#DIV/0!</v>
      </c>
      <c r="BE65" s="59" t="e">
        <f>(Links!AI65*Links!E65+'On-Ramps'!AD65*'On-Ramps'!CF64)/('On-Ramps'!AD65+Links!E65)</f>
        <v>#DIV/0!</v>
      </c>
      <c r="BF65" s="59" t="e">
        <f>(Links!F65*Links!AJ65+'On-Ramps'!AE65*'On-Ramps'!CG65)/('On-Ramps'!AE65+Links!F65)</f>
        <v>#DIV/0!</v>
      </c>
      <c r="BG65" s="59" t="e">
        <f>(Links!G65*Links!AK65+'On-Ramps'!AF65*'On-Ramps'!CH65)/('On-Ramps'!AF65+Links!G65)</f>
        <v>#DIV/0!</v>
      </c>
      <c r="BH65" s="59" t="e">
        <f>(Links!H65*Links!AL65+'On-Ramps'!AG65*'On-Ramps'!CI65)/('On-Ramps'!AG65+Links!H65)</f>
        <v>#DIV/0!</v>
      </c>
      <c r="BI65" s="59" t="e">
        <f>(Links!J65*Links!AN65+'On-Ramps'!AH65*'On-Ramps'!CJ65)/('On-Ramps'!AH65+Links!J65)</f>
        <v>#DIV/0!</v>
      </c>
      <c r="BJ65" s="59" t="e">
        <f>(Links!K65*Links!AO65+'On-Ramps'!AI65*'On-Ramps'!CK65)/('On-Ramps'!AI65+Links!K65)</f>
        <v>#DIV/0!</v>
      </c>
      <c r="BK65" s="59" t="e">
        <f>(Links!L65*Links!AP65+'On-Ramps'!AJ65*'On-Ramps'!CL65)/(Links!L65+'On-Ramps'!AJ65)</f>
        <v>#DIV/0!</v>
      </c>
      <c r="BL65" s="59" t="e">
        <f>Links!AQ65</f>
        <v>#DIV/0!</v>
      </c>
      <c r="BM65" s="59" t="e">
        <f>(Links!N65*Links!AR65+'On-Ramps'!AL65*'On-Ramps'!CM65)/(Links!N65+'On-Ramps'!AL65)</f>
        <v>#DIV/0!</v>
      </c>
      <c r="BN65" s="59" t="e">
        <f>Links!AS65</f>
        <v>#DIV/0!</v>
      </c>
      <c r="BO65" s="60" t="e">
        <f>(Links!R65^2+'Off-Ramp'!L65^2)/(Links!R65+'Off-Ramp'!L65)</f>
        <v>#DIV/0!</v>
      </c>
      <c r="BP65" s="60" t="e">
        <f>Links!S65</f>
        <v>#DIV/0!</v>
      </c>
      <c r="BQ65" s="60" t="e">
        <f>(Links!S65^2+'Off-Ramp'!C65^2)/(Links!S65+'Off-Ramp'!C65)</f>
        <v>#DIV/0!</v>
      </c>
      <c r="BR65" s="60" t="e">
        <f>Links!T65</f>
        <v>#DIV/0!</v>
      </c>
      <c r="BS65" s="60" t="e">
        <f>(Links!X65^2+'Off-Ramp'!V65^2+'Off-Ramp'!W65^2+'Off-Ramp'!X65^2)/(Links!X65+'Off-Ramp'!V65+'Off-Ramp'!W65+'Off-Ramp'!X65)</f>
        <v>#DIV/0!</v>
      </c>
      <c r="BT65" s="60" t="e">
        <f>(Links!Y65^2+'Off-Ramp'!Y65^2+'Off-Ramp'!Z65^2+'Off-Ramp'!AA65^2)/(Links!Y65+'Off-Ramp'!Y65+'Off-Ramp'!Z65+'Off-Ramp'!AA65)</f>
        <v>#DIV/0!</v>
      </c>
      <c r="BU65" s="60" t="e">
        <f>(Links!W65^2+'Off-Ramp'!P65^2)/(Links!W65+'Off-Ramp'!P65)</f>
        <v>#DIV/0!</v>
      </c>
      <c r="BV65" s="60" t="e">
        <f>(Links!Y65^2+'Off-Ramp'!Q65^2)/(Links!Y65+'Off-Ramp'!Q65)</f>
        <v>#DIV/0!</v>
      </c>
      <c r="BW65" s="60" t="e">
        <f>(Links!Z65^2+'Off-Ramp'!R65^2)/(Links!Z65+'Off-Ramp'!R65)</f>
        <v>#DIV/0!</v>
      </c>
      <c r="BX65" s="60" t="e">
        <f>(Links!AA65+'Off-Ramp'!S65)/(Links!AA65^2+'Off-Ramp'!S65^2)</f>
        <v>#DIV/0!</v>
      </c>
      <c r="BY65" s="60" t="e">
        <f>(Links!AB65^2+'Off-Ramp'!T65^2)/(Links!AB65+'Off-Ramp'!T65)</f>
        <v>#DIV/0!</v>
      </c>
      <c r="BZ65" s="60" t="e">
        <f>Links!AC65</f>
        <v>#DIV/0!</v>
      </c>
      <c r="CA65" s="60" t="e">
        <f>(Links!AD65^2+'Off-Ramp'!U65^2)/(Links!AD65+'Off-Ramp'!U65)</f>
        <v>#DIV/0!</v>
      </c>
    </row>
    <row r="66" spans="1:79" x14ac:dyDescent="0.15">
      <c r="A66" s="58">
        <v>64</v>
      </c>
      <c r="B66" s="59" t="e">
        <f t="shared" si="2"/>
        <v>#DIV/0!</v>
      </c>
      <c r="C66" s="59" t="e">
        <f t="shared" si="3"/>
        <v>#DIV/0!</v>
      </c>
      <c r="D66" s="59" t="e">
        <f t="shared" si="4"/>
        <v>#DIV/0!</v>
      </c>
      <c r="E66" s="59" t="e">
        <f t="shared" si="5"/>
        <v>#DIV/0!</v>
      </c>
      <c r="F66" s="59" t="e">
        <f t="shared" si="6"/>
        <v>#DIV/0!</v>
      </c>
      <c r="G66" s="59" t="e">
        <f t="shared" si="7"/>
        <v>#DIV/0!</v>
      </c>
      <c r="H66" s="59" t="e">
        <f t="shared" si="8"/>
        <v>#DIV/0!</v>
      </c>
      <c r="I66" s="59" t="e">
        <f t="shared" si="9"/>
        <v>#DIV/0!</v>
      </c>
      <c r="J66" s="59" t="e">
        <f t="shared" si="10"/>
        <v>#DIV/0!</v>
      </c>
      <c r="K66" s="59" t="e">
        <f t="shared" si="11"/>
        <v>#DIV/0!</v>
      </c>
      <c r="L66" s="59" t="e">
        <f t="shared" si="12"/>
        <v>#DIV/0!</v>
      </c>
      <c r="M66" s="59" t="e">
        <f t="shared" si="13"/>
        <v>#DIV/0!</v>
      </c>
      <c r="N66" s="59" t="e">
        <f t="shared" si="14"/>
        <v>#DIV/0!</v>
      </c>
      <c r="O66" s="60" t="e">
        <f>Links!B66</f>
        <v>#DIV/0!</v>
      </c>
      <c r="P66" s="60" t="e">
        <f>Links!C66+'On-Ramps'!AC66</f>
        <v>#DIV/0!</v>
      </c>
      <c r="Q66" s="60" t="e">
        <f>Links!D66</f>
        <v>#DIV/0!</v>
      </c>
      <c r="R66" s="60" t="e">
        <f>Links!E66+'On-Ramps'!AD66</f>
        <v>#DIV/0!</v>
      </c>
      <c r="S66" s="60" t="e">
        <f>Links!F66+'On-Ramps'!AE66</f>
        <v>#DIV/0!</v>
      </c>
      <c r="T66" s="60" t="e">
        <f>Links!G66+'On-Ramps'!AF66</f>
        <v>#DIV/0!</v>
      </c>
      <c r="U66" s="60" t="e">
        <f>Links!H66+'On-Ramps'!AG66</f>
        <v>#DIV/0!</v>
      </c>
      <c r="V66" s="60" t="e">
        <f>Links!J66+'On-Ramps'!AH66</f>
        <v>#DIV/0!</v>
      </c>
      <c r="W66" s="60" t="e">
        <f>Links!K66+'On-Ramps'!AI66</f>
        <v>#DIV/0!</v>
      </c>
      <c r="X66" s="60" t="e">
        <f>Links!L66+'On-Ramps'!AJ66</f>
        <v>#DIV/0!</v>
      </c>
      <c r="Y66" s="60" t="e">
        <f>Links!M66</f>
        <v>#DIV/0!</v>
      </c>
      <c r="Z66" s="60" t="e">
        <f>Links!N66+'On-Ramps'!AK66</f>
        <v>#DIV/0!</v>
      </c>
      <c r="AA66" s="60" t="e">
        <f>Links!O66</f>
        <v>#DIV/0!</v>
      </c>
      <c r="AB66" s="59" t="e">
        <f t="shared" si="17"/>
        <v>#DIV/0!</v>
      </c>
      <c r="AC66" s="65"/>
      <c r="AD66" s="59" t="e">
        <f t="shared" si="18"/>
        <v>#DIV/0!</v>
      </c>
      <c r="AE66" s="65"/>
      <c r="AF66" s="59" t="e">
        <f t="shared" si="19"/>
        <v>#DIV/0!</v>
      </c>
      <c r="AG66" s="59" t="e">
        <f t="shared" si="20"/>
        <v>#DIV/0!</v>
      </c>
      <c r="AH66" s="59" t="e">
        <f t="shared" si="21"/>
        <v>#DIV/0!</v>
      </c>
      <c r="AI66" s="59" t="e">
        <f t="shared" si="22"/>
        <v>#DIV/0!</v>
      </c>
      <c r="AJ66" s="59" t="e">
        <f t="shared" si="23"/>
        <v>#DIV/0!</v>
      </c>
      <c r="AK66" s="59" t="e">
        <f t="shared" si="24"/>
        <v>#DIV/0!</v>
      </c>
      <c r="AL66" s="59" t="e">
        <f t="shared" si="25"/>
        <v>#DIV/0!</v>
      </c>
      <c r="AM66" s="65"/>
      <c r="AN66" s="59" t="e">
        <f t="shared" si="27"/>
        <v>#DIV/0!</v>
      </c>
      <c r="AO66" s="60" t="e">
        <f t="shared" si="30"/>
        <v>#DIV/0!</v>
      </c>
      <c r="AP66" s="65"/>
      <c r="AQ66" s="60" t="e">
        <f t="shared" si="29"/>
        <v>#DIV/0!</v>
      </c>
      <c r="AR66" s="65"/>
      <c r="AS66" s="60" t="e">
        <f t="shared" si="29"/>
        <v>#DIV/0!</v>
      </c>
      <c r="AT66" s="60" t="e">
        <f t="shared" si="29"/>
        <v>#DIV/0!</v>
      </c>
      <c r="AU66" s="60" t="e">
        <f t="shared" si="29"/>
        <v>#DIV/0!</v>
      </c>
      <c r="AV66" s="60" t="e">
        <f t="shared" si="29"/>
        <v>#DIV/0!</v>
      </c>
      <c r="AW66" s="60" t="e">
        <f t="shared" si="29"/>
        <v>#DIV/0!</v>
      </c>
      <c r="AX66" s="60" t="e">
        <f t="shared" si="29"/>
        <v>#DIV/0!</v>
      </c>
      <c r="AY66" s="60" t="e">
        <f t="shared" si="29"/>
        <v>#DIV/0!</v>
      </c>
      <c r="AZ66" s="65"/>
      <c r="BA66" s="60" t="e">
        <f t="shared" si="29"/>
        <v>#DIV/0!</v>
      </c>
      <c r="BB66" s="59" t="e">
        <f>Links!AF66</f>
        <v>#DIV/0!</v>
      </c>
      <c r="BC66" s="59" t="e">
        <f>(Links!AG66*Links!C66+'On-Ramps'!AC66*'On-Ramps'!CE66)/('On-Ramps'!AC66+Links!C66)</f>
        <v>#DIV/0!</v>
      </c>
      <c r="BD66" s="59" t="e">
        <f>Links!AH66</f>
        <v>#DIV/0!</v>
      </c>
      <c r="BE66" s="59" t="e">
        <f>(Links!AI66*Links!E66+'On-Ramps'!AD66*'On-Ramps'!CF65)/('On-Ramps'!AD66+Links!E66)</f>
        <v>#DIV/0!</v>
      </c>
      <c r="BF66" s="59" t="e">
        <f>(Links!F66*Links!AJ66+'On-Ramps'!AE66*'On-Ramps'!CG66)/('On-Ramps'!AE66+Links!F66)</f>
        <v>#DIV/0!</v>
      </c>
      <c r="BG66" s="59" t="e">
        <f>(Links!G66*Links!AK66+'On-Ramps'!AF66*'On-Ramps'!CH66)/('On-Ramps'!AF66+Links!G66)</f>
        <v>#DIV/0!</v>
      </c>
      <c r="BH66" s="59" t="e">
        <f>(Links!H66*Links!AL66+'On-Ramps'!AG66*'On-Ramps'!CI66)/('On-Ramps'!AG66+Links!H66)</f>
        <v>#DIV/0!</v>
      </c>
      <c r="BI66" s="59" t="e">
        <f>(Links!J66*Links!AN66+'On-Ramps'!AH66*'On-Ramps'!CJ66)/('On-Ramps'!AH66+Links!J66)</f>
        <v>#DIV/0!</v>
      </c>
      <c r="BJ66" s="59" t="e">
        <f>(Links!K66*Links!AO66+'On-Ramps'!AI66*'On-Ramps'!CK66)/('On-Ramps'!AI66+Links!K66)</f>
        <v>#DIV/0!</v>
      </c>
      <c r="BK66" s="59" t="e">
        <f>(Links!L66*Links!AP66+'On-Ramps'!AJ66*'On-Ramps'!CL66)/(Links!L66+'On-Ramps'!AJ66)</f>
        <v>#DIV/0!</v>
      </c>
      <c r="BL66" s="59" t="e">
        <f>Links!AQ66</f>
        <v>#DIV/0!</v>
      </c>
      <c r="BM66" s="59" t="e">
        <f>(Links!N66*Links!AR66+'On-Ramps'!AL66*'On-Ramps'!CM66)/(Links!N66+'On-Ramps'!AL66)</f>
        <v>#DIV/0!</v>
      </c>
      <c r="BN66" s="59" t="e">
        <f>Links!AS66</f>
        <v>#DIV/0!</v>
      </c>
      <c r="BO66" s="60" t="e">
        <f>(Links!R66^2+'Off-Ramp'!L66^2)/(Links!R66+'Off-Ramp'!L66)</f>
        <v>#DIV/0!</v>
      </c>
      <c r="BP66" s="60" t="e">
        <f>Links!S66</f>
        <v>#DIV/0!</v>
      </c>
      <c r="BQ66" s="60" t="e">
        <f>(Links!S66^2+'Off-Ramp'!C66^2)/(Links!S66+'Off-Ramp'!C66)</f>
        <v>#DIV/0!</v>
      </c>
      <c r="BR66" s="60" t="e">
        <f>Links!T66</f>
        <v>#DIV/0!</v>
      </c>
      <c r="BS66" s="60" t="e">
        <f>(Links!X66^2+'Off-Ramp'!V66^2+'Off-Ramp'!W66^2+'Off-Ramp'!X66^2)/(Links!X66+'Off-Ramp'!V66+'Off-Ramp'!W66+'Off-Ramp'!X66)</f>
        <v>#DIV/0!</v>
      </c>
      <c r="BT66" s="60" t="e">
        <f>(Links!Y66^2+'Off-Ramp'!Y66^2+'Off-Ramp'!Z66^2+'Off-Ramp'!AA66^2)/(Links!Y66+'Off-Ramp'!Y66+'Off-Ramp'!Z66+'Off-Ramp'!AA66)</f>
        <v>#DIV/0!</v>
      </c>
      <c r="BU66" s="60" t="e">
        <f>(Links!W66^2+'Off-Ramp'!P66^2)/(Links!W66+'Off-Ramp'!P66)</f>
        <v>#DIV/0!</v>
      </c>
      <c r="BV66" s="60" t="e">
        <f>(Links!Y66^2+'Off-Ramp'!Q66^2)/(Links!Y66+'Off-Ramp'!Q66)</f>
        <v>#DIV/0!</v>
      </c>
      <c r="BW66" s="60" t="e">
        <f>(Links!Z66^2+'Off-Ramp'!R66^2)/(Links!Z66+'Off-Ramp'!R66)</f>
        <v>#DIV/0!</v>
      </c>
      <c r="BX66" s="60" t="e">
        <f>(Links!AA66+'Off-Ramp'!S66)/(Links!AA66^2+'Off-Ramp'!S66^2)</f>
        <v>#DIV/0!</v>
      </c>
      <c r="BY66" s="60" t="e">
        <f>(Links!AB66^2+'Off-Ramp'!T66^2)/(Links!AB66+'Off-Ramp'!T66)</f>
        <v>#DIV/0!</v>
      </c>
      <c r="BZ66" s="60" t="e">
        <f>Links!AC66</f>
        <v>#DIV/0!</v>
      </c>
      <c r="CA66" s="60" t="e">
        <f>(Links!AD66^2+'Off-Ramp'!U66^2)/(Links!AD66+'Off-Ramp'!U66)</f>
        <v>#DIV/0!</v>
      </c>
    </row>
    <row r="67" spans="1:79" x14ac:dyDescent="0.15">
      <c r="A67" s="58">
        <v>65</v>
      </c>
      <c r="B67" s="59" t="e">
        <f t="shared" si="2"/>
        <v>#DIV/0!</v>
      </c>
      <c r="C67" s="59" t="e">
        <f t="shared" si="3"/>
        <v>#DIV/0!</v>
      </c>
      <c r="D67" s="59" t="e">
        <f t="shared" si="4"/>
        <v>#DIV/0!</v>
      </c>
      <c r="E67" s="59" t="e">
        <f t="shared" si="5"/>
        <v>#DIV/0!</v>
      </c>
      <c r="F67" s="59" t="e">
        <f t="shared" si="6"/>
        <v>#DIV/0!</v>
      </c>
      <c r="G67" s="59" t="e">
        <f t="shared" si="7"/>
        <v>#DIV/0!</v>
      </c>
      <c r="H67" s="59" t="e">
        <f t="shared" si="8"/>
        <v>#DIV/0!</v>
      </c>
      <c r="I67" s="59" t="e">
        <f t="shared" si="9"/>
        <v>#DIV/0!</v>
      </c>
      <c r="J67" s="59" t="e">
        <f t="shared" si="10"/>
        <v>#DIV/0!</v>
      </c>
      <c r="K67" s="59" t="e">
        <f t="shared" si="11"/>
        <v>#DIV/0!</v>
      </c>
      <c r="L67" s="59" t="e">
        <f t="shared" si="12"/>
        <v>#DIV/0!</v>
      </c>
      <c r="M67" s="59" t="e">
        <f t="shared" si="13"/>
        <v>#DIV/0!</v>
      </c>
      <c r="N67" s="59" t="e">
        <f t="shared" si="14"/>
        <v>#DIV/0!</v>
      </c>
      <c r="O67" s="60" t="e">
        <f>Links!B67</f>
        <v>#DIV/0!</v>
      </c>
      <c r="P67" s="60" t="e">
        <f>Links!C67+'On-Ramps'!AC67</f>
        <v>#DIV/0!</v>
      </c>
      <c r="Q67" s="60" t="e">
        <f>Links!D67</f>
        <v>#DIV/0!</v>
      </c>
      <c r="R67" s="60" t="e">
        <f>Links!E67+'On-Ramps'!AD67</f>
        <v>#DIV/0!</v>
      </c>
      <c r="S67" s="60" t="e">
        <f>Links!F67+'On-Ramps'!AE67</f>
        <v>#DIV/0!</v>
      </c>
      <c r="T67" s="60" t="e">
        <f>Links!G67+'On-Ramps'!AF67</f>
        <v>#DIV/0!</v>
      </c>
      <c r="U67" s="60" t="e">
        <f>Links!H67+'On-Ramps'!AG67</f>
        <v>#DIV/0!</v>
      </c>
      <c r="V67" s="60" t="e">
        <f>Links!J67+'On-Ramps'!AH67</f>
        <v>#DIV/0!</v>
      </c>
      <c r="W67" s="60" t="e">
        <f>Links!K67+'On-Ramps'!AI67</f>
        <v>#DIV/0!</v>
      </c>
      <c r="X67" s="60" t="e">
        <f>Links!L67+'On-Ramps'!AJ67</f>
        <v>#DIV/0!</v>
      </c>
      <c r="Y67" s="60" t="e">
        <f>Links!M67</f>
        <v>#DIV/0!</v>
      </c>
      <c r="Z67" s="60" t="e">
        <f>Links!N67+'On-Ramps'!AK67</f>
        <v>#DIV/0!</v>
      </c>
      <c r="AA67" s="60" t="e">
        <f>Links!O67</f>
        <v>#DIV/0!</v>
      </c>
      <c r="AB67" s="59" t="e">
        <f t="shared" si="17"/>
        <v>#DIV/0!</v>
      </c>
      <c r="AC67" s="65"/>
      <c r="AD67" s="59" t="e">
        <f t="shared" si="18"/>
        <v>#DIV/0!</v>
      </c>
      <c r="AE67" s="65"/>
      <c r="AF67" s="59" t="e">
        <f t="shared" si="19"/>
        <v>#DIV/0!</v>
      </c>
      <c r="AG67" s="59" t="e">
        <f t="shared" si="20"/>
        <v>#DIV/0!</v>
      </c>
      <c r="AH67" s="59" t="e">
        <f t="shared" si="21"/>
        <v>#DIV/0!</v>
      </c>
      <c r="AI67" s="59" t="e">
        <f t="shared" si="22"/>
        <v>#DIV/0!</v>
      </c>
      <c r="AJ67" s="59" t="e">
        <f t="shared" si="23"/>
        <v>#DIV/0!</v>
      </c>
      <c r="AK67" s="59" t="e">
        <f t="shared" si="24"/>
        <v>#DIV/0!</v>
      </c>
      <c r="AL67" s="59" t="e">
        <f t="shared" si="25"/>
        <v>#DIV/0!</v>
      </c>
      <c r="AM67" s="65"/>
      <c r="AN67" s="59" t="e">
        <f t="shared" si="27"/>
        <v>#DIV/0!</v>
      </c>
      <c r="AO67" s="60" t="e">
        <f t="shared" si="30"/>
        <v>#DIV/0!</v>
      </c>
      <c r="AP67" s="65"/>
      <c r="AQ67" s="60" t="e">
        <f t="shared" si="29"/>
        <v>#DIV/0!</v>
      </c>
      <c r="AR67" s="65"/>
      <c r="AS67" s="60" t="e">
        <f t="shared" si="29"/>
        <v>#DIV/0!</v>
      </c>
      <c r="AT67" s="60" t="e">
        <f t="shared" si="29"/>
        <v>#DIV/0!</v>
      </c>
      <c r="AU67" s="60" t="e">
        <f t="shared" si="29"/>
        <v>#DIV/0!</v>
      </c>
      <c r="AV67" s="60" t="e">
        <f t="shared" si="29"/>
        <v>#DIV/0!</v>
      </c>
      <c r="AW67" s="60" t="e">
        <f t="shared" si="29"/>
        <v>#DIV/0!</v>
      </c>
      <c r="AX67" s="60" t="e">
        <f t="shared" si="29"/>
        <v>#DIV/0!</v>
      </c>
      <c r="AY67" s="60" t="e">
        <f t="shared" si="29"/>
        <v>#DIV/0!</v>
      </c>
      <c r="AZ67" s="65"/>
      <c r="BA67" s="60" t="e">
        <f t="shared" si="29"/>
        <v>#DIV/0!</v>
      </c>
      <c r="BB67" s="59" t="e">
        <f>Links!AF67</f>
        <v>#DIV/0!</v>
      </c>
      <c r="BC67" s="59" t="e">
        <f>(Links!AG67*Links!C67+'On-Ramps'!AC67*'On-Ramps'!CE67)/('On-Ramps'!AC67+Links!C67)</f>
        <v>#DIV/0!</v>
      </c>
      <c r="BD67" s="59" t="e">
        <f>Links!AH67</f>
        <v>#DIV/0!</v>
      </c>
      <c r="BE67" s="59" t="e">
        <f>(Links!AI67*Links!E67+'On-Ramps'!AD67*'On-Ramps'!CF66)/('On-Ramps'!AD67+Links!E67)</f>
        <v>#DIV/0!</v>
      </c>
      <c r="BF67" s="59" t="e">
        <f>(Links!F67*Links!AJ67+'On-Ramps'!AE67*'On-Ramps'!CG67)/('On-Ramps'!AE67+Links!F67)</f>
        <v>#DIV/0!</v>
      </c>
      <c r="BG67" s="59" t="e">
        <f>(Links!G67*Links!AK67+'On-Ramps'!AF67*'On-Ramps'!CH67)/('On-Ramps'!AF67+Links!G67)</f>
        <v>#DIV/0!</v>
      </c>
      <c r="BH67" s="59" t="e">
        <f>(Links!H67*Links!AL67+'On-Ramps'!AG67*'On-Ramps'!CI67)/('On-Ramps'!AG67+Links!H67)</f>
        <v>#DIV/0!</v>
      </c>
      <c r="BI67" s="59" t="e">
        <f>(Links!J67*Links!AN67+'On-Ramps'!AH67*'On-Ramps'!CJ67)/('On-Ramps'!AH67+Links!J67)</f>
        <v>#DIV/0!</v>
      </c>
      <c r="BJ67" s="59" t="e">
        <f>(Links!K67*Links!AO67+'On-Ramps'!AI67*'On-Ramps'!CK67)/('On-Ramps'!AI67+Links!K67)</f>
        <v>#DIV/0!</v>
      </c>
      <c r="BK67" s="59" t="e">
        <f>(Links!L67*Links!AP67+'On-Ramps'!AJ67*'On-Ramps'!CL67)/(Links!L67+'On-Ramps'!AJ67)</f>
        <v>#DIV/0!</v>
      </c>
      <c r="BL67" s="59" t="e">
        <f>Links!AQ67</f>
        <v>#DIV/0!</v>
      </c>
      <c r="BM67" s="59" t="e">
        <f>(Links!N67*Links!AR67+'On-Ramps'!AL67*'On-Ramps'!CM67)/(Links!N67+'On-Ramps'!AL67)</f>
        <v>#DIV/0!</v>
      </c>
      <c r="BN67" s="59" t="e">
        <f>Links!AS67</f>
        <v>#DIV/0!</v>
      </c>
      <c r="BO67" s="60" t="e">
        <f>(Links!R67^2+'Off-Ramp'!L67^2)/(Links!R67+'Off-Ramp'!L67)</f>
        <v>#DIV/0!</v>
      </c>
      <c r="BP67" s="60" t="e">
        <f>Links!S67</f>
        <v>#DIV/0!</v>
      </c>
      <c r="BQ67" s="60" t="e">
        <f>(Links!S67^2+'Off-Ramp'!C67^2)/(Links!S67+'Off-Ramp'!C67)</f>
        <v>#DIV/0!</v>
      </c>
      <c r="BR67" s="60" t="e">
        <f>Links!T67</f>
        <v>#DIV/0!</v>
      </c>
      <c r="BS67" s="60" t="e">
        <f>(Links!X67^2+'Off-Ramp'!V67^2+'Off-Ramp'!W67^2+'Off-Ramp'!X67^2)/(Links!X67+'Off-Ramp'!V67+'Off-Ramp'!W67+'Off-Ramp'!X67)</f>
        <v>#DIV/0!</v>
      </c>
      <c r="BT67" s="60" t="e">
        <f>(Links!Y67^2+'Off-Ramp'!Y67^2+'Off-Ramp'!Z67^2+'Off-Ramp'!AA67^2)/(Links!Y67+'Off-Ramp'!Y67+'Off-Ramp'!Z67+'Off-Ramp'!AA67)</f>
        <v>#DIV/0!</v>
      </c>
      <c r="BU67" s="60" t="e">
        <f>(Links!W67^2+'Off-Ramp'!P67^2)/(Links!W67+'Off-Ramp'!P67)</f>
        <v>#DIV/0!</v>
      </c>
      <c r="BV67" s="60" t="e">
        <f>(Links!Y67^2+'Off-Ramp'!Q67^2)/(Links!Y67+'Off-Ramp'!Q67)</f>
        <v>#DIV/0!</v>
      </c>
      <c r="BW67" s="60" t="e">
        <f>(Links!Z67^2+'Off-Ramp'!R67^2)/(Links!Z67+'Off-Ramp'!R67)</f>
        <v>#DIV/0!</v>
      </c>
      <c r="BX67" s="60" t="e">
        <f>(Links!AA67+'Off-Ramp'!S67)/(Links!AA67^2+'Off-Ramp'!S67^2)</f>
        <v>#DIV/0!</v>
      </c>
      <c r="BY67" s="60" t="e">
        <f>(Links!AB67^2+'Off-Ramp'!T67^2)/(Links!AB67+'Off-Ramp'!T67)</f>
        <v>#DIV/0!</v>
      </c>
      <c r="BZ67" s="60" t="e">
        <f>Links!AC67</f>
        <v>#DIV/0!</v>
      </c>
      <c r="CA67" s="60" t="e">
        <f>(Links!AD67^2+'Off-Ramp'!U67^2)/(Links!AD67+'Off-Ramp'!U67)</f>
        <v>#DIV/0!</v>
      </c>
    </row>
    <row r="68" spans="1:79" x14ac:dyDescent="0.15">
      <c r="A68" s="58">
        <v>66</v>
      </c>
      <c r="B68" s="59" t="e">
        <f t="shared" ref="B68:B131" si="31">O68+AB68</f>
        <v>#DIV/0!</v>
      </c>
      <c r="C68" s="59" t="e">
        <f t="shared" ref="C68:C131" si="32">P68+AC68</f>
        <v>#DIV/0!</v>
      </c>
      <c r="D68" s="59" t="e">
        <f t="shared" ref="D68:D131" si="33">Q68+AD68</f>
        <v>#DIV/0!</v>
      </c>
      <c r="E68" s="59" t="e">
        <f t="shared" ref="E68:E131" si="34">R68+AE68</f>
        <v>#DIV/0!</v>
      </c>
      <c r="F68" s="59" t="e">
        <f t="shared" ref="F68:F131" si="35">S68+AF68</f>
        <v>#DIV/0!</v>
      </c>
      <c r="G68" s="59" t="e">
        <f t="shared" ref="G68:G131" si="36">T68+AG68</f>
        <v>#DIV/0!</v>
      </c>
      <c r="H68" s="59" t="e">
        <f t="shared" ref="H68:H131" si="37">U68+AH68</f>
        <v>#DIV/0!</v>
      </c>
      <c r="I68" s="59" t="e">
        <f t="shared" ref="I68:I131" si="38">V68+AI68</f>
        <v>#DIV/0!</v>
      </c>
      <c r="J68" s="59" t="e">
        <f t="shared" ref="J68:J131" si="39">W68+AJ68</f>
        <v>#DIV/0!</v>
      </c>
      <c r="K68" s="59" t="e">
        <f t="shared" ref="K68:K131" si="40">X68+AK68</f>
        <v>#DIV/0!</v>
      </c>
      <c r="L68" s="59" t="e">
        <f t="shared" ref="L68:L131" si="41">Y68+AL68</f>
        <v>#DIV/0!</v>
      </c>
      <c r="M68" s="59" t="e">
        <f t="shared" ref="M68:M131" si="42">Z68+AM68</f>
        <v>#DIV/0!</v>
      </c>
      <c r="N68" s="59" t="e">
        <f t="shared" ref="N68:N131" si="43">AA68+AN68</f>
        <v>#DIV/0!</v>
      </c>
      <c r="O68" s="60" t="e">
        <f>Links!B68</f>
        <v>#DIV/0!</v>
      </c>
      <c r="P68" s="60" t="e">
        <f>Links!C68+'On-Ramps'!AC68</f>
        <v>#DIV/0!</v>
      </c>
      <c r="Q68" s="60" t="e">
        <f>Links!D68</f>
        <v>#DIV/0!</v>
      </c>
      <c r="R68" s="60" t="e">
        <f>Links!E68+'On-Ramps'!AD68</f>
        <v>#DIV/0!</v>
      </c>
      <c r="S68" s="60" t="e">
        <f>Links!F68+'On-Ramps'!AE68</f>
        <v>#DIV/0!</v>
      </c>
      <c r="T68" s="60" t="e">
        <f>Links!G68+'On-Ramps'!AF68</f>
        <v>#DIV/0!</v>
      </c>
      <c r="U68" s="60" t="e">
        <f>Links!H68+'On-Ramps'!AG68</f>
        <v>#DIV/0!</v>
      </c>
      <c r="V68" s="60" t="e">
        <f>Links!J68+'On-Ramps'!AH68</f>
        <v>#DIV/0!</v>
      </c>
      <c r="W68" s="60" t="e">
        <f>Links!K68+'On-Ramps'!AI68</f>
        <v>#DIV/0!</v>
      </c>
      <c r="X68" s="60" t="e">
        <f>Links!L68+'On-Ramps'!AJ68</f>
        <v>#DIV/0!</v>
      </c>
      <c r="Y68" s="60" t="e">
        <f>Links!M68</f>
        <v>#DIV/0!</v>
      </c>
      <c r="Z68" s="60" t="e">
        <f>Links!N68+'On-Ramps'!AK68</f>
        <v>#DIV/0!</v>
      </c>
      <c r="AA68" s="60" t="e">
        <f>Links!O68</f>
        <v>#DIV/0!</v>
      </c>
      <c r="AB68" s="59" t="e">
        <f t="shared" si="17"/>
        <v>#DIV/0!</v>
      </c>
      <c r="AC68" s="65"/>
      <c r="AD68" s="59" t="e">
        <f t="shared" si="18"/>
        <v>#DIV/0!</v>
      </c>
      <c r="AE68" s="65"/>
      <c r="AF68" s="59" t="e">
        <f t="shared" si="19"/>
        <v>#DIV/0!</v>
      </c>
      <c r="AG68" s="59" t="e">
        <f t="shared" si="20"/>
        <v>#DIV/0!</v>
      </c>
      <c r="AH68" s="59" t="e">
        <f t="shared" si="21"/>
        <v>#DIV/0!</v>
      </c>
      <c r="AI68" s="59" t="e">
        <f t="shared" si="22"/>
        <v>#DIV/0!</v>
      </c>
      <c r="AJ68" s="59" t="e">
        <f t="shared" si="23"/>
        <v>#DIV/0!</v>
      </c>
      <c r="AK68" s="59" t="e">
        <f t="shared" si="24"/>
        <v>#DIV/0!</v>
      </c>
      <c r="AL68" s="59" t="e">
        <f t="shared" si="25"/>
        <v>#DIV/0!</v>
      </c>
      <c r="AM68" s="65"/>
      <c r="AN68" s="59" t="e">
        <f t="shared" si="27"/>
        <v>#DIV/0!</v>
      </c>
      <c r="AO68" s="60" t="e">
        <f t="shared" si="30"/>
        <v>#DIV/0!</v>
      </c>
      <c r="AP68" s="65"/>
      <c r="AQ68" s="60" t="e">
        <f t="shared" si="29"/>
        <v>#DIV/0!</v>
      </c>
      <c r="AR68" s="65"/>
      <c r="AS68" s="60" t="e">
        <f t="shared" si="29"/>
        <v>#DIV/0!</v>
      </c>
      <c r="AT68" s="60" t="e">
        <f t="shared" si="29"/>
        <v>#DIV/0!</v>
      </c>
      <c r="AU68" s="60" t="e">
        <f t="shared" si="29"/>
        <v>#DIV/0!</v>
      </c>
      <c r="AV68" s="60" t="e">
        <f t="shared" si="29"/>
        <v>#DIV/0!</v>
      </c>
      <c r="AW68" s="60" t="e">
        <f t="shared" si="29"/>
        <v>#DIV/0!</v>
      </c>
      <c r="AX68" s="60" t="e">
        <f t="shared" si="29"/>
        <v>#DIV/0!</v>
      </c>
      <c r="AY68" s="60" t="e">
        <f t="shared" si="29"/>
        <v>#DIV/0!</v>
      </c>
      <c r="AZ68" s="65"/>
      <c r="BA68" s="60" t="e">
        <f t="shared" si="29"/>
        <v>#DIV/0!</v>
      </c>
      <c r="BB68" s="59" t="e">
        <f>Links!AF68</f>
        <v>#DIV/0!</v>
      </c>
      <c r="BC68" s="59" t="e">
        <f>(Links!AG68*Links!C68+'On-Ramps'!AC68*'On-Ramps'!CE68)/('On-Ramps'!AC68+Links!C68)</f>
        <v>#DIV/0!</v>
      </c>
      <c r="BD68" s="59" t="e">
        <f>Links!AH68</f>
        <v>#DIV/0!</v>
      </c>
      <c r="BE68" s="59" t="e">
        <f>(Links!AI68*Links!E68+'On-Ramps'!AD68*'On-Ramps'!CF67)/('On-Ramps'!AD68+Links!E68)</f>
        <v>#DIV/0!</v>
      </c>
      <c r="BF68" s="59" t="e">
        <f>(Links!F68*Links!AJ68+'On-Ramps'!AE68*'On-Ramps'!CG68)/('On-Ramps'!AE68+Links!F68)</f>
        <v>#DIV/0!</v>
      </c>
      <c r="BG68" s="59" t="e">
        <f>(Links!G68*Links!AK68+'On-Ramps'!AF68*'On-Ramps'!CH68)/('On-Ramps'!AF68+Links!G68)</f>
        <v>#DIV/0!</v>
      </c>
      <c r="BH68" s="59" t="e">
        <f>(Links!H68*Links!AL68+'On-Ramps'!AG68*'On-Ramps'!CI68)/('On-Ramps'!AG68+Links!H68)</f>
        <v>#DIV/0!</v>
      </c>
      <c r="BI68" s="59" t="e">
        <f>(Links!J68*Links!AN68+'On-Ramps'!AH68*'On-Ramps'!CJ68)/('On-Ramps'!AH68+Links!J68)</f>
        <v>#DIV/0!</v>
      </c>
      <c r="BJ68" s="59" t="e">
        <f>(Links!K68*Links!AO68+'On-Ramps'!AI68*'On-Ramps'!CK68)/('On-Ramps'!AI68+Links!K68)</f>
        <v>#DIV/0!</v>
      </c>
      <c r="BK68" s="59" t="e">
        <f>(Links!L68*Links!AP68+'On-Ramps'!AJ68*'On-Ramps'!CL68)/(Links!L68+'On-Ramps'!AJ68)</f>
        <v>#DIV/0!</v>
      </c>
      <c r="BL68" s="59" t="e">
        <f>Links!AQ68</f>
        <v>#DIV/0!</v>
      </c>
      <c r="BM68" s="59" t="e">
        <f>(Links!N68*Links!AR68+'On-Ramps'!AL68*'On-Ramps'!CM68)/(Links!N68+'On-Ramps'!AL68)</f>
        <v>#DIV/0!</v>
      </c>
      <c r="BN68" s="59" t="e">
        <f>Links!AS68</f>
        <v>#DIV/0!</v>
      </c>
      <c r="BO68" s="60" t="e">
        <f>(Links!R68^2+'Off-Ramp'!L68^2)/(Links!R68+'Off-Ramp'!L68)</f>
        <v>#DIV/0!</v>
      </c>
      <c r="BP68" s="60" t="e">
        <f>Links!S68</f>
        <v>#DIV/0!</v>
      </c>
      <c r="BQ68" s="60" t="e">
        <f>(Links!S68^2+'Off-Ramp'!C68^2)/(Links!S68+'Off-Ramp'!C68)</f>
        <v>#DIV/0!</v>
      </c>
      <c r="BR68" s="60" t="e">
        <f>Links!T68</f>
        <v>#DIV/0!</v>
      </c>
      <c r="BS68" s="60" t="e">
        <f>(Links!X68^2+'Off-Ramp'!V68^2+'Off-Ramp'!W68^2+'Off-Ramp'!X68^2)/(Links!X68+'Off-Ramp'!V68+'Off-Ramp'!W68+'Off-Ramp'!X68)</f>
        <v>#DIV/0!</v>
      </c>
      <c r="BT68" s="60" t="e">
        <f>(Links!Y68^2+'Off-Ramp'!Y68^2+'Off-Ramp'!Z68^2+'Off-Ramp'!AA68^2)/(Links!Y68+'Off-Ramp'!Y68+'Off-Ramp'!Z68+'Off-Ramp'!AA68)</f>
        <v>#DIV/0!</v>
      </c>
      <c r="BU68" s="60" t="e">
        <f>(Links!W68^2+'Off-Ramp'!P68^2)/(Links!W68+'Off-Ramp'!P68)</f>
        <v>#DIV/0!</v>
      </c>
      <c r="BV68" s="60" t="e">
        <f>(Links!Y68^2+'Off-Ramp'!Q68^2)/(Links!Y68+'Off-Ramp'!Q68)</f>
        <v>#DIV/0!</v>
      </c>
      <c r="BW68" s="60" t="e">
        <f>(Links!Z68^2+'Off-Ramp'!R68^2)/(Links!Z68+'Off-Ramp'!R68)</f>
        <v>#DIV/0!</v>
      </c>
      <c r="BX68" s="60" t="e">
        <f>(Links!AA68+'Off-Ramp'!S68)/(Links!AA68^2+'Off-Ramp'!S68^2)</f>
        <v>#DIV/0!</v>
      </c>
      <c r="BY68" s="60" t="e">
        <f>(Links!AB68^2+'Off-Ramp'!T68^2)/(Links!AB68+'Off-Ramp'!T68)</f>
        <v>#DIV/0!</v>
      </c>
      <c r="BZ68" s="60" t="e">
        <f>Links!AC68</f>
        <v>#DIV/0!</v>
      </c>
      <c r="CA68" s="60" t="e">
        <f>(Links!AD68^2+'Off-Ramp'!U68^2)/(Links!AD68+'Off-Ramp'!U68)</f>
        <v>#DIV/0!</v>
      </c>
    </row>
    <row r="69" spans="1:79" x14ac:dyDescent="0.15">
      <c r="A69" s="58">
        <v>67</v>
      </c>
      <c r="B69" s="59" t="e">
        <f t="shared" si="31"/>
        <v>#DIV/0!</v>
      </c>
      <c r="C69" s="59" t="e">
        <f t="shared" si="32"/>
        <v>#DIV/0!</v>
      </c>
      <c r="D69" s="59" t="e">
        <f t="shared" si="33"/>
        <v>#DIV/0!</v>
      </c>
      <c r="E69" s="59" t="e">
        <f t="shared" si="34"/>
        <v>#DIV/0!</v>
      </c>
      <c r="F69" s="59" t="e">
        <f t="shared" si="35"/>
        <v>#DIV/0!</v>
      </c>
      <c r="G69" s="59" t="e">
        <f t="shared" si="36"/>
        <v>#DIV/0!</v>
      </c>
      <c r="H69" s="59" t="e">
        <f t="shared" si="37"/>
        <v>#DIV/0!</v>
      </c>
      <c r="I69" s="59" t="e">
        <f t="shared" si="38"/>
        <v>#DIV/0!</v>
      </c>
      <c r="J69" s="59" t="e">
        <f t="shared" si="39"/>
        <v>#DIV/0!</v>
      </c>
      <c r="K69" s="59" t="e">
        <f t="shared" si="40"/>
        <v>#DIV/0!</v>
      </c>
      <c r="L69" s="59" t="e">
        <f t="shared" si="41"/>
        <v>#DIV/0!</v>
      </c>
      <c r="M69" s="59" t="e">
        <f t="shared" si="42"/>
        <v>#DIV/0!</v>
      </c>
      <c r="N69" s="59" t="e">
        <f t="shared" si="43"/>
        <v>#DIV/0!</v>
      </c>
      <c r="O69" s="60" t="e">
        <f>Links!B69</f>
        <v>#DIV/0!</v>
      </c>
      <c r="P69" s="60" t="e">
        <f>Links!C69+'On-Ramps'!AC69</f>
        <v>#DIV/0!</v>
      </c>
      <c r="Q69" s="60" t="e">
        <f>Links!D69</f>
        <v>#DIV/0!</v>
      </c>
      <c r="R69" s="60" t="e">
        <f>Links!E69+'On-Ramps'!AD69</f>
        <v>#DIV/0!</v>
      </c>
      <c r="S69" s="60" t="e">
        <f>Links!F69+'On-Ramps'!AE69</f>
        <v>#DIV/0!</v>
      </c>
      <c r="T69" s="60" t="e">
        <f>Links!G69+'On-Ramps'!AF69</f>
        <v>#DIV/0!</v>
      </c>
      <c r="U69" s="60" t="e">
        <f>Links!H69+'On-Ramps'!AG69</f>
        <v>#DIV/0!</v>
      </c>
      <c r="V69" s="60" t="e">
        <f>Links!J69+'On-Ramps'!AH69</f>
        <v>#DIV/0!</v>
      </c>
      <c r="W69" s="60" t="e">
        <f>Links!K69+'On-Ramps'!AI69</f>
        <v>#DIV/0!</v>
      </c>
      <c r="X69" s="60" t="e">
        <f>Links!L69+'On-Ramps'!AJ69</f>
        <v>#DIV/0!</v>
      </c>
      <c r="Y69" s="60" t="e">
        <f>Links!M69</f>
        <v>#DIV/0!</v>
      </c>
      <c r="Z69" s="60" t="e">
        <f>Links!N69+'On-Ramps'!AK69</f>
        <v>#DIV/0!</v>
      </c>
      <c r="AA69" s="60" t="e">
        <f>Links!O69</f>
        <v>#DIV/0!</v>
      </c>
      <c r="AB69" s="59" t="e">
        <f t="shared" ref="AB69:AB132" si="44">AO69*(1-AO69)*O69</f>
        <v>#DIV/0!</v>
      </c>
      <c r="AC69" s="65"/>
      <c r="AD69" s="59" t="e">
        <f t="shared" ref="AD69:AD132" si="45">AQ69*(1-AQ69)*Q69</f>
        <v>#DIV/0!</v>
      </c>
      <c r="AE69" s="65"/>
      <c r="AF69" s="59" t="e">
        <f t="shared" ref="AF69:AF132" si="46">AS69*(1-AS69)*S69</f>
        <v>#DIV/0!</v>
      </c>
      <c r="AG69" s="59" t="e">
        <f t="shared" ref="AG69:AG132" si="47">AT69*(1-AT69)*T69</f>
        <v>#DIV/0!</v>
      </c>
      <c r="AH69" s="59" t="e">
        <f t="shared" ref="AH69:AH132" si="48">AU69*(1-AU69)*U69</f>
        <v>#DIV/0!</v>
      </c>
      <c r="AI69" s="59" t="e">
        <f t="shared" ref="AI69:AI132" si="49">AV69*(1-AV69)*V69</f>
        <v>#DIV/0!</v>
      </c>
      <c r="AJ69" s="59" t="e">
        <f t="shared" ref="AJ69:AJ132" si="50">AW69*(1-AW69)*W69</f>
        <v>#DIV/0!</v>
      </c>
      <c r="AK69" s="59" t="e">
        <f t="shared" ref="AK69:AK132" si="51">AX69*(1-AX69)*X69</f>
        <v>#DIV/0!</v>
      </c>
      <c r="AL69" s="59" t="e">
        <f t="shared" ref="AL69:AL132" si="52">AY69*(1-AY69)*Y69</f>
        <v>#DIV/0!</v>
      </c>
      <c r="AM69" s="65"/>
      <c r="AN69" s="59" t="e">
        <f t="shared" si="27"/>
        <v>#DIV/0!</v>
      </c>
      <c r="AO69" s="60" t="e">
        <f t="shared" si="30"/>
        <v>#DIV/0!</v>
      </c>
      <c r="AP69" s="65"/>
      <c r="AQ69" s="60" t="e">
        <f t="shared" si="29"/>
        <v>#DIV/0!</v>
      </c>
      <c r="AR69" s="65"/>
      <c r="AS69" s="60" t="e">
        <f t="shared" si="29"/>
        <v>#DIV/0!</v>
      </c>
      <c r="AT69" s="60" t="e">
        <f t="shared" si="29"/>
        <v>#DIV/0!</v>
      </c>
      <c r="AU69" s="60" t="e">
        <f t="shared" si="29"/>
        <v>#DIV/0!</v>
      </c>
      <c r="AV69" s="60" t="e">
        <f t="shared" si="29"/>
        <v>#DIV/0!</v>
      </c>
      <c r="AW69" s="60" t="e">
        <f t="shared" si="29"/>
        <v>#DIV/0!</v>
      </c>
      <c r="AX69" s="60" t="e">
        <f t="shared" si="29"/>
        <v>#DIV/0!</v>
      </c>
      <c r="AY69" s="60" t="e">
        <f t="shared" si="29"/>
        <v>#DIV/0!</v>
      </c>
      <c r="AZ69" s="65"/>
      <c r="BA69" s="60" t="e">
        <f t="shared" si="29"/>
        <v>#DIV/0!</v>
      </c>
      <c r="BB69" s="59" t="e">
        <f>Links!AF69</f>
        <v>#DIV/0!</v>
      </c>
      <c r="BC69" s="59" t="e">
        <f>(Links!AG69*Links!C69+'On-Ramps'!AC69*'On-Ramps'!CE69)/('On-Ramps'!AC69+Links!C69)</f>
        <v>#DIV/0!</v>
      </c>
      <c r="BD69" s="59" t="e">
        <f>Links!AH69</f>
        <v>#DIV/0!</v>
      </c>
      <c r="BE69" s="59" t="e">
        <f>(Links!AI69*Links!E69+'On-Ramps'!AD69*'On-Ramps'!CF68)/('On-Ramps'!AD69+Links!E69)</f>
        <v>#DIV/0!</v>
      </c>
      <c r="BF69" s="59" t="e">
        <f>(Links!F69*Links!AJ69+'On-Ramps'!AE69*'On-Ramps'!CG69)/('On-Ramps'!AE69+Links!F69)</f>
        <v>#DIV/0!</v>
      </c>
      <c r="BG69" s="59" t="e">
        <f>(Links!G69*Links!AK69+'On-Ramps'!AF69*'On-Ramps'!CH69)/('On-Ramps'!AF69+Links!G69)</f>
        <v>#DIV/0!</v>
      </c>
      <c r="BH69" s="59" t="e">
        <f>(Links!H69*Links!AL69+'On-Ramps'!AG69*'On-Ramps'!CI69)/('On-Ramps'!AG69+Links!H69)</f>
        <v>#DIV/0!</v>
      </c>
      <c r="BI69" s="59" t="e">
        <f>(Links!J69*Links!AN69+'On-Ramps'!AH69*'On-Ramps'!CJ69)/('On-Ramps'!AH69+Links!J69)</f>
        <v>#DIV/0!</v>
      </c>
      <c r="BJ69" s="59" t="e">
        <f>(Links!K69*Links!AO69+'On-Ramps'!AI69*'On-Ramps'!CK69)/('On-Ramps'!AI69+Links!K69)</f>
        <v>#DIV/0!</v>
      </c>
      <c r="BK69" s="59" t="e">
        <f>(Links!L69*Links!AP69+'On-Ramps'!AJ69*'On-Ramps'!CL69)/(Links!L69+'On-Ramps'!AJ69)</f>
        <v>#DIV/0!</v>
      </c>
      <c r="BL69" s="59" t="e">
        <f>Links!AQ69</f>
        <v>#DIV/0!</v>
      </c>
      <c r="BM69" s="59" t="e">
        <f>(Links!N69*Links!AR69+'On-Ramps'!AL69*'On-Ramps'!CM69)/(Links!N69+'On-Ramps'!AL69)</f>
        <v>#DIV/0!</v>
      </c>
      <c r="BN69" s="59" t="e">
        <f>Links!AS69</f>
        <v>#DIV/0!</v>
      </c>
      <c r="BO69" s="60" t="e">
        <f>(Links!R69^2+'Off-Ramp'!L69^2)/(Links!R69+'Off-Ramp'!L69)</f>
        <v>#DIV/0!</v>
      </c>
      <c r="BP69" s="60" t="e">
        <f>Links!S69</f>
        <v>#DIV/0!</v>
      </c>
      <c r="BQ69" s="60" t="e">
        <f>(Links!S69^2+'Off-Ramp'!C69^2)/(Links!S69+'Off-Ramp'!C69)</f>
        <v>#DIV/0!</v>
      </c>
      <c r="BR69" s="60" t="e">
        <f>Links!T69</f>
        <v>#DIV/0!</v>
      </c>
      <c r="BS69" s="60" t="e">
        <f>(Links!X69^2+'Off-Ramp'!V69^2+'Off-Ramp'!W69^2+'Off-Ramp'!X69^2)/(Links!X69+'Off-Ramp'!V69+'Off-Ramp'!W69+'Off-Ramp'!X69)</f>
        <v>#DIV/0!</v>
      </c>
      <c r="BT69" s="60" t="e">
        <f>(Links!Y69^2+'Off-Ramp'!Y69^2+'Off-Ramp'!Z69^2+'Off-Ramp'!AA69^2)/(Links!Y69+'Off-Ramp'!Y69+'Off-Ramp'!Z69+'Off-Ramp'!AA69)</f>
        <v>#DIV/0!</v>
      </c>
      <c r="BU69" s="60" t="e">
        <f>(Links!W69^2+'Off-Ramp'!P69^2)/(Links!W69+'Off-Ramp'!P69)</f>
        <v>#DIV/0!</v>
      </c>
      <c r="BV69" s="60" t="e">
        <f>(Links!Y69^2+'Off-Ramp'!Q69^2)/(Links!Y69+'Off-Ramp'!Q69)</f>
        <v>#DIV/0!</v>
      </c>
      <c r="BW69" s="60" t="e">
        <f>(Links!Z69^2+'Off-Ramp'!R69^2)/(Links!Z69+'Off-Ramp'!R69)</f>
        <v>#DIV/0!</v>
      </c>
      <c r="BX69" s="60" t="e">
        <f>(Links!AA69+'Off-Ramp'!S69)/(Links!AA69^2+'Off-Ramp'!S69^2)</f>
        <v>#DIV/0!</v>
      </c>
      <c r="BY69" s="60" t="e">
        <f>(Links!AB69^2+'Off-Ramp'!T69^2)/(Links!AB69+'Off-Ramp'!T69)</f>
        <v>#DIV/0!</v>
      </c>
      <c r="BZ69" s="60" t="e">
        <f>Links!AC69</f>
        <v>#DIV/0!</v>
      </c>
      <c r="CA69" s="60" t="e">
        <f>(Links!AD69^2+'Off-Ramp'!U69^2)/(Links!AD69+'Off-Ramp'!U69)</f>
        <v>#DIV/0!</v>
      </c>
    </row>
    <row r="70" spans="1:79" x14ac:dyDescent="0.15">
      <c r="A70" s="58">
        <v>68</v>
      </c>
      <c r="B70" s="59" t="e">
        <f t="shared" si="31"/>
        <v>#DIV/0!</v>
      </c>
      <c r="C70" s="59" t="e">
        <f t="shared" si="32"/>
        <v>#DIV/0!</v>
      </c>
      <c r="D70" s="59" t="e">
        <f t="shared" si="33"/>
        <v>#DIV/0!</v>
      </c>
      <c r="E70" s="59" t="e">
        <f t="shared" si="34"/>
        <v>#DIV/0!</v>
      </c>
      <c r="F70" s="59" t="e">
        <f t="shared" si="35"/>
        <v>#DIV/0!</v>
      </c>
      <c r="G70" s="59" t="e">
        <f t="shared" si="36"/>
        <v>#DIV/0!</v>
      </c>
      <c r="H70" s="59" t="e">
        <f t="shared" si="37"/>
        <v>#DIV/0!</v>
      </c>
      <c r="I70" s="59" t="e">
        <f t="shared" si="38"/>
        <v>#DIV/0!</v>
      </c>
      <c r="J70" s="59" t="e">
        <f t="shared" si="39"/>
        <v>#DIV/0!</v>
      </c>
      <c r="K70" s="59" t="e">
        <f t="shared" si="40"/>
        <v>#DIV/0!</v>
      </c>
      <c r="L70" s="59" t="e">
        <f t="shared" si="41"/>
        <v>#DIV/0!</v>
      </c>
      <c r="M70" s="59" t="e">
        <f t="shared" si="42"/>
        <v>#DIV/0!</v>
      </c>
      <c r="N70" s="59" t="e">
        <f t="shared" si="43"/>
        <v>#DIV/0!</v>
      </c>
      <c r="O70" s="60" t="e">
        <f>Links!B70</f>
        <v>#DIV/0!</v>
      </c>
      <c r="P70" s="60" t="e">
        <f>Links!C70+'On-Ramps'!AC70</f>
        <v>#DIV/0!</v>
      </c>
      <c r="Q70" s="60" t="e">
        <f>Links!D70</f>
        <v>#DIV/0!</v>
      </c>
      <c r="R70" s="60" t="e">
        <f>Links!E70+'On-Ramps'!AD70</f>
        <v>#DIV/0!</v>
      </c>
      <c r="S70" s="60" t="e">
        <f>Links!F70+'On-Ramps'!AE70</f>
        <v>#DIV/0!</v>
      </c>
      <c r="T70" s="60" t="e">
        <f>Links!G70+'On-Ramps'!AF70</f>
        <v>#DIV/0!</v>
      </c>
      <c r="U70" s="60" t="e">
        <f>Links!H70+'On-Ramps'!AG70</f>
        <v>#DIV/0!</v>
      </c>
      <c r="V70" s="60" t="e">
        <f>Links!J70+'On-Ramps'!AH70</f>
        <v>#DIV/0!</v>
      </c>
      <c r="W70" s="60" t="e">
        <f>Links!K70+'On-Ramps'!AI70</f>
        <v>#DIV/0!</v>
      </c>
      <c r="X70" s="60" t="e">
        <f>Links!L70+'On-Ramps'!AJ70</f>
        <v>#DIV/0!</v>
      </c>
      <c r="Y70" s="60" t="e">
        <f>Links!M70</f>
        <v>#DIV/0!</v>
      </c>
      <c r="Z70" s="60" t="e">
        <f>Links!N70+'On-Ramps'!AK70</f>
        <v>#DIV/0!</v>
      </c>
      <c r="AA70" s="60" t="e">
        <f>Links!O70</f>
        <v>#DIV/0!</v>
      </c>
      <c r="AB70" s="59" t="e">
        <f t="shared" si="44"/>
        <v>#DIV/0!</v>
      </c>
      <c r="AC70" s="65"/>
      <c r="AD70" s="59" t="e">
        <f t="shared" si="45"/>
        <v>#DIV/0!</v>
      </c>
      <c r="AE70" s="65"/>
      <c r="AF70" s="59" t="e">
        <f t="shared" si="46"/>
        <v>#DIV/0!</v>
      </c>
      <c r="AG70" s="59" t="e">
        <f t="shared" si="47"/>
        <v>#DIV/0!</v>
      </c>
      <c r="AH70" s="59" t="e">
        <f t="shared" si="48"/>
        <v>#DIV/0!</v>
      </c>
      <c r="AI70" s="59" t="e">
        <f t="shared" si="49"/>
        <v>#DIV/0!</v>
      </c>
      <c r="AJ70" s="59" t="e">
        <f t="shared" si="50"/>
        <v>#DIV/0!</v>
      </c>
      <c r="AK70" s="59" t="e">
        <f t="shared" si="51"/>
        <v>#DIV/0!</v>
      </c>
      <c r="AL70" s="59" t="e">
        <f t="shared" si="52"/>
        <v>#DIV/0!</v>
      </c>
      <c r="AM70" s="65"/>
      <c r="AN70" s="59" t="e">
        <f t="shared" si="27"/>
        <v>#DIV/0!</v>
      </c>
      <c r="AO70" s="60" t="e">
        <f t="shared" si="30"/>
        <v>#DIV/0!</v>
      </c>
      <c r="AP70" s="65"/>
      <c r="AQ70" s="60" t="e">
        <f t="shared" si="29"/>
        <v>#DIV/0!</v>
      </c>
      <c r="AR70" s="65"/>
      <c r="AS70" s="60" t="e">
        <f t="shared" si="29"/>
        <v>#DIV/0!</v>
      </c>
      <c r="AT70" s="60" t="e">
        <f t="shared" si="29"/>
        <v>#DIV/0!</v>
      </c>
      <c r="AU70" s="60" t="e">
        <f t="shared" si="29"/>
        <v>#DIV/0!</v>
      </c>
      <c r="AV70" s="60" t="e">
        <f t="shared" si="29"/>
        <v>#DIV/0!</v>
      </c>
      <c r="AW70" s="60" t="e">
        <f t="shared" si="29"/>
        <v>#DIV/0!</v>
      </c>
      <c r="AX70" s="60" t="e">
        <f t="shared" si="29"/>
        <v>#DIV/0!</v>
      </c>
      <c r="AY70" s="60" t="e">
        <f t="shared" si="29"/>
        <v>#DIV/0!</v>
      </c>
      <c r="AZ70" s="65"/>
      <c r="BA70" s="60" t="e">
        <f t="shared" si="29"/>
        <v>#DIV/0!</v>
      </c>
      <c r="BB70" s="59" t="e">
        <f>Links!AF70</f>
        <v>#DIV/0!</v>
      </c>
      <c r="BC70" s="59" t="e">
        <f>(Links!AG70*Links!C70+'On-Ramps'!AC70*'On-Ramps'!CE70)/('On-Ramps'!AC70+Links!C70)</f>
        <v>#DIV/0!</v>
      </c>
      <c r="BD70" s="59" t="e">
        <f>Links!AH70</f>
        <v>#DIV/0!</v>
      </c>
      <c r="BE70" s="59" t="e">
        <f>(Links!AI70*Links!E70+'On-Ramps'!AD70*'On-Ramps'!CF69)/('On-Ramps'!AD70+Links!E70)</f>
        <v>#DIV/0!</v>
      </c>
      <c r="BF70" s="59" t="e">
        <f>(Links!F70*Links!AJ70+'On-Ramps'!AE70*'On-Ramps'!CG70)/('On-Ramps'!AE70+Links!F70)</f>
        <v>#DIV/0!</v>
      </c>
      <c r="BG70" s="59" t="e">
        <f>(Links!G70*Links!AK70+'On-Ramps'!AF70*'On-Ramps'!CH70)/('On-Ramps'!AF70+Links!G70)</f>
        <v>#DIV/0!</v>
      </c>
      <c r="BH70" s="59" t="e">
        <f>(Links!H70*Links!AL70+'On-Ramps'!AG70*'On-Ramps'!CI70)/('On-Ramps'!AG70+Links!H70)</f>
        <v>#DIV/0!</v>
      </c>
      <c r="BI70" s="59" t="e">
        <f>(Links!J70*Links!AN70+'On-Ramps'!AH70*'On-Ramps'!CJ70)/('On-Ramps'!AH70+Links!J70)</f>
        <v>#DIV/0!</v>
      </c>
      <c r="BJ70" s="59" t="e">
        <f>(Links!K70*Links!AO70+'On-Ramps'!AI70*'On-Ramps'!CK70)/('On-Ramps'!AI70+Links!K70)</f>
        <v>#DIV/0!</v>
      </c>
      <c r="BK70" s="59" t="e">
        <f>(Links!L70*Links!AP70+'On-Ramps'!AJ70*'On-Ramps'!CL70)/(Links!L70+'On-Ramps'!AJ70)</f>
        <v>#DIV/0!</v>
      </c>
      <c r="BL70" s="59" t="e">
        <f>Links!AQ70</f>
        <v>#DIV/0!</v>
      </c>
      <c r="BM70" s="59" t="e">
        <f>(Links!N70*Links!AR70+'On-Ramps'!AL70*'On-Ramps'!CM70)/(Links!N70+'On-Ramps'!AL70)</f>
        <v>#DIV/0!</v>
      </c>
      <c r="BN70" s="59" t="e">
        <f>Links!AS70</f>
        <v>#DIV/0!</v>
      </c>
      <c r="BO70" s="60" t="e">
        <f>(Links!R70^2+'Off-Ramp'!L70^2)/(Links!R70+'Off-Ramp'!L70)</f>
        <v>#DIV/0!</v>
      </c>
      <c r="BP70" s="60" t="e">
        <f>Links!S70</f>
        <v>#DIV/0!</v>
      </c>
      <c r="BQ70" s="60" t="e">
        <f>(Links!S70^2+'Off-Ramp'!C70^2)/(Links!S70+'Off-Ramp'!C70)</f>
        <v>#DIV/0!</v>
      </c>
      <c r="BR70" s="60" t="e">
        <f>Links!T70</f>
        <v>#DIV/0!</v>
      </c>
      <c r="BS70" s="60" t="e">
        <f>(Links!X70^2+'Off-Ramp'!V70^2+'Off-Ramp'!W70^2+'Off-Ramp'!X70^2)/(Links!X70+'Off-Ramp'!V70+'Off-Ramp'!W70+'Off-Ramp'!X70)</f>
        <v>#DIV/0!</v>
      </c>
      <c r="BT70" s="60" t="e">
        <f>(Links!Y70^2+'Off-Ramp'!Y70^2+'Off-Ramp'!Z70^2+'Off-Ramp'!AA70^2)/(Links!Y70+'Off-Ramp'!Y70+'Off-Ramp'!Z70+'Off-Ramp'!AA70)</f>
        <v>#DIV/0!</v>
      </c>
      <c r="BU70" s="60" t="e">
        <f>(Links!W70^2+'Off-Ramp'!P70^2)/(Links!W70+'Off-Ramp'!P70)</f>
        <v>#DIV/0!</v>
      </c>
      <c r="BV70" s="60" t="e">
        <f>(Links!Y70^2+'Off-Ramp'!Q70^2)/(Links!Y70+'Off-Ramp'!Q70)</f>
        <v>#DIV/0!</v>
      </c>
      <c r="BW70" s="60" t="e">
        <f>(Links!Z70^2+'Off-Ramp'!R70^2)/(Links!Z70+'Off-Ramp'!R70)</f>
        <v>#DIV/0!</v>
      </c>
      <c r="BX70" s="60" t="e">
        <f>(Links!AA70+'Off-Ramp'!S70)/(Links!AA70^2+'Off-Ramp'!S70^2)</f>
        <v>#DIV/0!</v>
      </c>
      <c r="BY70" s="60" t="e">
        <f>(Links!AB70^2+'Off-Ramp'!T70^2)/(Links!AB70+'Off-Ramp'!T70)</f>
        <v>#DIV/0!</v>
      </c>
      <c r="BZ70" s="60" t="e">
        <f>Links!AC70</f>
        <v>#DIV/0!</v>
      </c>
      <c r="CA70" s="60" t="e">
        <f>(Links!AD70^2+'Off-Ramp'!U70^2)/(Links!AD70+'Off-Ramp'!U70)</f>
        <v>#DIV/0!</v>
      </c>
    </row>
    <row r="71" spans="1:79" x14ac:dyDescent="0.15">
      <c r="A71" s="58">
        <v>69</v>
      </c>
      <c r="B71" s="59" t="e">
        <f t="shared" si="31"/>
        <v>#DIV/0!</v>
      </c>
      <c r="C71" s="59" t="e">
        <f t="shared" si="32"/>
        <v>#DIV/0!</v>
      </c>
      <c r="D71" s="59" t="e">
        <f t="shared" si="33"/>
        <v>#DIV/0!</v>
      </c>
      <c r="E71" s="59" t="e">
        <f t="shared" si="34"/>
        <v>#DIV/0!</v>
      </c>
      <c r="F71" s="59" t="e">
        <f t="shared" si="35"/>
        <v>#DIV/0!</v>
      </c>
      <c r="G71" s="59" t="e">
        <f t="shared" si="36"/>
        <v>#DIV/0!</v>
      </c>
      <c r="H71" s="59" t="e">
        <f t="shared" si="37"/>
        <v>#DIV/0!</v>
      </c>
      <c r="I71" s="59" t="e">
        <f t="shared" si="38"/>
        <v>#DIV/0!</v>
      </c>
      <c r="J71" s="59" t="e">
        <f t="shared" si="39"/>
        <v>#DIV/0!</v>
      </c>
      <c r="K71" s="59" t="e">
        <f t="shared" si="40"/>
        <v>#DIV/0!</v>
      </c>
      <c r="L71" s="59" t="e">
        <f t="shared" si="41"/>
        <v>#DIV/0!</v>
      </c>
      <c r="M71" s="59" t="e">
        <f t="shared" si="42"/>
        <v>#DIV/0!</v>
      </c>
      <c r="N71" s="59" t="e">
        <f t="shared" si="43"/>
        <v>#DIV/0!</v>
      </c>
      <c r="O71" s="60" t="e">
        <f>Links!B71</f>
        <v>#DIV/0!</v>
      </c>
      <c r="P71" s="60" t="e">
        <f>Links!C71+'On-Ramps'!AC71</f>
        <v>#DIV/0!</v>
      </c>
      <c r="Q71" s="60" t="e">
        <f>Links!D71</f>
        <v>#DIV/0!</v>
      </c>
      <c r="R71" s="60" t="e">
        <f>Links!E71+'On-Ramps'!AD71</f>
        <v>#DIV/0!</v>
      </c>
      <c r="S71" s="60" t="e">
        <f>Links!F71+'On-Ramps'!AE71</f>
        <v>#DIV/0!</v>
      </c>
      <c r="T71" s="60" t="e">
        <f>Links!G71+'On-Ramps'!AF71</f>
        <v>#DIV/0!</v>
      </c>
      <c r="U71" s="60" t="e">
        <f>Links!H71+'On-Ramps'!AG71</f>
        <v>#DIV/0!</v>
      </c>
      <c r="V71" s="60" t="e">
        <f>Links!J71+'On-Ramps'!AH71</f>
        <v>#DIV/0!</v>
      </c>
      <c r="W71" s="60" t="e">
        <f>Links!K71+'On-Ramps'!AI71</f>
        <v>#DIV/0!</v>
      </c>
      <c r="X71" s="60" t="e">
        <f>Links!L71+'On-Ramps'!AJ71</f>
        <v>#DIV/0!</v>
      </c>
      <c r="Y71" s="60" t="e">
        <f>Links!M71</f>
        <v>#DIV/0!</v>
      </c>
      <c r="Z71" s="60" t="e">
        <f>Links!N71+'On-Ramps'!AK71</f>
        <v>#DIV/0!</v>
      </c>
      <c r="AA71" s="60" t="e">
        <f>Links!O71</f>
        <v>#DIV/0!</v>
      </c>
      <c r="AB71" s="59" t="e">
        <f t="shared" si="44"/>
        <v>#DIV/0!</v>
      </c>
      <c r="AC71" s="65"/>
      <c r="AD71" s="59" t="e">
        <f t="shared" si="45"/>
        <v>#DIV/0!</v>
      </c>
      <c r="AE71" s="65"/>
      <c r="AF71" s="59" t="e">
        <f t="shared" si="46"/>
        <v>#DIV/0!</v>
      </c>
      <c r="AG71" s="59" t="e">
        <f t="shared" si="47"/>
        <v>#DIV/0!</v>
      </c>
      <c r="AH71" s="59" t="e">
        <f t="shared" si="48"/>
        <v>#DIV/0!</v>
      </c>
      <c r="AI71" s="59" t="e">
        <f t="shared" si="49"/>
        <v>#DIV/0!</v>
      </c>
      <c r="AJ71" s="59" t="e">
        <f t="shared" si="50"/>
        <v>#DIV/0!</v>
      </c>
      <c r="AK71" s="59" t="e">
        <f t="shared" si="51"/>
        <v>#DIV/0!</v>
      </c>
      <c r="AL71" s="59" t="e">
        <f t="shared" si="52"/>
        <v>#DIV/0!</v>
      </c>
      <c r="AM71" s="65"/>
      <c r="AN71" s="59" t="e">
        <f t="shared" si="27"/>
        <v>#DIV/0!</v>
      </c>
      <c r="AO71" s="60" t="e">
        <f t="shared" si="30"/>
        <v>#DIV/0!</v>
      </c>
      <c r="AP71" s="65"/>
      <c r="AQ71" s="60" t="e">
        <f t="shared" si="29"/>
        <v>#DIV/0!</v>
      </c>
      <c r="AR71" s="65"/>
      <c r="AS71" s="60" t="e">
        <f t="shared" si="29"/>
        <v>#DIV/0!</v>
      </c>
      <c r="AT71" s="60" t="e">
        <f t="shared" si="29"/>
        <v>#DIV/0!</v>
      </c>
      <c r="AU71" s="60" t="e">
        <f t="shared" si="29"/>
        <v>#DIV/0!</v>
      </c>
      <c r="AV71" s="60" t="e">
        <f t="shared" si="29"/>
        <v>#DIV/0!</v>
      </c>
      <c r="AW71" s="60" t="e">
        <f t="shared" si="29"/>
        <v>#DIV/0!</v>
      </c>
      <c r="AX71" s="60" t="e">
        <f t="shared" si="29"/>
        <v>#DIV/0!</v>
      </c>
      <c r="AY71" s="60" t="e">
        <f t="shared" si="29"/>
        <v>#DIV/0!</v>
      </c>
      <c r="AZ71" s="65"/>
      <c r="BA71" s="60" t="e">
        <f t="shared" si="29"/>
        <v>#DIV/0!</v>
      </c>
      <c r="BB71" s="59" t="e">
        <f>Links!AF71</f>
        <v>#DIV/0!</v>
      </c>
      <c r="BC71" s="59" t="e">
        <f>(Links!AG71*Links!C71+'On-Ramps'!AC71*'On-Ramps'!CE71)/('On-Ramps'!AC71+Links!C71)</f>
        <v>#DIV/0!</v>
      </c>
      <c r="BD71" s="59" t="e">
        <f>Links!AH71</f>
        <v>#DIV/0!</v>
      </c>
      <c r="BE71" s="59" t="e">
        <f>(Links!AI71*Links!E71+'On-Ramps'!AD71*'On-Ramps'!CF70)/('On-Ramps'!AD71+Links!E71)</f>
        <v>#DIV/0!</v>
      </c>
      <c r="BF71" s="59" t="e">
        <f>(Links!F71*Links!AJ71+'On-Ramps'!AE71*'On-Ramps'!CG71)/('On-Ramps'!AE71+Links!F71)</f>
        <v>#DIV/0!</v>
      </c>
      <c r="BG71" s="59" t="e">
        <f>(Links!G71*Links!AK71+'On-Ramps'!AF71*'On-Ramps'!CH71)/('On-Ramps'!AF71+Links!G71)</f>
        <v>#DIV/0!</v>
      </c>
      <c r="BH71" s="59" t="e">
        <f>(Links!H71*Links!AL71+'On-Ramps'!AG71*'On-Ramps'!CI71)/('On-Ramps'!AG71+Links!H71)</f>
        <v>#DIV/0!</v>
      </c>
      <c r="BI71" s="59" t="e">
        <f>(Links!J71*Links!AN71+'On-Ramps'!AH71*'On-Ramps'!CJ71)/('On-Ramps'!AH71+Links!J71)</f>
        <v>#DIV/0!</v>
      </c>
      <c r="BJ71" s="59" t="e">
        <f>(Links!K71*Links!AO71+'On-Ramps'!AI71*'On-Ramps'!CK71)/('On-Ramps'!AI71+Links!K71)</f>
        <v>#DIV/0!</v>
      </c>
      <c r="BK71" s="59" t="e">
        <f>(Links!L71*Links!AP71+'On-Ramps'!AJ71*'On-Ramps'!CL71)/(Links!L71+'On-Ramps'!AJ71)</f>
        <v>#DIV/0!</v>
      </c>
      <c r="BL71" s="59" t="e">
        <f>Links!AQ71</f>
        <v>#DIV/0!</v>
      </c>
      <c r="BM71" s="59" t="e">
        <f>(Links!N71*Links!AR71+'On-Ramps'!AL71*'On-Ramps'!CM71)/(Links!N71+'On-Ramps'!AL71)</f>
        <v>#DIV/0!</v>
      </c>
      <c r="BN71" s="59" t="e">
        <f>Links!AS71</f>
        <v>#DIV/0!</v>
      </c>
      <c r="BO71" s="60" t="e">
        <f>(Links!R71^2+'Off-Ramp'!L71^2)/(Links!R71+'Off-Ramp'!L71)</f>
        <v>#DIV/0!</v>
      </c>
      <c r="BP71" s="60" t="e">
        <f>Links!S71</f>
        <v>#DIV/0!</v>
      </c>
      <c r="BQ71" s="60" t="e">
        <f>(Links!S71^2+'Off-Ramp'!C71^2)/(Links!S71+'Off-Ramp'!C71)</f>
        <v>#DIV/0!</v>
      </c>
      <c r="BR71" s="60" t="e">
        <f>Links!T71</f>
        <v>#DIV/0!</v>
      </c>
      <c r="BS71" s="60" t="e">
        <f>(Links!X71^2+'Off-Ramp'!V71^2+'Off-Ramp'!W71^2+'Off-Ramp'!X71^2)/(Links!X71+'Off-Ramp'!V71+'Off-Ramp'!W71+'Off-Ramp'!X71)</f>
        <v>#DIV/0!</v>
      </c>
      <c r="BT71" s="60" t="e">
        <f>(Links!Y71^2+'Off-Ramp'!Y71^2+'Off-Ramp'!Z71^2+'Off-Ramp'!AA71^2)/(Links!Y71+'Off-Ramp'!Y71+'Off-Ramp'!Z71+'Off-Ramp'!AA71)</f>
        <v>#DIV/0!</v>
      </c>
      <c r="BU71" s="60" t="e">
        <f>(Links!W71^2+'Off-Ramp'!P71^2)/(Links!W71+'Off-Ramp'!P71)</f>
        <v>#DIV/0!</v>
      </c>
      <c r="BV71" s="60" t="e">
        <f>(Links!Y71^2+'Off-Ramp'!Q71^2)/(Links!Y71+'Off-Ramp'!Q71)</f>
        <v>#DIV/0!</v>
      </c>
      <c r="BW71" s="60" t="e">
        <f>(Links!Z71^2+'Off-Ramp'!R71^2)/(Links!Z71+'Off-Ramp'!R71)</f>
        <v>#DIV/0!</v>
      </c>
      <c r="BX71" s="60" t="e">
        <f>(Links!AA71+'Off-Ramp'!S71)/(Links!AA71^2+'Off-Ramp'!S71^2)</f>
        <v>#DIV/0!</v>
      </c>
      <c r="BY71" s="60" t="e">
        <f>(Links!AB71^2+'Off-Ramp'!T71^2)/(Links!AB71+'Off-Ramp'!T71)</f>
        <v>#DIV/0!</v>
      </c>
      <c r="BZ71" s="60" t="e">
        <f>Links!AC71</f>
        <v>#DIV/0!</v>
      </c>
      <c r="CA71" s="60" t="e">
        <f>(Links!AD71^2+'Off-Ramp'!U71^2)/(Links!AD71+'Off-Ramp'!U71)</f>
        <v>#DIV/0!</v>
      </c>
    </row>
    <row r="72" spans="1:79" x14ac:dyDescent="0.15">
      <c r="A72" s="58">
        <v>70</v>
      </c>
      <c r="B72" s="59" t="e">
        <f t="shared" si="31"/>
        <v>#DIV/0!</v>
      </c>
      <c r="C72" s="59" t="e">
        <f t="shared" si="32"/>
        <v>#DIV/0!</v>
      </c>
      <c r="D72" s="59" t="e">
        <f t="shared" si="33"/>
        <v>#DIV/0!</v>
      </c>
      <c r="E72" s="59" t="e">
        <f t="shared" si="34"/>
        <v>#DIV/0!</v>
      </c>
      <c r="F72" s="59" t="e">
        <f t="shared" si="35"/>
        <v>#DIV/0!</v>
      </c>
      <c r="G72" s="59" t="e">
        <f t="shared" si="36"/>
        <v>#DIV/0!</v>
      </c>
      <c r="H72" s="59" t="e">
        <f t="shared" si="37"/>
        <v>#DIV/0!</v>
      </c>
      <c r="I72" s="59" t="e">
        <f t="shared" si="38"/>
        <v>#DIV/0!</v>
      </c>
      <c r="J72" s="59" t="e">
        <f t="shared" si="39"/>
        <v>#DIV/0!</v>
      </c>
      <c r="K72" s="59" t="e">
        <f t="shared" si="40"/>
        <v>#DIV/0!</v>
      </c>
      <c r="L72" s="59" t="e">
        <f t="shared" si="41"/>
        <v>#DIV/0!</v>
      </c>
      <c r="M72" s="59" t="e">
        <f t="shared" si="42"/>
        <v>#DIV/0!</v>
      </c>
      <c r="N72" s="59" t="e">
        <f t="shared" si="43"/>
        <v>#DIV/0!</v>
      </c>
      <c r="O72" s="60" t="e">
        <f>Links!B72</f>
        <v>#DIV/0!</v>
      </c>
      <c r="P72" s="60" t="e">
        <f>Links!C72+'On-Ramps'!AC72</f>
        <v>#DIV/0!</v>
      </c>
      <c r="Q72" s="60" t="e">
        <f>Links!D72</f>
        <v>#DIV/0!</v>
      </c>
      <c r="R72" s="60" t="e">
        <f>Links!E72+'On-Ramps'!AD72</f>
        <v>#DIV/0!</v>
      </c>
      <c r="S72" s="60" t="e">
        <f>Links!F72+'On-Ramps'!AE72</f>
        <v>#DIV/0!</v>
      </c>
      <c r="T72" s="60" t="e">
        <f>Links!G72+'On-Ramps'!AF72</f>
        <v>#DIV/0!</v>
      </c>
      <c r="U72" s="60" t="e">
        <f>Links!H72+'On-Ramps'!AG72</f>
        <v>#DIV/0!</v>
      </c>
      <c r="V72" s="60" t="e">
        <f>Links!J72+'On-Ramps'!AH72</f>
        <v>#DIV/0!</v>
      </c>
      <c r="W72" s="60" t="e">
        <f>Links!K72+'On-Ramps'!AI72</f>
        <v>#DIV/0!</v>
      </c>
      <c r="X72" s="60" t="e">
        <f>Links!L72+'On-Ramps'!AJ72</f>
        <v>#DIV/0!</v>
      </c>
      <c r="Y72" s="60" t="e">
        <f>Links!M72</f>
        <v>#DIV/0!</v>
      </c>
      <c r="Z72" s="60" t="e">
        <f>Links!N72+'On-Ramps'!AK72</f>
        <v>#DIV/0!</v>
      </c>
      <c r="AA72" s="60" t="e">
        <f>Links!O72</f>
        <v>#DIV/0!</v>
      </c>
      <c r="AB72" s="59" t="e">
        <f t="shared" si="44"/>
        <v>#DIV/0!</v>
      </c>
      <c r="AC72" s="65"/>
      <c r="AD72" s="59" t="e">
        <f t="shared" si="45"/>
        <v>#DIV/0!</v>
      </c>
      <c r="AE72" s="65"/>
      <c r="AF72" s="59" t="e">
        <f t="shared" si="46"/>
        <v>#DIV/0!</v>
      </c>
      <c r="AG72" s="59" t="e">
        <f t="shared" si="47"/>
        <v>#DIV/0!</v>
      </c>
      <c r="AH72" s="59" t="e">
        <f t="shared" si="48"/>
        <v>#DIV/0!</v>
      </c>
      <c r="AI72" s="59" t="e">
        <f t="shared" si="49"/>
        <v>#DIV/0!</v>
      </c>
      <c r="AJ72" s="59" t="e">
        <f t="shared" si="50"/>
        <v>#DIV/0!</v>
      </c>
      <c r="AK72" s="59" t="e">
        <f t="shared" si="51"/>
        <v>#DIV/0!</v>
      </c>
      <c r="AL72" s="59" t="e">
        <f t="shared" si="52"/>
        <v>#DIV/0!</v>
      </c>
      <c r="AM72" s="65"/>
      <c r="AN72" s="59" t="e">
        <f t="shared" si="27"/>
        <v>#DIV/0!</v>
      </c>
      <c r="AO72" s="60" t="e">
        <f t="shared" si="30"/>
        <v>#DIV/0!</v>
      </c>
      <c r="AP72" s="65"/>
      <c r="AQ72" s="60" t="e">
        <f t="shared" si="29"/>
        <v>#DIV/0!</v>
      </c>
      <c r="AR72" s="65"/>
      <c r="AS72" s="60" t="e">
        <f t="shared" si="29"/>
        <v>#DIV/0!</v>
      </c>
      <c r="AT72" s="60" t="e">
        <f t="shared" si="29"/>
        <v>#DIV/0!</v>
      </c>
      <c r="AU72" s="60" t="e">
        <f t="shared" si="29"/>
        <v>#DIV/0!</v>
      </c>
      <c r="AV72" s="60" t="e">
        <f t="shared" si="29"/>
        <v>#DIV/0!</v>
      </c>
      <c r="AW72" s="60" t="e">
        <f t="shared" si="29"/>
        <v>#DIV/0!</v>
      </c>
      <c r="AX72" s="60" t="e">
        <f t="shared" si="29"/>
        <v>#DIV/0!</v>
      </c>
      <c r="AY72" s="60" t="e">
        <f t="shared" si="29"/>
        <v>#DIV/0!</v>
      </c>
      <c r="AZ72" s="65"/>
      <c r="BA72" s="60" t="e">
        <f t="shared" si="29"/>
        <v>#DIV/0!</v>
      </c>
      <c r="BB72" s="59" t="e">
        <f>Links!AF72</f>
        <v>#DIV/0!</v>
      </c>
      <c r="BC72" s="59" t="e">
        <f>(Links!AG72*Links!C72+'On-Ramps'!AC72*'On-Ramps'!CE72)/('On-Ramps'!AC72+Links!C72)</f>
        <v>#DIV/0!</v>
      </c>
      <c r="BD72" s="59" t="e">
        <f>Links!AH72</f>
        <v>#DIV/0!</v>
      </c>
      <c r="BE72" s="59" t="e">
        <f>(Links!AI72*Links!E72+'On-Ramps'!AD72*'On-Ramps'!CF71)/('On-Ramps'!AD72+Links!E72)</f>
        <v>#DIV/0!</v>
      </c>
      <c r="BF72" s="59" t="e">
        <f>(Links!F72*Links!AJ72+'On-Ramps'!AE72*'On-Ramps'!CG72)/('On-Ramps'!AE72+Links!F72)</f>
        <v>#DIV/0!</v>
      </c>
      <c r="BG72" s="59" t="e">
        <f>(Links!G72*Links!AK72+'On-Ramps'!AF72*'On-Ramps'!CH72)/('On-Ramps'!AF72+Links!G72)</f>
        <v>#DIV/0!</v>
      </c>
      <c r="BH72" s="59" t="e">
        <f>(Links!H72*Links!AL72+'On-Ramps'!AG72*'On-Ramps'!CI72)/('On-Ramps'!AG72+Links!H72)</f>
        <v>#DIV/0!</v>
      </c>
      <c r="BI72" s="59" t="e">
        <f>(Links!J72*Links!AN72+'On-Ramps'!AH72*'On-Ramps'!CJ72)/('On-Ramps'!AH72+Links!J72)</f>
        <v>#DIV/0!</v>
      </c>
      <c r="BJ72" s="59" t="e">
        <f>(Links!K72*Links!AO72+'On-Ramps'!AI72*'On-Ramps'!CK72)/('On-Ramps'!AI72+Links!K72)</f>
        <v>#DIV/0!</v>
      </c>
      <c r="BK72" s="59" t="e">
        <f>(Links!L72*Links!AP72+'On-Ramps'!AJ72*'On-Ramps'!CL72)/(Links!L72+'On-Ramps'!AJ72)</f>
        <v>#DIV/0!</v>
      </c>
      <c r="BL72" s="59" t="e">
        <f>Links!AQ72</f>
        <v>#DIV/0!</v>
      </c>
      <c r="BM72" s="59" t="e">
        <f>(Links!N72*Links!AR72+'On-Ramps'!AL72*'On-Ramps'!CM72)/(Links!N72+'On-Ramps'!AL72)</f>
        <v>#DIV/0!</v>
      </c>
      <c r="BN72" s="59" t="e">
        <f>Links!AS72</f>
        <v>#DIV/0!</v>
      </c>
      <c r="BO72" s="60" t="e">
        <f>(Links!R72^2+'Off-Ramp'!L72^2)/(Links!R72+'Off-Ramp'!L72)</f>
        <v>#DIV/0!</v>
      </c>
      <c r="BP72" s="60" t="e">
        <f>Links!S72</f>
        <v>#DIV/0!</v>
      </c>
      <c r="BQ72" s="60" t="e">
        <f>(Links!S72^2+'Off-Ramp'!C72^2)/(Links!S72+'Off-Ramp'!C72)</f>
        <v>#DIV/0!</v>
      </c>
      <c r="BR72" s="60" t="e">
        <f>Links!T72</f>
        <v>#DIV/0!</v>
      </c>
      <c r="BS72" s="60" t="e">
        <f>(Links!X72^2+'Off-Ramp'!V72^2+'Off-Ramp'!W72^2+'Off-Ramp'!X72^2)/(Links!X72+'Off-Ramp'!V72+'Off-Ramp'!W72+'Off-Ramp'!X72)</f>
        <v>#DIV/0!</v>
      </c>
      <c r="BT72" s="60" t="e">
        <f>(Links!Y72^2+'Off-Ramp'!Y72^2+'Off-Ramp'!Z72^2+'Off-Ramp'!AA72^2)/(Links!Y72+'Off-Ramp'!Y72+'Off-Ramp'!Z72+'Off-Ramp'!AA72)</f>
        <v>#DIV/0!</v>
      </c>
      <c r="BU72" s="60" t="e">
        <f>(Links!W72^2+'Off-Ramp'!P72^2)/(Links!W72+'Off-Ramp'!P72)</f>
        <v>#DIV/0!</v>
      </c>
      <c r="BV72" s="60" t="e">
        <f>(Links!Y72^2+'Off-Ramp'!Q72^2)/(Links!Y72+'Off-Ramp'!Q72)</f>
        <v>#DIV/0!</v>
      </c>
      <c r="BW72" s="60" t="e">
        <f>(Links!Z72^2+'Off-Ramp'!R72^2)/(Links!Z72+'Off-Ramp'!R72)</f>
        <v>#DIV/0!</v>
      </c>
      <c r="BX72" s="60" t="e">
        <f>(Links!AA72+'Off-Ramp'!S72)/(Links!AA72^2+'Off-Ramp'!S72^2)</f>
        <v>#DIV/0!</v>
      </c>
      <c r="BY72" s="60" t="e">
        <f>(Links!AB72^2+'Off-Ramp'!T72^2)/(Links!AB72+'Off-Ramp'!T72)</f>
        <v>#DIV/0!</v>
      </c>
      <c r="BZ72" s="60" t="e">
        <f>Links!AC72</f>
        <v>#DIV/0!</v>
      </c>
      <c r="CA72" s="60" t="e">
        <f>(Links!AD72^2+'Off-Ramp'!U72^2)/(Links!AD72+'Off-Ramp'!U72)</f>
        <v>#DIV/0!</v>
      </c>
    </row>
    <row r="73" spans="1:79" x14ac:dyDescent="0.15">
      <c r="A73" s="58">
        <v>71</v>
      </c>
      <c r="B73" s="59" t="e">
        <f t="shared" si="31"/>
        <v>#DIV/0!</v>
      </c>
      <c r="C73" s="59" t="e">
        <f t="shared" si="32"/>
        <v>#DIV/0!</v>
      </c>
      <c r="D73" s="59" t="e">
        <f t="shared" si="33"/>
        <v>#DIV/0!</v>
      </c>
      <c r="E73" s="59" t="e">
        <f t="shared" si="34"/>
        <v>#DIV/0!</v>
      </c>
      <c r="F73" s="59" t="e">
        <f t="shared" si="35"/>
        <v>#DIV/0!</v>
      </c>
      <c r="G73" s="59" t="e">
        <f t="shared" si="36"/>
        <v>#DIV/0!</v>
      </c>
      <c r="H73" s="59" t="e">
        <f t="shared" si="37"/>
        <v>#DIV/0!</v>
      </c>
      <c r="I73" s="59" t="e">
        <f t="shared" si="38"/>
        <v>#DIV/0!</v>
      </c>
      <c r="J73" s="59" t="e">
        <f t="shared" si="39"/>
        <v>#DIV/0!</v>
      </c>
      <c r="K73" s="59" t="e">
        <f t="shared" si="40"/>
        <v>#DIV/0!</v>
      </c>
      <c r="L73" s="59" t="e">
        <f t="shared" si="41"/>
        <v>#DIV/0!</v>
      </c>
      <c r="M73" s="59" t="e">
        <f t="shared" si="42"/>
        <v>#DIV/0!</v>
      </c>
      <c r="N73" s="59" t="e">
        <f t="shared" si="43"/>
        <v>#DIV/0!</v>
      </c>
      <c r="O73" s="60" t="e">
        <f>Links!B73</f>
        <v>#DIV/0!</v>
      </c>
      <c r="P73" s="60" t="e">
        <f>Links!C73+'On-Ramps'!AC73</f>
        <v>#DIV/0!</v>
      </c>
      <c r="Q73" s="60" t="e">
        <f>Links!D73</f>
        <v>#DIV/0!</v>
      </c>
      <c r="R73" s="60" t="e">
        <f>Links!E73+'On-Ramps'!AD73</f>
        <v>#DIV/0!</v>
      </c>
      <c r="S73" s="60" t="e">
        <f>Links!F73+'On-Ramps'!AE73</f>
        <v>#DIV/0!</v>
      </c>
      <c r="T73" s="60" t="e">
        <f>Links!G73+'On-Ramps'!AF73</f>
        <v>#DIV/0!</v>
      </c>
      <c r="U73" s="60" t="e">
        <f>Links!H73+'On-Ramps'!AG73</f>
        <v>#DIV/0!</v>
      </c>
      <c r="V73" s="60" t="e">
        <f>Links!J73+'On-Ramps'!AH73</f>
        <v>#DIV/0!</v>
      </c>
      <c r="W73" s="60" t="e">
        <f>Links!K73+'On-Ramps'!AI73</f>
        <v>#DIV/0!</v>
      </c>
      <c r="X73" s="60" t="e">
        <f>Links!L73+'On-Ramps'!AJ73</f>
        <v>#DIV/0!</v>
      </c>
      <c r="Y73" s="60" t="e">
        <f>Links!M73</f>
        <v>#DIV/0!</v>
      </c>
      <c r="Z73" s="60" t="e">
        <f>Links!N73+'On-Ramps'!AK73</f>
        <v>#DIV/0!</v>
      </c>
      <c r="AA73" s="60" t="e">
        <f>Links!O73</f>
        <v>#DIV/0!</v>
      </c>
      <c r="AB73" s="59" t="e">
        <f t="shared" si="44"/>
        <v>#DIV/0!</v>
      </c>
      <c r="AC73" s="65"/>
      <c r="AD73" s="59" t="e">
        <f t="shared" si="45"/>
        <v>#DIV/0!</v>
      </c>
      <c r="AE73" s="65"/>
      <c r="AF73" s="59" t="e">
        <f t="shared" si="46"/>
        <v>#DIV/0!</v>
      </c>
      <c r="AG73" s="59" t="e">
        <f t="shared" si="47"/>
        <v>#DIV/0!</v>
      </c>
      <c r="AH73" s="59" t="e">
        <f t="shared" si="48"/>
        <v>#DIV/0!</v>
      </c>
      <c r="AI73" s="59" t="e">
        <f t="shared" si="49"/>
        <v>#DIV/0!</v>
      </c>
      <c r="AJ73" s="59" t="e">
        <f t="shared" si="50"/>
        <v>#DIV/0!</v>
      </c>
      <c r="AK73" s="59" t="e">
        <f t="shared" si="51"/>
        <v>#DIV/0!</v>
      </c>
      <c r="AL73" s="59" t="e">
        <f t="shared" si="52"/>
        <v>#DIV/0!</v>
      </c>
      <c r="AM73" s="65"/>
      <c r="AN73" s="59" t="e">
        <f t="shared" si="27"/>
        <v>#DIV/0!</v>
      </c>
      <c r="AO73" s="60" t="e">
        <f t="shared" si="30"/>
        <v>#DIV/0!</v>
      </c>
      <c r="AP73" s="65"/>
      <c r="AQ73" s="60" t="e">
        <f t="shared" si="29"/>
        <v>#DIV/0!</v>
      </c>
      <c r="AR73" s="65"/>
      <c r="AS73" s="60" t="e">
        <f t="shared" si="29"/>
        <v>#DIV/0!</v>
      </c>
      <c r="AT73" s="60" t="e">
        <f t="shared" si="29"/>
        <v>#DIV/0!</v>
      </c>
      <c r="AU73" s="60" t="e">
        <f t="shared" si="29"/>
        <v>#DIV/0!</v>
      </c>
      <c r="AV73" s="60" t="e">
        <f t="shared" si="29"/>
        <v>#DIV/0!</v>
      </c>
      <c r="AW73" s="60" t="e">
        <f t="shared" si="29"/>
        <v>#DIV/0!</v>
      </c>
      <c r="AX73" s="60" t="e">
        <f t="shared" si="29"/>
        <v>#DIV/0!</v>
      </c>
      <c r="AY73" s="60" t="e">
        <f t="shared" si="29"/>
        <v>#DIV/0!</v>
      </c>
      <c r="AZ73" s="65"/>
      <c r="BA73" s="60" t="e">
        <f t="shared" si="29"/>
        <v>#DIV/0!</v>
      </c>
      <c r="BB73" s="59" t="e">
        <f>Links!AF73</f>
        <v>#DIV/0!</v>
      </c>
      <c r="BC73" s="59" t="e">
        <f>(Links!AG73*Links!C73+'On-Ramps'!AC73*'On-Ramps'!CE73)/('On-Ramps'!AC73+Links!C73)</f>
        <v>#DIV/0!</v>
      </c>
      <c r="BD73" s="59" t="e">
        <f>Links!AH73</f>
        <v>#DIV/0!</v>
      </c>
      <c r="BE73" s="59" t="e">
        <f>(Links!AI73*Links!E73+'On-Ramps'!AD73*'On-Ramps'!CF72)/('On-Ramps'!AD73+Links!E73)</f>
        <v>#DIV/0!</v>
      </c>
      <c r="BF73" s="59" t="e">
        <f>(Links!F73*Links!AJ73+'On-Ramps'!AE73*'On-Ramps'!CG73)/('On-Ramps'!AE73+Links!F73)</f>
        <v>#DIV/0!</v>
      </c>
      <c r="BG73" s="59" t="e">
        <f>(Links!G73*Links!AK73+'On-Ramps'!AF73*'On-Ramps'!CH73)/('On-Ramps'!AF73+Links!G73)</f>
        <v>#DIV/0!</v>
      </c>
      <c r="BH73" s="59" t="e">
        <f>(Links!H73*Links!AL73+'On-Ramps'!AG73*'On-Ramps'!CI73)/('On-Ramps'!AG73+Links!H73)</f>
        <v>#DIV/0!</v>
      </c>
      <c r="BI73" s="59" t="e">
        <f>(Links!J73*Links!AN73+'On-Ramps'!AH73*'On-Ramps'!CJ73)/('On-Ramps'!AH73+Links!J73)</f>
        <v>#DIV/0!</v>
      </c>
      <c r="BJ73" s="59" t="e">
        <f>(Links!K73*Links!AO73+'On-Ramps'!AI73*'On-Ramps'!CK73)/('On-Ramps'!AI73+Links!K73)</f>
        <v>#DIV/0!</v>
      </c>
      <c r="BK73" s="59" t="e">
        <f>(Links!L73*Links!AP73+'On-Ramps'!AJ73*'On-Ramps'!CL73)/(Links!L73+'On-Ramps'!AJ73)</f>
        <v>#DIV/0!</v>
      </c>
      <c r="BL73" s="59" t="e">
        <f>Links!AQ73</f>
        <v>#DIV/0!</v>
      </c>
      <c r="BM73" s="59" t="e">
        <f>(Links!N73*Links!AR73+'On-Ramps'!AL73*'On-Ramps'!CM73)/(Links!N73+'On-Ramps'!AL73)</f>
        <v>#DIV/0!</v>
      </c>
      <c r="BN73" s="59" t="e">
        <f>Links!AS73</f>
        <v>#DIV/0!</v>
      </c>
      <c r="BO73" s="60" t="e">
        <f>(Links!R73^2+'Off-Ramp'!L73^2)/(Links!R73+'Off-Ramp'!L73)</f>
        <v>#DIV/0!</v>
      </c>
      <c r="BP73" s="60" t="e">
        <f>Links!S73</f>
        <v>#DIV/0!</v>
      </c>
      <c r="BQ73" s="60" t="e">
        <f>(Links!S73^2+'Off-Ramp'!C73^2)/(Links!S73+'Off-Ramp'!C73)</f>
        <v>#DIV/0!</v>
      </c>
      <c r="BR73" s="60" t="e">
        <f>Links!T73</f>
        <v>#DIV/0!</v>
      </c>
      <c r="BS73" s="60" t="e">
        <f>(Links!X73^2+'Off-Ramp'!V73^2+'Off-Ramp'!W73^2+'Off-Ramp'!X73^2)/(Links!X73+'Off-Ramp'!V73+'Off-Ramp'!W73+'Off-Ramp'!X73)</f>
        <v>#DIV/0!</v>
      </c>
      <c r="BT73" s="60" t="e">
        <f>(Links!Y73^2+'Off-Ramp'!Y73^2+'Off-Ramp'!Z73^2+'Off-Ramp'!AA73^2)/(Links!Y73+'Off-Ramp'!Y73+'Off-Ramp'!Z73+'Off-Ramp'!AA73)</f>
        <v>#DIV/0!</v>
      </c>
      <c r="BU73" s="60" t="e">
        <f>(Links!W73^2+'Off-Ramp'!P73^2)/(Links!W73+'Off-Ramp'!P73)</f>
        <v>#DIV/0!</v>
      </c>
      <c r="BV73" s="60" t="e">
        <f>(Links!Y73^2+'Off-Ramp'!Q73^2)/(Links!Y73+'Off-Ramp'!Q73)</f>
        <v>#DIV/0!</v>
      </c>
      <c r="BW73" s="60" t="e">
        <f>(Links!Z73^2+'Off-Ramp'!R73^2)/(Links!Z73+'Off-Ramp'!R73)</f>
        <v>#DIV/0!</v>
      </c>
      <c r="BX73" s="60" t="e">
        <f>(Links!AA73+'Off-Ramp'!S73)/(Links!AA73^2+'Off-Ramp'!S73^2)</f>
        <v>#DIV/0!</v>
      </c>
      <c r="BY73" s="60" t="e">
        <f>(Links!AB73^2+'Off-Ramp'!T73^2)/(Links!AB73+'Off-Ramp'!T73)</f>
        <v>#DIV/0!</v>
      </c>
      <c r="BZ73" s="60" t="e">
        <f>Links!AC73</f>
        <v>#DIV/0!</v>
      </c>
      <c r="CA73" s="60" t="e">
        <f>(Links!AD73^2+'Off-Ramp'!U73^2)/(Links!AD73+'Off-Ramp'!U73)</f>
        <v>#DIV/0!</v>
      </c>
    </row>
    <row r="74" spans="1:79" x14ac:dyDescent="0.15">
      <c r="A74" s="58">
        <v>72</v>
      </c>
      <c r="B74" s="59" t="e">
        <f t="shared" si="31"/>
        <v>#DIV/0!</v>
      </c>
      <c r="C74" s="59" t="e">
        <f t="shared" si="32"/>
        <v>#DIV/0!</v>
      </c>
      <c r="D74" s="59" t="e">
        <f t="shared" si="33"/>
        <v>#DIV/0!</v>
      </c>
      <c r="E74" s="59" t="e">
        <f t="shared" si="34"/>
        <v>#DIV/0!</v>
      </c>
      <c r="F74" s="59" t="e">
        <f t="shared" si="35"/>
        <v>#DIV/0!</v>
      </c>
      <c r="G74" s="59" t="e">
        <f t="shared" si="36"/>
        <v>#DIV/0!</v>
      </c>
      <c r="H74" s="59" t="e">
        <f t="shared" si="37"/>
        <v>#DIV/0!</v>
      </c>
      <c r="I74" s="59" t="e">
        <f t="shared" si="38"/>
        <v>#DIV/0!</v>
      </c>
      <c r="J74" s="59" t="e">
        <f t="shared" si="39"/>
        <v>#DIV/0!</v>
      </c>
      <c r="K74" s="59" t="e">
        <f t="shared" si="40"/>
        <v>#DIV/0!</v>
      </c>
      <c r="L74" s="59" t="e">
        <f t="shared" si="41"/>
        <v>#DIV/0!</v>
      </c>
      <c r="M74" s="59" t="e">
        <f t="shared" si="42"/>
        <v>#DIV/0!</v>
      </c>
      <c r="N74" s="59" t="e">
        <f t="shared" si="43"/>
        <v>#DIV/0!</v>
      </c>
      <c r="O74" s="60" t="e">
        <f>Links!B74</f>
        <v>#DIV/0!</v>
      </c>
      <c r="P74" s="60" t="e">
        <f>Links!C74+'On-Ramps'!AC74</f>
        <v>#DIV/0!</v>
      </c>
      <c r="Q74" s="60" t="e">
        <f>Links!D74</f>
        <v>#DIV/0!</v>
      </c>
      <c r="R74" s="60" t="e">
        <f>Links!E74+'On-Ramps'!AD74</f>
        <v>#DIV/0!</v>
      </c>
      <c r="S74" s="60" t="e">
        <f>Links!F74+'On-Ramps'!AE74</f>
        <v>#DIV/0!</v>
      </c>
      <c r="T74" s="60" t="e">
        <f>Links!G74+'On-Ramps'!AF74</f>
        <v>#DIV/0!</v>
      </c>
      <c r="U74" s="60" t="e">
        <f>Links!H74+'On-Ramps'!AG74</f>
        <v>#DIV/0!</v>
      </c>
      <c r="V74" s="60" t="e">
        <f>Links!J74+'On-Ramps'!AH74</f>
        <v>#DIV/0!</v>
      </c>
      <c r="W74" s="60" t="e">
        <f>Links!K74+'On-Ramps'!AI74</f>
        <v>#DIV/0!</v>
      </c>
      <c r="X74" s="60" t="e">
        <f>Links!L74+'On-Ramps'!AJ74</f>
        <v>#DIV/0!</v>
      </c>
      <c r="Y74" s="60" t="e">
        <f>Links!M74</f>
        <v>#DIV/0!</v>
      </c>
      <c r="Z74" s="60" t="e">
        <f>Links!N74+'On-Ramps'!AK74</f>
        <v>#DIV/0!</v>
      </c>
      <c r="AA74" s="60" t="e">
        <f>Links!O74</f>
        <v>#DIV/0!</v>
      </c>
      <c r="AB74" s="59" t="e">
        <f t="shared" si="44"/>
        <v>#DIV/0!</v>
      </c>
      <c r="AC74" s="65"/>
      <c r="AD74" s="59" t="e">
        <f t="shared" si="45"/>
        <v>#DIV/0!</v>
      </c>
      <c r="AE74" s="65"/>
      <c r="AF74" s="59" t="e">
        <f t="shared" si="46"/>
        <v>#DIV/0!</v>
      </c>
      <c r="AG74" s="59" t="e">
        <f t="shared" si="47"/>
        <v>#DIV/0!</v>
      </c>
      <c r="AH74" s="59" t="e">
        <f t="shared" si="48"/>
        <v>#DIV/0!</v>
      </c>
      <c r="AI74" s="59" t="e">
        <f t="shared" si="49"/>
        <v>#DIV/0!</v>
      </c>
      <c r="AJ74" s="59" t="e">
        <f t="shared" si="50"/>
        <v>#DIV/0!</v>
      </c>
      <c r="AK74" s="59" t="e">
        <f t="shared" si="51"/>
        <v>#DIV/0!</v>
      </c>
      <c r="AL74" s="59" t="e">
        <f t="shared" si="52"/>
        <v>#DIV/0!</v>
      </c>
      <c r="AM74" s="65"/>
      <c r="AN74" s="59" t="e">
        <f t="shared" si="27"/>
        <v>#DIV/0!</v>
      </c>
      <c r="AO74" s="60" t="e">
        <f t="shared" si="30"/>
        <v>#DIV/0!</v>
      </c>
      <c r="AP74" s="65"/>
      <c r="AQ74" s="60" t="e">
        <f t="shared" si="29"/>
        <v>#DIV/0!</v>
      </c>
      <c r="AR74" s="65"/>
      <c r="AS74" s="60" t="e">
        <f t="shared" si="29"/>
        <v>#DIV/0!</v>
      </c>
      <c r="AT74" s="60" t="e">
        <f t="shared" si="29"/>
        <v>#DIV/0!</v>
      </c>
      <c r="AU74" s="60" t="e">
        <f t="shared" si="29"/>
        <v>#DIV/0!</v>
      </c>
      <c r="AV74" s="60" t="e">
        <f t="shared" si="29"/>
        <v>#DIV/0!</v>
      </c>
      <c r="AW74" s="60" t="e">
        <f t="shared" si="29"/>
        <v>#DIV/0!</v>
      </c>
      <c r="AX74" s="60" t="e">
        <f t="shared" si="29"/>
        <v>#DIV/0!</v>
      </c>
      <c r="AY74" s="60" t="e">
        <f t="shared" si="29"/>
        <v>#DIV/0!</v>
      </c>
      <c r="AZ74" s="65"/>
      <c r="BA74" s="60" t="e">
        <f t="shared" si="29"/>
        <v>#DIV/0!</v>
      </c>
      <c r="BB74" s="59" t="e">
        <f>Links!AF74</f>
        <v>#DIV/0!</v>
      </c>
      <c r="BC74" s="59" t="e">
        <f>(Links!AG74*Links!C74+'On-Ramps'!AC74*'On-Ramps'!CE74)/('On-Ramps'!AC74+Links!C74)</f>
        <v>#DIV/0!</v>
      </c>
      <c r="BD74" s="59" t="e">
        <f>Links!AH74</f>
        <v>#DIV/0!</v>
      </c>
      <c r="BE74" s="59" t="e">
        <f>(Links!AI74*Links!E74+'On-Ramps'!AD74*'On-Ramps'!CF73)/('On-Ramps'!AD74+Links!E74)</f>
        <v>#DIV/0!</v>
      </c>
      <c r="BF74" s="59" t="e">
        <f>(Links!F74*Links!AJ74+'On-Ramps'!AE74*'On-Ramps'!CG74)/('On-Ramps'!AE74+Links!F74)</f>
        <v>#DIV/0!</v>
      </c>
      <c r="BG74" s="59" t="e">
        <f>(Links!G74*Links!AK74+'On-Ramps'!AF74*'On-Ramps'!CH74)/('On-Ramps'!AF74+Links!G74)</f>
        <v>#DIV/0!</v>
      </c>
      <c r="BH74" s="59" t="e">
        <f>(Links!H74*Links!AL74+'On-Ramps'!AG74*'On-Ramps'!CI74)/('On-Ramps'!AG74+Links!H74)</f>
        <v>#DIV/0!</v>
      </c>
      <c r="BI74" s="59" t="e">
        <f>(Links!J74*Links!AN74+'On-Ramps'!AH74*'On-Ramps'!CJ74)/('On-Ramps'!AH74+Links!J74)</f>
        <v>#DIV/0!</v>
      </c>
      <c r="BJ74" s="59" t="e">
        <f>(Links!K74*Links!AO74+'On-Ramps'!AI74*'On-Ramps'!CK74)/('On-Ramps'!AI74+Links!K74)</f>
        <v>#DIV/0!</v>
      </c>
      <c r="BK74" s="59" t="e">
        <f>(Links!L74*Links!AP74+'On-Ramps'!AJ74*'On-Ramps'!CL74)/(Links!L74+'On-Ramps'!AJ74)</f>
        <v>#DIV/0!</v>
      </c>
      <c r="BL74" s="59" t="e">
        <f>Links!AQ74</f>
        <v>#DIV/0!</v>
      </c>
      <c r="BM74" s="59" t="e">
        <f>(Links!N74*Links!AR74+'On-Ramps'!AL74*'On-Ramps'!CM74)/(Links!N74+'On-Ramps'!AL74)</f>
        <v>#DIV/0!</v>
      </c>
      <c r="BN74" s="59" t="e">
        <f>Links!AS74</f>
        <v>#DIV/0!</v>
      </c>
      <c r="BO74" s="60" t="e">
        <f>(Links!R74^2+'Off-Ramp'!L74^2)/(Links!R74+'Off-Ramp'!L74)</f>
        <v>#DIV/0!</v>
      </c>
      <c r="BP74" s="60" t="e">
        <f>Links!S74</f>
        <v>#DIV/0!</v>
      </c>
      <c r="BQ74" s="60" t="e">
        <f>(Links!S74^2+'Off-Ramp'!C74^2)/(Links!S74+'Off-Ramp'!C74)</f>
        <v>#DIV/0!</v>
      </c>
      <c r="BR74" s="60" t="e">
        <f>Links!T74</f>
        <v>#DIV/0!</v>
      </c>
      <c r="BS74" s="60" t="e">
        <f>(Links!X74^2+'Off-Ramp'!V74^2+'Off-Ramp'!W74^2+'Off-Ramp'!X74^2)/(Links!X74+'Off-Ramp'!V74+'Off-Ramp'!W74+'Off-Ramp'!X74)</f>
        <v>#DIV/0!</v>
      </c>
      <c r="BT74" s="60" t="e">
        <f>(Links!Y74^2+'Off-Ramp'!Y74^2+'Off-Ramp'!Z74^2+'Off-Ramp'!AA74^2)/(Links!Y74+'Off-Ramp'!Y74+'Off-Ramp'!Z74+'Off-Ramp'!AA74)</f>
        <v>#DIV/0!</v>
      </c>
      <c r="BU74" s="60" t="e">
        <f>(Links!W74^2+'Off-Ramp'!P74^2)/(Links!W74+'Off-Ramp'!P74)</f>
        <v>#DIV/0!</v>
      </c>
      <c r="BV74" s="60" t="e">
        <f>(Links!Y74^2+'Off-Ramp'!Q74^2)/(Links!Y74+'Off-Ramp'!Q74)</f>
        <v>#DIV/0!</v>
      </c>
      <c r="BW74" s="60" t="e">
        <f>(Links!Z74^2+'Off-Ramp'!R74^2)/(Links!Z74+'Off-Ramp'!R74)</f>
        <v>#DIV/0!</v>
      </c>
      <c r="BX74" s="60" t="e">
        <f>(Links!AA74+'Off-Ramp'!S74)/(Links!AA74^2+'Off-Ramp'!S74^2)</f>
        <v>#DIV/0!</v>
      </c>
      <c r="BY74" s="60" t="e">
        <f>(Links!AB74^2+'Off-Ramp'!T74^2)/(Links!AB74+'Off-Ramp'!T74)</f>
        <v>#DIV/0!</v>
      </c>
      <c r="BZ74" s="60" t="e">
        <f>Links!AC74</f>
        <v>#DIV/0!</v>
      </c>
      <c r="CA74" s="60" t="e">
        <f>(Links!AD74^2+'Off-Ramp'!U74^2)/(Links!AD74+'Off-Ramp'!U74)</f>
        <v>#DIV/0!</v>
      </c>
    </row>
    <row r="75" spans="1:79" x14ac:dyDescent="0.15">
      <c r="A75" s="58">
        <v>73</v>
      </c>
      <c r="B75" s="59" t="e">
        <f t="shared" si="31"/>
        <v>#DIV/0!</v>
      </c>
      <c r="C75" s="59" t="e">
        <f t="shared" si="32"/>
        <v>#DIV/0!</v>
      </c>
      <c r="D75" s="59" t="e">
        <f t="shared" si="33"/>
        <v>#DIV/0!</v>
      </c>
      <c r="E75" s="59" t="e">
        <f t="shared" si="34"/>
        <v>#DIV/0!</v>
      </c>
      <c r="F75" s="59" t="e">
        <f t="shared" si="35"/>
        <v>#DIV/0!</v>
      </c>
      <c r="G75" s="59" t="e">
        <f t="shared" si="36"/>
        <v>#DIV/0!</v>
      </c>
      <c r="H75" s="59" t="e">
        <f t="shared" si="37"/>
        <v>#DIV/0!</v>
      </c>
      <c r="I75" s="59" t="e">
        <f t="shared" si="38"/>
        <v>#DIV/0!</v>
      </c>
      <c r="J75" s="59" t="e">
        <f t="shared" si="39"/>
        <v>#DIV/0!</v>
      </c>
      <c r="K75" s="59" t="e">
        <f t="shared" si="40"/>
        <v>#DIV/0!</v>
      </c>
      <c r="L75" s="59" t="e">
        <f t="shared" si="41"/>
        <v>#DIV/0!</v>
      </c>
      <c r="M75" s="59" t="e">
        <f t="shared" si="42"/>
        <v>#DIV/0!</v>
      </c>
      <c r="N75" s="59" t="e">
        <f t="shared" si="43"/>
        <v>#DIV/0!</v>
      </c>
      <c r="O75" s="60" t="e">
        <f>Links!B75</f>
        <v>#DIV/0!</v>
      </c>
      <c r="P75" s="60" t="e">
        <f>Links!C75+'On-Ramps'!AC75</f>
        <v>#DIV/0!</v>
      </c>
      <c r="Q75" s="60" t="e">
        <f>Links!D75</f>
        <v>#DIV/0!</v>
      </c>
      <c r="R75" s="60" t="e">
        <f>Links!E75+'On-Ramps'!AD75</f>
        <v>#DIV/0!</v>
      </c>
      <c r="S75" s="60" t="e">
        <f>Links!F75+'On-Ramps'!AE75</f>
        <v>#DIV/0!</v>
      </c>
      <c r="T75" s="60" t="e">
        <f>Links!G75+'On-Ramps'!AF75</f>
        <v>#DIV/0!</v>
      </c>
      <c r="U75" s="60" t="e">
        <f>Links!H75+'On-Ramps'!AG75</f>
        <v>#DIV/0!</v>
      </c>
      <c r="V75" s="60" t="e">
        <f>Links!J75+'On-Ramps'!AH75</f>
        <v>#DIV/0!</v>
      </c>
      <c r="W75" s="60" t="e">
        <f>Links!K75+'On-Ramps'!AI75</f>
        <v>#DIV/0!</v>
      </c>
      <c r="X75" s="60" t="e">
        <f>Links!L75+'On-Ramps'!AJ75</f>
        <v>#DIV/0!</v>
      </c>
      <c r="Y75" s="60" t="e">
        <f>Links!M75</f>
        <v>#DIV/0!</v>
      </c>
      <c r="Z75" s="60" t="e">
        <f>Links!N75+'On-Ramps'!AK75</f>
        <v>#DIV/0!</v>
      </c>
      <c r="AA75" s="60" t="e">
        <f>Links!O75</f>
        <v>#DIV/0!</v>
      </c>
      <c r="AB75" s="59" t="e">
        <f t="shared" si="44"/>
        <v>#DIV/0!</v>
      </c>
      <c r="AC75" s="65"/>
      <c r="AD75" s="59" t="e">
        <f t="shared" si="45"/>
        <v>#DIV/0!</v>
      </c>
      <c r="AE75" s="65"/>
      <c r="AF75" s="59" t="e">
        <f t="shared" si="46"/>
        <v>#DIV/0!</v>
      </c>
      <c r="AG75" s="59" t="e">
        <f t="shared" si="47"/>
        <v>#DIV/0!</v>
      </c>
      <c r="AH75" s="59" t="e">
        <f t="shared" si="48"/>
        <v>#DIV/0!</v>
      </c>
      <c r="AI75" s="59" t="e">
        <f t="shared" si="49"/>
        <v>#DIV/0!</v>
      </c>
      <c r="AJ75" s="59" t="e">
        <f t="shared" si="50"/>
        <v>#DIV/0!</v>
      </c>
      <c r="AK75" s="59" t="e">
        <f t="shared" si="51"/>
        <v>#DIV/0!</v>
      </c>
      <c r="AL75" s="59" t="e">
        <f t="shared" si="52"/>
        <v>#DIV/0!</v>
      </c>
      <c r="AM75" s="65"/>
      <c r="AN75" s="59" t="e">
        <f t="shared" si="27"/>
        <v>#DIV/0!</v>
      </c>
      <c r="AO75" s="60" t="e">
        <f t="shared" si="30"/>
        <v>#DIV/0!</v>
      </c>
      <c r="AP75" s="65"/>
      <c r="AQ75" s="60" t="e">
        <f t="shared" si="29"/>
        <v>#DIV/0!</v>
      </c>
      <c r="AR75" s="65"/>
      <c r="AS75" s="60" t="e">
        <f t="shared" si="29"/>
        <v>#DIV/0!</v>
      </c>
      <c r="AT75" s="60" t="e">
        <f t="shared" si="29"/>
        <v>#DIV/0!</v>
      </c>
      <c r="AU75" s="60" t="e">
        <f t="shared" si="29"/>
        <v>#DIV/0!</v>
      </c>
      <c r="AV75" s="60" t="e">
        <f t="shared" si="29"/>
        <v>#DIV/0!</v>
      </c>
      <c r="AW75" s="60" t="e">
        <f t="shared" si="29"/>
        <v>#DIV/0!</v>
      </c>
      <c r="AX75" s="60" t="e">
        <f t="shared" si="29"/>
        <v>#DIV/0!</v>
      </c>
      <c r="AY75" s="60" t="e">
        <f t="shared" si="29"/>
        <v>#DIV/0!</v>
      </c>
      <c r="AZ75" s="65"/>
      <c r="BA75" s="60" t="e">
        <f t="shared" si="29"/>
        <v>#DIV/0!</v>
      </c>
      <c r="BB75" s="59" t="e">
        <f>Links!AF75</f>
        <v>#DIV/0!</v>
      </c>
      <c r="BC75" s="59" t="e">
        <f>(Links!AG75*Links!C75+'On-Ramps'!AC75*'On-Ramps'!CE75)/('On-Ramps'!AC75+Links!C75)</f>
        <v>#DIV/0!</v>
      </c>
      <c r="BD75" s="59" t="e">
        <f>Links!AH75</f>
        <v>#DIV/0!</v>
      </c>
      <c r="BE75" s="59" t="e">
        <f>(Links!AI75*Links!E75+'On-Ramps'!AD75*'On-Ramps'!CF74)/('On-Ramps'!AD75+Links!E75)</f>
        <v>#DIV/0!</v>
      </c>
      <c r="BF75" s="59" t="e">
        <f>(Links!F75*Links!AJ75+'On-Ramps'!AE75*'On-Ramps'!CG75)/('On-Ramps'!AE75+Links!F75)</f>
        <v>#DIV/0!</v>
      </c>
      <c r="BG75" s="59" t="e">
        <f>(Links!G75*Links!AK75+'On-Ramps'!AF75*'On-Ramps'!CH75)/('On-Ramps'!AF75+Links!G75)</f>
        <v>#DIV/0!</v>
      </c>
      <c r="BH75" s="59" t="e">
        <f>(Links!H75*Links!AL75+'On-Ramps'!AG75*'On-Ramps'!CI75)/('On-Ramps'!AG75+Links!H75)</f>
        <v>#DIV/0!</v>
      </c>
      <c r="BI75" s="59" t="e">
        <f>(Links!J75*Links!AN75+'On-Ramps'!AH75*'On-Ramps'!CJ75)/('On-Ramps'!AH75+Links!J75)</f>
        <v>#DIV/0!</v>
      </c>
      <c r="BJ75" s="59" t="e">
        <f>(Links!K75*Links!AO75+'On-Ramps'!AI75*'On-Ramps'!CK75)/('On-Ramps'!AI75+Links!K75)</f>
        <v>#DIV/0!</v>
      </c>
      <c r="BK75" s="59" t="e">
        <f>(Links!L75*Links!AP75+'On-Ramps'!AJ75*'On-Ramps'!CL75)/(Links!L75+'On-Ramps'!AJ75)</f>
        <v>#DIV/0!</v>
      </c>
      <c r="BL75" s="59" t="e">
        <f>Links!AQ75</f>
        <v>#DIV/0!</v>
      </c>
      <c r="BM75" s="59" t="e">
        <f>(Links!N75*Links!AR75+'On-Ramps'!AL75*'On-Ramps'!CM75)/(Links!N75+'On-Ramps'!AL75)</f>
        <v>#DIV/0!</v>
      </c>
      <c r="BN75" s="59" t="e">
        <f>Links!AS75</f>
        <v>#DIV/0!</v>
      </c>
      <c r="BO75" s="60" t="e">
        <f>(Links!R75^2+'Off-Ramp'!L75^2)/(Links!R75+'Off-Ramp'!L75)</f>
        <v>#DIV/0!</v>
      </c>
      <c r="BP75" s="60" t="e">
        <f>Links!S75</f>
        <v>#DIV/0!</v>
      </c>
      <c r="BQ75" s="60" t="e">
        <f>(Links!S75^2+'Off-Ramp'!C75^2)/(Links!S75+'Off-Ramp'!C75)</f>
        <v>#DIV/0!</v>
      </c>
      <c r="BR75" s="60" t="e">
        <f>Links!T75</f>
        <v>#DIV/0!</v>
      </c>
      <c r="BS75" s="60" t="e">
        <f>(Links!X75^2+'Off-Ramp'!V75^2+'Off-Ramp'!W75^2+'Off-Ramp'!X75^2)/(Links!X75+'Off-Ramp'!V75+'Off-Ramp'!W75+'Off-Ramp'!X75)</f>
        <v>#DIV/0!</v>
      </c>
      <c r="BT75" s="60" t="e">
        <f>(Links!Y75^2+'Off-Ramp'!Y75^2+'Off-Ramp'!Z75^2+'Off-Ramp'!AA75^2)/(Links!Y75+'Off-Ramp'!Y75+'Off-Ramp'!Z75+'Off-Ramp'!AA75)</f>
        <v>#DIV/0!</v>
      </c>
      <c r="BU75" s="60" t="e">
        <f>(Links!W75^2+'Off-Ramp'!P75^2)/(Links!W75+'Off-Ramp'!P75)</f>
        <v>#DIV/0!</v>
      </c>
      <c r="BV75" s="60" t="e">
        <f>(Links!Y75^2+'Off-Ramp'!Q75^2)/(Links!Y75+'Off-Ramp'!Q75)</f>
        <v>#DIV/0!</v>
      </c>
      <c r="BW75" s="60" t="e">
        <f>(Links!Z75^2+'Off-Ramp'!R75^2)/(Links!Z75+'Off-Ramp'!R75)</f>
        <v>#DIV/0!</v>
      </c>
      <c r="BX75" s="60" t="e">
        <f>(Links!AA75+'Off-Ramp'!S75)/(Links!AA75^2+'Off-Ramp'!S75^2)</f>
        <v>#DIV/0!</v>
      </c>
      <c r="BY75" s="60" t="e">
        <f>(Links!AB75^2+'Off-Ramp'!T75^2)/(Links!AB75+'Off-Ramp'!T75)</f>
        <v>#DIV/0!</v>
      </c>
      <c r="BZ75" s="60" t="e">
        <f>Links!AC75</f>
        <v>#DIV/0!</v>
      </c>
      <c r="CA75" s="60" t="e">
        <f>(Links!AD75^2+'Off-Ramp'!U75^2)/(Links!AD75+'Off-Ramp'!U75)</f>
        <v>#DIV/0!</v>
      </c>
    </row>
    <row r="76" spans="1:79" x14ac:dyDescent="0.15">
      <c r="A76" s="58">
        <v>74</v>
      </c>
      <c r="B76" s="59" t="e">
        <f t="shared" si="31"/>
        <v>#DIV/0!</v>
      </c>
      <c r="C76" s="59" t="e">
        <f t="shared" si="32"/>
        <v>#DIV/0!</v>
      </c>
      <c r="D76" s="59" t="e">
        <f t="shared" si="33"/>
        <v>#DIV/0!</v>
      </c>
      <c r="E76" s="59" t="e">
        <f t="shared" si="34"/>
        <v>#DIV/0!</v>
      </c>
      <c r="F76" s="59" t="e">
        <f t="shared" si="35"/>
        <v>#DIV/0!</v>
      </c>
      <c r="G76" s="59" t="e">
        <f t="shared" si="36"/>
        <v>#DIV/0!</v>
      </c>
      <c r="H76" s="59" t="e">
        <f t="shared" si="37"/>
        <v>#DIV/0!</v>
      </c>
      <c r="I76" s="59" t="e">
        <f t="shared" si="38"/>
        <v>#DIV/0!</v>
      </c>
      <c r="J76" s="59" t="e">
        <f t="shared" si="39"/>
        <v>#DIV/0!</v>
      </c>
      <c r="K76" s="59" t="e">
        <f t="shared" si="40"/>
        <v>#DIV/0!</v>
      </c>
      <c r="L76" s="59" t="e">
        <f t="shared" si="41"/>
        <v>#DIV/0!</v>
      </c>
      <c r="M76" s="59" t="e">
        <f t="shared" si="42"/>
        <v>#DIV/0!</v>
      </c>
      <c r="N76" s="59" t="e">
        <f t="shared" si="43"/>
        <v>#DIV/0!</v>
      </c>
      <c r="O76" s="60" t="e">
        <f>Links!B76</f>
        <v>#DIV/0!</v>
      </c>
      <c r="P76" s="60" t="e">
        <f>Links!C76+'On-Ramps'!AC76</f>
        <v>#DIV/0!</v>
      </c>
      <c r="Q76" s="60" t="e">
        <f>Links!D76</f>
        <v>#DIV/0!</v>
      </c>
      <c r="R76" s="60" t="e">
        <f>Links!E76+'On-Ramps'!AD76</f>
        <v>#DIV/0!</v>
      </c>
      <c r="S76" s="60" t="e">
        <f>Links!F76+'On-Ramps'!AE76</f>
        <v>#DIV/0!</v>
      </c>
      <c r="T76" s="60" t="e">
        <f>Links!G76+'On-Ramps'!AF76</f>
        <v>#DIV/0!</v>
      </c>
      <c r="U76" s="60" t="e">
        <f>Links!H76+'On-Ramps'!AG76</f>
        <v>#DIV/0!</v>
      </c>
      <c r="V76" s="60" t="e">
        <f>Links!J76+'On-Ramps'!AH76</f>
        <v>#DIV/0!</v>
      </c>
      <c r="W76" s="60" t="e">
        <f>Links!K76+'On-Ramps'!AI76</f>
        <v>#DIV/0!</v>
      </c>
      <c r="X76" s="60" t="e">
        <f>Links!L76+'On-Ramps'!AJ76</f>
        <v>#DIV/0!</v>
      </c>
      <c r="Y76" s="60" t="e">
        <f>Links!M76</f>
        <v>#DIV/0!</v>
      </c>
      <c r="Z76" s="60" t="e">
        <f>Links!N76+'On-Ramps'!AK76</f>
        <v>#DIV/0!</v>
      </c>
      <c r="AA76" s="60" t="e">
        <f>Links!O76</f>
        <v>#DIV/0!</v>
      </c>
      <c r="AB76" s="59" t="e">
        <f t="shared" si="44"/>
        <v>#DIV/0!</v>
      </c>
      <c r="AC76" s="65"/>
      <c r="AD76" s="59" t="e">
        <f t="shared" si="45"/>
        <v>#DIV/0!</v>
      </c>
      <c r="AE76" s="65"/>
      <c r="AF76" s="59" t="e">
        <f t="shared" si="46"/>
        <v>#DIV/0!</v>
      </c>
      <c r="AG76" s="59" t="e">
        <f t="shared" si="47"/>
        <v>#DIV/0!</v>
      </c>
      <c r="AH76" s="59" t="e">
        <f t="shared" si="48"/>
        <v>#DIV/0!</v>
      </c>
      <c r="AI76" s="59" t="e">
        <f t="shared" si="49"/>
        <v>#DIV/0!</v>
      </c>
      <c r="AJ76" s="59" t="e">
        <f t="shared" si="50"/>
        <v>#DIV/0!</v>
      </c>
      <c r="AK76" s="59" t="e">
        <f t="shared" si="51"/>
        <v>#DIV/0!</v>
      </c>
      <c r="AL76" s="59" t="e">
        <f t="shared" si="52"/>
        <v>#DIV/0!</v>
      </c>
      <c r="AM76" s="65"/>
      <c r="AN76" s="59" t="e">
        <f t="shared" si="27"/>
        <v>#DIV/0!</v>
      </c>
      <c r="AO76" s="60" t="e">
        <f t="shared" si="30"/>
        <v>#DIV/0!</v>
      </c>
      <c r="AP76" s="65"/>
      <c r="AQ76" s="60" t="e">
        <f t="shared" si="29"/>
        <v>#DIV/0!</v>
      </c>
      <c r="AR76" s="65"/>
      <c r="AS76" s="60" t="e">
        <f t="shared" si="29"/>
        <v>#DIV/0!</v>
      </c>
      <c r="AT76" s="60" t="e">
        <f t="shared" si="29"/>
        <v>#DIV/0!</v>
      </c>
      <c r="AU76" s="60" t="e">
        <f t="shared" si="29"/>
        <v>#DIV/0!</v>
      </c>
      <c r="AV76" s="60" t="e">
        <f t="shared" si="29"/>
        <v>#DIV/0!</v>
      </c>
      <c r="AW76" s="60" t="e">
        <f t="shared" si="29"/>
        <v>#DIV/0!</v>
      </c>
      <c r="AX76" s="60" t="e">
        <f t="shared" si="29"/>
        <v>#DIV/0!</v>
      </c>
      <c r="AY76" s="60" t="e">
        <f t="shared" si="29"/>
        <v>#DIV/0!</v>
      </c>
      <c r="AZ76" s="65"/>
      <c r="BA76" s="60" t="e">
        <f t="shared" si="29"/>
        <v>#DIV/0!</v>
      </c>
      <c r="BB76" s="59" t="e">
        <f>Links!AF76</f>
        <v>#DIV/0!</v>
      </c>
      <c r="BC76" s="59" t="e">
        <f>(Links!AG76*Links!C76+'On-Ramps'!AC76*'On-Ramps'!CE76)/('On-Ramps'!AC76+Links!C76)</f>
        <v>#DIV/0!</v>
      </c>
      <c r="BD76" s="59" t="e">
        <f>Links!AH76</f>
        <v>#DIV/0!</v>
      </c>
      <c r="BE76" s="59" t="e">
        <f>(Links!AI76*Links!E76+'On-Ramps'!AD76*'On-Ramps'!CF75)/('On-Ramps'!AD76+Links!E76)</f>
        <v>#DIV/0!</v>
      </c>
      <c r="BF76" s="59" t="e">
        <f>(Links!F76*Links!AJ76+'On-Ramps'!AE76*'On-Ramps'!CG76)/('On-Ramps'!AE76+Links!F76)</f>
        <v>#DIV/0!</v>
      </c>
      <c r="BG76" s="59" t="e">
        <f>(Links!G76*Links!AK76+'On-Ramps'!AF76*'On-Ramps'!CH76)/('On-Ramps'!AF76+Links!G76)</f>
        <v>#DIV/0!</v>
      </c>
      <c r="BH76" s="59" t="e">
        <f>(Links!H76*Links!AL76+'On-Ramps'!AG76*'On-Ramps'!CI76)/('On-Ramps'!AG76+Links!H76)</f>
        <v>#DIV/0!</v>
      </c>
      <c r="BI76" s="59" t="e">
        <f>(Links!J76*Links!AN76+'On-Ramps'!AH76*'On-Ramps'!CJ76)/('On-Ramps'!AH76+Links!J76)</f>
        <v>#DIV/0!</v>
      </c>
      <c r="BJ76" s="59" t="e">
        <f>(Links!K76*Links!AO76+'On-Ramps'!AI76*'On-Ramps'!CK76)/('On-Ramps'!AI76+Links!K76)</f>
        <v>#DIV/0!</v>
      </c>
      <c r="BK76" s="59" t="e">
        <f>(Links!L76*Links!AP76+'On-Ramps'!AJ76*'On-Ramps'!CL76)/(Links!L76+'On-Ramps'!AJ76)</f>
        <v>#DIV/0!</v>
      </c>
      <c r="BL76" s="59" t="e">
        <f>Links!AQ76</f>
        <v>#DIV/0!</v>
      </c>
      <c r="BM76" s="59" t="e">
        <f>(Links!N76*Links!AR76+'On-Ramps'!AL76*'On-Ramps'!CM76)/(Links!N76+'On-Ramps'!AL76)</f>
        <v>#DIV/0!</v>
      </c>
      <c r="BN76" s="59" t="e">
        <f>Links!AS76</f>
        <v>#DIV/0!</v>
      </c>
      <c r="BO76" s="60" t="e">
        <f>(Links!R76^2+'Off-Ramp'!L76^2)/(Links!R76+'Off-Ramp'!L76)</f>
        <v>#DIV/0!</v>
      </c>
      <c r="BP76" s="60" t="e">
        <f>Links!S76</f>
        <v>#DIV/0!</v>
      </c>
      <c r="BQ76" s="60" t="e">
        <f>(Links!S76^2+'Off-Ramp'!C76^2)/(Links!S76+'Off-Ramp'!C76)</f>
        <v>#DIV/0!</v>
      </c>
      <c r="BR76" s="60" t="e">
        <f>Links!T76</f>
        <v>#DIV/0!</v>
      </c>
      <c r="BS76" s="60" t="e">
        <f>(Links!X76^2+'Off-Ramp'!V76^2+'Off-Ramp'!W76^2+'Off-Ramp'!X76^2)/(Links!X76+'Off-Ramp'!V76+'Off-Ramp'!W76+'Off-Ramp'!X76)</f>
        <v>#DIV/0!</v>
      </c>
      <c r="BT76" s="60" t="e">
        <f>(Links!Y76^2+'Off-Ramp'!Y76^2+'Off-Ramp'!Z76^2+'Off-Ramp'!AA76^2)/(Links!Y76+'Off-Ramp'!Y76+'Off-Ramp'!Z76+'Off-Ramp'!AA76)</f>
        <v>#DIV/0!</v>
      </c>
      <c r="BU76" s="60" t="e">
        <f>(Links!W76^2+'Off-Ramp'!P76^2)/(Links!W76+'Off-Ramp'!P76)</f>
        <v>#DIV/0!</v>
      </c>
      <c r="BV76" s="60" t="e">
        <f>(Links!Y76^2+'Off-Ramp'!Q76^2)/(Links!Y76+'Off-Ramp'!Q76)</f>
        <v>#DIV/0!</v>
      </c>
      <c r="BW76" s="60" t="e">
        <f>(Links!Z76^2+'Off-Ramp'!R76^2)/(Links!Z76+'Off-Ramp'!R76)</f>
        <v>#DIV/0!</v>
      </c>
      <c r="BX76" s="60" t="e">
        <f>(Links!AA76+'Off-Ramp'!S76)/(Links!AA76^2+'Off-Ramp'!S76^2)</f>
        <v>#DIV/0!</v>
      </c>
      <c r="BY76" s="60" t="e">
        <f>(Links!AB76^2+'Off-Ramp'!T76^2)/(Links!AB76+'Off-Ramp'!T76)</f>
        <v>#DIV/0!</v>
      </c>
      <c r="BZ76" s="60" t="e">
        <f>Links!AC76</f>
        <v>#DIV/0!</v>
      </c>
      <c r="CA76" s="60" t="e">
        <f>(Links!AD76^2+'Off-Ramp'!U76^2)/(Links!AD76+'Off-Ramp'!U76)</f>
        <v>#DIV/0!</v>
      </c>
    </row>
    <row r="77" spans="1:79" x14ac:dyDescent="0.15">
      <c r="A77" s="58">
        <v>75</v>
      </c>
      <c r="B77" s="59" t="e">
        <f t="shared" si="31"/>
        <v>#DIV/0!</v>
      </c>
      <c r="C77" s="59" t="e">
        <f t="shared" si="32"/>
        <v>#DIV/0!</v>
      </c>
      <c r="D77" s="59" t="e">
        <f t="shared" si="33"/>
        <v>#DIV/0!</v>
      </c>
      <c r="E77" s="59" t="e">
        <f t="shared" si="34"/>
        <v>#DIV/0!</v>
      </c>
      <c r="F77" s="59" t="e">
        <f t="shared" si="35"/>
        <v>#DIV/0!</v>
      </c>
      <c r="G77" s="59" t="e">
        <f t="shared" si="36"/>
        <v>#DIV/0!</v>
      </c>
      <c r="H77" s="59" t="e">
        <f t="shared" si="37"/>
        <v>#DIV/0!</v>
      </c>
      <c r="I77" s="59" t="e">
        <f t="shared" si="38"/>
        <v>#DIV/0!</v>
      </c>
      <c r="J77" s="59" t="e">
        <f t="shared" si="39"/>
        <v>#DIV/0!</v>
      </c>
      <c r="K77" s="59" t="e">
        <f t="shared" si="40"/>
        <v>#DIV/0!</v>
      </c>
      <c r="L77" s="59" t="e">
        <f t="shared" si="41"/>
        <v>#DIV/0!</v>
      </c>
      <c r="M77" s="59" t="e">
        <f t="shared" si="42"/>
        <v>#DIV/0!</v>
      </c>
      <c r="N77" s="59" t="e">
        <f t="shared" si="43"/>
        <v>#DIV/0!</v>
      </c>
      <c r="O77" s="60" t="e">
        <f>Links!B77</f>
        <v>#DIV/0!</v>
      </c>
      <c r="P77" s="60" t="e">
        <f>Links!C77+'On-Ramps'!AC77</f>
        <v>#DIV/0!</v>
      </c>
      <c r="Q77" s="60" t="e">
        <f>Links!D77</f>
        <v>#DIV/0!</v>
      </c>
      <c r="R77" s="60" t="e">
        <f>Links!E77+'On-Ramps'!AD77</f>
        <v>#DIV/0!</v>
      </c>
      <c r="S77" s="60" t="e">
        <f>Links!F77+'On-Ramps'!AE77</f>
        <v>#DIV/0!</v>
      </c>
      <c r="T77" s="60" t="e">
        <f>Links!G77+'On-Ramps'!AF77</f>
        <v>#DIV/0!</v>
      </c>
      <c r="U77" s="60" t="e">
        <f>Links!H77+'On-Ramps'!AG77</f>
        <v>#DIV/0!</v>
      </c>
      <c r="V77" s="60" t="e">
        <f>Links!J77+'On-Ramps'!AH77</f>
        <v>#DIV/0!</v>
      </c>
      <c r="W77" s="60" t="e">
        <f>Links!K77+'On-Ramps'!AI77</f>
        <v>#DIV/0!</v>
      </c>
      <c r="X77" s="60" t="e">
        <f>Links!L77+'On-Ramps'!AJ77</f>
        <v>#DIV/0!</v>
      </c>
      <c r="Y77" s="60" t="e">
        <f>Links!M77</f>
        <v>#DIV/0!</v>
      </c>
      <c r="Z77" s="60" t="e">
        <f>Links!N77+'On-Ramps'!AK77</f>
        <v>#DIV/0!</v>
      </c>
      <c r="AA77" s="60" t="e">
        <f>Links!O77</f>
        <v>#DIV/0!</v>
      </c>
      <c r="AB77" s="59" t="e">
        <f t="shared" si="44"/>
        <v>#DIV/0!</v>
      </c>
      <c r="AC77" s="65"/>
      <c r="AD77" s="59" t="e">
        <f t="shared" si="45"/>
        <v>#DIV/0!</v>
      </c>
      <c r="AE77" s="65"/>
      <c r="AF77" s="59" t="e">
        <f t="shared" si="46"/>
        <v>#DIV/0!</v>
      </c>
      <c r="AG77" s="59" t="e">
        <f t="shared" si="47"/>
        <v>#DIV/0!</v>
      </c>
      <c r="AH77" s="59" t="e">
        <f t="shared" si="48"/>
        <v>#DIV/0!</v>
      </c>
      <c r="AI77" s="59" t="e">
        <f t="shared" si="49"/>
        <v>#DIV/0!</v>
      </c>
      <c r="AJ77" s="59" t="e">
        <f t="shared" si="50"/>
        <v>#DIV/0!</v>
      </c>
      <c r="AK77" s="59" t="e">
        <f t="shared" si="51"/>
        <v>#DIV/0!</v>
      </c>
      <c r="AL77" s="59" t="e">
        <f t="shared" si="52"/>
        <v>#DIV/0!</v>
      </c>
      <c r="AM77" s="65"/>
      <c r="AN77" s="59" t="e">
        <f t="shared" si="27"/>
        <v>#DIV/0!</v>
      </c>
      <c r="AO77" s="60" t="e">
        <f t="shared" si="30"/>
        <v>#DIV/0!</v>
      </c>
      <c r="AP77" s="65"/>
      <c r="AQ77" s="60" t="e">
        <f t="shared" si="29"/>
        <v>#DIV/0!</v>
      </c>
      <c r="AR77" s="65"/>
      <c r="AS77" s="60" t="e">
        <f t="shared" si="29"/>
        <v>#DIV/0!</v>
      </c>
      <c r="AT77" s="60" t="e">
        <f t="shared" si="29"/>
        <v>#DIV/0!</v>
      </c>
      <c r="AU77" s="60" t="e">
        <f t="shared" si="29"/>
        <v>#DIV/0!</v>
      </c>
      <c r="AV77" s="60" t="e">
        <f t="shared" si="29"/>
        <v>#DIV/0!</v>
      </c>
      <c r="AW77" s="60" t="e">
        <f t="shared" si="29"/>
        <v>#DIV/0!</v>
      </c>
      <c r="AX77" s="60" t="e">
        <f t="shared" si="29"/>
        <v>#DIV/0!</v>
      </c>
      <c r="AY77" s="60" t="e">
        <f t="shared" si="29"/>
        <v>#DIV/0!</v>
      </c>
      <c r="AZ77" s="65"/>
      <c r="BA77" s="60" t="e">
        <f t="shared" ref="AQ77:BA98" si="53">BA$3</f>
        <v>#DIV/0!</v>
      </c>
      <c r="BB77" s="59" t="e">
        <f>Links!AF77</f>
        <v>#DIV/0!</v>
      </c>
      <c r="BC77" s="59" t="e">
        <f>(Links!AG77*Links!C77+'On-Ramps'!AC77*'On-Ramps'!CE77)/('On-Ramps'!AC77+Links!C77)</f>
        <v>#DIV/0!</v>
      </c>
      <c r="BD77" s="59" t="e">
        <f>Links!AH77</f>
        <v>#DIV/0!</v>
      </c>
      <c r="BE77" s="59" t="e">
        <f>(Links!AI77*Links!E77+'On-Ramps'!AD77*'On-Ramps'!CF76)/('On-Ramps'!AD77+Links!E77)</f>
        <v>#DIV/0!</v>
      </c>
      <c r="BF77" s="59" t="e">
        <f>(Links!F77*Links!AJ77+'On-Ramps'!AE77*'On-Ramps'!CG77)/('On-Ramps'!AE77+Links!F77)</f>
        <v>#DIV/0!</v>
      </c>
      <c r="BG77" s="59" t="e">
        <f>(Links!G77*Links!AK77+'On-Ramps'!AF77*'On-Ramps'!CH77)/('On-Ramps'!AF77+Links!G77)</f>
        <v>#DIV/0!</v>
      </c>
      <c r="BH77" s="59" t="e">
        <f>(Links!H77*Links!AL77+'On-Ramps'!AG77*'On-Ramps'!CI77)/('On-Ramps'!AG77+Links!H77)</f>
        <v>#DIV/0!</v>
      </c>
      <c r="BI77" s="59" t="e">
        <f>(Links!J77*Links!AN77+'On-Ramps'!AH77*'On-Ramps'!CJ77)/('On-Ramps'!AH77+Links!J77)</f>
        <v>#DIV/0!</v>
      </c>
      <c r="BJ77" s="59" t="e">
        <f>(Links!K77*Links!AO77+'On-Ramps'!AI77*'On-Ramps'!CK77)/('On-Ramps'!AI77+Links!K77)</f>
        <v>#DIV/0!</v>
      </c>
      <c r="BK77" s="59" t="e">
        <f>(Links!L77*Links!AP77+'On-Ramps'!AJ77*'On-Ramps'!CL77)/(Links!L77+'On-Ramps'!AJ77)</f>
        <v>#DIV/0!</v>
      </c>
      <c r="BL77" s="59" t="e">
        <f>Links!AQ77</f>
        <v>#DIV/0!</v>
      </c>
      <c r="BM77" s="59" t="e">
        <f>(Links!N77*Links!AR77+'On-Ramps'!AL77*'On-Ramps'!CM77)/(Links!N77+'On-Ramps'!AL77)</f>
        <v>#DIV/0!</v>
      </c>
      <c r="BN77" s="59" t="e">
        <f>Links!AS77</f>
        <v>#DIV/0!</v>
      </c>
      <c r="BO77" s="60" t="e">
        <f>(Links!R77^2+'Off-Ramp'!L77^2)/(Links!R77+'Off-Ramp'!L77)</f>
        <v>#DIV/0!</v>
      </c>
      <c r="BP77" s="60" t="e">
        <f>Links!S77</f>
        <v>#DIV/0!</v>
      </c>
      <c r="BQ77" s="60" t="e">
        <f>(Links!S77^2+'Off-Ramp'!C77^2)/(Links!S77+'Off-Ramp'!C77)</f>
        <v>#DIV/0!</v>
      </c>
      <c r="BR77" s="60" t="e">
        <f>Links!T77</f>
        <v>#DIV/0!</v>
      </c>
      <c r="BS77" s="60" t="e">
        <f>(Links!X77^2+'Off-Ramp'!V77^2+'Off-Ramp'!W77^2+'Off-Ramp'!X77^2)/(Links!X77+'Off-Ramp'!V77+'Off-Ramp'!W77+'Off-Ramp'!X77)</f>
        <v>#DIV/0!</v>
      </c>
      <c r="BT77" s="60" t="e">
        <f>(Links!Y77^2+'Off-Ramp'!Y77^2+'Off-Ramp'!Z77^2+'Off-Ramp'!AA77^2)/(Links!Y77+'Off-Ramp'!Y77+'Off-Ramp'!Z77+'Off-Ramp'!AA77)</f>
        <v>#DIV/0!</v>
      </c>
      <c r="BU77" s="60" t="e">
        <f>(Links!W77^2+'Off-Ramp'!P77^2)/(Links!W77+'Off-Ramp'!P77)</f>
        <v>#DIV/0!</v>
      </c>
      <c r="BV77" s="60" t="e">
        <f>(Links!Y77^2+'Off-Ramp'!Q77^2)/(Links!Y77+'Off-Ramp'!Q77)</f>
        <v>#DIV/0!</v>
      </c>
      <c r="BW77" s="60" t="e">
        <f>(Links!Z77^2+'Off-Ramp'!R77^2)/(Links!Z77+'Off-Ramp'!R77)</f>
        <v>#DIV/0!</v>
      </c>
      <c r="BX77" s="60" t="e">
        <f>(Links!AA77+'Off-Ramp'!S77)/(Links!AA77^2+'Off-Ramp'!S77^2)</f>
        <v>#DIV/0!</v>
      </c>
      <c r="BY77" s="60" t="e">
        <f>(Links!AB77^2+'Off-Ramp'!T77^2)/(Links!AB77+'Off-Ramp'!T77)</f>
        <v>#DIV/0!</v>
      </c>
      <c r="BZ77" s="60" t="e">
        <f>Links!AC77</f>
        <v>#DIV/0!</v>
      </c>
      <c r="CA77" s="60" t="e">
        <f>(Links!AD77^2+'Off-Ramp'!U77^2)/(Links!AD77+'Off-Ramp'!U77)</f>
        <v>#DIV/0!</v>
      </c>
    </row>
    <row r="78" spans="1:79" x14ac:dyDescent="0.15">
      <c r="A78" s="58">
        <v>76</v>
      </c>
      <c r="B78" s="59" t="e">
        <f t="shared" si="31"/>
        <v>#DIV/0!</v>
      </c>
      <c r="C78" s="59" t="e">
        <f t="shared" si="32"/>
        <v>#DIV/0!</v>
      </c>
      <c r="D78" s="59" t="e">
        <f t="shared" si="33"/>
        <v>#DIV/0!</v>
      </c>
      <c r="E78" s="59" t="e">
        <f t="shared" si="34"/>
        <v>#DIV/0!</v>
      </c>
      <c r="F78" s="59" t="e">
        <f t="shared" si="35"/>
        <v>#DIV/0!</v>
      </c>
      <c r="G78" s="59" t="e">
        <f t="shared" si="36"/>
        <v>#DIV/0!</v>
      </c>
      <c r="H78" s="59" t="e">
        <f t="shared" si="37"/>
        <v>#DIV/0!</v>
      </c>
      <c r="I78" s="59" t="e">
        <f t="shared" si="38"/>
        <v>#DIV/0!</v>
      </c>
      <c r="J78" s="59" t="e">
        <f t="shared" si="39"/>
        <v>#DIV/0!</v>
      </c>
      <c r="K78" s="59" t="e">
        <f t="shared" si="40"/>
        <v>#DIV/0!</v>
      </c>
      <c r="L78" s="59" t="e">
        <f t="shared" si="41"/>
        <v>#DIV/0!</v>
      </c>
      <c r="M78" s="59" t="e">
        <f t="shared" si="42"/>
        <v>#DIV/0!</v>
      </c>
      <c r="N78" s="59" t="e">
        <f t="shared" si="43"/>
        <v>#DIV/0!</v>
      </c>
      <c r="O78" s="60" t="e">
        <f>Links!B78</f>
        <v>#DIV/0!</v>
      </c>
      <c r="P78" s="60" t="e">
        <f>Links!C78+'On-Ramps'!AC78</f>
        <v>#DIV/0!</v>
      </c>
      <c r="Q78" s="60" t="e">
        <f>Links!D78</f>
        <v>#DIV/0!</v>
      </c>
      <c r="R78" s="60" t="e">
        <f>Links!E78+'On-Ramps'!AD78</f>
        <v>#DIV/0!</v>
      </c>
      <c r="S78" s="60" t="e">
        <f>Links!F78+'On-Ramps'!AE78</f>
        <v>#DIV/0!</v>
      </c>
      <c r="T78" s="60" t="e">
        <f>Links!G78+'On-Ramps'!AF78</f>
        <v>#DIV/0!</v>
      </c>
      <c r="U78" s="60" t="e">
        <f>Links!H78+'On-Ramps'!AG78</f>
        <v>#DIV/0!</v>
      </c>
      <c r="V78" s="60" t="e">
        <f>Links!J78+'On-Ramps'!AH78</f>
        <v>#DIV/0!</v>
      </c>
      <c r="W78" s="60" t="e">
        <f>Links!K78+'On-Ramps'!AI78</f>
        <v>#DIV/0!</v>
      </c>
      <c r="X78" s="60" t="e">
        <f>Links!L78+'On-Ramps'!AJ78</f>
        <v>#DIV/0!</v>
      </c>
      <c r="Y78" s="60" t="e">
        <f>Links!M78</f>
        <v>#DIV/0!</v>
      </c>
      <c r="Z78" s="60" t="e">
        <f>Links!N78+'On-Ramps'!AK78</f>
        <v>#DIV/0!</v>
      </c>
      <c r="AA78" s="60" t="e">
        <f>Links!O78</f>
        <v>#DIV/0!</v>
      </c>
      <c r="AB78" s="59" t="e">
        <f t="shared" si="44"/>
        <v>#DIV/0!</v>
      </c>
      <c r="AC78" s="65"/>
      <c r="AD78" s="59" t="e">
        <f t="shared" si="45"/>
        <v>#DIV/0!</v>
      </c>
      <c r="AE78" s="65"/>
      <c r="AF78" s="59" t="e">
        <f t="shared" si="46"/>
        <v>#DIV/0!</v>
      </c>
      <c r="AG78" s="59" t="e">
        <f t="shared" si="47"/>
        <v>#DIV/0!</v>
      </c>
      <c r="AH78" s="59" t="e">
        <f t="shared" si="48"/>
        <v>#DIV/0!</v>
      </c>
      <c r="AI78" s="59" t="e">
        <f t="shared" si="49"/>
        <v>#DIV/0!</v>
      </c>
      <c r="AJ78" s="59" t="e">
        <f t="shared" si="50"/>
        <v>#DIV/0!</v>
      </c>
      <c r="AK78" s="59" t="e">
        <f t="shared" si="51"/>
        <v>#DIV/0!</v>
      </c>
      <c r="AL78" s="59" t="e">
        <f t="shared" si="52"/>
        <v>#DIV/0!</v>
      </c>
      <c r="AM78" s="65"/>
      <c r="AN78" s="59" t="e">
        <f t="shared" si="27"/>
        <v>#DIV/0!</v>
      </c>
      <c r="AO78" s="60" t="e">
        <f t="shared" si="30"/>
        <v>#DIV/0!</v>
      </c>
      <c r="AP78" s="65"/>
      <c r="AQ78" s="60" t="e">
        <f t="shared" si="53"/>
        <v>#DIV/0!</v>
      </c>
      <c r="AR78" s="65"/>
      <c r="AS78" s="60" t="e">
        <f t="shared" si="53"/>
        <v>#DIV/0!</v>
      </c>
      <c r="AT78" s="60" t="e">
        <f t="shared" si="53"/>
        <v>#DIV/0!</v>
      </c>
      <c r="AU78" s="60" t="e">
        <f t="shared" si="53"/>
        <v>#DIV/0!</v>
      </c>
      <c r="AV78" s="60" t="e">
        <f t="shared" si="53"/>
        <v>#DIV/0!</v>
      </c>
      <c r="AW78" s="60" t="e">
        <f t="shared" si="53"/>
        <v>#DIV/0!</v>
      </c>
      <c r="AX78" s="60" t="e">
        <f t="shared" si="53"/>
        <v>#DIV/0!</v>
      </c>
      <c r="AY78" s="60" t="e">
        <f t="shared" si="53"/>
        <v>#DIV/0!</v>
      </c>
      <c r="AZ78" s="65"/>
      <c r="BA78" s="60" t="e">
        <f t="shared" si="53"/>
        <v>#DIV/0!</v>
      </c>
      <c r="BB78" s="59" t="e">
        <f>Links!AF78</f>
        <v>#DIV/0!</v>
      </c>
      <c r="BC78" s="59" t="e">
        <f>(Links!AG78*Links!C78+'On-Ramps'!AC78*'On-Ramps'!CE78)/('On-Ramps'!AC78+Links!C78)</f>
        <v>#DIV/0!</v>
      </c>
      <c r="BD78" s="59" t="e">
        <f>Links!AH78</f>
        <v>#DIV/0!</v>
      </c>
      <c r="BE78" s="59" t="e">
        <f>(Links!AI78*Links!E78+'On-Ramps'!AD78*'On-Ramps'!CF77)/('On-Ramps'!AD78+Links!E78)</f>
        <v>#DIV/0!</v>
      </c>
      <c r="BF78" s="59" t="e">
        <f>(Links!F78*Links!AJ78+'On-Ramps'!AE78*'On-Ramps'!CG78)/('On-Ramps'!AE78+Links!F78)</f>
        <v>#DIV/0!</v>
      </c>
      <c r="BG78" s="59" t="e">
        <f>(Links!G78*Links!AK78+'On-Ramps'!AF78*'On-Ramps'!CH78)/('On-Ramps'!AF78+Links!G78)</f>
        <v>#DIV/0!</v>
      </c>
      <c r="BH78" s="59" t="e">
        <f>(Links!H78*Links!AL78+'On-Ramps'!AG78*'On-Ramps'!CI78)/('On-Ramps'!AG78+Links!H78)</f>
        <v>#DIV/0!</v>
      </c>
      <c r="BI78" s="59" t="e">
        <f>(Links!J78*Links!AN78+'On-Ramps'!AH78*'On-Ramps'!CJ78)/('On-Ramps'!AH78+Links!J78)</f>
        <v>#DIV/0!</v>
      </c>
      <c r="BJ78" s="59" t="e">
        <f>(Links!K78*Links!AO78+'On-Ramps'!AI78*'On-Ramps'!CK78)/('On-Ramps'!AI78+Links!K78)</f>
        <v>#DIV/0!</v>
      </c>
      <c r="BK78" s="59" t="e">
        <f>(Links!L78*Links!AP78+'On-Ramps'!AJ78*'On-Ramps'!CL78)/(Links!L78+'On-Ramps'!AJ78)</f>
        <v>#DIV/0!</v>
      </c>
      <c r="BL78" s="59" t="e">
        <f>Links!AQ78</f>
        <v>#DIV/0!</v>
      </c>
      <c r="BM78" s="59" t="e">
        <f>(Links!N78*Links!AR78+'On-Ramps'!AL78*'On-Ramps'!CM78)/(Links!N78+'On-Ramps'!AL78)</f>
        <v>#DIV/0!</v>
      </c>
      <c r="BN78" s="59" t="e">
        <f>Links!AS78</f>
        <v>#DIV/0!</v>
      </c>
      <c r="BO78" s="60" t="e">
        <f>(Links!R78^2+'Off-Ramp'!L78^2)/(Links!R78+'Off-Ramp'!L78)</f>
        <v>#DIV/0!</v>
      </c>
      <c r="BP78" s="60" t="e">
        <f>Links!S78</f>
        <v>#DIV/0!</v>
      </c>
      <c r="BQ78" s="60" t="e">
        <f>(Links!S78^2+'Off-Ramp'!C78^2)/(Links!S78+'Off-Ramp'!C78)</f>
        <v>#DIV/0!</v>
      </c>
      <c r="BR78" s="60" t="e">
        <f>Links!T78</f>
        <v>#DIV/0!</v>
      </c>
      <c r="BS78" s="60" t="e">
        <f>(Links!X78^2+'Off-Ramp'!V78^2+'Off-Ramp'!W78^2+'Off-Ramp'!X78^2)/(Links!X78+'Off-Ramp'!V78+'Off-Ramp'!W78+'Off-Ramp'!X78)</f>
        <v>#DIV/0!</v>
      </c>
      <c r="BT78" s="60" t="e">
        <f>(Links!Y78^2+'Off-Ramp'!Y78^2+'Off-Ramp'!Z78^2+'Off-Ramp'!AA78^2)/(Links!Y78+'Off-Ramp'!Y78+'Off-Ramp'!Z78+'Off-Ramp'!AA78)</f>
        <v>#DIV/0!</v>
      </c>
      <c r="BU78" s="60" t="e">
        <f>(Links!W78^2+'Off-Ramp'!P78^2)/(Links!W78+'Off-Ramp'!P78)</f>
        <v>#DIV/0!</v>
      </c>
      <c r="BV78" s="60" t="e">
        <f>(Links!Y78^2+'Off-Ramp'!Q78^2)/(Links!Y78+'Off-Ramp'!Q78)</f>
        <v>#DIV/0!</v>
      </c>
      <c r="BW78" s="60" t="e">
        <f>(Links!Z78^2+'Off-Ramp'!R78^2)/(Links!Z78+'Off-Ramp'!R78)</f>
        <v>#DIV/0!</v>
      </c>
      <c r="BX78" s="60" t="e">
        <f>(Links!AA78+'Off-Ramp'!S78)/(Links!AA78^2+'Off-Ramp'!S78^2)</f>
        <v>#DIV/0!</v>
      </c>
      <c r="BY78" s="60" t="e">
        <f>(Links!AB78^2+'Off-Ramp'!T78^2)/(Links!AB78+'Off-Ramp'!T78)</f>
        <v>#DIV/0!</v>
      </c>
      <c r="BZ78" s="60" t="e">
        <f>Links!AC78</f>
        <v>#DIV/0!</v>
      </c>
      <c r="CA78" s="60" t="e">
        <f>(Links!AD78^2+'Off-Ramp'!U78^2)/(Links!AD78+'Off-Ramp'!U78)</f>
        <v>#DIV/0!</v>
      </c>
    </row>
    <row r="79" spans="1:79" x14ac:dyDescent="0.15">
      <c r="A79" s="58">
        <v>77</v>
      </c>
      <c r="B79" s="59" t="e">
        <f t="shared" si="31"/>
        <v>#DIV/0!</v>
      </c>
      <c r="C79" s="59" t="e">
        <f t="shared" si="32"/>
        <v>#DIV/0!</v>
      </c>
      <c r="D79" s="59" t="e">
        <f t="shared" si="33"/>
        <v>#DIV/0!</v>
      </c>
      <c r="E79" s="59" t="e">
        <f t="shared" si="34"/>
        <v>#DIV/0!</v>
      </c>
      <c r="F79" s="59" t="e">
        <f t="shared" si="35"/>
        <v>#DIV/0!</v>
      </c>
      <c r="G79" s="59" t="e">
        <f t="shared" si="36"/>
        <v>#DIV/0!</v>
      </c>
      <c r="H79" s="59" t="e">
        <f t="shared" si="37"/>
        <v>#DIV/0!</v>
      </c>
      <c r="I79" s="59" t="e">
        <f t="shared" si="38"/>
        <v>#DIV/0!</v>
      </c>
      <c r="J79" s="59" t="e">
        <f t="shared" si="39"/>
        <v>#DIV/0!</v>
      </c>
      <c r="K79" s="59" t="e">
        <f t="shared" si="40"/>
        <v>#DIV/0!</v>
      </c>
      <c r="L79" s="59" t="e">
        <f t="shared" si="41"/>
        <v>#DIV/0!</v>
      </c>
      <c r="M79" s="59" t="e">
        <f t="shared" si="42"/>
        <v>#DIV/0!</v>
      </c>
      <c r="N79" s="59" t="e">
        <f t="shared" si="43"/>
        <v>#DIV/0!</v>
      </c>
      <c r="O79" s="60" t="e">
        <f>Links!B79</f>
        <v>#DIV/0!</v>
      </c>
      <c r="P79" s="60" t="e">
        <f>Links!C79+'On-Ramps'!AC79</f>
        <v>#DIV/0!</v>
      </c>
      <c r="Q79" s="60" t="e">
        <f>Links!D79</f>
        <v>#DIV/0!</v>
      </c>
      <c r="R79" s="60" t="e">
        <f>Links!E79+'On-Ramps'!AD79</f>
        <v>#DIV/0!</v>
      </c>
      <c r="S79" s="60" t="e">
        <f>Links!F79+'On-Ramps'!AE79</f>
        <v>#DIV/0!</v>
      </c>
      <c r="T79" s="60" t="e">
        <f>Links!G79+'On-Ramps'!AF79</f>
        <v>#DIV/0!</v>
      </c>
      <c r="U79" s="60" t="e">
        <f>Links!H79+'On-Ramps'!AG79</f>
        <v>#DIV/0!</v>
      </c>
      <c r="V79" s="60" t="e">
        <f>Links!J79+'On-Ramps'!AH79</f>
        <v>#DIV/0!</v>
      </c>
      <c r="W79" s="60" t="e">
        <f>Links!K79+'On-Ramps'!AI79</f>
        <v>#DIV/0!</v>
      </c>
      <c r="X79" s="60" t="e">
        <f>Links!L79+'On-Ramps'!AJ79</f>
        <v>#DIV/0!</v>
      </c>
      <c r="Y79" s="60" t="e">
        <f>Links!M79</f>
        <v>#DIV/0!</v>
      </c>
      <c r="Z79" s="60" t="e">
        <f>Links!N79+'On-Ramps'!AK79</f>
        <v>#DIV/0!</v>
      </c>
      <c r="AA79" s="60" t="e">
        <f>Links!O79</f>
        <v>#DIV/0!</v>
      </c>
      <c r="AB79" s="59" t="e">
        <f t="shared" si="44"/>
        <v>#DIV/0!</v>
      </c>
      <c r="AC79" s="65"/>
      <c r="AD79" s="59" t="e">
        <f t="shared" si="45"/>
        <v>#DIV/0!</v>
      </c>
      <c r="AE79" s="65"/>
      <c r="AF79" s="59" t="e">
        <f t="shared" si="46"/>
        <v>#DIV/0!</v>
      </c>
      <c r="AG79" s="59" t="e">
        <f t="shared" si="47"/>
        <v>#DIV/0!</v>
      </c>
      <c r="AH79" s="59" t="e">
        <f t="shared" si="48"/>
        <v>#DIV/0!</v>
      </c>
      <c r="AI79" s="59" t="e">
        <f t="shared" si="49"/>
        <v>#DIV/0!</v>
      </c>
      <c r="AJ79" s="59" t="e">
        <f t="shared" si="50"/>
        <v>#DIV/0!</v>
      </c>
      <c r="AK79" s="59" t="e">
        <f t="shared" si="51"/>
        <v>#DIV/0!</v>
      </c>
      <c r="AL79" s="59" t="e">
        <f t="shared" si="52"/>
        <v>#DIV/0!</v>
      </c>
      <c r="AM79" s="65"/>
      <c r="AN79" s="59" t="e">
        <f t="shared" si="27"/>
        <v>#DIV/0!</v>
      </c>
      <c r="AO79" s="60" t="e">
        <f t="shared" si="30"/>
        <v>#DIV/0!</v>
      </c>
      <c r="AP79" s="65"/>
      <c r="AQ79" s="60" t="e">
        <f t="shared" si="53"/>
        <v>#DIV/0!</v>
      </c>
      <c r="AR79" s="65"/>
      <c r="AS79" s="60" t="e">
        <f t="shared" si="53"/>
        <v>#DIV/0!</v>
      </c>
      <c r="AT79" s="60" t="e">
        <f t="shared" si="53"/>
        <v>#DIV/0!</v>
      </c>
      <c r="AU79" s="60" t="e">
        <f t="shared" si="53"/>
        <v>#DIV/0!</v>
      </c>
      <c r="AV79" s="60" t="e">
        <f t="shared" si="53"/>
        <v>#DIV/0!</v>
      </c>
      <c r="AW79" s="60" t="e">
        <f t="shared" si="53"/>
        <v>#DIV/0!</v>
      </c>
      <c r="AX79" s="60" t="e">
        <f t="shared" si="53"/>
        <v>#DIV/0!</v>
      </c>
      <c r="AY79" s="60" t="e">
        <f t="shared" si="53"/>
        <v>#DIV/0!</v>
      </c>
      <c r="AZ79" s="65"/>
      <c r="BA79" s="60" t="e">
        <f t="shared" si="53"/>
        <v>#DIV/0!</v>
      </c>
      <c r="BB79" s="59" t="e">
        <f>Links!AF79</f>
        <v>#DIV/0!</v>
      </c>
      <c r="BC79" s="59" t="e">
        <f>(Links!AG79*Links!C79+'On-Ramps'!AC79*'On-Ramps'!CE79)/('On-Ramps'!AC79+Links!C79)</f>
        <v>#DIV/0!</v>
      </c>
      <c r="BD79" s="59" t="e">
        <f>Links!AH79</f>
        <v>#DIV/0!</v>
      </c>
      <c r="BE79" s="59" t="e">
        <f>(Links!AI79*Links!E79+'On-Ramps'!AD79*'On-Ramps'!CF78)/('On-Ramps'!AD79+Links!E79)</f>
        <v>#DIV/0!</v>
      </c>
      <c r="BF79" s="59" t="e">
        <f>(Links!F79*Links!AJ79+'On-Ramps'!AE79*'On-Ramps'!CG79)/('On-Ramps'!AE79+Links!F79)</f>
        <v>#DIV/0!</v>
      </c>
      <c r="BG79" s="59" t="e">
        <f>(Links!G79*Links!AK79+'On-Ramps'!AF79*'On-Ramps'!CH79)/('On-Ramps'!AF79+Links!G79)</f>
        <v>#DIV/0!</v>
      </c>
      <c r="BH79" s="59" t="e">
        <f>(Links!H79*Links!AL79+'On-Ramps'!AG79*'On-Ramps'!CI79)/('On-Ramps'!AG79+Links!H79)</f>
        <v>#DIV/0!</v>
      </c>
      <c r="BI79" s="59" t="e">
        <f>(Links!J79*Links!AN79+'On-Ramps'!AH79*'On-Ramps'!CJ79)/('On-Ramps'!AH79+Links!J79)</f>
        <v>#DIV/0!</v>
      </c>
      <c r="BJ79" s="59" t="e">
        <f>(Links!K79*Links!AO79+'On-Ramps'!AI79*'On-Ramps'!CK79)/('On-Ramps'!AI79+Links!K79)</f>
        <v>#DIV/0!</v>
      </c>
      <c r="BK79" s="59" t="e">
        <f>(Links!L79*Links!AP79+'On-Ramps'!AJ79*'On-Ramps'!CL79)/(Links!L79+'On-Ramps'!AJ79)</f>
        <v>#DIV/0!</v>
      </c>
      <c r="BL79" s="59" t="e">
        <f>Links!AQ79</f>
        <v>#DIV/0!</v>
      </c>
      <c r="BM79" s="59" t="e">
        <f>(Links!N79*Links!AR79+'On-Ramps'!AL79*'On-Ramps'!CM79)/(Links!N79+'On-Ramps'!AL79)</f>
        <v>#DIV/0!</v>
      </c>
      <c r="BN79" s="59" t="e">
        <f>Links!AS79</f>
        <v>#DIV/0!</v>
      </c>
      <c r="BO79" s="60" t="e">
        <f>(Links!R79^2+'Off-Ramp'!L79^2)/(Links!R79+'Off-Ramp'!L79)</f>
        <v>#DIV/0!</v>
      </c>
      <c r="BP79" s="60" t="e">
        <f>Links!S79</f>
        <v>#DIV/0!</v>
      </c>
      <c r="BQ79" s="60" t="e">
        <f>(Links!S79^2+'Off-Ramp'!C79^2)/(Links!S79+'Off-Ramp'!C79)</f>
        <v>#DIV/0!</v>
      </c>
      <c r="BR79" s="60" t="e">
        <f>Links!T79</f>
        <v>#DIV/0!</v>
      </c>
      <c r="BS79" s="60" t="e">
        <f>(Links!X79^2+'Off-Ramp'!V79^2+'Off-Ramp'!W79^2+'Off-Ramp'!X79^2)/(Links!X79+'Off-Ramp'!V79+'Off-Ramp'!W79+'Off-Ramp'!X79)</f>
        <v>#DIV/0!</v>
      </c>
      <c r="BT79" s="60" t="e">
        <f>(Links!Y79^2+'Off-Ramp'!Y79^2+'Off-Ramp'!Z79^2+'Off-Ramp'!AA79^2)/(Links!Y79+'Off-Ramp'!Y79+'Off-Ramp'!Z79+'Off-Ramp'!AA79)</f>
        <v>#DIV/0!</v>
      </c>
      <c r="BU79" s="60" t="e">
        <f>(Links!W79^2+'Off-Ramp'!P79^2)/(Links!W79+'Off-Ramp'!P79)</f>
        <v>#DIV/0!</v>
      </c>
      <c r="BV79" s="60" t="e">
        <f>(Links!Y79^2+'Off-Ramp'!Q79^2)/(Links!Y79+'Off-Ramp'!Q79)</f>
        <v>#DIV/0!</v>
      </c>
      <c r="BW79" s="60" t="e">
        <f>(Links!Z79^2+'Off-Ramp'!R79^2)/(Links!Z79+'Off-Ramp'!R79)</f>
        <v>#DIV/0!</v>
      </c>
      <c r="BX79" s="60" t="e">
        <f>(Links!AA79+'Off-Ramp'!S79)/(Links!AA79^2+'Off-Ramp'!S79^2)</f>
        <v>#DIV/0!</v>
      </c>
      <c r="BY79" s="60" t="e">
        <f>(Links!AB79^2+'Off-Ramp'!T79^2)/(Links!AB79+'Off-Ramp'!T79)</f>
        <v>#DIV/0!</v>
      </c>
      <c r="BZ79" s="60" t="e">
        <f>Links!AC79</f>
        <v>#DIV/0!</v>
      </c>
      <c r="CA79" s="60" t="e">
        <f>(Links!AD79^2+'Off-Ramp'!U79^2)/(Links!AD79+'Off-Ramp'!U79)</f>
        <v>#DIV/0!</v>
      </c>
    </row>
    <row r="80" spans="1:79" x14ac:dyDescent="0.15">
      <c r="A80" s="58">
        <v>78</v>
      </c>
      <c r="B80" s="59" t="e">
        <f t="shared" si="31"/>
        <v>#DIV/0!</v>
      </c>
      <c r="C80" s="59" t="e">
        <f t="shared" si="32"/>
        <v>#DIV/0!</v>
      </c>
      <c r="D80" s="59" t="e">
        <f t="shared" si="33"/>
        <v>#DIV/0!</v>
      </c>
      <c r="E80" s="59" t="e">
        <f t="shared" si="34"/>
        <v>#DIV/0!</v>
      </c>
      <c r="F80" s="59" t="e">
        <f t="shared" si="35"/>
        <v>#DIV/0!</v>
      </c>
      <c r="G80" s="59" t="e">
        <f t="shared" si="36"/>
        <v>#DIV/0!</v>
      </c>
      <c r="H80" s="59" t="e">
        <f t="shared" si="37"/>
        <v>#DIV/0!</v>
      </c>
      <c r="I80" s="59" t="e">
        <f t="shared" si="38"/>
        <v>#DIV/0!</v>
      </c>
      <c r="J80" s="59" t="e">
        <f t="shared" si="39"/>
        <v>#DIV/0!</v>
      </c>
      <c r="K80" s="59" t="e">
        <f t="shared" si="40"/>
        <v>#DIV/0!</v>
      </c>
      <c r="L80" s="59" t="e">
        <f t="shared" si="41"/>
        <v>#DIV/0!</v>
      </c>
      <c r="M80" s="59" t="e">
        <f t="shared" si="42"/>
        <v>#DIV/0!</v>
      </c>
      <c r="N80" s="59" t="e">
        <f t="shared" si="43"/>
        <v>#DIV/0!</v>
      </c>
      <c r="O80" s="60" t="e">
        <f>Links!B80</f>
        <v>#DIV/0!</v>
      </c>
      <c r="P80" s="60" t="e">
        <f>Links!C80+'On-Ramps'!AC80</f>
        <v>#DIV/0!</v>
      </c>
      <c r="Q80" s="60" t="e">
        <f>Links!D80</f>
        <v>#DIV/0!</v>
      </c>
      <c r="R80" s="60" t="e">
        <f>Links!E80+'On-Ramps'!AD80</f>
        <v>#DIV/0!</v>
      </c>
      <c r="S80" s="60" t="e">
        <f>Links!F80+'On-Ramps'!AE80</f>
        <v>#DIV/0!</v>
      </c>
      <c r="T80" s="60" t="e">
        <f>Links!G80+'On-Ramps'!AF80</f>
        <v>#DIV/0!</v>
      </c>
      <c r="U80" s="60" t="e">
        <f>Links!H80+'On-Ramps'!AG80</f>
        <v>#DIV/0!</v>
      </c>
      <c r="V80" s="60" t="e">
        <f>Links!J80+'On-Ramps'!AH80</f>
        <v>#DIV/0!</v>
      </c>
      <c r="W80" s="60" t="e">
        <f>Links!K80+'On-Ramps'!AI80</f>
        <v>#DIV/0!</v>
      </c>
      <c r="X80" s="60" t="e">
        <f>Links!L80+'On-Ramps'!AJ80</f>
        <v>#DIV/0!</v>
      </c>
      <c r="Y80" s="60" t="e">
        <f>Links!M80</f>
        <v>#DIV/0!</v>
      </c>
      <c r="Z80" s="60" t="e">
        <f>Links!N80+'On-Ramps'!AK80</f>
        <v>#DIV/0!</v>
      </c>
      <c r="AA80" s="60" t="e">
        <f>Links!O80</f>
        <v>#DIV/0!</v>
      </c>
      <c r="AB80" s="59" t="e">
        <f t="shared" si="44"/>
        <v>#DIV/0!</v>
      </c>
      <c r="AC80" s="65"/>
      <c r="AD80" s="59" t="e">
        <f t="shared" si="45"/>
        <v>#DIV/0!</v>
      </c>
      <c r="AE80" s="65"/>
      <c r="AF80" s="59" t="e">
        <f t="shared" si="46"/>
        <v>#DIV/0!</v>
      </c>
      <c r="AG80" s="59" t="e">
        <f t="shared" si="47"/>
        <v>#DIV/0!</v>
      </c>
      <c r="AH80" s="59" t="e">
        <f t="shared" si="48"/>
        <v>#DIV/0!</v>
      </c>
      <c r="AI80" s="59" t="e">
        <f t="shared" si="49"/>
        <v>#DIV/0!</v>
      </c>
      <c r="AJ80" s="59" t="e">
        <f t="shared" si="50"/>
        <v>#DIV/0!</v>
      </c>
      <c r="AK80" s="59" t="e">
        <f t="shared" si="51"/>
        <v>#DIV/0!</v>
      </c>
      <c r="AL80" s="59" t="e">
        <f t="shared" si="52"/>
        <v>#DIV/0!</v>
      </c>
      <c r="AM80" s="65"/>
      <c r="AN80" s="59" t="e">
        <f t="shared" si="27"/>
        <v>#DIV/0!</v>
      </c>
      <c r="AO80" s="60" t="e">
        <f t="shared" si="30"/>
        <v>#DIV/0!</v>
      </c>
      <c r="AP80" s="65"/>
      <c r="AQ80" s="60" t="e">
        <f t="shared" si="53"/>
        <v>#DIV/0!</v>
      </c>
      <c r="AR80" s="65"/>
      <c r="AS80" s="60" t="e">
        <f t="shared" si="53"/>
        <v>#DIV/0!</v>
      </c>
      <c r="AT80" s="60" t="e">
        <f t="shared" si="53"/>
        <v>#DIV/0!</v>
      </c>
      <c r="AU80" s="60" t="e">
        <f t="shared" si="53"/>
        <v>#DIV/0!</v>
      </c>
      <c r="AV80" s="60" t="e">
        <f t="shared" si="53"/>
        <v>#DIV/0!</v>
      </c>
      <c r="AW80" s="60" t="e">
        <f t="shared" si="53"/>
        <v>#DIV/0!</v>
      </c>
      <c r="AX80" s="60" t="e">
        <f t="shared" si="53"/>
        <v>#DIV/0!</v>
      </c>
      <c r="AY80" s="60" t="e">
        <f t="shared" si="53"/>
        <v>#DIV/0!</v>
      </c>
      <c r="AZ80" s="65"/>
      <c r="BA80" s="60" t="e">
        <f t="shared" si="53"/>
        <v>#DIV/0!</v>
      </c>
      <c r="BB80" s="59" t="e">
        <f>Links!AF80</f>
        <v>#DIV/0!</v>
      </c>
      <c r="BC80" s="59" t="e">
        <f>(Links!AG80*Links!C80+'On-Ramps'!AC80*'On-Ramps'!CE80)/('On-Ramps'!AC80+Links!C80)</f>
        <v>#DIV/0!</v>
      </c>
      <c r="BD80" s="59" t="e">
        <f>Links!AH80</f>
        <v>#DIV/0!</v>
      </c>
      <c r="BE80" s="59" t="e">
        <f>(Links!AI80*Links!E80+'On-Ramps'!AD80*'On-Ramps'!CF79)/('On-Ramps'!AD80+Links!E80)</f>
        <v>#DIV/0!</v>
      </c>
      <c r="BF80" s="59" t="e">
        <f>(Links!F80*Links!AJ80+'On-Ramps'!AE80*'On-Ramps'!CG80)/('On-Ramps'!AE80+Links!F80)</f>
        <v>#DIV/0!</v>
      </c>
      <c r="BG80" s="59" t="e">
        <f>(Links!G80*Links!AK80+'On-Ramps'!AF80*'On-Ramps'!CH80)/('On-Ramps'!AF80+Links!G80)</f>
        <v>#DIV/0!</v>
      </c>
      <c r="BH80" s="59" t="e">
        <f>(Links!H80*Links!AL80+'On-Ramps'!AG80*'On-Ramps'!CI80)/('On-Ramps'!AG80+Links!H80)</f>
        <v>#DIV/0!</v>
      </c>
      <c r="BI80" s="59" t="e">
        <f>(Links!J80*Links!AN80+'On-Ramps'!AH80*'On-Ramps'!CJ80)/('On-Ramps'!AH80+Links!J80)</f>
        <v>#DIV/0!</v>
      </c>
      <c r="BJ80" s="59" t="e">
        <f>(Links!K80*Links!AO80+'On-Ramps'!AI80*'On-Ramps'!CK80)/('On-Ramps'!AI80+Links!K80)</f>
        <v>#DIV/0!</v>
      </c>
      <c r="BK80" s="59" t="e">
        <f>(Links!L80*Links!AP80+'On-Ramps'!AJ80*'On-Ramps'!CL80)/(Links!L80+'On-Ramps'!AJ80)</f>
        <v>#DIV/0!</v>
      </c>
      <c r="BL80" s="59" t="e">
        <f>Links!AQ80</f>
        <v>#DIV/0!</v>
      </c>
      <c r="BM80" s="59" t="e">
        <f>(Links!N80*Links!AR80+'On-Ramps'!AL80*'On-Ramps'!CM80)/(Links!N80+'On-Ramps'!AL80)</f>
        <v>#DIV/0!</v>
      </c>
      <c r="BN80" s="59" t="e">
        <f>Links!AS80</f>
        <v>#DIV/0!</v>
      </c>
      <c r="BO80" s="60" t="e">
        <f>(Links!R80^2+'Off-Ramp'!L80^2)/(Links!R80+'Off-Ramp'!L80)</f>
        <v>#DIV/0!</v>
      </c>
      <c r="BP80" s="60" t="e">
        <f>Links!S80</f>
        <v>#DIV/0!</v>
      </c>
      <c r="BQ80" s="60" t="e">
        <f>(Links!S80^2+'Off-Ramp'!C80^2)/(Links!S80+'Off-Ramp'!C80)</f>
        <v>#DIV/0!</v>
      </c>
      <c r="BR80" s="60" t="e">
        <f>Links!T80</f>
        <v>#DIV/0!</v>
      </c>
      <c r="BS80" s="60" t="e">
        <f>(Links!X80^2+'Off-Ramp'!V80^2+'Off-Ramp'!W80^2+'Off-Ramp'!X80^2)/(Links!X80+'Off-Ramp'!V80+'Off-Ramp'!W80+'Off-Ramp'!X80)</f>
        <v>#DIV/0!</v>
      </c>
      <c r="BT80" s="60" t="e">
        <f>(Links!Y80^2+'Off-Ramp'!Y80^2+'Off-Ramp'!Z80^2+'Off-Ramp'!AA80^2)/(Links!Y80+'Off-Ramp'!Y80+'Off-Ramp'!Z80+'Off-Ramp'!AA80)</f>
        <v>#DIV/0!</v>
      </c>
      <c r="BU80" s="60" t="e">
        <f>(Links!W80^2+'Off-Ramp'!P80^2)/(Links!W80+'Off-Ramp'!P80)</f>
        <v>#DIV/0!</v>
      </c>
      <c r="BV80" s="60" t="e">
        <f>(Links!Y80^2+'Off-Ramp'!Q80^2)/(Links!Y80+'Off-Ramp'!Q80)</f>
        <v>#DIV/0!</v>
      </c>
      <c r="BW80" s="60" t="e">
        <f>(Links!Z80^2+'Off-Ramp'!R80^2)/(Links!Z80+'Off-Ramp'!R80)</f>
        <v>#DIV/0!</v>
      </c>
      <c r="BX80" s="60" t="e">
        <f>(Links!AA80+'Off-Ramp'!S80)/(Links!AA80^2+'Off-Ramp'!S80^2)</f>
        <v>#DIV/0!</v>
      </c>
      <c r="BY80" s="60" t="e">
        <f>(Links!AB80^2+'Off-Ramp'!T80^2)/(Links!AB80+'Off-Ramp'!T80)</f>
        <v>#DIV/0!</v>
      </c>
      <c r="BZ80" s="60" t="e">
        <f>Links!AC80</f>
        <v>#DIV/0!</v>
      </c>
      <c r="CA80" s="60" t="e">
        <f>(Links!AD80^2+'Off-Ramp'!U80^2)/(Links!AD80+'Off-Ramp'!U80)</f>
        <v>#DIV/0!</v>
      </c>
    </row>
    <row r="81" spans="1:79" x14ac:dyDescent="0.15">
      <c r="A81" s="58">
        <v>79</v>
      </c>
      <c r="B81" s="59" t="e">
        <f t="shared" si="31"/>
        <v>#DIV/0!</v>
      </c>
      <c r="C81" s="59" t="e">
        <f t="shared" si="32"/>
        <v>#DIV/0!</v>
      </c>
      <c r="D81" s="59" t="e">
        <f t="shared" si="33"/>
        <v>#DIV/0!</v>
      </c>
      <c r="E81" s="59" t="e">
        <f t="shared" si="34"/>
        <v>#DIV/0!</v>
      </c>
      <c r="F81" s="59" t="e">
        <f t="shared" si="35"/>
        <v>#DIV/0!</v>
      </c>
      <c r="G81" s="59" t="e">
        <f t="shared" si="36"/>
        <v>#DIV/0!</v>
      </c>
      <c r="H81" s="59" t="e">
        <f t="shared" si="37"/>
        <v>#DIV/0!</v>
      </c>
      <c r="I81" s="59" t="e">
        <f t="shared" si="38"/>
        <v>#DIV/0!</v>
      </c>
      <c r="J81" s="59" t="e">
        <f t="shared" si="39"/>
        <v>#DIV/0!</v>
      </c>
      <c r="K81" s="59" t="e">
        <f t="shared" si="40"/>
        <v>#DIV/0!</v>
      </c>
      <c r="L81" s="59" t="e">
        <f t="shared" si="41"/>
        <v>#DIV/0!</v>
      </c>
      <c r="M81" s="59" t="e">
        <f t="shared" si="42"/>
        <v>#DIV/0!</v>
      </c>
      <c r="N81" s="59" t="e">
        <f t="shared" si="43"/>
        <v>#DIV/0!</v>
      </c>
      <c r="O81" s="60" t="e">
        <f>Links!B81</f>
        <v>#DIV/0!</v>
      </c>
      <c r="P81" s="60" t="e">
        <f>Links!C81+'On-Ramps'!AC81</f>
        <v>#DIV/0!</v>
      </c>
      <c r="Q81" s="60" t="e">
        <f>Links!D81</f>
        <v>#DIV/0!</v>
      </c>
      <c r="R81" s="60" t="e">
        <f>Links!E81+'On-Ramps'!AD81</f>
        <v>#DIV/0!</v>
      </c>
      <c r="S81" s="60" t="e">
        <f>Links!F81+'On-Ramps'!AE81</f>
        <v>#DIV/0!</v>
      </c>
      <c r="T81" s="60" t="e">
        <f>Links!G81+'On-Ramps'!AF81</f>
        <v>#DIV/0!</v>
      </c>
      <c r="U81" s="60" t="e">
        <f>Links!H81+'On-Ramps'!AG81</f>
        <v>#DIV/0!</v>
      </c>
      <c r="V81" s="60" t="e">
        <f>Links!J81+'On-Ramps'!AH81</f>
        <v>#DIV/0!</v>
      </c>
      <c r="W81" s="60" t="e">
        <f>Links!K81+'On-Ramps'!AI81</f>
        <v>#DIV/0!</v>
      </c>
      <c r="X81" s="60" t="e">
        <f>Links!L81+'On-Ramps'!AJ81</f>
        <v>#DIV/0!</v>
      </c>
      <c r="Y81" s="60" t="e">
        <f>Links!M81</f>
        <v>#DIV/0!</v>
      </c>
      <c r="Z81" s="60" t="e">
        <f>Links!N81+'On-Ramps'!AK81</f>
        <v>#DIV/0!</v>
      </c>
      <c r="AA81" s="60" t="e">
        <f>Links!O81</f>
        <v>#DIV/0!</v>
      </c>
      <c r="AB81" s="59" t="e">
        <f t="shared" si="44"/>
        <v>#DIV/0!</v>
      </c>
      <c r="AC81" s="65"/>
      <c r="AD81" s="59" t="e">
        <f t="shared" si="45"/>
        <v>#DIV/0!</v>
      </c>
      <c r="AE81" s="65"/>
      <c r="AF81" s="59" t="e">
        <f t="shared" si="46"/>
        <v>#DIV/0!</v>
      </c>
      <c r="AG81" s="59" t="e">
        <f t="shared" si="47"/>
        <v>#DIV/0!</v>
      </c>
      <c r="AH81" s="59" t="e">
        <f t="shared" si="48"/>
        <v>#DIV/0!</v>
      </c>
      <c r="AI81" s="59" t="e">
        <f t="shared" si="49"/>
        <v>#DIV/0!</v>
      </c>
      <c r="AJ81" s="59" t="e">
        <f t="shared" si="50"/>
        <v>#DIV/0!</v>
      </c>
      <c r="AK81" s="59" t="e">
        <f t="shared" si="51"/>
        <v>#DIV/0!</v>
      </c>
      <c r="AL81" s="59" t="e">
        <f t="shared" si="52"/>
        <v>#DIV/0!</v>
      </c>
      <c r="AM81" s="65"/>
      <c r="AN81" s="59" t="e">
        <f t="shared" si="27"/>
        <v>#DIV/0!</v>
      </c>
      <c r="AO81" s="60" t="e">
        <f t="shared" si="30"/>
        <v>#DIV/0!</v>
      </c>
      <c r="AP81" s="65"/>
      <c r="AQ81" s="60" t="e">
        <f t="shared" si="53"/>
        <v>#DIV/0!</v>
      </c>
      <c r="AR81" s="65"/>
      <c r="AS81" s="60" t="e">
        <f t="shared" si="53"/>
        <v>#DIV/0!</v>
      </c>
      <c r="AT81" s="60" t="e">
        <f t="shared" si="53"/>
        <v>#DIV/0!</v>
      </c>
      <c r="AU81" s="60" t="e">
        <f t="shared" si="53"/>
        <v>#DIV/0!</v>
      </c>
      <c r="AV81" s="60" t="e">
        <f t="shared" si="53"/>
        <v>#DIV/0!</v>
      </c>
      <c r="AW81" s="60" t="e">
        <f t="shared" si="53"/>
        <v>#DIV/0!</v>
      </c>
      <c r="AX81" s="60" t="e">
        <f t="shared" si="53"/>
        <v>#DIV/0!</v>
      </c>
      <c r="AY81" s="60" t="e">
        <f t="shared" si="53"/>
        <v>#DIV/0!</v>
      </c>
      <c r="AZ81" s="65"/>
      <c r="BA81" s="60" t="e">
        <f t="shared" si="53"/>
        <v>#DIV/0!</v>
      </c>
      <c r="BB81" s="59" t="e">
        <f>Links!AF81</f>
        <v>#DIV/0!</v>
      </c>
      <c r="BC81" s="59" t="e">
        <f>(Links!AG81*Links!C81+'On-Ramps'!AC81*'On-Ramps'!CE81)/('On-Ramps'!AC81+Links!C81)</f>
        <v>#DIV/0!</v>
      </c>
      <c r="BD81" s="59" t="e">
        <f>Links!AH81</f>
        <v>#DIV/0!</v>
      </c>
      <c r="BE81" s="59" t="e">
        <f>(Links!AI81*Links!E81+'On-Ramps'!AD81*'On-Ramps'!CF80)/('On-Ramps'!AD81+Links!E81)</f>
        <v>#DIV/0!</v>
      </c>
      <c r="BF81" s="59" t="e">
        <f>(Links!F81*Links!AJ81+'On-Ramps'!AE81*'On-Ramps'!CG81)/('On-Ramps'!AE81+Links!F81)</f>
        <v>#DIV/0!</v>
      </c>
      <c r="BG81" s="59" t="e">
        <f>(Links!G81*Links!AK81+'On-Ramps'!AF81*'On-Ramps'!CH81)/('On-Ramps'!AF81+Links!G81)</f>
        <v>#DIV/0!</v>
      </c>
      <c r="BH81" s="59" t="e">
        <f>(Links!H81*Links!AL81+'On-Ramps'!AG81*'On-Ramps'!CI81)/('On-Ramps'!AG81+Links!H81)</f>
        <v>#DIV/0!</v>
      </c>
      <c r="BI81" s="59" t="e">
        <f>(Links!J81*Links!AN81+'On-Ramps'!AH81*'On-Ramps'!CJ81)/('On-Ramps'!AH81+Links!J81)</f>
        <v>#DIV/0!</v>
      </c>
      <c r="BJ81" s="59" t="e">
        <f>(Links!K81*Links!AO81+'On-Ramps'!AI81*'On-Ramps'!CK81)/('On-Ramps'!AI81+Links!K81)</f>
        <v>#DIV/0!</v>
      </c>
      <c r="BK81" s="59" t="e">
        <f>(Links!L81*Links!AP81+'On-Ramps'!AJ81*'On-Ramps'!CL81)/(Links!L81+'On-Ramps'!AJ81)</f>
        <v>#DIV/0!</v>
      </c>
      <c r="BL81" s="59" t="e">
        <f>Links!AQ81</f>
        <v>#DIV/0!</v>
      </c>
      <c r="BM81" s="59" t="e">
        <f>(Links!N81*Links!AR81+'On-Ramps'!AL81*'On-Ramps'!CM81)/(Links!N81+'On-Ramps'!AL81)</f>
        <v>#DIV/0!</v>
      </c>
      <c r="BN81" s="59" t="e">
        <f>Links!AS81</f>
        <v>#DIV/0!</v>
      </c>
      <c r="BO81" s="60" t="e">
        <f>(Links!R81^2+'Off-Ramp'!L81^2)/(Links!R81+'Off-Ramp'!L81)</f>
        <v>#DIV/0!</v>
      </c>
      <c r="BP81" s="60" t="e">
        <f>Links!S81</f>
        <v>#DIV/0!</v>
      </c>
      <c r="BQ81" s="60" t="e">
        <f>(Links!S81^2+'Off-Ramp'!C81^2)/(Links!S81+'Off-Ramp'!C81)</f>
        <v>#DIV/0!</v>
      </c>
      <c r="BR81" s="60" t="e">
        <f>Links!T81</f>
        <v>#DIV/0!</v>
      </c>
      <c r="BS81" s="60" t="e">
        <f>(Links!X81^2+'Off-Ramp'!V81^2+'Off-Ramp'!W81^2+'Off-Ramp'!X81^2)/(Links!X81+'Off-Ramp'!V81+'Off-Ramp'!W81+'Off-Ramp'!X81)</f>
        <v>#DIV/0!</v>
      </c>
      <c r="BT81" s="60" t="e">
        <f>(Links!Y81^2+'Off-Ramp'!Y81^2+'Off-Ramp'!Z81^2+'Off-Ramp'!AA81^2)/(Links!Y81+'Off-Ramp'!Y81+'Off-Ramp'!Z81+'Off-Ramp'!AA81)</f>
        <v>#DIV/0!</v>
      </c>
      <c r="BU81" s="60" t="e">
        <f>(Links!W81^2+'Off-Ramp'!P81^2)/(Links!W81+'Off-Ramp'!P81)</f>
        <v>#DIV/0!</v>
      </c>
      <c r="BV81" s="60" t="e">
        <f>(Links!Y81^2+'Off-Ramp'!Q81^2)/(Links!Y81+'Off-Ramp'!Q81)</f>
        <v>#DIV/0!</v>
      </c>
      <c r="BW81" s="60" t="e">
        <f>(Links!Z81^2+'Off-Ramp'!R81^2)/(Links!Z81+'Off-Ramp'!R81)</f>
        <v>#DIV/0!</v>
      </c>
      <c r="BX81" s="60" t="e">
        <f>(Links!AA81+'Off-Ramp'!S81)/(Links!AA81^2+'Off-Ramp'!S81^2)</f>
        <v>#DIV/0!</v>
      </c>
      <c r="BY81" s="60" t="e">
        <f>(Links!AB81^2+'Off-Ramp'!T81^2)/(Links!AB81+'Off-Ramp'!T81)</f>
        <v>#DIV/0!</v>
      </c>
      <c r="BZ81" s="60" t="e">
        <f>Links!AC81</f>
        <v>#DIV/0!</v>
      </c>
      <c r="CA81" s="60" t="e">
        <f>(Links!AD81^2+'Off-Ramp'!U81^2)/(Links!AD81+'Off-Ramp'!U81)</f>
        <v>#DIV/0!</v>
      </c>
    </row>
    <row r="82" spans="1:79" x14ac:dyDescent="0.15">
      <c r="A82" s="58">
        <v>80</v>
      </c>
      <c r="B82" s="59" t="e">
        <f t="shared" si="31"/>
        <v>#DIV/0!</v>
      </c>
      <c r="C82" s="59" t="e">
        <f t="shared" si="32"/>
        <v>#DIV/0!</v>
      </c>
      <c r="D82" s="59" t="e">
        <f t="shared" si="33"/>
        <v>#DIV/0!</v>
      </c>
      <c r="E82" s="59" t="e">
        <f t="shared" si="34"/>
        <v>#DIV/0!</v>
      </c>
      <c r="F82" s="59" t="e">
        <f t="shared" si="35"/>
        <v>#DIV/0!</v>
      </c>
      <c r="G82" s="59" t="e">
        <f t="shared" si="36"/>
        <v>#DIV/0!</v>
      </c>
      <c r="H82" s="59" t="e">
        <f t="shared" si="37"/>
        <v>#DIV/0!</v>
      </c>
      <c r="I82" s="59" t="e">
        <f t="shared" si="38"/>
        <v>#DIV/0!</v>
      </c>
      <c r="J82" s="59" t="e">
        <f t="shared" si="39"/>
        <v>#DIV/0!</v>
      </c>
      <c r="K82" s="59" t="e">
        <f t="shared" si="40"/>
        <v>#DIV/0!</v>
      </c>
      <c r="L82" s="59" t="e">
        <f t="shared" si="41"/>
        <v>#DIV/0!</v>
      </c>
      <c r="M82" s="59" t="e">
        <f t="shared" si="42"/>
        <v>#DIV/0!</v>
      </c>
      <c r="N82" s="59" t="e">
        <f t="shared" si="43"/>
        <v>#DIV/0!</v>
      </c>
      <c r="O82" s="60" t="e">
        <f>Links!B82</f>
        <v>#DIV/0!</v>
      </c>
      <c r="P82" s="60" t="e">
        <f>Links!C82+'On-Ramps'!AC82</f>
        <v>#DIV/0!</v>
      </c>
      <c r="Q82" s="60" t="e">
        <f>Links!D82</f>
        <v>#DIV/0!</v>
      </c>
      <c r="R82" s="60" t="e">
        <f>Links!E82+'On-Ramps'!AD82</f>
        <v>#DIV/0!</v>
      </c>
      <c r="S82" s="60" t="e">
        <f>Links!F82+'On-Ramps'!AE82</f>
        <v>#DIV/0!</v>
      </c>
      <c r="T82" s="60" t="e">
        <f>Links!G82+'On-Ramps'!AF82</f>
        <v>#DIV/0!</v>
      </c>
      <c r="U82" s="60" t="e">
        <f>Links!H82+'On-Ramps'!AG82</f>
        <v>#DIV/0!</v>
      </c>
      <c r="V82" s="60" t="e">
        <f>Links!J82+'On-Ramps'!AH82</f>
        <v>#DIV/0!</v>
      </c>
      <c r="W82" s="60" t="e">
        <f>Links!K82+'On-Ramps'!AI82</f>
        <v>#DIV/0!</v>
      </c>
      <c r="X82" s="60" t="e">
        <f>Links!L82+'On-Ramps'!AJ82</f>
        <v>#DIV/0!</v>
      </c>
      <c r="Y82" s="60" t="e">
        <f>Links!M82</f>
        <v>#DIV/0!</v>
      </c>
      <c r="Z82" s="60" t="e">
        <f>Links!N82+'On-Ramps'!AK82</f>
        <v>#DIV/0!</v>
      </c>
      <c r="AA82" s="60" t="e">
        <f>Links!O82</f>
        <v>#DIV/0!</v>
      </c>
      <c r="AB82" s="59" t="e">
        <f t="shared" si="44"/>
        <v>#DIV/0!</v>
      </c>
      <c r="AC82" s="65"/>
      <c r="AD82" s="59" t="e">
        <f t="shared" si="45"/>
        <v>#DIV/0!</v>
      </c>
      <c r="AE82" s="65"/>
      <c r="AF82" s="59" t="e">
        <f t="shared" si="46"/>
        <v>#DIV/0!</v>
      </c>
      <c r="AG82" s="59" t="e">
        <f t="shared" si="47"/>
        <v>#DIV/0!</v>
      </c>
      <c r="AH82" s="59" t="e">
        <f t="shared" si="48"/>
        <v>#DIV/0!</v>
      </c>
      <c r="AI82" s="59" t="e">
        <f t="shared" si="49"/>
        <v>#DIV/0!</v>
      </c>
      <c r="AJ82" s="59" t="e">
        <f t="shared" si="50"/>
        <v>#DIV/0!</v>
      </c>
      <c r="AK82" s="59" t="e">
        <f t="shared" si="51"/>
        <v>#DIV/0!</v>
      </c>
      <c r="AL82" s="59" t="e">
        <f t="shared" si="52"/>
        <v>#DIV/0!</v>
      </c>
      <c r="AM82" s="65"/>
      <c r="AN82" s="59" t="e">
        <f t="shared" si="27"/>
        <v>#DIV/0!</v>
      </c>
      <c r="AO82" s="60" t="e">
        <f t="shared" si="30"/>
        <v>#DIV/0!</v>
      </c>
      <c r="AP82" s="65"/>
      <c r="AQ82" s="60" t="e">
        <f t="shared" si="53"/>
        <v>#DIV/0!</v>
      </c>
      <c r="AR82" s="65"/>
      <c r="AS82" s="60" t="e">
        <f t="shared" si="53"/>
        <v>#DIV/0!</v>
      </c>
      <c r="AT82" s="60" t="e">
        <f t="shared" si="53"/>
        <v>#DIV/0!</v>
      </c>
      <c r="AU82" s="60" t="e">
        <f t="shared" si="53"/>
        <v>#DIV/0!</v>
      </c>
      <c r="AV82" s="60" t="e">
        <f t="shared" si="53"/>
        <v>#DIV/0!</v>
      </c>
      <c r="AW82" s="60" t="e">
        <f t="shared" si="53"/>
        <v>#DIV/0!</v>
      </c>
      <c r="AX82" s="60" t="e">
        <f t="shared" si="53"/>
        <v>#DIV/0!</v>
      </c>
      <c r="AY82" s="60" t="e">
        <f t="shared" si="53"/>
        <v>#DIV/0!</v>
      </c>
      <c r="AZ82" s="65"/>
      <c r="BA82" s="60" t="e">
        <f t="shared" si="53"/>
        <v>#DIV/0!</v>
      </c>
      <c r="BB82" s="59" t="e">
        <f>Links!AF82</f>
        <v>#DIV/0!</v>
      </c>
      <c r="BC82" s="59" t="e">
        <f>(Links!AG82*Links!C82+'On-Ramps'!AC82*'On-Ramps'!CE82)/('On-Ramps'!AC82+Links!C82)</f>
        <v>#DIV/0!</v>
      </c>
      <c r="BD82" s="59" t="e">
        <f>Links!AH82</f>
        <v>#DIV/0!</v>
      </c>
      <c r="BE82" s="59" t="e">
        <f>(Links!AI82*Links!E82+'On-Ramps'!AD82*'On-Ramps'!CF81)/('On-Ramps'!AD82+Links!E82)</f>
        <v>#DIV/0!</v>
      </c>
      <c r="BF82" s="59" t="e">
        <f>(Links!F82*Links!AJ82+'On-Ramps'!AE82*'On-Ramps'!CG82)/('On-Ramps'!AE82+Links!F82)</f>
        <v>#DIV/0!</v>
      </c>
      <c r="BG82" s="59" t="e">
        <f>(Links!G82*Links!AK82+'On-Ramps'!AF82*'On-Ramps'!CH82)/('On-Ramps'!AF82+Links!G82)</f>
        <v>#DIV/0!</v>
      </c>
      <c r="BH82" s="59" t="e">
        <f>(Links!H82*Links!AL82+'On-Ramps'!AG82*'On-Ramps'!CI82)/('On-Ramps'!AG82+Links!H82)</f>
        <v>#DIV/0!</v>
      </c>
      <c r="BI82" s="59" t="e">
        <f>(Links!J82*Links!AN82+'On-Ramps'!AH82*'On-Ramps'!CJ82)/('On-Ramps'!AH82+Links!J82)</f>
        <v>#DIV/0!</v>
      </c>
      <c r="BJ82" s="59" t="e">
        <f>(Links!K82*Links!AO82+'On-Ramps'!AI82*'On-Ramps'!CK82)/('On-Ramps'!AI82+Links!K82)</f>
        <v>#DIV/0!</v>
      </c>
      <c r="BK82" s="59" t="e">
        <f>(Links!L82*Links!AP82+'On-Ramps'!AJ82*'On-Ramps'!CL82)/(Links!L82+'On-Ramps'!AJ82)</f>
        <v>#DIV/0!</v>
      </c>
      <c r="BL82" s="59" t="e">
        <f>Links!AQ82</f>
        <v>#DIV/0!</v>
      </c>
      <c r="BM82" s="59" t="e">
        <f>(Links!N82*Links!AR82+'On-Ramps'!AL82*'On-Ramps'!CM82)/(Links!N82+'On-Ramps'!AL82)</f>
        <v>#DIV/0!</v>
      </c>
      <c r="BN82" s="59" t="e">
        <f>Links!AS82</f>
        <v>#DIV/0!</v>
      </c>
      <c r="BO82" s="60" t="e">
        <f>(Links!R82^2+'Off-Ramp'!L82^2)/(Links!R82+'Off-Ramp'!L82)</f>
        <v>#DIV/0!</v>
      </c>
      <c r="BP82" s="60" t="e">
        <f>Links!S82</f>
        <v>#DIV/0!</v>
      </c>
      <c r="BQ82" s="60" t="e">
        <f>(Links!S82^2+'Off-Ramp'!C82^2)/(Links!S82+'Off-Ramp'!C82)</f>
        <v>#DIV/0!</v>
      </c>
      <c r="BR82" s="60" t="e">
        <f>Links!T82</f>
        <v>#DIV/0!</v>
      </c>
      <c r="BS82" s="60" t="e">
        <f>(Links!X82^2+'Off-Ramp'!V82^2+'Off-Ramp'!W82^2+'Off-Ramp'!X82^2)/(Links!X82+'Off-Ramp'!V82+'Off-Ramp'!W82+'Off-Ramp'!X82)</f>
        <v>#DIV/0!</v>
      </c>
      <c r="BT82" s="60" t="e">
        <f>(Links!Y82^2+'Off-Ramp'!Y82^2+'Off-Ramp'!Z82^2+'Off-Ramp'!AA82^2)/(Links!Y82+'Off-Ramp'!Y82+'Off-Ramp'!Z82+'Off-Ramp'!AA82)</f>
        <v>#DIV/0!</v>
      </c>
      <c r="BU82" s="60" t="e">
        <f>(Links!W82^2+'Off-Ramp'!P82^2)/(Links!W82+'Off-Ramp'!P82)</f>
        <v>#DIV/0!</v>
      </c>
      <c r="BV82" s="60" t="e">
        <f>(Links!Y82^2+'Off-Ramp'!Q82^2)/(Links!Y82+'Off-Ramp'!Q82)</f>
        <v>#DIV/0!</v>
      </c>
      <c r="BW82" s="60" t="e">
        <f>(Links!Z82^2+'Off-Ramp'!R82^2)/(Links!Z82+'Off-Ramp'!R82)</f>
        <v>#DIV/0!</v>
      </c>
      <c r="BX82" s="60" t="e">
        <f>(Links!AA82+'Off-Ramp'!S82)/(Links!AA82^2+'Off-Ramp'!S82^2)</f>
        <v>#DIV/0!</v>
      </c>
      <c r="BY82" s="60" t="e">
        <f>(Links!AB82^2+'Off-Ramp'!T82^2)/(Links!AB82+'Off-Ramp'!T82)</f>
        <v>#DIV/0!</v>
      </c>
      <c r="BZ82" s="60" t="e">
        <f>Links!AC82</f>
        <v>#DIV/0!</v>
      </c>
      <c r="CA82" s="60" t="e">
        <f>(Links!AD82^2+'Off-Ramp'!U82^2)/(Links!AD82+'Off-Ramp'!U82)</f>
        <v>#DIV/0!</v>
      </c>
    </row>
    <row r="83" spans="1:79" x14ac:dyDescent="0.15">
      <c r="A83" s="58">
        <v>81</v>
      </c>
      <c r="B83" s="59" t="e">
        <f t="shared" si="31"/>
        <v>#DIV/0!</v>
      </c>
      <c r="C83" s="59" t="e">
        <f t="shared" si="32"/>
        <v>#DIV/0!</v>
      </c>
      <c r="D83" s="59" t="e">
        <f t="shared" si="33"/>
        <v>#DIV/0!</v>
      </c>
      <c r="E83" s="59" t="e">
        <f t="shared" si="34"/>
        <v>#DIV/0!</v>
      </c>
      <c r="F83" s="59" t="e">
        <f t="shared" si="35"/>
        <v>#DIV/0!</v>
      </c>
      <c r="G83" s="59" t="e">
        <f t="shared" si="36"/>
        <v>#DIV/0!</v>
      </c>
      <c r="H83" s="59" t="e">
        <f t="shared" si="37"/>
        <v>#DIV/0!</v>
      </c>
      <c r="I83" s="59" t="e">
        <f t="shared" si="38"/>
        <v>#DIV/0!</v>
      </c>
      <c r="J83" s="59" t="e">
        <f t="shared" si="39"/>
        <v>#DIV/0!</v>
      </c>
      <c r="K83" s="59" t="e">
        <f t="shared" si="40"/>
        <v>#DIV/0!</v>
      </c>
      <c r="L83" s="59" t="e">
        <f t="shared" si="41"/>
        <v>#DIV/0!</v>
      </c>
      <c r="M83" s="59" t="e">
        <f t="shared" si="42"/>
        <v>#DIV/0!</v>
      </c>
      <c r="N83" s="59" t="e">
        <f t="shared" si="43"/>
        <v>#DIV/0!</v>
      </c>
      <c r="O83" s="60" t="e">
        <f>Links!B83</f>
        <v>#DIV/0!</v>
      </c>
      <c r="P83" s="60" t="e">
        <f>Links!C83+'On-Ramps'!AC83</f>
        <v>#DIV/0!</v>
      </c>
      <c r="Q83" s="60" t="e">
        <f>Links!D83</f>
        <v>#DIV/0!</v>
      </c>
      <c r="R83" s="60" t="e">
        <f>Links!E83+'On-Ramps'!AD83</f>
        <v>#DIV/0!</v>
      </c>
      <c r="S83" s="60" t="e">
        <f>Links!F83+'On-Ramps'!AE83</f>
        <v>#DIV/0!</v>
      </c>
      <c r="T83" s="60" t="e">
        <f>Links!G83+'On-Ramps'!AF83</f>
        <v>#DIV/0!</v>
      </c>
      <c r="U83" s="60" t="e">
        <f>Links!H83+'On-Ramps'!AG83</f>
        <v>#DIV/0!</v>
      </c>
      <c r="V83" s="60" t="e">
        <f>Links!J83+'On-Ramps'!AH83</f>
        <v>#DIV/0!</v>
      </c>
      <c r="W83" s="60" t="e">
        <f>Links!K83+'On-Ramps'!AI83</f>
        <v>#DIV/0!</v>
      </c>
      <c r="X83" s="60" t="e">
        <f>Links!L83+'On-Ramps'!AJ83</f>
        <v>#DIV/0!</v>
      </c>
      <c r="Y83" s="60" t="e">
        <f>Links!M83</f>
        <v>#DIV/0!</v>
      </c>
      <c r="Z83" s="60" t="e">
        <f>Links!N83+'On-Ramps'!AK83</f>
        <v>#DIV/0!</v>
      </c>
      <c r="AA83" s="60" t="e">
        <f>Links!O83</f>
        <v>#DIV/0!</v>
      </c>
      <c r="AB83" s="59" t="e">
        <f t="shared" si="44"/>
        <v>#DIV/0!</v>
      </c>
      <c r="AC83" s="65"/>
      <c r="AD83" s="59" t="e">
        <f t="shared" si="45"/>
        <v>#DIV/0!</v>
      </c>
      <c r="AE83" s="65"/>
      <c r="AF83" s="59" t="e">
        <f t="shared" si="46"/>
        <v>#DIV/0!</v>
      </c>
      <c r="AG83" s="59" t="e">
        <f t="shared" si="47"/>
        <v>#DIV/0!</v>
      </c>
      <c r="AH83" s="59" t="e">
        <f t="shared" si="48"/>
        <v>#DIV/0!</v>
      </c>
      <c r="AI83" s="59" t="e">
        <f t="shared" si="49"/>
        <v>#DIV/0!</v>
      </c>
      <c r="AJ83" s="59" t="e">
        <f t="shared" si="50"/>
        <v>#DIV/0!</v>
      </c>
      <c r="AK83" s="59" t="e">
        <f t="shared" si="51"/>
        <v>#DIV/0!</v>
      </c>
      <c r="AL83" s="59" t="e">
        <f t="shared" si="52"/>
        <v>#DIV/0!</v>
      </c>
      <c r="AM83" s="65"/>
      <c r="AN83" s="59" t="e">
        <f t="shared" si="27"/>
        <v>#DIV/0!</v>
      </c>
      <c r="AO83" s="60" t="e">
        <f t="shared" si="30"/>
        <v>#DIV/0!</v>
      </c>
      <c r="AP83" s="65"/>
      <c r="AQ83" s="60" t="e">
        <f t="shared" si="53"/>
        <v>#DIV/0!</v>
      </c>
      <c r="AR83" s="65"/>
      <c r="AS83" s="60" t="e">
        <f t="shared" si="53"/>
        <v>#DIV/0!</v>
      </c>
      <c r="AT83" s="60" t="e">
        <f t="shared" si="53"/>
        <v>#DIV/0!</v>
      </c>
      <c r="AU83" s="60" t="e">
        <f t="shared" si="53"/>
        <v>#DIV/0!</v>
      </c>
      <c r="AV83" s="60" t="e">
        <f t="shared" si="53"/>
        <v>#DIV/0!</v>
      </c>
      <c r="AW83" s="60" t="e">
        <f t="shared" si="53"/>
        <v>#DIV/0!</v>
      </c>
      <c r="AX83" s="60" t="e">
        <f t="shared" si="53"/>
        <v>#DIV/0!</v>
      </c>
      <c r="AY83" s="60" t="e">
        <f t="shared" si="53"/>
        <v>#DIV/0!</v>
      </c>
      <c r="AZ83" s="65"/>
      <c r="BA83" s="60" t="e">
        <f t="shared" si="53"/>
        <v>#DIV/0!</v>
      </c>
      <c r="BB83" s="59" t="e">
        <f>Links!AF83</f>
        <v>#DIV/0!</v>
      </c>
      <c r="BC83" s="59" t="e">
        <f>(Links!AG83*Links!C83+'On-Ramps'!AC83*'On-Ramps'!CE83)/('On-Ramps'!AC83+Links!C83)</f>
        <v>#DIV/0!</v>
      </c>
      <c r="BD83" s="59" t="e">
        <f>Links!AH83</f>
        <v>#DIV/0!</v>
      </c>
      <c r="BE83" s="59" t="e">
        <f>(Links!AI83*Links!E83+'On-Ramps'!AD83*'On-Ramps'!CF82)/('On-Ramps'!AD83+Links!E83)</f>
        <v>#DIV/0!</v>
      </c>
      <c r="BF83" s="59" t="e">
        <f>(Links!F83*Links!AJ83+'On-Ramps'!AE83*'On-Ramps'!CG83)/('On-Ramps'!AE83+Links!F83)</f>
        <v>#DIV/0!</v>
      </c>
      <c r="BG83" s="59" t="e">
        <f>(Links!G83*Links!AK83+'On-Ramps'!AF83*'On-Ramps'!CH83)/('On-Ramps'!AF83+Links!G83)</f>
        <v>#DIV/0!</v>
      </c>
      <c r="BH83" s="59" t="e">
        <f>(Links!H83*Links!AL83+'On-Ramps'!AG83*'On-Ramps'!CI83)/('On-Ramps'!AG83+Links!H83)</f>
        <v>#DIV/0!</v>
      </c>
      <c r="BI83" s="59" t="e">
        <f>(Links!J83*Links!AN83+'On-Ramps'!AH83*'On-Ramps'!CJ83)/('On-Ramps'!AH83+Links!J83)</f>
        <v>#DIV/0!</v>
      </c>
      <c r="BJ83" s="59" t="e">
        <f>(Links!K83*Links!AO83+'On-Ramps'!AI83*'On-Ramps'!CK83)/('On-Ramps'!AI83+Links!K83)</f>
        <v>#DIV/0!</v>
      </c>
      <c r="BK83" s="59" t="e">
        <f>(Links!L83*Links!AP83+'On-Ramps'!AJ83*'On-Ramps'!CL83)/(Links!L83+'On-Ramps'!AJ83)</f>
        <v>#DIV/0!</v>
      </c>
      <c r="BL83" s="59" t="e">
        <f>Links!AQ83</f>
        <v>#DIV/0!</v>
      </c>
      <c r="BM83" s="59" t="e">
        <f>(Links!N83*Links!AR83+'On-Ramps'!AL83*'On-Ramps'!CM83)/(Links!N83+'On-Ramps'!AL83)</f>
        <v>#DIV/0!</v>
      </c>
      <c r="BN83" s="59" t="e">
        <f>Links!AS83</f>
        <v>#DIV/0!</v>
      </c>
      <c r="BO83" s="60" t="e">
        <f>(Links!R83^2+'Off-Ramp'!L83^2)/(Links!R83+'Off-Ramp'!L83)</f>
        <v>#DIV/0!</v>
      </c>
      <c r="BP83" s="60" t="e">
        <f>Links!S83</f>
        <v>#DIV/0!</v>
      </c>
      <c r="BQ83" s="60" t="e">
        <f>(Links!S83^2+'Off-Ramp'!C83^2)/(Links!S83+'Off-Ramp'!C83)</f>
        <v>#DIV/0!</v>
      </c>
      <c r="BR83" s="60" t="e">
        <f>Links!T83</f>
        <v>#DIV/0!</v>
      </c>
      <c r="BS83" s="60" t="e">
        <f>(Links!X83^2+'Off-Ramp'!V83^2+'Off-Ramp'!W83^2+'Off-Ramp'!X83^2)/(Links!X83+'Off-Ramp'!V83+'Off-Ramp'!W83+'Off-Ramp'!X83)</f>
        <v>#DIV/0!</v>
      </c>
      <c r="BT83" s="60" t="e">
        <f>(Links!Y83^2+'Off-Ramp'!Y83^2+'Off-Ramp'!Z83^2+'Off-Ramp'!AA83^2)/(Links!Y83+'Off-Ramp'!Y83+'Off-Ramp'!Z83+'Off-Ramp'!AA83)</f>
        <v>#DIV/0!</v>
      </c>
      <c r="BU83" s="60" t="e">
        <f>(Links!W83^2+'Off-Ramp'!P83^2)/(Links!W83+'Off-Ramp'!P83)</f>
        <v>#DIV/0!</v>
      </c>
      <c r="BV83" s="60" t="e">
        <f>(Links!Y83^2+'Off-Ramp'!Q83^2)/(Links!Y83+'Off-Ramp'!Q83)</f>
        <v>#DIV/0!</v>
      </c>
      <c r="BW83" s="60" t="e">
        <f>(Links!Z83^2+'Off-Ramp'!R83^2)/(Links!Z83+'Off-Ramp'!R83)</f>
        <v>#DIV/0!</v>
      </c>
      <c r="BX83" s="60" t="e">
        <f>(Links!AA83+'Off-Ramp'!S83)/(Links!AA83^2+'Off-Ramp'!S83^2)</f>
        <v>#DIV/0!</v>
      </c>
      <c r="BY83" s="60" t="e">
        <f>(Links!AB83^2+'Off-Ramp'!T83^2)/(Links!AB83+'Off-Ramp'!T83)</f>
        <v>#DIV/0!</v>
      </c>
      <c r="BZ83" s="60" t="e">
        <f>Links!AC83</f>
        <v>#DIV/0!</v>
      </c>
      <c r="CA83" s="60" t="e">
        <f>(Links!AD83^2+'Off-Ramp'!U83^2)/(Links!AD83+'Off-Ramp'!U83)</f>
        <v>#DIV/0!</v>
      </c>
    </row>
    <row r="84" spans="1:79" x14ac:dyDescent="0.15">
      <c r="A84" s="58">
        <v>82</v>
      </c>
      <c r="B84" s="59" t="e">
        <f t="shared" si="31"/>
        <v>#DIV/0!</v>
      </c>
      <c r="C84" s="59" t="e">
        <f t="shared" si="32"/>
        <v>#DIV/0!</v>
      </c>
      <c r="D84" s="59" t="e">
        <f t="shared" si="33"/>
        <v>#DIV/0!</v>
      </c>
      <c r="E84" s="59" t="e">
        <f t="shared" si="34"/>
        <v>#DIV/0!</v>
      </c>
      <c r="F84" s="59" t="e">
        <f t="shared" si="35"/>
        <v>#DIV/0!</v>
      </c>
      <c r="G84" s="59" t="e">
        <f t="shared" si="36"/>
        <v>#DIV/0!</v>
      </c>
      <c r="H84" s="59" t="e">
        <f t="shared" si="37"/>
        <v>#DIV/0!</v>
      </c>
      <c r="I84" s="59" t="e">
        <f t="shared" si="38"/>
        <v>#DIV/0!</v>
      </c>
      <c r="J84" s="59" t="e">
        <f t="shared" si="39"/>
        <v>#DIV/0!</v>
      </c>
      <c r="K84" s="59" t="e">
        <f t="shared" si="40"/>
        <v>#DIV/0!</v>
      </c>
      <c r="L84" s="59" t="e">
        <f t="shared" si="41"/>
        <v>#DIV/0!</v>
      </c>
      <c r="M84" s="59" t="e">
        <f t="shared" si="42"/>
        <v>#DIV/0!</v>
      </c>
      <c r="N84" s="59" t="e">
        <f t="shared" si="43"/>
        <v>#DIV/0!</v>
      </c>
      <c r="O84" s="60" t="e">
        <f>Links!B84</f>
        <v>#DIV/0!</v>
      </c>
      <c r="P84" s="60" t="e">
        <f>Links!C84+'On-Ramps'!AC84</f>
        <v>#DIV/0!</v>
      </c>
      <c r="Q84" s="60" t="e">
        <f>Links!D84</f>
        <v>#DIV/0!</v>
      </c>
      <c r="R84" s="60" t="e">
        <f>Links!E84+'On-Ramps'!AD84</f>
        <v>#DIV/0!</v>
      </c>
      <c r="S84" s="60" t="e">
        <f>Links!F84+'On-Ramps'!AE84</f>
        <v>#DIV/0!</v>
      </c>
      <c r="T84" s="60" t="e">
        <f>Links!G84+'On-Ramps'!AF84</f>
        <v>#DIV/0!</v>
      </c>
      <c r="U84" s="60" t="e">
        <f>Links!H84+'On-Ramps'!AG84</f>
        <v>#DIV/0!</v>
      </c>
      <c r="V84" s="60" t="e">
        <f>Links!J84+'On-Ramps'!AH84</f>
        <v>#DIV/0!</v>
      </c>
      <c r="W84" s="60" t="e">
        <f>Links!K84+'On-Ramps'!AI84</f>
        <v>#DIV/0!</v>
      </c>
      <c r="X84" s="60" t="e">
        <f>Links!L84+'On-Ramps'!AJ84</f>
        <v>#DIV/0!</v>
      </c>
      <c r="Y84" s="60" t="e">
        <f>Links!M84</f>
        <v>#DIV/0!</v>
      </c>
      <c r="Z84" s="60" t="e">
        <f>Links!N84+'On-Ramps'!AK84</f>
        <v>#DIV/0!</v>
      </c>
      <c r="AA84" s="60" t="e">
        <f>Links!O84</f>
        <v>#DIV/0!</v>
      </c>
      <c r="AB84" s="59" t="e">
        <f t="shared" si="44"/>
        <v>#DIV/0!</v>
      </c>
      <c r="AC84" s="65"/>
      <c r="AD84" s="59" t="e">
        <f t="shared" si="45"/>
        <v>#DIV/0!</v>
      </c>
      <c r="AE84" s="65"/>
      <c r="AF84" s="59" t="e">
        <f t="shared" si="46"/>
        <v>#DIV/0!</v>
      </c>
      <c r="AG84" s="59" t="e">
        <f t="shared" si="47"/>
        <v>#DIV/0!</v>
      </c>
      <c r="AH84" s="59" t="e">
        <f t="shared" si="48"/>
        <v>#DIV/0!</v>
      </c>
      <c r="AI84" s="59" t="e">
        <f t="shared" si="49"/>
        <v>#DIV/0!</v>
      </c>
      <c r="AJ84" s="59" t="e">
        <f t="shared" si="50"/>
        <v>#DIV/0!</v>
      </c>
      <c r="AK84" s="59" t="e">
        <f t="shared" si="51"/>
        <v>#DIV/0!</v>
      </c>
      <c r="AL84" s="59" t="e">
        <f t="shared" si="52"/>
        <v>#DIV/0!</v>
      </c>
      <c r="AM84" s="65"/>
      <c r="AN84" s="59" t="e">
        <f t="shared" ref="AN84:AN147" si="54">BA84*(1-BA84)*AA84</f>
        <v>#DIV/0!</v>
      </c>
      <c r="AO84" s="60" t="e">
        <f t="shared" si="30"/>
        <v>#DIV/0!</v>
      </c>
      <c r="AP84" s="65"/>
      <c r="AQ84" s="60" t="e">
        <f t="shared" si="53"/>
        <v>#DIV/0!</v>
      </c>
      <c r="AR84" s="65"/>
      <c r="AS84" s="60" t="e">
        <f t="shared" si="53"/>
        <v>#DIV/0!</v>
      </c>
      <c r="AT84" s="60" t="e">
        <f t="shared" si="53"/>
        <v>#DIV/0!</v>
      </c>
      <c r="AU84" s="60" t="e">
        <f t="shared" si="53"/>
        <v>#DIV/0!</v>
      </c>
      <c r="AV84" s="60" t="e">
        <f t="shared" si="53"/>
        <v>#DIV/0!</v>
      </c>
      <c r="AW84" s="60" t="e">
        <f t="shared" si="53"/>
        <v>#DIV/0!</v>
      </c>
      <c r="AX84" s="60" t="e">
        <f t="shared" si="53"/>
        <v>#DIV/0!</v>
      </c>
      <c r="AY84" s="60" t="e">
        <f t="shared" si="53"/>
        <v>#DIV/0!</v>
      </c>
      <c r="AZ84" s="65"/>
      <c r="BA84" s="60" t="e">
        <f t="shared" si="53"/>
        <v>#DIV/0!</v>
      </c>
      <c r="BB84" s="59" t="e">
        <f>Links!AF84</f>
        <v>#DIV/0!</v>
      </c>
      <c r="BC84" s="59" t="e">
        <f>(Links!AG84*Links!C84+'On-Ramps'!AC84*'On-Ramps'!CE84)/('On-Ramps'!AC84+Links!C84)</f>
        <v>#DIV/0!</v>
      </c>
      <c r="BD84" s="59" t="e">
        <f>Links!AH84</f>
        <v>#DIV/0!</v>
      </c>
      <c r="BE84" s="59" t="e">
        <f>(Links!AI84*Links!E84+'On-Ramps'!AD84*'On-Ramps'!CF83)/('On-Ramps'!AD84+Links!E84)</f>
        <v>#DIV/0!</v>
      </c>
      <c r="BF84" s="59" t="e">
        <f>(Links!F84*Links!AJ84+'On-Ramps'!AE84*'On-Ramps'!CG84)/('On-Ramps'!AE84+Links!F84)</f>
        <v>#DIV/0!</v>
      </c>
      <c r="BG84" s="59" t="e">
        <f>(Links!G84*Links!AK84+'On-Ramps'!AF84*'On-Ramps'!CH84)/('On-Ramps'!AF84+Links!G84)</f>
        <v>#DIV/0!</v>
      </c>
      <c r="BH84" s="59" t="e">
        <f>(Links!H84*Links!AL84+'On-Ramps'!AG84*'On-Ramps'!CI84)/('On-Ramps'!AG84+Links!H84)</f>
        <v>#DIV/0!</v>
      </c>
      <c r="BI84" s="59" t="e">
        <f>(Links!J84*Links!AN84+'On-Ramps'!AH84*'On-Ramps'!CJ84)/('On-Ramps'!AH84+Links!J84)</f>
        <v>#DIV/0!</v>
      </c>
      <c r="BJ84" s="59" t="e">
        <f>(Links!K84*Links!AO84+'On-Ramps'!AI84*'On-Ramps'!CK84)/('On-Ramps'!AI84+Links!K84)</f>
        <v>#DIV/0!</v>
      </c>
      <c r="BK84" s="59" t="e">
        <f>(Links!L84*Links!AP84+'On-Ramps'!AJ84*'On-Ramps'!CL84)/(Links!L84+'On-Ramps'!AJ84)</f>
        <v>#DIV/0!</v>
      </c>
      <c r="BL84" s="59" t="e">
        <f>Links!AQ84</f>
        <v>#DIV/0!</v>
      </c>
      <c r="BM84" s="59" t="e">
        <f>(Links!N84*Links!AR84+'On-Ramps'!AL84*'On-Ramps'!CM84)/(Links!N84+'On-Ramps'!AL84)</f>
        <v>#DIV/0!</v>
      </c>
      <c r="BN84" s="59" t="e">
        <f>Links!AS84</f>
        <v>#DIV/0!</v>
      </c>
      <c r="BO84" s="60" t="e">
        <f>(Links!R84^2+'Off-Ramp'!L84^2)/(Links!R84+'Off-Ramp'!L84)</f>
        <v>#DIV/0!</v>
      </c>
      <c r="BP84" s="60" t="e">
        <f>Links!S84</f>
        <v>#DIV/0!</v>
      </c>
      <c r="BQ84" s="60" t="e">
        <f>(Links!S84^2+'Off-Ramp'!C84^2)/(Links!S84+'Off-Ramp'!C84)</f>
        <v>#DIV/0!</v>
      </c>
      <c r="BR84" s="60" t="e">
        <f>Links!T84</f>
        <v>#DIV/0!</v>
      </c>
      <c r="BS84" s="60" t="e">
        <f>(Links!X84^2+'Off-Ramp'!V84^2+'Off-Ramp'!W84^2+'Off-Ramp'!X84^2)/(Links!X84+'Off-Ramp'!V84+'Off-Ramp'!W84+'Off-Ramp'!X84)</f>
        <v>#DIV/0!</v>
      </c>
      <c r="BT84" s="60" t="e">
        <f>(Links!Y84^2+'Off-Ramp'!Y84^2+'Off-Ramp'!Z84^2+'Off-Ramp'!AA84^2)/(Links!Y84+'Off-Ramp'!Y84+'Off-Ramp'!Z84+'Off-Ramp'!AA84)</f>
        <v>#DIV/0!</v>
      </c>
      <c r="BU84" s="60" t="e">
        <f>(Links!W84^2+'Off-Ramp'!P84^2)/(Links!W84+'Off-Ramp'!P84)</f>
        <v>#DIV/0!</v>
      </c>
      <c r="BV84" s="60" t="e">
        <f>(Links!Y84^2+'Off-Ramp'!Q84^2)/(Links!Y84+'Off-Ramp'!Q84)</f>
        <v>#DIV/0!</v>
      </c>
      <c r="BW84" s="60" t="e">
        <f>(Links!Z84^2+'Off-Ramp'!R84^2)/(Links!Z84+'Off-Ramp'!R84)</f>
        <v>#DIV/0!</v>
      </c>
      <c r="BX84" s="60" t="e">
        <f>(Links!AA84+'Off-Ramp'!S84)/(Links!AA84^2+'Off-Ramp'!S84^2)</f>
        <v>#DIV/0!</v>
      </c>
      <c r="BY84" s="60" t="e">
        <f>(Links!AB84^2+'Off-Ramp'!T84^2)/(Links!AB84+'Off-Ramp'!T84)</f>
        <v>#DIV/0!</v>
      </c>
      <c r="BZ84" s="60" t="e">
        <f>Links!AC84</f>
        <v>#DIV/0!</v>
      </c>
      <c r="CA84" s="60" t="e">
        <f>(Links!AD84^2+'Off-Ramp'!U84^2)/(Links!AD84+'Off-Ramp'!U84)</f>
        <v>#DIV/0!</v>
      </c>
    </row>
    <row r="85" spans="1:79" x14ac:dyDescent="0.15">
      <c r="A85" s="58">
        <v>83</v>
      </c>
      <c r="B85" s="59" t="e">
        <f t="shared" si="31"/>
        <v>#DIV/0!</v>
      </c>
      <c r="C85" s="59" t="e">
        <f t="shared" si="32"/>
        <v>#DIV/0!</v>
      </c>
      <c r="D85" s="59" t="e">
        <f t="shared" si="33"/>
        <v>#DIV/0!</v>
      </c>
      <c r="E85" s="59" t="e">
        <f t="shared" si="34"/>
        <v>#DIV/0!</v>
      </c>
      <c r="F85" s="59" t="e">
        <f t="shared" si="35"/>
        <v>#DIV/0!</v>
      </c>
      <c r="G85" s="59" t="e">
        <f t="shared" si="36"/>
        <v>#DIV/0!</v>
      </c>
      <c r="H85" s="59" t="e">
        <f t="shared" si="37"/>
        <v>#DIV/0!</v>
      </c>
      <c r="I85" s="59" t="e">
        <f t="shared" si="38"/>
        <v>#DIV/0!</v>
      </c>
      <c r="J85" s="59" t="e">
        <f t="shared" si="39"/>
        <v>#DIV/0!</v>
      </c>
      <c r="K85" s="59" t="e">
        <f t="shared" si="40"/>
        <v>#DIV/0!</v>
      </c>
      <c r="L85" s="59" t="e">
        <f t="shared" si="41"/>
        <v>#DIV/0!</v>
      </c>
      <c r="M85" s="59" t="e">
        <f t="shared" si="42"/>
        <v>#DIV/0!</v>
      </c>
      <c r="N85" s="59" t="e">
        <f t="shared" si="43"/>
        <v>#DIV/0!</v>
      </c>
      <c r="O85" s="60" t="e">
        <f>Links!B85</f>
        <v>#DIV/0!</v>
      </c>
      <c r="P85" s="60" t="e">
        <f>Links!C85+'On-Ramps'!AC85</f>
        <v>#DIV/0!</v>
      </c>
      <c r="Q85" s="60" t="e">
        <f>Links!D85</f>
        <v>#DIV/0!</v>
      </c>
      <c r="R85" s="60" t="e">
        <f>Links!E85+'On-Ramps'!AD85</f>
        <v>#DIV/0!</v>
      </c>
      <c r="S85" s="60" t="e">
        <f>Links!F85+'On-Ramps'!AE85</f>
        <v>#DIV/0!</v>
      </c>
      <c r="T85" s="60" t="e">
        <f>Links!G85+'On-Ramps'!AF85</f>
        <v>#DIV/0!</v>
      </c>
      <c r="U85" s="60" t="e">
        <f>Links!H85+'On-Ramps'!AG85</f>
        <v>#DIV/0!</v>
      </c>
      <c r="V85" s="60" t="e">
        <f>Links!J85+'On-Ramps'!AH85</f>
        <v>#DIV/0!</v>
      </c>
      <c r="W85" s="60" t="e">
        <f>Links!K85+'On-Ramps'!AI85</f>
        <v>#DIV/0!</v>
      </c>
      <c r="X85" s="60" t="e">
        <f>Links!L85+'On-Ramps'!AJ85</f>
        <v>#DIV/0!</v>
      </c>
      <c r="Y85" s="60" t="e">
        <f>Links!M85</f>
        <v>#DIV/0!</v>
      </c>
      <c r="Z85" s="60" t="e">
        <f>Links!N85+'On-Ramps'!AK85</f>
        <v>#DIV/0!</v>
      </c>
      <c r="AA85" s="60" t="e">
        <f>Links!O85</f>
        <v>#DIV/0!</v>
      </c>
      <c r="AB85" s="59" t="e">
        <f t="shared" si="44"/>
        <v>#DIV/0!</v>
      </c>
      <c r="AC85" s="65"/>
      <c r="AD85" s="59" t="e">
        <f t="shared" si="45"/>
        <v>#DIV/0!</v>
      </c>
      <c r="AE85" s="65"/>
      <c r="AF85" s="59" t="e">
        <f t="shared" si="46"/>
        <v>#DIV/0!</v>
      </c>
      <c r="AG85" s="59" t="e">
        <f t="shared" si="47"/>
        <v>#DIV/0!</v>
      </c>
      <c r="AH85" s="59" t="e">
        <f t="shared" si="48"/>
        <v>#DIV/0!</v>
      </c>
      <c r="AI85" s="59" t="e">
        <f t="shared" si="49"/>
        <v>#DIV/0!</v>
      </c>
      <c r="AJ85" s="59" t="e">
        <f t="shared" si="50"/>
        <v>#DIV/0!</v>
      </c>
      <c r="AK85" s="59" t="e">
        <f t="shared" si="51"/>
        <v>#DIV/0!</v>
      </c>
      <c r="AL85" s="59" t="e">
        <f t="shared" si="52"/>
        <v>#DIV/0!</v>
      </c>
      <c r="AM85" s="65"/>
      <c r="AN85" s="59" t="e">
        <f t="shared" si="54"/>
        <v>#DIV/0!</v>
      </c>
      <c r="AO85" s="60" t="e">
        <f t="shared" si="30"/>
        <v>#DIV/0!</v>
      </c>
      <c r="AP85" s="65"/>
      <c r="AQ85" s="60" t="e">
        <f t="shared" si="53"/>
        <v>#DIV/0!</v>
      </c>
      <c r="AR85" s="65"/>
      <c r="AS85" s="60" t="e">
        <f t="shared" si="53"/>
        <v>#DIV/0!</v>
      </c>
      <c r="AT85" s="60" t="e">
        <f t="shared" si="53"/>
        <v>#DIV/0!</v>
      </c>
      <c r="AU85" s="60" t="e">
        <f t="shared" si="53"/>
        <v>#DIV/0!</v>
      </c>
      <c r="AV85" s="60" t="e">
        <f t="shared" si="53"/>
        <v>#DIV/0!</v>
      </c>
      <c r="AW85" s="60" t="e">
        <f t="shared" si="53"/>
        <v>#DIV/0!</v>
      </c>
      <c r="AX85" s="60" t="e">
        <f t="shared" si="53"/>
        <v>#DIV/0!</v>
      </c>
      <c r="AY85" s="60" t="e">
        <f t="shared" si="53"/>
        <v>#DIV/0!</v>
      </c>
      <c r="AZ85" s="65"/>
      <c r="BA85" s="60" t="e">
        <f t="shared" si="53"/>
        <v>#DIV/0!</v>
      </c>
      <c r="BB85" s="59" t="e">
        <f>Links!AF85</f>
        <v>#DIV/0!</v>
      </c>
      <c r="BC85" s="59" t="e">
        <f>(Links!AG85*Links!C85+'On-Ramps'!AC85*'On-Ramps'!CE85)/('On-Ramps'!AC85+Links!C85)</f>
        <v>#DIV/0!</v>
      </c>
      <c r="BD85" s="59" t="e">
        <f>Links!AH85</f>
        <v>#DIV/0!</v>
      </c>
      <c r="BE85" s="59" t="e">
        <f>(Links!AI85*Links!E85+'On-Ramps'!AD85*'On-Ramps'!CF84)/('On-Ramps'!AD85+Links!E85)</f>
        <v>#DIV/0!</v>
      </c>
      <c r="BF85" s="59" t="e">
        <f>(Links!F85*Links!AJ85+'On-Ramps'!AE85*'On-Ramps'!CG85)/('On-Ramps'!AE85+Links!F85)</f>
        <v>#DIV/0!</v>
      </c>
      <c r="BG85" s="59" t="e">
        <f>(Links!G85*Links!AK85+'On-Ramps'!AF85*'On-Ramps'!CH85)/('On-Ramps'!AF85+Links!G85)</f>
        <v>#DIV/0!</v>
      </c>
      <c r="BH85" s="59" t="e">
        <f>(Links!H85*Links!AL85+'On-Ramps'!AG85*'On-Ramps'!CI85)/('On-Ramps'!AG85+Links!H85)</f>
        <v>#DIV/0!</v>
      </c>
      <c r="BI85" s="59" t="e">
        <f>(Links!J85*Links!AN85+'On-Ramps'!AH85*'On-Ramps'!CJ85)/('On-Ramps'!AH85+Links!J85)</f>
        <v>#DIV/0!</v>
      </c>
      <c r="BJ85" s="59" t="e">
        <f>(Links!K85*Links!AO85+'On-Ramps'!AI85*'On-Ramps'!CK85)/('On-Ramps'!AI85+Links!K85)</f>
        <v>#DIV/0!</v>
      </c>
      <c r="BK85" s="59" t="e">
        <f>(Links!L85*Links!AP85+'On-Ramps'!AJ85*'On-Ramps'!CL85)/(Links!L85+'On-Ramps'!AJ85)</f>
        <v>#DIV/0!</v>
      </c>
      <c r="BL85" s="59" t="e">
        <f>Links!AQ85</f>
        <v>#DIV/0!</v>
      </c>
      <c r="BM85" s="59" t="e">
        <f>(Links!N85*Links!AR85+'On-Ramps'!AL85*'On-Ramps'!CM85)/(Links!N85+'On-Ramps'!AL85)</f>
        <v>#DIV/0!</v>
      </c>
      <c r="BN85" s="59" t="e">
        <f>Links!AS85</f>
        <v>#DIV/0!</v>
      </c>
      <c r="BO85" s="60" t="e">
        <f>(Links!R85^2+'Off-Ramp'!L85^2)/(Links!R85+'Off-Ramp'!L85)</f>
        <v>#DIV/0!</v>
      </c>
      <c r="BP85" s="60" t="e">
        <f>Links!S85</f>
        <v>#DIV/0!</v>
      </c>
      <c r="BQ85" s="60" t="e">
        <f>(Links!S85^2+'Off-Ramp'!C85^2)/(Links!S85+'Off-Ramp'!C85)</f>
        <v>#DIV/0!</v>
      </c>
      <c r="BR85" s="60" t="e">
        <f>Links!T85</f>
        <v>#DIV/0!</v>
      </c>
      <c r="BS85" s="60" t="e">
        <f>(Links!X85^2+'Off-Ramp'!V85^2+'Off-Ramp'!W85^2+'Off-Ramp'!X85^2)/(Links!X85+'Off-Ramp'!V85+'Off-Ramp'!W85+'Off-Ramp'!X85)</f>
        <v>#DIV/0!</v>
      </c>
      <c r="BT85" s="60" t="e">
        <f>(Links!Y85^2+'Off-Ramp'!Y85^2+'Off-Ramp'!Z85^2+'Off-Ramp'!AA85^2)/(Links!Y85+'Off-Ramp'!Y85+'Off-Ramp'!Z85+'Off-Ramp'!AA85)</f>
        <v>#DIV/0!</v>
      </c>
      <c r="BU85" s="60" t="e">
        <f>(Links!W85^2+'Off-Ramp'!P85^2)/(Links!W85+'Off-Ramp'!P85)</f>
        <v>#DIV/0!</v>
      </c>
      <c r="BV85" s="60" t="e">
        <f>(Links!Y85^2+'Off-Ramp'!Q85^2)/(Links!Y85+'Off-Ramp'!Q85)</f>
        <v>#DIV/0!</v>
      </c>
      <c r="BW85" s="60" t="e">
        <f>(Links!Z85^2+'Off-Ramp'!R85^2)/(Links!Z85+'Off-Ramp'!R85)</f>
        <v>#DIV/0!</v>
      </c>
      <c r="BX85" s="60" t="e">
        <f>(Links!AA85+'Off-Ramp'!S85)/(Links!AA85^2+'Off-Ramp'!S85^2)</f>
        <v>#DIV/0!</v>
      </c>
      <c r="BY85" s="60" t="e">
        <f>(Links!AB85^2+'Off-Ramp'!T85^2)/(Links!AB85+'Off-Ramp'!T85)</f>
        <v>#DIV/0!</v>
      </c>
      <c r="BZ85" s="60" t="e">
        <f>Links!AC85</f>
        <v>#DIV/0!</v>
      </c>
      <c r="CA85" s="60" t="e">
        <f>(Links!AD85^2+'Off-Ramp'!U85^2)/(Links!AD85+'Off-Ramp'!U85)</f>
        <v>#DIV/0!</v>
      </c>
    </row>
    <row r="86" spans="1:79" x14ac:dyDescent="0.15">
      <c r="A86" s="58">
        <v>84</v>
      </c>
      <c r="B86" s="59" t="e">
        <f t="shared" si="31"/>
        <v>#DIV/0!</v>
      </c>
      <c r="C86" s="59" t="e">
        <f t="shared" si="32"/>
        <v>#DIV/0!</v>
      </c>
      <c r="D86" s="59" t="e">
        <f t="shared" si="33"/>
        <v>#DIV/0!</v>
      </c>
      <c r="E86" s="59" t="e">
        <f t="shared" si="34"/>
        <v>#DIV/0!</v>
      </c>
      <c r="F86" s="59" t="e">
        <f t="shared" si="35"/>
        <v>#DIV/0!</v>
      </c>
      <c r="G86" s="59" t="e">
        <f t="shared" si="36"/>
        <v>#DIV/0!</v>
      </c>
      <c r="H86" s="59" t="e">
        <f t="shared" si="37"/>
        <v>#DIV/0!</v>
      </c>
      <c r="I86" s="59" t="e">
        <f t="shared" si="38"/>
        <v>#DIV/0!</v>
      </c>
      <c r="J86" s="59" t="e">
        <f t="shared" si="39"/>
        <v>#DIV/0!</v>
      </c>
      <c r="K86" s="59" t="e">
        <f t="shared" si="40"/>
        <v>#DIV/0!</v>
      </c>
      <c r="L86" s="59" t="e">
        <f t="shared" si="41"/>
        <v>#DIV/0!</v>
      </c>
      <c r="M86" s="59" t="e">
        <f t="shared" si="42"/>
        <v>#DIV/0!</v>
      </c>
      <c r="N86" s="59" t="e">
        <f t="shared" si="43"/>
        <v>#DIV/0!</v>
      </c>
      <c r="O86" s="60" t="e">
        <f>Links!B86</f>
        <v>#DIV/0!</v>
      </c>
      <c r="P86" s="60" t="e">
        <f>Links!C86+'On-Ramps'!AC86</f>
        <v>#DIV/0!</v>
      </c>
      <c r="Q86" s="60" t="e">
        <f>Links!D86</f>
        <v>#DIV/0!</v>
      </c>
      <c r="R86" s="60" t="e">
        <f>Links!E86+'On-Ramps'!AD86</f>
        <v>#DIV/0!</v>
      </c>
      <c r="S86" s="60" t="e">
        <f>Links!F86+'On-Ramps'!AE86</f>
        <v>#DIV/0!</v>
      </c>
      <c r="T86" s="60" t="e">
        <f>Links!G86+'On-Ramps'!AF86</f>
        <v>#DIV/0!</v>
      </c>
      <c r="U86" s="60" t="e">
        <f>Links!H86+'On-Ramps'!AG86</f>
        <v>#DIV/0!</v>
      </c>
      <c r="V86" s="60" t="e">
        <f>Links!J86+'On-Ramps'!AH86</f>
        <v>#DIV/0!</v>
      </c>
      <c r="W86" s="60" t="e">
        <f>Links!K86+'On-Ramps'!AI86</f>
        <v>#DIV/0!</v>
      </c>
      <c r="X86" s="60" t="e">
        <f>Links!L86+'On-Ramps'!AJ86</f>
        <v>#DIV/0!</v>
      </c>
      <c r="Y86" s="60" t="e">
        <f>Links!M86</f>
        <v>#DIV/0!</v>
      </c>
      <c r="Z86" s="60" t="e">
        <f>Links!N86+'On-Ramps'!AK86</f>
        <v>#DIV/0!</v>
      </c>
      <c r="AA86" s="60" t="e">
        <f>Links!O86</f>
        <v>#DIV/0!</v>
      </c>
      <c r="AB86" s="59" t="e">
        <f t="shared" si="44"/>
        <v>#DIV/0!</v>
      </c>
      <c r="AC86" s="65"/>
      <c r="AD86" s="59" t="e">
        <f t="shared" si="45"/>
        <v>#DIV/0!</v>
      </c>
      <c r="AE86" s="65"/>
      <c r="AF86" s="59" t="e">
        <f t="shared" si="46"/>
        <v>#DIV/0!</v>
      </c>
      <c r="AG86" s="59" t="e">
        <f t="shared" si="47"/>
        <v>#DIV/0!</v>
      </c>
      <c r="AH86" s="59" t="e">
        <f t="shared" si="48"/>
        <v>#DIV/0!</v>
      </c>
      <c r="AI86" s="59" t="e">
        <f t="shared" si="49"/>
        <v>#DIV/0!</v>
      </c>
      <c r="AJ86" s="59" t="e">
        <f t="shared" si="50"/>
        <v>#DIV/0!</v>
      </c>
      <c r="AK86" s="59" t="e">
        <f t="shared" si="51"/>
        <v>#DIV/0!</v>
      </c>
      <c r="AL86" s="59" t="e">
        <f t="shared" si="52"/>
        <v>#DIV/0!</v>
      </c>
      <c r="AM86" s="65"/>
      <c r="AN86" s="59" t="e">
        <f t="shared" si="54"/>
        <v>#DIV/0!</v>
      </c>
      <c r="AO86" s="60" t="e">
        <f t="shared" si="30"/>
        <v>#DIV/0!</v>
      </c>
      <c r="AP86" s="65"/>
      <c r="AQ86" s="60" t="e">
        <f t="shared" si="53"/>
        <v>#DIV/0!</v>
      </c>
      <c r="AR86" s="65"/>
      <c r="AS86" s="60" t="e">
        <f t="shared" si="53"/>
        <v>#DIV/0!</v>
      </c>
      <c r="AT86" s="60" t="e">
        <f t="shared" si="53"/>
        <v>#DIV/0!</v>
      </c>
      <c r="AU86" s="60" t="e">
        <f t="shared" si="53"/>
        <v>#DIV/0!</v>
      </c>
      <c r="AV86" s="60" t="e">
        <f t="shared" si="53"/>
        <v>#DIV/0!</v>
      </c>
      <c r="AW86" s="60" t="e">
        <f t="shared" si="53"/>
        <v>#DIV/0!</v>
      </c>
      <c r="AX86" s="60" t="e">
        <f t="shared" si="53"/>
        <v>#DIV/0!</v>
      </c>
      <c r="AY86" s="60" t="e">
        <f t="shared" si="53"/>
        <v>#DIV/0!</v>
      </c>
      <c r="AZ86" s="65"/>
      <c r="BA86" s="60" t="e">
        <f t="shared" si="53"/>
        <v>#DIV/0!</v>
      </c>
      <c r="BB86" s="59" t="e">
        <f>Links!AF86</f>
        <v>#DIV/0!</v>
      </c>
      <c r="BC86" s="59" t="e">
        <f>(Links!AG86*Links!C86+'On-Ramps'!AC86*'On-Ramps'!CE86)/('On-Ramps'!AC86+Links!C86)</f>
        <v>#DIV/0!</v>
      </c>
      <c r="BD86" s="59" t="e">
        <f>Links!AH86</f>
        <v>#DIV/0!</v>
      </c>
      <c r="BE86" s="59" t="e">
        <f>(Links!AI86*Links!E86+'On-Ramps'!AD86*'On-Ramps'!CF85)/('On-Ramps'!AD86+Links!E86)</f>
        <v>#DIV/0!</v>
      </c>
      <c r="BF86" s="59" t="e">
        <f>(Links!F86*Links!AJ86+'On-Ramps'!AE86*'On-Ramps'!CG86)/('On-Ramps'!AE86+Links!F86)</f>
        <v>#DIV/0!</v>
      </c>
      <c r="BG86" s="59" t="e">
        <f>(Links!G86*Links!AK86+'On-Ramps'!AF86*'On-Ramps'!CH86)/('On-Ramps'!AF86+Links!G86)</f>
        <v>#DIV/0!</v>
      </c>
      <c r="BH86" s="59" t="e">
        <f>(Links!H86*Links!AL86+'On-Ramps'!AG86*'On-Ramps'!CI86)/('On-Ramps'!AG86+Links!H86)</f>
        <v>#DIV/0!</v>
      </c>
      <c r="BI86" s="59" t="e">
        <f>(Links!J86*Links!AN86+'On-Ramps'!AH86*'On-Ramps'!CJ86)/('On-Ramps'!AH86+Links!J86)</f>
        <v>#DIV/0!</v>
      </c>
      <c r="BJ86" s="59" t="e">
        <f>(Links!K86*Links!AO86+'On-Ramps'!AI86*'On-Ramps'!CK86)/('On-Ramps'!AI86+Links!K86)</f>
        <v>#DIV/0!</v>
      </c>
      <c r="BK86" s="59" t="e">
        <f>(Links!L86*Links!AP86+'On-Ramps'!AJ86*'On-Ramps'!CL86)/(Links!L86+'On-Ramps'!AJ86)</f>
        <v>#DIV/0!</v>
      </c>
      <c r="BL86" s="59" t="e">
        <f>Links!AQ86</f>
        <v>#DIV/0!</v>
      </c>
      <c r="BM86" s="59" t="e">
        <f>(Links!N86*Links!AR86+'On-Ramps'!AL86*'On-Ramps'!CM86)/(Links!N86+'On-Ramps'!AL86)</f>
        <v>#DIV/0!</v>
      </c>
      <c r="BN86" s="59" t="e">
        <f>Links!AS86</f>
        <v>#DIV/0!</v>
      </c>
      <c r="BO86" s="60" t="e">
        <f>(Links!R86^2+'Off-Ramp'!L86^2)/(Links!R86+'Off-Ramp'!L86)</f>
        <v>#DIV/0!</v>
      </c>
      <c r="BP86" s="60" t="e">
        <f>Links!S86</f>
        <v>#DIV/0!</v>
      </c>
      <c r="BQ86" s="60" t="e">
        <f>(Links!S86^2+'Off-Ramp'!C86^2)/(Links!S86+'Off-Ramp'!C86)</f>
        <v>#DIV/0!</v>
      </c>
      <c r="BR86" s="60" t="e">
        <f>Links!T86</f>
        <v>#DIV/0!</v>
      </c>
      <c r="BS86" s="60" t="e">
        <f>(Links!X86^2+'Off-Ramp'!V86^2+'Off-Ramp'!W86^2+'Off-Ramp'!X86^2)/(Links!X86+'Off-Ramp'!V86+'Off-Ramp'!W86+'Off-Ramp'!X86)</f>
        <v>#DIV/0!</v>
      </c>
      <c r="BT86" s="60" t="e">
        <f>(Links!Y86^2+'Off-Ramp'!Y86^2+'Off-Ramp'!Z86^2+'Off-Ramp'!AA86^2)/(Links!Y86+'Off-Ramp'!Y86+'Off-Ramp'!Z86+'Off-Ramp'!AA86)</f>
        <v>#DIV/0!</v>
      </c>
      <c r="BU86" s="60" t="e">
        <f>(Links!W86^2+'Off-Ramp'!P86^2)/(Links!W86+'Off-Ramp'!P86)</f>
        <v>#DIV/0!</v>
      </c>
      <c r="BV86" s="60" t="e">
        <f>(Links!Y86^2+'Off-Ramp'!Q86^2)/(Links!Y86+'Off-Ramp'!Q86)</f>
        <v>#DIV/0!</v>
      </c>
      <c r="BW86" s="60" t="e">
        <f>(Links!Z86^2+'Off-Ramp'!R86^2)/(Links!Z86+'Off-Ramp'!R86)</f>
        <v>#DIV/0!</v>
      </c>
      <c r="BX86" s="60" t="e">
        <f>(Links!AA86+'Off-Ramp'!S86)/(Links!AA86^2+'Off-Ramp'!S86^2)</f>
        <v>#DIV/0!</v>
      </c>
      <c r="BY86" s="60" t="e">
        <f>(Links!AB86^2+'Off-Ramp'!T86^2)/(Links!AB86+'Off-Ramp'!T86)</f>
        <v>#DIV/0!</v>
      </c>
      <c r="BZ86" s="60" t="e">
        <f>Links!AC86</f>
        <v>#DIV/0!</v>
      </c>
      <c r="CA86" s="60" t="e">
        <f>(Links!AD86^2+'Off-Ramp'!U86^2)/(Links!AD86+'Off-Ramp'!U86)</f>
        <v>#DIV/0!</v>
      </c>
    </row>
    <row r="87" spans="1:79" x14ac:dyDescent="0.15">
      <c r="A87" s="58">
        <v>85</v>
      </c>
      <c r="B87" s="59" t="e">
        <f t="shared" si="31"/>
        <v>#DIV/0!</v>
      </c>
      <c r="C87" s="59" t="e">
        <f t="shared" si="32"/>
        <v>#DIV/0!</v>
      </c>
      <c r="D87" s="59" t="e">
        <f t="shared" si="33"/>
        <v>#DIV/0!</v>
      </c>
      <c r="E87" s="59" t="e">
        <f t="shared" si="34"/>
        <v>#DIV/0!</v>
      </c>
      <c r="F87" s="59" t="e">
        <f t="shared" si="35"/>
        <v>#DIV/0!</v>
      </c>
      <c r="G87" s="59" t="e">
        <f t="shared" si="36"/>
        <v>#DIV/0!</v>
      </c>
      <c r="H87" s="59" t="e">
        <f t="shared" si="37"/>
        <v>#DIV/0!</v>
      </c>
      <c r="I87" s="59" t="e">
        <f t="shared" si="38"/>
        <v>#DIV/0!</v>
      </c>
      <c r="J87" s="59" t="e">
        <f t="shared" si="39"/>
        <v>#DIV/0!</v>
      </c>
      <c r="K87" s="59" t="e">
        <f t="shared" si="40"/>
        <v>#DIV/0!</v>
      </c>
      <c r="L87" s="59" t="e">
        <f t="shared" si="41"/>
        <v>#DIV/0!</v>
      </c>
      <c r="M87" s="59" t="e">
        <f t="shared" si="42"/>
        <v>#DIV/0!</v>
      </c>
      <c r="N87" s="59" t="e">
        <f t="shared" si="43"/>
        <v>#DIV/0!</v>
      </c>
      <c r="O87" s="60" t="e">
        <f>Links!B87</f>
        <v>#DIV/0!</v>
      </c>
      <c r="P87" s="60" t="e">
        <f>Links!C87+'On-Ramps'!AC87</f>
        <v>#DIV/0!</v>
      </c>
      <c r="Q87" s="60" t="e">
        <f>Links!D87</f>
        <v>#DIV/0!</v>
      </c>
      <c r="R87" s="60" t="e">
        <f>Links!E87+'On-Ramps'!AD87</f>
        <v>#DIV/0!</v>
      </c>
      <c r="S87" s="60" t="e">
        <f>Links!F87+'On-Ramps'!AE87</f>
        <v>#DIV/0!</v>
      </c>
      <c r="T87" s="60" t="e">
        <f>Links!G87+'On-Ramps'!AF87</f>
        <v>#DIV/0!</v>
      </c>
      <c r="U87" s="60" t="e">
        <f>Links!H87+'On-Ramps'!AG87</f>
        <v>#DIV/0!</v>
      </c>
      <c r="V87" s="60" t="e">
        <f>Links!J87+'On-Ramps'!AH87</f>
        <v>#DIV/0!</v>
      </c>
      <c r="W87" s="60" t="e">
        <f>Links!K87+'On-Ramps'!AI87</f>
        <v>#DIV/0!</v>
      </c>
      <c r="X87" s="60" t="e">
        <f>Links!L87+'On-Ramps'!AJ87</f>
        <v>#DIV/0!</v>
      </c>
      <c r="Y87" s="60" t="e">
        <f>Links!M87</f>
        <v>#DIV/0!</v>
      </c>
      <c r="Z87" s="60" t="e">
        <f>Links!N87+'On-Ramps'!AK87</f>
        <v>#DIV/0!</v>
      </c>
      <c r="AA87" s="60" t="e">
        <f>Links!O87</f>
        <v>#DIV/0!</v>
      </c>
      <c r="AB87" s="59" t="e">
        <f t="shared" si="44"/>
        <v>#DIV/0!</v>
      </c>
      <c r="AC87" s="65"/>
      <c r="AD87" s="59" t="e">
        <f t="shared" si="45"/>
        <v>#DIV/0!</v>
      </c>
      <c r="AE87" s="65"/>
      <c r="AF87" s="59" t="e">
        <f t="shared" si="46"/>
        <v>#DIV/0!</v>
      </c>
      <c r="AG87" s="59" t="e">
        <f t="shared" si="47"/>
        <v>#DIV/0!</v>
      </c>
      <c r="AH87" s="59" t="e">
        <f t="shared" si="48"/>
        <v>#DIV/0!</v>
      </c>
      <c r="AI87" s="59" t="e">
        <f t="shared" si="49"/>
        <v>#DIV/0!</v>
      </c>
      <c r="AJ87" s="59" t="e">
        <f t="shared" si="50"/>
        <v>#DIV/0!</v>
      </c>
      <c r="AK87" s="59" t="e">
        <f t="shared" si="51"/>
        <v>#DIV/0!</v>
      </c>
      <c r="AL87" s="59" t="e">
        <f t="shared" si="52"/>
        <v>#DIV/0!</v>
      </c>
      <c r="AM87" s="65"/>
      <c r="AN87" s="59" t="e">
        <f t="shared" si="54"/>
        <v>#DIV/0!</v>
      </c>
      <c r="AO87" s="60" t="e">
        <f t="shared" si="30"/>
        <v>#DIV/0!</v>
      </c>
      <c r="AP87" s="65"/>
      <c r="AQ87" s="60" t="e">
        <f t="shared" si="53"/>
        <v>#DIV/0!</v>
      </c>
      <c r="AR87" s="65"/>
      <c r="AS87" s="60" t="e">
        <f t="shared" si="53"/>
        <v>#DIV/0!</v>
      </c>
      <c r="AT87" s="60" t="e">
        <f t="shared" si="53"/>
        <v>#DIV/0!</v>
      </c>
      <c r="AU87" s="60" t="e">
        <f t="shared" si="53"/>
        <v>#DIV/0!</v>
      </c>
      <c r="AV87" s="60" t="e">
        <f t="shared" si="53"/>
        <v>#DIV/0!</v>
      </c>
      <c r="AW87" s="60" t="e">
        <f t="shared" si="53"/>
        <v>#DIV/0!</v>
      </c>
      <c r="AX87" s="60" t="e">
        <f t="shared" si="53"/>
        <v>#DIV/0!</v>
      </c>
      <c r="AY87" s="60" t="e">
        <f t="shared" si="53"/>
        <v>#DIV/0!</v>
      </c>
      <c r="AZ87" s="65"/>
      <c r="BA87" s="60" t="e">
        <f t="shared" si="53"/>
        <v>#DIV/0!</v>
      </c>
      <c r="BB87" s="59" t="e">
        <f>Links!AF87</f>
        <v>#DIV/0!</v>
      </c>
      <c r="BC87" s="59" t="e">
        <f>(Links!AG87*Links!C87+'On-Ramps'!AC87*'On-Ramps'!CE87)/('On-Ramps'!AC87+Links!C87)</f>
        <v>#DIV/0!</v>
      </c>
      <c r="BD87" s="59" t="e">
        <f>Links!AH87</f>
        <v>#DIV/0!</v>
      </c>
      <c r="BE87" s="59" t="e">
        <f>(Links!AI87*Links!E87+'On-Ramps'!AD87*'On-Ramps'!CF86)/('On-Ramps'!AD87+Links!E87)</f>
        <v>#DIV/0!</v>
      </c>
      <c r="BF87" s="59" t="e">
        <f>(Links!F87*Links!AJ87+'On-Ramps'!AE87*'On-Ramps'!CG87)/('On-Ramps'!AE87+Links!F87)</f>
        <v>#DIV/0!</v>
      </c>
      <c r="BG87" s="59" t="e">
        <f>(Links!G87*Links!AK87+'On-Ramps'!AF87*'On-Ramps'!CH87)/('On-Ramps'!AF87+Links!G87)</f>
        <v>#DIV/0!</v>
      </c>
      <c r="BH87" s="59" t="e">
        <f>(Links!H87*Links!AL87+'On-Ramps'!AG87*'On-Ramps'!CI87)/('On-Ramps'!AG87+Links!H87)</f>
        <v>#DIV/0!</v>
      </c>
      <c r="BI87" s="59" t="e">
        <f>(Links!J87*Links!AN87+'On-Ramps'!AH87*'On-Ramps'!CJ87)/('On-Ramps'!AH87+Links!J87)</f>
        <v>#DIV/0!</v>
      </c>
      <c r="BJ87" s="59" t="e">
        <f>(Links!K87*Links!AO87+'On-Ramps'!AI87*'On-Ramps'!CK87)/('On-Ramps'!AI87+Links!K87)</f>
        <v>#DIV/0!</v>
      </c>
      <c r="BK87" s="59" t="e">
        <f>(Links!L87*Links!AP87+'On-Ramps'!AJ87*'On-Ramps'!CL87)/(Links!L87+'On-Ramps'!AJ87)</f>
        <v>#DIV/0!</v>
      </c>
      <c r="BL87" s="59" t="e">
        <f>Links!AQ87</f>
        <v>#DIV/0!</v>
      </c>
      <c r="BM87" s="59" t="e">
        <f>(Links!N87*Links!AR87+'On-Ramps'!AL87*'On-Ramps'!CM87)/(Links!N87+'On-Ramps'!AL87)</f>
        <v>#DIV/0!</v>
      </c>
      <c r="BN87" s="59" t="e">
        <f>Links!AS87</f>
        <v>#DIV/0!</v>
      </c>
      <c r="BO87" s="60" t="e">
        <f>(Links!R87^2+'Off-Ramp'!L87^2)/(Links!R87+'Off-Ramp'!L87)</f>
        <v>#DIV/0!</v>
      </c>
      <c r="BP87" s="60" t="e">
        <f>Links!S87</f>
        <v>#DIV/0!</v>
      </c>
      <c r="BQ87" s="60" t="e">
        <f>(Links!S87^2+'Off-Ramp'!C87^2)/(Links!S87+'Off-Ramp'!C87)</f>
        <v>#DIV/0!</v>
      </c>
      <c r="BR87" s="60" t="e">
        <f>Links!T87</f>
        <v>#DIV/0!</v>
      </c>
      <c r="BS87" s="60" t="e">
        <f>(Links!X87^2+'Off-Ramp'!V87^2+'Off-Ramp'!W87^2+'Off-Ramp'!X87^2)/(Links!X87+'Off-Ramp'!V87+'Off-Ramp'!W87+'Off-Ramp'!X87)</f>
        <v>#DIV/0!</v>
      </c>
      <c r="BT87" s="60" t="e">
        <f>(Links!Y87^2+'Off-Ramp'!Y87^2+'Off-Ramp'!Z87^2+'Off-Ramp'!AA87^2)/(Links!Y87+'Off-Ramp'!Y87+'Off-Ramp'!Z87+'Off-Ramp'!AA87)</f>
        <v>#DIV/0!</v>
      </c>
      <c r="BU87" s="60" t="e">
        <f>(Links!W87^2+'Off-Ramp'!P87^2)/(Links!W87+'Off-Ramp'!P87)</f>
        <v>#DIV/0!</v>
      </c>
      <c r="BV87" s="60" t="e">
        <f>(Links!Y87^2+'Off-Ramp'!Q87^2)/(Links!Y87+'Off-Ramp'!Q87)</f>
        <v>#DIV/0!</v>
      </c>
      <c r="BW87" s="60" t="e">
        <f>(Links!Z87^2+'Off-Ramp'!R87^2)/(Links!Z87+'Off-Ramp'!R87)</f>
        <v>#DIV/0!</v>
      </c>
      <c r="BX87" s="60" t="e">
        <f>(Links!AA87+'Off-Ramp'!S87)/(Links!AA87^2+'Off-Ramp'!S87^2)</f>
        <v>#DIV/0!</v>
      </c>
      <c r="BY87" s="60" t="e">
        <f>(Links!AB87^2+'Off-Ramp'!T87^2)/(Links!AB87+'Off-Ramp'!T87)</f>
        <v>#DIV/0!</v>
      </c>
      <c r="BZ87" s="60" t="e">
        <f>Links!AC87</f>
        <v>#DIV/0!</v>
      </c>
      <c r="CA87" s="60" t="e">
        <f>(Links!AD87^2+'Off-Ramp'!U87^2)/(Links!AD87+'Off-Ramp'!U87)</f>
        <v>#DIV/0!</v>
      </c>
    </row>
    <row r="88" spans="1:79" x14ac:dyDescent="0.15">
      <c r="A88" s="58">
        <v>86</v>
      </c>
      <c r="B88" s="59" t="e">
        <f t="shared" si="31"/>
        <v>#DIV/0!</v>
      </c>
      <c r="C88" s="59" t="e">
        <f t="shared" si="32"/>
        <v>#DIV/0!</v>
      </c>
      <c r="D88" s="59" t="e">
        <f t="shared" si="33"/>
        <v>#DIV/0!</v>
      </c>
      <c r="E88" s="59" t="e">
        <f t="shared" si="34"/>
        <v>#DIV/0!</v>
      </c>
      <c r="F88" s="59" t="e">
        <f t="shared" si="35"/>
        <v>#DIV/0!</v>
      </c>
      <c r="G88" s="59" t="e">
        <f t="shared" si="36"/>
        <v>#DIV/0!</v>
      </c>
      <c r="H88" s="59" t="e">
        <f t="shared" si="37"/>
        <v>#DIV/0!</v>
      </c>
      <c r="I88" s="59" t="e">
        <f t="shared" si="38"/>
        <v>#DIV/0!</v>
      </c>
      <c r="J88" s="59" t="e">
        <f t="shared" si="39"/>
        <v>#DIV/0!</v>
      </c>
      <c r="K88" s="59" t="e">
        <f t="shared" si="40"/>
        <v>#DIV/0!</v>
      </c>
      <c r="L88" s="59" t="e">
        <f t="shared" si="41"/>
        <v>#DIV/0!</v>
      </c>
      <c r="M88" s="59" t="e">
        <f t="shared" si="42"/>
        <v>#DIV/0!</v>
      </c>
      <c r="N88" s="59" t="e">
        <f t="shared" si="43"/>
        <v>#DIV/0!</v>
      </c>
      <c r="O88" s="60" t="e">
        <f>Links!B88</f>
        <v>#DIV/0!</v>
      </c>
      <c r="P88" s="60" t="e">
        <f>Links!C88+'On-Ramps'!AC88</f>
        <v>#DIV/0!</v>
      </c>
      <c r="Q88" s="60" t="e">
        <f>Links!D88</f>
        <v>#DIV/0!</v>
      </c>
      <c r="R88" s="60" t="e">
        <f>Links!E88+'On-Ramps'!AD88</f>
        <v>#DIV/0!</v>
      </c>
      <c r="S88" s="60" t="e">
        <f>Links!F88+'On-Ramps'!AE88</f>
        <v>#DIV/0!</v>
      </c>
      <c r="T88" s="60" t="e">
        <f>Links!G88+'On-Ramps'!AF88</f>
        <v>#DIV/0!</v>
      </c>
      <c r="U88" s="60" t="e">
        <f>Links!H88+'On-Ramps'!AG88</f>
        <v>#DIV/0!</v>
      </c>
      <c r="V88" s="60" t="e">
        <f>Links!J88+'On-Ramps'!AH88</f>
        <v>#DIV/0!</v>
      </c>
      <c r="W88" s="60" t="e">
        <f>Links!K88+'On-Ramps'!AI88</f>
        <v>#DIV/0!</v>
      </c>
      <c r="X88" s="60" t="e">
        <f>Links!L88+'On-Ramps'!AJ88</f>
        <v>#DIV/0!</v>
      </c>
      <c r="Y88" s="60" t="e">
        <f>Links!M88</f>
        <v>#DIV/0!</v>
      </c>
      <c r="Z88" s="60" t="e">
        <f>Links!N88+'On-Ramps'!AK88</f>
        <v>#DIV/0!</v>
      </c>
      <c r="AA88" s="60" t="e">
        <f>Links!O88</f>
        <v>#DIV/0!</v>
      </c>
      <c r="AB88" s="59" t="e">
        <f t="shared" si="44"/>
        <v>#DIV/0!</v>
      </c>
      <c r="AC88" s="65"/>
      <c r="AD88" s="59" t="e">
        <f t="shared" si="45"/>
        <v>#DIV/0!</v>
      </c>
      <c r="AE88" s="65"/>
      <c r="AF88" s="59" t="e">
        <f t="shared" si="46"/>
        <v>#DIV/0!</v>
      </c>
      <c r="AG88" s="59" t="e">
        <f t="shared" si="47"/>
        <v>#DIV/0!</v>
      </c>
      <c r="AH88" s="59" t="e">
        <f t="shared" si="48"/>
        <v>#DIV/0!</v>
      </c>
      <c r="AI88" s="59" t="e">
        <f t="shared" si="49"/>
        <v>#DIV/0!</v>
      </c>
      <c r="AJ88" s="59" t="e">
        <f t="shared" si="50"/>
        <v>#DIV/0!</v>
      </c>
      <c r="AK88" s="59" t="e">
        <f t="shared" si="51"/>
        <v>#DIV/0!</v>
      </c>
      <c r="AL88" s="59" t="e">
        <f t="shared" si="52"/>
        <v>#DIV/0!</v>
      </c>
      <c r="AM88" s="65"/>
      <c r="AN88" s="59" t="e">
        <f t="shared" si="54"/>
        <v>#DIV/0!</v>
      </c>
      <c r="AO88" s="60" t="e">
        <f t="shared" si="30"/>
        <v>#DIV/0!</v>
      </c>
      <c r="AP88" s="65"/>
      <c r="AQ88" s="60" t="e">
        <f t="shared" si="53"/>
        <v>#DIV/0!</v>
      </c>
      <c r="AR88" s="65"/>
      <c r="AS88" s="60" t="e">
        <f t="shared" si="53"/>
        <v>#DIV/0!</v>
      </c>
      <c r="AT88" s="60" t="e">
        <f t="shared" si="53"/>
        <v>#DIV/0!</v>
      </c>
      <c r="AU88" s="60" t="e">
        <f t="shared" si="53"/>
        <v>#DIV/0!</v>
      </c>
      <c r="AV88" s="60" t="e">
        <f t="shared" si="53"/>
        <v>#DIV/0!</v>
      </c>
      <c r="AW88" s="60" t="e">
        <f t="shared" si="53"/>
        <v>#DIV/0!</v>
      </c>
      <c r="AX88" s="60" t="e">
        <f t="shared" si="53"/>
        <v>#DIV/0!</v>
      </c>
      <c r="AY88" s="60" t="e">
        <f t="shared" si="53"/>
        <v>#DIV/0!</v>
      </c>
      <c r="AZ88" s="65"/>
      <c r="BA88" s="60" t="e">
        <f t="shared" si="53"/>
        <v>#DIV/0!</v>
      </c>
      <c r="BB88" s="59" t="e">
        <f>Links!AF88</f>
        <v>#DIV/0!</v>
      </c>
      <c r="BC88" s="59" t="e">
        <f>(Links!AG88*Links!C88+'On-Ramps'!AC88*'On-Ramps'!CE88)/('On-Ramps'!AC88+Links!C88)</f>
        <v>#DIV/0!</v>
      </c>
      <c r="BD88" s="59" t="e">
        <f>Links!AH88</f>
        <v>#DIV/0!</v>
      </c>
      <c r="BE88" s="59" t="e">
        <f>(Links!AI88*Links!E88+'On-Ramps'!AD88*'On-Ramps'!CF87)/('On-Ramps'!AD88+Links!E88)</f>
        <v>#DIV/0!</v>
      </c>
      <c r="BF88" s="59" t="e">
        <f>(Links!F88*Links!AJ88+'On-Ramps'!AE88*'On-Ramps'!CG88)/('On-Ramps'!AE88+Links!F88)</f>
        <v>#DIV/0!</v>
      </c>
      <c r="BG88" s="59" t="e">
        <f>(Links!G88*Links!AK88+'On-Ramps'!AF88*'On-Ramps'!CH88)/('On-Ramps'!AF88+Links!G88)</f>
        <v>#DIV/0!</v>
      </c>
      <c r="BH88" s="59" t="e">
        <f>(Links!H88*Links!AL88+'On-Ramps'!AG88*'On-Ramps'!CI88)/('On-Ramps'!AG88+Links!H88)</f>
        <v>#DIV/0!</v>
      </c>
      <c r="BI88" s="59" t="e">
        <f>(Links!J88*Links!AN88+'On-Ramps'!AH88*'On-Ramps'!CJ88)/('On-Ramps'!AH88+Links!J88)</f>
        <v>#DIV/0!</v>
      </c>
      <c r="BJ88" s="59" t="e">
        <f>(Links!K88*Links!AO88+'On-Ramps'!AI88*'On-Ramps'!CK88)/('On-Ramps'!AI88+Links!K88)</f>
        <v>#DIV/0!</v>
      </c>
      <c r="BK88" s="59" t="e">
        <f>(Links!L88*Links!AP88+'On-Ramps'!AJ88*'On-Ramps'!CL88)/(Links!L88+'On-Ramps'!AJ88)</f>
        <v>#DIV/0!</v>
      </c>
      <c r="BL88" s="59" t="e">
        <f>Links!AQ88</f>
        <v>#DIV/0!</v>
      </c>
      <c r="BM88" s="59" t="e">
        <f>(Links!N88*Links!AR88+'On-Ramps'!AL88*'On-Ramps'!CM88)/(Links!N88+'On-Ramps'!AL88)</f>
        <v>#DIV/0!</v>
      </c>
      <c r="BN88" s="59" t="e">
        <f>Links!AS88</f>
        <v>#DIV/0!</v>
      </c>
      <c r="BO88" s="60" t="e">
        <f>(Links!R88^2+'Off-Ramp'!L88^2)/(Links!R88+'Off-Ramp'!L88)</f>
        <v>#DIV/0!</v>
      </c>
      <c r="BP88" s="60" t="e">
        <f>Links!S88</f>
        <v>#DIV/0!</v>
      </c>
      <c r="BQ88" s="60" t="e">
        <f>(Links!S88^2+'Off-Ramp'!C88^2)/(Links!S88+'Off-Ramp'!C88)</f>
        <v>#DIV/0!</v>
      </c>
      <c r="BR88" s="60" t="e">
        <f>Links!T88</f>
        <v>#DIV/0!</v>
      </c>
      <c r="BS88" s="60" t="e">
        <f>(Links!X88^2+'Off-Ramp'!V88^2+'Off-Ramp'!W88^2+'Off-Ramp'!X88^2)/(Links!X88+'Off-Ramp'!V88+'Off-Ramp'!W88+'Off-Ramp'!X88)</f>
        <v>#DIV/0!</v>
      </c>
      <c r="BT88" s="60" t="e">
        <f>(Links!Y88^2+'Off-Ramp'!Y88^2+'Off-Ramp'!Z88^2+'Off-Ramp'!AA88^2)/(Links!Y88+'Off-Ramp'!Y88+'Off-Ramp'!Z88+'Off-Ramp'!AA88)</f>
        <v>#DIV/0!</v>
      </c>
      <c r="BU88" s="60" t="e">
        <f>(Links!W88^2+'Off-Ramp'!P88^2)/(Links!W88+'Off-Ramp'!P88)</f>
        <v>#DIV/0!</v>
      </c>
      <c r="BV88" s="60" t="e">
        <f>(Links!Y88^2+'Off-Ramp'!Q88^2)/(Links!Y88+'Off-Ramp'!Q88)</f>
        <v>#DIV/0!</v>
      </c>
      <c r="BW88" s="60" t="e">
        <f>(Links!Z88^2+'Off-Ramp'!R88^2)/(Links!Z88+'Off-Ramp'!R88)</f>
        <v>#DIV/0!</v>
      </c>
      <c r="BX88" s="60" t="e">
        <f>(Links!AA88+'Off-Ramp'!S88)/(Links!AA88^2+'Off-Ramp'!S88^2)</f>
        <v>#DIV/0!</v>
      </c>
      <c r="BY88" s="60" t="e">
        <f>(Links!AB88^2+'Off-Ramp'!T88^2)/(Links!AB88+'Off-Ramp'!T88)</f>
        <v>#DIV/0!</v>
      </c>
      <c r="BZ88" s="60" t="e">
        <f>Links!AC88</f>
        <v>#DIV/0!</v>
      </c>
      <c r="CA88" s="60" t="e">
        <f>(Links!AD88^2+'Off-Ramp'!U88^2)/(Links!AD88+'Off-Ramp'!U88)</f>
        <v>#DIV/0!</v>
      </c>
    </row>
    <row r="89" spans="1:79" x14ac:dyDescent="0.15">
      <c r="A89" s="58">
        <v>87</v>
      </c>
      <c r="B89" s="59" t="e">
        <f t="shared" si="31"/>
        <v>#DIV/0!</v>
      </c>
      <c r="C89" s="59" t="e">
        <f t="shared" si="32"/>
        <v>#DIV/0!</v>
      </c>
      <c r="D89" s="59" t="e">
        <f t="shared" si="33"/>
        <v>#DIV/0!</v>
      </c>
      <c r="E89" s="59" t="e">
        <f t="shared" si="34"/>
        <v>#DIV/0!</v>
      </c>
      <c r="F89" s="59" t="e">
        <f t="shared" si="35"/>
        <v>#DIV/0!</v>
      </c>
      <c r="G89" s="59" t="e">
        <f t="shared" si="36"/>
        <v>#DIV/0!</v>
      </c>
      <c r="H89" s="59" t="e">
        <f t="shared" si="37"/>
        <v>#DIV/0!</v>
      </c>
      <c r="I89" s="59" t="e">
        <f t="shared" si="38"/>
        <v>#DIV/0!</v>
      </c>
      <c r="J89" s="59" t="e">
        <f t="shared" si="39"/>
        <v>#DIV/0!</v>
      </c>
      <c r="K89" s="59" t="e">
        <f t="shared" si="40"/>
        <v>#DIV/0!</v>
      </c>
      <c r="L89" s="59" t="e">
        <f t="shared" si="41"/>
        <v>#DIV/0!</v>
      </c>
      <c r="M89" s="59" t="e">
        <f t="shared" si="42"/>
        <v>#DIV/0!</v>
      </c>
      <c r="N89" s="59" t="e">
        <f t="shared" si="43"/>
        <v>#DIV/0!</v>
      </c>
      <c r="O89" s="60" t="e">
        <f>Links!B89</f>
        <v>#DIV/0!</v>
      </c>
      <c r="P89" s="60" t="e">
        <f>Links!C89+'On-Ramps'!AC89</f>
        <v>#DIV/0!</v>
      </c>
      <c r="Q89" s="60" t="e">
        <f>Links!D89</f>
        <v>#DIV/0!</v>
      </c>
      <c r="R89" s="60" t="e">
        <f>Links!E89+'On-Ramps'!AD89</f>
        <v>#DIV/0!</v>
      </c>
      <c r="S89" s="60" t="e">
        <f>Links!F89+'On-Ramps'!AE89</f>
        <v>#DIV/0!</v>
      </c>
      <c r="T89" s="60" t="e">
        <f>Links!G89+'On-Ramps'!AF89</f>
        <v>#DIV/0!</v>
      </c>
      <c r="U89" s="60" t="e">
        <f>Links!H89+'On-Ramps'!AG89</f>
        <v>#DIV/0!</v>
      </c>
      <c r="V89" s="60" t="e">
        <f>Links!J89+'On-Ramps'!AH89</f>
        <v>#DIV/0!</v>
      </c>
      <c r="W89" s="60" t="e">
        <f>Links!K89+'On-Ramps'!AI89</f>
        <v>#DIV/0!</v>
      </c>
      <c r="X89" s="60" t="e">
        <f>Links!L89+'On-Ramps'!AJ89</f>
        <v>#DIV/0!</v>
      </c>
      <c r="Y89" s="60" t="e">
        <f>Links!M89</f>
        <v>#DIV/0!</v>
      </c>
      <c r="Z89" s="60" t="e">
        <f>Links!N89+'On-Ramps'!AK89</f>
        <v>#DIV/0!</v>
      </c>
      <c r="AA89" s="60" t="e">
        <f>Links!O89</f>
        <v>#DIV/0!</v>
      </c>
      <c r="AB89" s="59" t="e">
        <f t="shared" si="44"/>
        <v>#DIV/0!</v>
      </c>
      <c r="AC89" s="65"/>
      <c r="AD89" s="59" t="e">
        <f t="shared" si="45"/>
        <v>#DIV/0!</v>
      </c>
      <c r="AE89" s="65"/>
      <c r="AF89" s="59" t="e">
        <f t="shared" si="46"/>
        <v>#DIV/0!</v>
      </c>
      <c r="AG89" s="59" t="e">
        <f t="shared" si="47"/>
        <v>#DIV/0!</v>
      </c>
      <c r="AH89" s="59" t="e">
        <f t="shared" si="48"/>
        <v>#DIV/0!</v>
      </c>
      <c r="AI89" s="59" t="e">
        <f t="shared" si="49"/>
        <v>#DIV/0!</v>
      </c>
      <c r="AJ89" s="59" t="e">
        <f t="shared" si="50"/>
        <v>#DIV/0!</v>
      </c>
      <c r="AK89" s="59" t="e">
        <f t="shared" si="51"/>
        <v>#DIV/0!</v>
      </c>
      <c r="AL89" s="59" t="e">
        <f t="shared" si="52"/>
        <v>#DIV/0!</v>
      </c>
      <c r="AM89" s="65"/>
      <c r="AN89" s="59" t="e">
        <f t="shared" si="54"/>
        <v>#DIV/0!</v>
      </c>
      <c r="AO89" s="60" t="e">
        <f t="shared" si="30"/>
        <v>#DIV/0!</v>
      </c>
      <c r="AP89" s="65"/>
      <c r="AQ89" s="60" t="e">
        <f t="shared" si="53"/>
        <v>#DIV/0!</v>
      </c>
      <c r="AR89" s="65"/>
      <c r="AS89" s="60" t="e">
        <f t="shared" si="53"/>
        <v>#DIV/0!</v>
      </c>
      <c r="AT89" s="60" t="e">
        <f t="shared" si="53"/>
        <v>#DIV/0!</v>
      </c>
      <c r="AU89" s="60" t="e">
        <f t="shared" si="53"/>
        <v>#DIV/0!</v>
      </c>
      <c r="AV89" s="60" t="e">
        <f t="shared" si="53"/>
        <v>#DIV/0!</v>
      </c>
      <c r="AW89" s="60" t="e">
        <f t="shared" si="53"/>
        <v>#DIV/0!</v>
      </c>
      <c r="AX89" s="60" t="e">
        <f t="shared" si="53"/>
        <v>#DIV/0!</v>
      </c>
      <c r="AY89" s="60" t="e">
        <f t="shared" si="53"/>
        <v>#DIV/0!</v>
      </c>
      <c r="AZ89" s="65"/>
      <c r="BA89" s="60" t="e">
        <f t="shared" si="53"/>
        <v>#DIV/0!</v>
      </c>
      <c r="BB89" s="59" t="e">
        <f>Links!AF89</f>
        <v>#DIV/0!</v>
      </c>
      <c r="BC89" s="59" t="e">
        <f>(Links!AG89*Links!C89+'On-Ramps'!AC89*'On-Ramps'!CE89)/('On-Ramps'!AC89+Links!C89)</f>
        <v>#DIV/0!</v>
      </c>
      <c r="BD89" s="59" t="e">
        <f>Links!AH89</f>
        <v>#DIV/0!</v>
      </c>
      <c r="BE89" s="59" t="e">
        <f>(Links!AI89*Links!E89+'On-Ramps'!AD89*'On-Ramps'!CF88)/('On-Ramps'!AD89+Links!E89)</f>
        <v>#DIV/0!</v>
      </c>
      <c r="BF89" s="59" t="e">
        <f>(Links!F89*Links!AJ89+'On-Ramps'!AE89*'On-Ramps'!CG89)/('On-Ramps'!AE89+Links!F89)</f>
        <v>#DIV/0!</v>
      </c>
      <c r="BG89" s="59" t="e">
        <f>(Links!G89*Links!AK89+'On-Ramps'!AF89*'On-Ramps'!CH89)/('On-Ramps'!AF89+Links!G89)</f>
        <v>#DIV/0!</v>
      </c>
      <c r="BH89" s="59" t="e">
        <f>(Links!H89*Links!AL89+'On-Ramps'!AG89*'On-Ramps'!CI89)/('On-Ramps'!AG89+Links!H89)</f>
        <v>#DIV/0!</v>
      </c>
      <c r="BI89" s="59" t="e">
        <f>(Links!J89*Links!AN89+'On-Ramps'!AH89*'On-Ramps'!CJ89)/('On-Ramps'!AH89+Links!J89)</f>
        <v>#DIV/0!</v>
      </c>
      <c r="BJ89" s="59" t="e">
        <f>(Links!K89*Links!AO89+'On-Ramps'!AI89*'On-Ramps'!CK89)/('On-Ramps'!AI89+Links!K89)</f>
        <v>#DIV/0!</v>
      </c>
      <c r="BK89" s="59" t="e">
        <f>(Links!L89*Links!AP89+'On-Ramps'!AJ89*'On-Ramps'!CL89)/(Links!L89+'On-Ramps'!AJ89)</f>
        <v>#DIV/0!</v>
      </c>
      <c r="BL89" s="59" t="e">
        <f>Links!AQ89</f>
        <v>#DIV/0!</v>
      </c>
      <c r="BM89" s="59" t="e">
        <f>(Links!N89*Links!AR89+'On-Ramps'!AL89*'On-Ramps'!CM89)/(Links!N89+'On-Ramps'!AL89)</f>
        <v>#DIV/0!</v>
      </c>
      <c r="BN89" s="59" t="e">
        <f>Links!AS89</f>
        <v>#DIV/0!</v>
      </c>
      <c r="BO89" s="60" t="e">
        <f>(Links!R89^2+'Off-Ramp'!L89^2)/(Links!R89+'Off-Ramp'!L89)</f>
        <v>#DIV/0!</v>
      </c>
      <c r="BP89" s="60" t="e">
        <f>Links!S89</f>
        <v>#DIV/0!</v>
      </c>
      <c r="BQ89" s="60" t="e">
        <f>(Links!S89^2+'Off-Ramp'!C89^2)/(Links!S89+'Off-Ramp'!C89)</f>
        <v>#DIV/0!</v>
      </c>
      <c r="BR89" s="60" t="e">
        <f>Links!T89</f>
        <v>#DIV/0!</v>
      </c>
      <c r="BS89" s="60" t="e">
        <f>(Links!X89^2+'Off-Ramp'!V89^2+'Off-Ramp'!W89^2+'Off-Ramp'!X89^2)/(Links!X89+'Off-Ramp'!V89+'Off-Ramp'!W89+'Off-Ramp'!X89)</f>
        <v>#DIV/0!</v>
      </c>
      <c r="BT89" s="60" t="e">
        <f>(Links!Y89^2+'Off-Ramp'!Y89^2+'Off-Ramp'!Z89^2+'Off-Ramp'!AA89^2)/(Links!Y89+'Off-Ramp'!Y89+'Off-Ramp'!Z89+'Off-Ramp'!AA89)</f>
        <v>#DIV/0!</v>
      </c>
      <c r="BU89" s="60" t="e">
        <f>(Links!W89^2+'Off-Ramp'!P89^2)/(Links!W89+'Off-Ramp'!P89)</f>
        <v>#DIV/0!</v>
      </c>
      <c r="BV89" s="60" t="e">
        <f>(Links!Y89^2+'Off-Ramp'!Q89^2)/(Links!Y89+'Off-Ramp'!Q89)</f>
        <v>#DIV/0!</v>
      </c>
      <c r="BW89" s="60" t="e">
        <f>(Links!Z89^2+'Off-Ramp'!R89^2)/(Links!Z89+'Off-Ramp'!R89)</f>
        <v>#DIV/0!</v>
      </c>
      <c r="BX89" s="60" t="e">
        <f>(Links!AA89+'Off-Ramp'!S89)/(Links!AA89^2+'Off-Ramp'!S89^2)</f>
        <v>#DIV/0!</v>
      </c>
      <c r="BY89" s="60" t="e">
        <f>(Links!AB89^2+'Off-Ramp'!T89^2)/(Links!AB89+'Off-Ramp'!T89)</f>
        <v>#DIV/0!</v>
      </c>
      <c r="BZ89" s="60" t="e">
        <f>Links!AC89</f>
        <v>#DIV/0!</v>
      </c>
      <c r="CA89" s="60" t="e">
        <f>(Links!AD89^2+'Off-Ramp'!U89^2)/(Links!AD89+'Off-Ramp'!U89)</f>
        <v>#DIV/0!</v>
      </c>
    </row>
    <row r="90" spans="1:79" x14ac:dyDescent="0.15">
      <c r="A90" s="58">
        <v>88</v>
      </c>
      <c r="B90" s="59" t="e">
        <f t="shared" si="31"/>
        <v>#DIV/0!</v>
      </c>
      <c r="C90" s="59" t="e">
        <f t="shared" si="32"/>
        <v>#DIV/0!</v>
      </c>
      <c r="D90" s="59" t="e">
        <f t="shared" si="33"/>
        <v>#DIV/0!</v>
      </c>
      <c r="E90" s="59" t="e">
        <f t="shared" si="34"/>
        <v>#DIV/0!</v>
      </c>
      <c r="F90" s="59" t="e">
        <f t="shared" si="35"/>
        <v>#DIV/0!</v>
      </c>
      <c r="G90" s="59" t="e">
        <f t="shared" si="36"/>
        <v>#DIV/0!</v>
      </c>
      <c r="H90" s="59" t="e">
        <f t="shared" si="37"/>
        <v>#DIV/0!</v>
      </c>
      <c r="I90" s="59" t="e">
        <f t="shared" si="38"/>
        <v>#DIV/0!</v>
      </c>
      <c r="J90" s="59" t="e">
        <f t="shared" si="39"/>
        <v>#DIV/0!</v>
      </c>
      <c r="K90" s="59" t="e">
        <f t="shared" si="40"/>
        <v>#DIV/0!</v>
      </c>
      <c r="L90" s="59" t="e">
        <f t="shared" si="41"/>
        <v>#DIV/0!</v>
      </c>
      <c r="M90" s="59" t="e">
        <f t="shared" si="42"/>
        <v>#DIV/0!</v>
      </c>
      <c r="N90" s="59" t="e">
        <f t="shared" si="43"/>
        <v>#DIV/0!</v>
      </c>
      <c r="O90" s="60" t="e">
        <f>Links!B90</f>
        <v>#DIV/0!</v>
      </c>
      <c r="P90" s="60" t="e">
        <f>Links!C90+'On-Ramps'!AC90</f>
        <v>#DIV/0!</v>
      </c>
      <c r="Q90" s="60" t="e">
        <f>Links!D90</f>
        <v>#DIV/0!</v>
      </c>
      <c r="R90" s="60" t="e">
        <f>Links!E90+'On-Ramps'!AD90</f>
        <v>#DIV/0!</v>
      </c>
      <c r="S90" s="60" t="e">
        <f>Links!F90+'On-Ramps'!AE90</f>
        <v>#DIV/0!</v>
      </c>
      <c r="T90" s="60" t="e">
        <f>Links!G90+'On-Ramps'!AF90</f>
        <v>#DIV/0!</v>
      </c>
      <c r="U90" s="60" t="e">
        <f>Links!H90+'On-Ramps'!AG90</f>
        <v>#DIV/0!</v>
      </c>
      <c r="V90" s="60" t="e">
        <f>Links!J90+'On-Ramps'!AH90</f>
        <v>#DIV/0!</v>
      </c>
      <c r="W90" s="60" t="e">
        <f>Links!K90+'On-Ramps'!AI90</f>
        <v>#DIV/0!</v>
      </c>
      <c r="X90" s="60" t="e">
        <f>Links!L90+'On-Ramps'!AJ90</f>
        <v>#DIV/0!</v>
      </c>
      <c r="Y90" s="60" t="e">
        <f>Links!M90</f>
        <v>#DIV/0!</v>
      </c>
      <c r="Z90" s="60" t="e">
        <f>Links!N90+'On-Ramps'!AK90</f>
        <v>#DIV/0!</v>
      </c>
      <c r="AA90" s="60" t="e">
        <f>Links!O90</f>
        <v>#DIV/0!</v>
      </c>
      <c r="AB90" s="59" t="e">
        <f t="shared" si="44"/>
        <v>#DIV/0!</v>
      </c>
      <c r="AC90" s="65"/>
      <c r="AD90" s="59" t="e">
        <f t="shared" si="45"/>
        <v>#DIV/0!</v>
      </c>
      <c r="AE90" s="65"/>
      <c r="AF90" s="59" t="e">
        <f t="shared" si="46"/>
        <v>#DIV/0!</v>
      </c>
      <c r="AG90" s="59" t="e">
        <f t="shared" si="47"/>
        <v>#DIV/0!</v>
      </c>
      <c r="AH90" s="59" t="e">
        <f t="shared" si="48"/>
        <v>#DIV/0!</v>
      </c>
      <c r="AI90" s="59" t="e">
        <f t="shared" si="49"/>
        <v>#DIV/0!</v>
      </c>
      <c r="AJ90" s="59" t="e">
        <f t="shared" si="50"/>
        <v>#DIV/0!</v>
      </c>
      <c r="AK90" s="59" t="e">
        <f t="shared" si="51"/>
        <v>#DIV/0!</v>
      </c>
      <c r="AL90" s="59" t="e">
        <f t="shared" si="52"/>
        <v>#DIV/0!</v>
      </c>
      <c r="AM90" s="65"/>
      <c r="AN90" s="59" t="e">
        <f t="shared" si="54"/>
        <v>#DIV/0!</v>
      </c>
      <c r="AO90" s="60" t="e">
        <f t="shared" si="30"/>
        <v>#DIV/0!</v>
      </c>
      <c r="AP90" s="65"/>
      <c r="AQ90" s="60" t="e">
        <f t="shared" si="53"/>
        <v>#DIV/0!</v>
      </c>
      <c r="AR90" s="65"/>
      <c r="AS90" s="60" t="e">
        <f t="shared" si="53"/>
        <v>#DIV/0!</v>
      </c>
      <c r="AT90" s="60" t="e">
        <f t="shared" si="53"/>
        <v>#DIV/0!</v>
      </c>
      <c r="AU90" s="60" t="e">
        <f t="shared" si="53"/>
        <v>#DIV/0!</v>
      </c>
      <c r="AV90" s="60" t="e">
        <f t="shared" si="53"/>
        <v>#DIV/0!</v>
      </c>
      <c r="AW90" s="60" t="e">
        <f t="shared" si="53"/>
        <v>#DIV/0!</v>
      </c>
      <c r="AX90" s="60" t="e">
        <f t="shared" si="53"/>
        <v>#DIV/0!</v>
      </c>
      <c r="AY90" s="60" t="e">
        <f t="shared" si="53"/>
        <v>#DIV/0!</v>
      </c>
      <c r="AZ90" s="65"/>
      <c r="BA90" s="60" t="e">
        <f t="shared" si="53"/>
        <v>#DIV/0!</v>
      </c>
      <c r="BB90" s="59" t="e">
        <f>Links!AF90</f>
        <v>#DIV/0!</v>
      </c>
      <c r="BC90" s="59" t="e">
        <f>(Links!AG90*Links!C90+'On-Ramps'!AC90*'On-Ramps'!CE90)/('On-Ramps'!AC90+Links!C90)</f>
        <v>#DIV/0!</v>
      </c>
      <c r="BD90" s="59" t="e">
        <f>Links!AH90</f>
        <v>#DIV/0!</v>
      </c>
      <c r="BE90" s="59" t="e">
        <f>(Links!AI90*Links!E90+'On-Ramps'!AD90*'On-Ramps'!CF89)/('On-Ramps'!AD90+Links!E90)</f>
        <v>#DIV/0!</v>
      </c>
      <c r="BF90" s="59" t="e">
        <f>(Links!F90*Links!AJ90+'On-Ramps'!AE90*'On-Ramps'!CG90)/('On-Ramps'!AE90+Links!F90)</f>
        <v>#DIV/0!</v>
      </c>
      <c r="BG90" s="59" t="e">
        <f>(Links!G90*Links!AK90+'On-Ramps'!AF90*'On-Ramps'!CH90)/('On-Ramps'!AF90+Links!G90)</f>
        <v>#DIV/0!</v>
      </c>
      <c r="BH90" s="59" t="e">
        <f>(Links!H90*Links!AL90+'On-Ramps'!AG90*'On-Ramps'!CI90)/('On-Ramps'!AG90+Links!H90)</f>
        <v>#DIV/0!</v>
      </c>
      <c r="BI90" s="59" t="e">
        <f>(Links!J90*Links!AN90+'On-Ramps'!AH90*'On-Ramps'!CJ90)/('On-Ramps'!AH90+Links!J90)</f>
        <v>#DIV/0!</v>
      </c>
      <c r="BJ90" s="59" t="e">
        <f>(Links!K90*Links!AO90+'On-Ramps'!AI90*'On-Ramps'!CK90)/('On-Ramps'!AI90+Links!K90)</f>
        <v>#DIV/0!</v>
      </c>
      <c r="BK90" s="59" t="e">
        <f>(Links!L90*Links!AP90+'On-Ramps'!AJ90*'On-Ramps'!CL90)/(Links!L90+'On-Ramps'!AJ90)</f>
        <v>#DIV/0!</v>
      </c>
      <c r="BL90" s="59" t="e">
        <f>Links!AQ90</f>
        <v>#DIV/0!</v>
      </c>
      <c r="BM90" s="59" t="e">
        <f>(Links!N90*Links!AR90+'On-Ramps'!AL90*'On-Ramps'!CM90)/(Links!N90+'On-Ramps'!AL90)</f>
        <v>#DIV/0!</v>
      </c>
      <c r="BN90" s="59" t="e">
        <f>Links!AS90</f>
        <v>#DIV/0!</v>
      </c>
      <c r="BO90" s="60" t="e">
        <f>(Links!R90^2+'Off-Ramp'!L90^2)/(Links!R90+'Off-Ramp'!L90)</f>
        <v>#DIV/0!</v>
      </c>
      <c r="BP90" s="60" t="e">
        <f>Links!S90</f>
        <v>#DIV/0!</v>
      </c>
      <c r="BQ90" s="60" t="e">
        <f>(Links!S90^2+'Off-Ramp'!C90^2)/(Links!S90+'Off-Ramp'!C90)</f>
        <v>#DIV/0!</v>
      </c>
      <c r="BR90" s="60" t="e">
        <f>Links!T90</f>
        <v>#DIV/0!</v>
      </c>
      <c r="BS90" s="60" t="e">
        <f>(Links!X90^2+'Off-Ramp'!V90^2+'Off-Ramp'!W90^2+'Off-Ramp'!X90^2)/(Links!X90+'Off-Ramp'!V90+'Off-Ramp'!W90+'Off-Ramp'!X90)</f>
        <v>#DIV/0!</v>
      </c>
      <c r="BT90" s="60" t="e">
        <f>(Links!Y90^2+'Off-Ramp'!Y90^2+'Off-Ramp'!Z90^2+'Off-Ramp'!AA90^2)/(Links!Y90+'Off-Ramp'!Y90+'Off-Ramp'!Z90+'Off-Ramp'!AA90)</f>
        <v>#DIV/0!</v>
      </c>
      <c r="BU90" s="60" t="e">
        <f>(Links!W90^2+'Off-Ramp'!P90^2)/(Links!W90+'Off-Ramp'!P90)</f>
        <v>#DIV/0!</v>
      </c>
      <c r="BV90" s="60" t="e">
        <f>(Links!Y90^2+'Off-Ramp'!Q90^2)/(Links!Y90+'Off-Ramp'!Q90)</f>
        <v>#DIV/0!</v>
      </c>
      <c r="BW90" s="60" t="e">
        <f>(Links!Z90^2+'Off-Ramp'!R90^2)/(Links!Z90+'Off-Ramp'!R90)</f>
        <v>#DIV/0!</v>
      </c>
      <c r="BX90" s="60" t="e">
        <f>(Links!AA90+'Off-Ramp'!S90)/(Links!AA90^2+'Off-Ramp'!S90^2)</f>
        <v>#DIV/0!</v>
      </c>
      <c r="BY90" s="60" t="e">
        <f>(Links!AB90^2+'Off-Ramp'!T90^2)/(Links!AB90+'Off-Ramp'!T90)</f>
        <v>#DIV/0!</v>
      </c>
      <c r="BZ90" s="60" t="e">
        <f>Links!AC90</f>
        <v>#DIV/0!</v>
      </c>
      <c r="CA90" s="60" t="e">
        <f>(Links!AD90^2+'Off-Ramp'!U90^2)/(Links!AD90+'Off-Ramp'!U90)</f>
        <v>#DIV/0!</v>
      </c>
    </row>
    <row r="91" spans="1:79" x14ac:dyDescent="0.15">
      <c r="A91" s="58">
        <v>89</v>
      </c>
      <c r="B91" s="59" t="e">
        <f t="shared" si="31"/>
        <v>#DIV/0!</v>
      </c>
      <c r="C91" s="59" t="e">
        <f t="shared" si="32"/>
        <v>#DIV/0!</v>
      </c>
      <c r="D91" s="59" t="e">
        <f t="shared" si="33"/>
        <v>#DIV/0!</v>
      </c>
      <c r="E91" s="59" t="e">
        <f t="shared" si="34"/>
        <v>#DIV/0!</v>
      </c>
      <c r="F91" s="59" t="e">
        <f t="shared" si="35"/>
        <v>#DIV/0!</v>
      </c>
      <c r="G91" s="59" t="e">
        <f t="shared" si="36"/>
        <v>#DIV/0!</v>
      </c>
      <c r="H91" s="59" t="e">
        <f t="shared" si="37"/>
        <v>#DIV/0!</v>
      </c>
      <c r="I91" s="59" t="e">
        <f t="shared" si="38"/>
        <v>#DIV/0!</v>
      </c>
      <c r="J91" s="59" t="e">
        <f t="shared" si="39"/>
        <v>#DIV/0!</v>
      </c>
      <c r="K91" s="59" t="e">
        <f t="shared" si="40"/>
        <v>#DIV/0!</v>
      </c>
      <c r="L91" s="59" t="e">
        <f t="shared" si="41"/>
        <v>#DIV/0!</v>
      </c>
      <c r="M91" s="59" t="e">
        <f t="shared" si="42"/>
        <v>#DIV/0!</v>
      </c>
      <c r="N91" s="59" t="e">
        <f t="shared" si="43"/>
        <v>#DIV/0!</v>
      </c>
      <c r="O91" s="60" t="e">
        <f>Links!B91</f>
        <v>#DIV/0!</v>
      </c>
      <c r="P91" s="60" t="e">
        <f>Links!C91+'On-Ramps'!AC91</f>
        <v>#DIV/0!</v>
      </c>
      <c r="Q91" s="60" t="e">
        <f>Links!D91</f>
        <v>#DIV/0!</v>
      </c>
      <c r="R91" s="60" t="e">
        <f>Links!E91+'On-Ramps'!AD91</f>
        <v>#DIV/0!</v>
      </c>
      <c r="S91" s="60" t="e">
        <f>Links!F91+'On-Ramps'!AE91</f>
        <v>#DIV/0!</v>
      </c>
      <c r="T91" s="60" t="e">
        <f>Links!G91+'On-Ramps'!AF91</f>
        <v>#DIV/0!</v>
      </c>
      <c r="U91" s="60" t="e">
        <f>Links!H91+'On-Ramps'!AG91</f>
        <v>#DIV/0!</v>
      </c>
      <c r="V91" s="60" t="e">
        <f>Links!J91+'On-Ramps'!AH91</f>
        <v>#DIV/0!</v>
      </c>
      <c r="W91" s="60" t="e">
        <f>Links!K91+'On-Ramps'!AI91</f>
        <v>#DIV/0!</v>
      </c>
      <c r="X91" s="60" t="e">
        <f>Links!L91+'On-Ramps'!AJ91</f>
        <v>#DIV/0!</v>
      </c>
      <c r="Y91" s="60" t="e">
        <f>Links!M91</f>
        <v>#DIV/0!</v>
      </c>
      <c r="Z91" s="60" t="e">
        <f>Links!N91+'On-Ramps'!AK91</f>
        <v>#DIV/0!</v>
      </c>
      <c r="AA91" s="60" t="e">
        <f>Links!O91</f>
        <v>#DIV/0!</v>
      </c>
      <c r="AB91" s="59" t="e">
        <f t="shared" si="44"/>
        <v>#DIV/0!</v>
      </c>
      <c r="AC91" s="65"/>
      <c r="AD91" s="59" t="e">
        <f t="shared" si="45"/>
        <v>#DIV/0!</v>
      </c>
      <c r="AE91" s="65"/>
      <c r="AF91" s="59" t="e">
        <f t="shared" si="46"/>
        <v>#DIV/0!</v>
      </c>
      <c r="AG91" s="59" t="e">
        <f t="shared" si="47"/>
        <v>#DIV/0!</v>
      </c>
      <c r="AH91" s="59" t="e">
        <f t="shared" si="48"/>
        <v>#DIV/0!</v>
      </c>
      <c r="AI91" s="59" t="e">
        <f t="shared" si="49"/>
        <v>#DIV/0!</v>
      </c>
      <c r="AJ91" s="59" t="e">
        <f t="shared" si="50"/>
        <v>#DIV/0!</v>
      </c>
      <c r="AK91" s="59" t="e">
        <f t="shared" si="51"/>
        <v>#DIV/0!</v>
      </c>
      <c r="AL91" s="59" t="e">
        <f t="shared" si="52"/>
        <v>#DIV/0!</v>
      </c>
      <c r="AM91" s="65"/>
      <c r="AN91" s="59" t="e">
        <f t="shared" si="54"/>
        <v>#DIV/0!</v>
      </c>
      <c r="AO91" s="60" t="e">
        <f t="shared" si="30"/>
        <v>#DIV/0!</v>
      </c>
      <c r="AP91" s="65"/>
      <c r="AQ91" s="60" t="e">
        <f t="shared" si="53"/>
        <v>#DIV/0!</v>
      </c>
      <c r="AR91" s="65"/>
      <c r="AS91" s="60" t="e">
        <f t="shared" si="53"/>
        <v>#DIV/0!</v>
      </c>
      <c r="AT91" s="60" t="e">
        <f t="shared" si="53"/>
        <v>#DIV/0!</v>
      </c>
      <c r="AU91" s="60" t="e">
        <f t="shared" si="53"/>
        <v>#DIV/0!</v>
      </c>
      <c r="AV91" s="60" t="e">
        <f t="shared" si="53"/>
        <v>#DIV/0!</v>
      </c>
      <c r="AW91" s="60" t="e">
        <f t="shared" si="53"/>
        <v>#DIV/0!</v>
      </c>
      <c r="AX91" s="60" t="e">
        <f t="shared" si="53"/>
        <v>#DIV/0!</v>
      </c>
      <c r="AY91" s="60" t="e">
        <f t="shared" si="53"/>
        <v>#DIV/0!</v>
      </c>
      <c r="AZ91" s="65"/>
      <c r="BA91" s="60" t="e">
        <f t="shared" si="53"/>
        <v>#DIV/0!</v>
      </c>
      <c r="BB91" s="59" t="e">
        <f>Links!AF91</f>
        <v>#DIV/0!</v>
      </c>
      <c r="BC91" s="59" t="e">
        <f>(Links!AG91*Links!C91+'On-Ramps'!AC91*'On-Ramps'!CE91)/('On-Ramps'!AC91+Links!C91)</f>
        <v>#DIV/0!</v>
      </c>
      <c r="BD91" s="59" t="e">
        <f>Links!AH91</f>
        <v>#DIV/0!</v>
      </c>
      <c r="BE91" s="59" t="e">
        <f>(Links!AI91*Links!E91+'On-Ramps'!AD91*'On-Ramps'!CF90)/('On-Ramps'!AD91+Links!E91)</f>
        <v>#DIV/0!</v>
      </c>
      <c r="BF91" s="59" t="e">
        <f>(Links!F91*Links!AJ91+'On-Ramps'!AE91*'On-Ramps'!CG91)/('On-Ramps'!AE91+Links!F91)</f>
        <v>#DIV/0!</v>
      </c>
      <c r="BG91" s="59" t="e">
        <f>(Links!G91*Links!AK91+'On-Ramps'!AF91*'On-Ramps'!CH91)/('On-Ramps'!AF91+Links!G91)</f>
        <v>#DIV/0!</v>
      </c>
      <c r="BH91" s="59" t="e">
        <f>(Links!H91*Links!AL91+'On-Ramps'!AG91*'On-Ramps'!CI91)/('On-Ramps'!AG91+Links!H91)</f>
        <v>#DIV/0!</v>
      </c>
      <c r="BI91" s="59" t="e">
        <f>(Links!J91*Links!AN91+'On-Ramps'!AH91*'On-Ramps'!CJ91)/('On-Ramps'!AH91+Links!J91)</f>
        <v>#DIV/0!</v>
      </c>
      <c r="BJ91" s="59" t="e">
        <f>(Links!K91*Links!AO91+'On-Ramps'!AI91*'On-Ramps'!CK91)/('On-Ramps'!AI91+Links!K91)</f>
        <v>#DIV/0!</v>
      </c>
      <c r="BK91" s="59" t="e">
        <f>(Links!L91*Links!AP91+'On-Ramps'!AJ91*'On-Ramps'!CL91)/(Links!L91+'On-Ramps'!AJ91)</f>
        <v>#DIV/0!</v>
      </c>
      <c r="BL91" s="59" t="e">
        <f>Links!AQ91</f>
        <v>#DIV/0!</v>
      </c>
      <c r="BM91" s="59" t="e">
        <f>(Links!N91*Links!AR91+'On-Ramps'!AL91*'On-Ramps'!CM91)/(Links!N91+'On-Ramps'!AL91)</f>
        <v>#DIV/0!</v>
      </c>
      <c r="BN91" s="59" t="e">
        <f>Links!AS91</f>
        <v>#DIV/0!</v>
      </c>
      <c r="BO91" s="60" t="e">
        <f>(Links!R91^2+'Off-Ramp'!L91^2)/(Links!R91+'Off-Ramp'!L91)</f>
        <v>#DIV/0!</v>
      </c>
      <c r="BP91" s="60" t="e">
        <f>Links!S91</f>
        <v>#DIV/0!</v>
      </c>
      <c r="BQ91" s="60" t="e">
        <f>(Links!S91^2+'Off-Ramp'!C91^2)/(Links!S91+'Off-Ramp'!C91)</f>
        <v>#DIV/0!</v>
      </c>
      <c r="BR91" s="60" t="e">
        <f>Links!T91</f>
        <v>#DIV/0!</v>
      </c>
      <c r="BS91" s="60" t="e">
        <f>(Links!X91^2+'Off-Ramp'!V91^2+'Off-Ramp'!W91^2+'Off-Ramp'!X91^2)/(Links!X91+'Off-Ramp'!V91+'Off-Ramp'!W91+'Off-Ramp'!X91)</f>
        <v>#DIV/0!</v>
      </c>
      <c r="BT91" s="60" t="e">
        <f>(Links!Y91^2+'Off-Ramp'!Y91^2+'Off-Ramp'!Z91^2+'Off-Ramp'!AA91^2)/(Links!Y91+'Off-Ramp'!Y91+'Off-Ramp'!Z91+'Off-Ramp'!AA91)</f>
        <v>#DIV/0!</v>
      </c>
      <c r="BU91" s="60" t="e">
        <f>(Links!W91^2+'Off-Ramp'!P91^2)/(Links!W91+'Off-Ramp'!P91)</f>
        <v>#DIV/0!</v>
      </c>
      <c r="BV91" s="60" t="e">
        <f>(Links!Y91^2+'Off-Ramp'!Q91^2)/(Links!Y91+'Off-Ramp'!Q91)</f>
        <v>#DIV/0!</v>
      </c>
      <c r="BW91" s="60" t="e">
        <f>(Links!Z91^2+'Off-Ramp'!R91^2)/(Links!Z91+'Off-Ramp'!R91)</f>
        <v>#DIV/0!</v>
      </c>
      <c r="BX91" s="60" t="e">
        <f>(Links!AA91+'Off-Ramp'!S91)/(Links!AA91^2+'Off-Ramp'!S91^2)</f>
        <v>#DIV/0!</v>
      </c>
      <c r="BY91" s="60" t="e">
        <f>(Links!AB91^2+'Off-Ramp'!T91^2)/(Links!AB91+'Off-Ramp'!T91)</f>
        <v>#DIV/0!</v>
      </c>
      <c r="BZ91" s="60" t="e">
        <f>Links!AC91</f>
        <v>#DIV/0!</v>
      </c>
      <c r="CA91" s="60" t="e">
        <f>(Links!AD91^2+'Off-Ramp'!U91^2)/(Links!AD91+'Off-Ramp'!U91)</f>
        <v>#DIV/0!</v>
      </c>
    </row>
    <row r="92" spans="1:79" x14ac:dyDescent="0.15">
      <c r="A92" s="58">
        <v>90</v>
      </c>
      <c r="B92" s="59" t="e">
        <f t="shared" si="31"/>
        <v>#DIV/0!</v>
      </c>
      <c r="C92" s="59" t="e">
        <f t="shared" si="32"/>
        <v>#DIV/0!</v>
      </c>
      <c r="D92" s="59" t="e">
        <f t="shared" si="33"/>
        <v>#DIV/0!</v>
      </c>
      <c r="E92" s="59" t="e">
        <f t="shared" si="34"/>
        <v>#DIV/0!</v>
      </c>
      <c r="F92" s="59" t="e">
        <f t="shared" si="35"/>
        <v>#DIV/0!</v>
      </c>
      <c r="G92" s="59" t="e">
        <f t="shared" si="36"/>
        <v>#DIV/0!</v>
      </c>
      <c r="H92" s="59" t="e">
        <f t="shared" si="37"/>
        <v>#DIV/0!</v>
      </c>
      <c r="I92" s="59" t="e">
        <f t="shared" si="38"/>
        <v>#DIV/0!</v>
      </c>
      <c r="J92" s="59" t="e">
        <f t="shared" si="39"/>
        <v>#DIV/0!</v>
      </c>
      <c r="K92" s="59" t="e">
        <f t="shared" si="40"/>
        <v>#DIV/0!</v>
      </c>
      <c r="L92" s="59" t="e">
        <f t="shared" si="41"/>
        <v>#DIV/0!</v>
      </c>
      <c r="M92" s="59" t="e">
        <f t="shared" si="42"/>
        <v>#DIV/0!</v>
      </c>
      <c r="N92" s="59" t="e">
        <f t="shared" si="43"/>
        <v>#DIV/0!</v>
      </c>
      <c r="O92" s="60" t="e">
        <f>Links!B92</f>
        <v>#DIV/0!</v>
      </c>
      <c r="P92" s="60" t="e">
        <f>Links!C92+'On-Ramps'!AC92</f>
        <v>#DIV/0!</v>
      </c>
      <c r="Q92" s="60" t="e">
        <f>Links!D92</f>
        <v>#DIV/0!</v>
      </c>
      <c r="R92" s="60" t="e">
        <f>Links!E92+'On-Ramps'!AD92</f>
        <v>#DIV/0!</v>
      </c>
      <c r="S92" s="60" t="e">
        <f>Links!F92+'On-Ramps'!AE92</f>
        <v>#DIV/0!</v>
      </c>
      <c r="T92" s="60" t="e">
        <f>Links!G92+'On-Ramps'!AF92</f>
        <v>#DIV/0!</v>
      </c>
      <c r="U92" s="60" t="e">
        <f>Links!H92+'On-Ramps'!AG92</f>
        <v>#DIV/0!</v>
      </c>
      <c r="V92" s="60" t="e">
        <f>Links!J92+'On-Ramps'!AH92</f>
        <v>#DIV/0!</v>
      </c>
      <c r="W92" s="60" t="e">
        <f>Links!K92+'On-Ramps'!AI92</f>
        <v>#DIV/0!</v>
      </c>
      <c r="X92" s="60" t="e">
        <f>Links!L92+'On-Ramps'!AJ92</f>
        <v>#DIV/0!</v>
      </c>
      <c r="Y92" s="60" t="e">
        <f>Links!M92</f>
        <v>#DIV/0!</v>
      </c>
      <c r="Z92" s="60" t="e">
        <f>Links!N92+'On-Ramps'!AK92</f>
        <v>#DIV/0!</v>
      </c>
      <c r="AA92" s="60" t="e">
        <f>Links!O92</f>
        <v>#DIV/0!</v>
      </c>
      <c r="AB92" s="59" t="e">
        <f t="shared" si="44"/>
        <v>#DIV/0!</v>
      </c>
      <c r="AC92" s="65"/>
      <c r="AD92" s="59" t="e">
        <f t="shared" si="45"/>
        <v>#DIV/0!</v>
      </c>
      <c r="AE92" s="65"/>
      <c r="AF92" s="59" t="e">
        <f t="shared" si="46"/>
        <v>#DIV/0!</v>
      </c>
      <c r="AG92" s="59" t="e">
        <f t="shared" si="47"/>
        <v>#DIV/0!</v>
      </c>
      <c r="AH92" s="59" t="e">
        <f t="shared" si="48"/>
        <v>#DIV/0!</v>
      </c>
      <c r="AI92" s="59" t="e">
        <f t="shared" si="49"/>
        <v>#DIV/0!</v>
      </c>
      <c r="AJ92" s="59" t="e">
        <f t="shared" si="50"/>
        <v>#DIV/0!</v>
      </c>
      <c r="AK92" s="59" t="e">
        <f t="shared" si="51"/>
        <v>#DIV/0!</v>
      </c>
      <c r="AL92" s="59" t="e">
        <f t="shared" si="52"/>
        <v>#DIV/0!</v>
      </c>
      <c r="AM92" s="65"/>
      <c r="AN92" s="59" t="e">
        <f t="shared" si="54"/>
        <v>#DIV/0!</v>
      </c>
      <c r="AO92" s="60" t="e">
        <f t="shared" si="30"/>
        <v>#DIV/0!</v>
      </c>
      <c r="AP92" s="65"/>
      <c r="AQ92" s="60" t="e">
        <f t="shared" si="53"/>
        <v>#DIV/0!</v>
      </c>
      <c r="AR92" s="65"/>
      <c r="AS92" s="60" t="e">
        <f t="shared" si="53"/>
        <v>#DIV/0!</v>
      </c>
      <c r="AT92" s="60" t="e">
        <f t="shared" si="53"/>
        <v>#DIV/0!</v>
      </c>
      <c r="AU92" s="60" t="e">
        <f t="shared" si="53"/>
        <v>#DIV/0!</v>
      </c>
      <c r="AV92" s="60" t="e">
        <f t="shared" si="53"/>
        <v>#DIV/0!</v>
      </c>
      <c r="AW92" s="60" t="e">
        <f t="shared" si="53"/>
        <v>#DIV/0!</v>
      </c>
      <c r="AX92" s="60" t="e">
        <f t="shared" si="53"/>
        <v>#DIV/0!</v>
      </c>
      <c r="AY92" s="60" t="e">
        <f t="shared" si="53"/>
        <v>#DIV/0!</v>
      </c>
      <c r="AZ92" s="65"/>
      <c r="BA92" s="60" t="e">
        <f t="shared" si="53"/>
        <v>#DIV/0!</v>
      </c>
      <c r="BB92" s="59" t="e">
        <f>Links!AF92</f>
        <v>#DIV/0!</v>
      </c>
      <c r="BC92" s="59" t="e">
        <f>(Links!AG92*Links!C92+'On-Ramps'!AC92*'On-Ramps'!CE92)/('On-Ramps'!AC92+Links!C92)</f>
        <v>#DIV/0!</v>
      </c>
      <c r="BD92" s="59" t="e">
        <f>Links!AH92</f>
        <v>#DIV/0!</v>
      </c>
      <c r="BE92" s="59" t="e">
        <f>(Links!AI92*Links!E92+'On-Ramps'!AD92*'On-Ramps'!CF91)/('On-Ramps'!AD92+Links!E92)</f>
        <v>#DIV/0!</v>
      </c>
      <c r="BF92" s="59" t="e">
        <f>(Links!F92*Links!AJ92+'On-Ramps'!AE92*'On-Ramps'!CG92)/('On-Ramps'!AE92+Links!F92)</f>
        <v>#DIV/0!</v>
      </c>
      <c r="BG92" s="59" t="e">
        <f>(Links!G92*Links!AK92+'On-Ramps'!AF92*'On-Ramps'!CH92)/('On-Ramps'!AF92+Links!G92)</f>
        <v>#DIV/0!</v>
      </c>
      <c r="BH92" s="59" t="e">
        <f>(Links!H92*Links!AL92+'On-Ramps'!AG92*'On-Ramps'!CI92)/('On-Ramps'!AG92+Links!H92)</f>
        <v>#DIV/0!</v>
      </c>
      <c r="BI92" s="59" t="e">
        <f>(Links!J92*Links!AN92+'On-Ramps'!AH92*'On-Ramps'!CJ92)/('On-Ramps'!AH92+Links!J92)</f>
        <v>#DIV/0!</v>
      </c>
      <c r="BJ92" s="59" t="e">
        <f>(Links!K92*Links!AO92+'On-Ramps'!AI92*'On-Ramps'!CK92)/('On-Ramps'!AI92+Links!K92)</f>
        <v>#DIV/0!</v>
      </c>
      <c r="BK92" s="59" t="e">
        <f>(Links!L92*Links!AP92+'On-Ramps'!AJ92*'On-Ramps'!CL92)/(Links!L92+'On-Ramps'!AJ92)</f>
        <v>#DIV/0!</v>
      </c>
      <c r="BL92" s="59" t="e">
        <f>Links!AQ92</f>
        <v>#DIV/0!</v>
      </c>
      <c r="BM92" s="59" t="e">
        <f>(Links!N92*Links!AR92+'On-Ramps'!AL92*'On-Ramps'!CM92)/(Links!N92+'On-Ramps'!AL92)</f>
        <v>#DIV/0!</v>
      </c>
      <c r="BN92" s="59" t="e">
        <f>Links!AS92</f>
        <v>#DIV/0!</v>
      </c>
      <c r="BO92" s="60" t="e">
        <f>(Links!R92^2+'Off-Ramp'!L92^2)/(Links!R92+'Off-Ramp'!L92)</f>
        <v>#DIV/0!</v>
      </c>
      <c r="BP92" s="60" t="e">
        <f>Links!S92</f>
        <v>#DIV/0!</v>
      </c>
      <c r="BQ92" s="60" t="e">
        <f>(Links!S92^2+'Off-Ramp'!C92^2)/(Links!S92+'Off-Ramp'!C92)</f>
        <v>#DIV/0!</v>
      </c>
      <c r="BR92" s="60" t="e">
        <f>Links!T92</f>
        <v>#DIV/0!</v>
      </c>
      <c r="BS92" s="60" t="e">
        <f>(Links!X92^2+'Off-Ramp'!V92^2+'Off-Ramp'!W92^2+'Off-Ramp'!X92^2)/(Links!X92+'Off-Ramp'!V92+'Off-Ramp'!W92+'Off-Ramp'!X92)</f>
        <v>#DIV/0!</v>
      </c>
      <c r="BT92" s="60" t="e">
        <f>(Links!Y92^2+'Off-Ramp'!Y92^2+'Off-Ramp'!Z92^2+'Off-Ramp'!AA92^2)/(Links!Y92+'Off-Ramp'!Y92+'Off-Ramp'!Z92+'Off-Ramp'!AA92)</f>
        <v>#DIV/0!</v>
      </c>
      <c r="BU92" s="60" t="e">
        <f>(Links!W92^2+'Off-Ramp'!P92^2)/(Links!W92+'Off-Ramp'!P92)</f>
        <v>#DIV/0!</v>
      </c>
      <c r="BV92" s="60" t="e">
        <f>(Links!Y92^2+'Off-Ramp'!Q92^2)/(Links!Y92+'Off-Ramp'!Q92)</f>
        <v>#DIV/0!</v>
      </c>
      <c r="BW92" s="60" t="e">
        <f>(Links!Z92^2+'Off-Ramp'!R92^2)/(Links!Z92+'Off-Ramp'!R92)</f>
        <v>#DIV/0!</v>
      </c>
      <c r="BX92" s="60" t="e">
        <f>(Links!AA92+'Off-Ramp'!S92)/(Links!AA92^2+'Off-Ramp'!S92^2)</f>
        <v>#DIV/0!</v>
      </c>
      <c r="BY92" s="60" t="e">
        <f>(Links!AB92^2+'Off-Ramp'!T92^2)/(Links!AB92+'Off-Ramp'!T92)</f>
        <v>#DIV/0!</v>
      </c>
      <c r="BZ92" s="60" t="e">
        <f>Links!AC92</f>
        <v>#DIV/0!</v>
      </c>
      <c r="CA92" s="60" t="e">
        <f>(Links!AD92^2+'Off-Ramp'!U92^2)/(Links!AD92+'Off-Ramp'!U92)</f>
        <v>#DIV/0!</v>
      </c>
    </row>
    <row r="93" spans="1:79" x14ac:dyDescent="0.15">
      <c r="A93" s="58">
        <v>91</v>
      </c>
      <c r="B93" s="59" t="e">
        <f t="shared" si="31"/>
        <v>#DIV/0!</v>
      </c>
      <c r="C93" s="59" t="e">
        <f t="shared" si="32"/>
        <v>#DIV/0!</v>
      </c>
      <c r="D93" s="59" t="e">
        <f t="shared" si="33"/>
        <v>#DIV/0!</v>
      </c>
      <c r="E93" s="59" t="e">
        <f t="shared" si="34"/>
        <v>#DIV/0!</v>
      </c>
      <c r="F93" s="59" t="e">
        <f t="shared" si="35"/>
        <v>#DIV/0!</v>
      </c>
      <c r="G93" s="59" t="e">
        <f t="shared" si="36"/>
        <v>#DIV/0!</v>
      </c>
      <c r="H93" s="59" t="e">
        <f t="shared" si="37"/>
        <v>#DIV/0!</v>
      </c>
      <c r="I93" s="59" t="e">
        <f t="shared" si="38"/>
        <v>#DIV/0!</v>
      </c>
      <c r="J93" s="59" t="e">
        <f t="shared" si="39"/>
        <v>#DIV/0!</v>
      </c>
      <c r="K93" s="59" t="e">
        <f t="shared" si="40"/>
        <v>#DIV/0!</v>
      </c>
      <c r="L93" s="59" t="e">
        <f t="shared" si="41"/>
        <v>#DIV/0!</v>
      </c>
      <c r="M93" s="59" t="e">
        <f t="shared" si="42"/>
        <v>#DIV/0!</v>
      </c>
      <c r="N93" s="59" t="e">
        <f t="shared" si="43"/>
        <v>#DIV/0!</v>
      </c>
      <c r="O93" s="60" t="e">
        <f>Links!B93</f>
        <v>#DIV/0!</v>
      </c>
      <c r="P93" s="60" t="e">
        <f>Links!C93+'On-Ramps'!AC93</f>
        <v>#DIV/0!</v>
      </c>
      <c r="Q93" s="60" t="e">
        <f>Links!D93</f>
        <v>#DIV/0!</v>
      </c>
      <c r="R93" s="60" t="e">
        <f>Links!E93+'On-Ramps'!AD93</f>
        <v>#DIV/0!</v>
      </c>
      <c r="S93" s="60" t="e">
        <f>Links!F93+'On-Ramps'!AE93</f>
        <v>#DIV/0!</v>
      </c>
      <c r="T93" s="60" t="e">
        <f>Links!G93+'On-Ramps'!AF93</f>
        <v>#DIV/0!</v>
      </c>
      <c r="U93" s="60" t="e">
        <f>Links!H93+'On-Ramps'!AG93</f>
        <v>#DIV/0!</v>
      </c>
      <c r="V93" s="60" t="e">
        <f>Links!J93+'On-Ramps'!AH93</f>
        <v>#DIV/0!</v>
      </c>
      <c r="W93" s="60" t="e">
        <f>Links!K93+'On-Ramps'!AI93</f>
        <v>#DIV/0!</v>
      </c>
      <c r="X93" s="60" t="e">
        <f>Links!L93+'On-Ramps'!AJ93</f>
        <v>#DIV/0!</v>
      </c>
      <c r="Y93" s="60" t="e">
        <f>Links!M93</f>
        <v>#DIV/0!</v>
      </c>
      <c r="Z93" s="60" t="e">
        <f>Links!N93+'On-Ramps'!AK93</f>
        <v>#DIV/0!</v>
      </c>
      <c r="AA93" s="60" t="e">
        <f>Links!O93</f>
        <v>#DIV/0!</v>
      </c>
      <c r="AB93" s="59" t="e">
        <f t="shared" si="44"/>
        <v>#DIV/0!</v>
      </c>
      <c r="AC93" s="65"/>
      <c r="AD93" s="59" t="e">
        <f t="shared" si="45"/>
        <v>#DIV/0!</v>
      </c>
      <c r="AE93" s="65"/>
      <c r="AF93" s="59" t="e">
        <f t="shared" si="46"/>
        <v>#DIV/0!</v>
      </c>
      <c r="AG93" s="59" t="e">
        <f t="shared" si="47"/>
        <v>#DIV/0!</v>
      </c>
      <c r="AH93" s="59" t="e">
        <f t="shared" si="48"/>
        <v>#DIV/0!</v>
      </c>
      <c r="AI93" s="59" t="e">
        <f t="shared" si="49"/>
        <v>#DIV/0!</v>
      </c>
      <c r="AJ93" s="59" t="e">
        <f t="shared" si="50"/>
        <v>#DIV/0!</v>
      </c>
      <c r="AK93" s="59" t="e">
        <f t="shared" si="51"/>
        <v>#DIV/0!</v>
      </c>
      <c r="AL93" s="59" t="e">
        <f t="shared" si="52"/>
        <v>#DIV/0!</v>
      </c>
      <c r="AM93" s="65"/>
      <c r="AN93" s="59" t="e">
        <f t="shared" si="54"/>
        <v>#DIV/0!</v>
      </c>
      <c r="AO93" s="60" t="e">
        <f t="shared" si="30"/>
        <v>#DIV/0!</v>
      </c>
      <c r="AP93" s="65"/>
      <c r="AQ93" s="60" t="e">
        <f t="shared" si="53"/>
        <v>#DIV/0!</v>
      </c>
      <c r="AR93" s="65"/>
      <c r="AS93" s="60" t="e">
        <f t="shared" si="53"/>
        <v>#DIV/0!</v>
      </c>
      <c r="AT93" s="60" t="e">
        <f t="shared" si="53"/>
        <v>#DIV/0!</v>
      </c>
      <c r="AU93" s="60" t="e">
        <f t="shared" si="53"/>
        <v>#DIV/0!</v>
      </c>
      <c r="AV93" s="60" t="e">
        <f t="shared" si="53"/>
        <v>#DIV/0!</v>
      </c>
      <c r="AW93" s="60" t="e">
        <f t="shared" si="53"/>
        <v>#DIV/0!</v>
      </c>
      <c r="AX93" s="60" t="e">
        <f t="shared" si="53"/>
        <v>#DIV/0!</v>
      </c>
      <c r="AY93" s="60" t="e">
        <f t="shared" si="53"/>
        <v>#DIV/0!</v>
      </c>
      <c r="AZ93" s="65"/>
      <c r="BA93" s="60" t="e">
        <f t="shared" si="53"/>
        <v>#DIV/0!</v>
      </c>
      <c r="BB93" s="59" t="e">
        <f>Links!AF93</f>
        <v>#DIV/0!</v>
      </c>
      <c r="BC93" s="59" t="e">
        <f>(Links!AG93*Links!C93+'On-Ramps'!AC93*'On-Ramps'!CE93)/('On-Ramps'!AC93+Links!C93)</f>
        <v>#DIV/0!</v>
      </c>
      <c r="BD93" s="59" t="e">
        <f>Links!AH93</f>
        <v>#DIV/0!</v>
      </c>
      <c r="BE93" s="59" t="e">
        <f>(Links!AI93*Links!E93+'On-Ramps'!AD93*'On-Ramps'!CF92)/('On-Ramps'!AD93+Links!E93)</f>
        <v>#DIV/0!</v>
      </c>
      <c r="BF93" s="59" t="e">
        <f>(Links!F93*Links!AJ93+'On-Ramps'!AE93*'On-Ramps'!CG93)/('On-Ramps'!AE93+Links!F93)</f>
        <v>#DIV/0!</v>
      </c>
      <c r="BG93" s="59" t="e">
        <f>(Links!G93*Links!AK93+'On-Ramps'!AF93*'On-Ramps'!CH93)/('On-Ramps'!AF93+Links!G93)</f>
        <v>#DIV/0!</v>
      </c>
      <c r="BH93" s="59" t="e">
        <f>(Links!H93*Links!AL93+'On-Ramps'!AG93*'On-Ramps'!CI93)/('On-Ramps'!AG93+Links!H93)</f>
        <v>#DIV/0!</v>
      </c>
      <c r="BI93" s="59" t="e">
        <f>(Links!J93*Links!AN93+'On-Ramps'!AH93*'On-Ramps'!CJ93)/('On-Ramps'!AH93+Links!J93)</f>
        <v>#DIV/0!</v>
      </c>
      <c r="BJ93" s="59" t="e">
        <f>(Links!K93*Links!AO93+'On-Ramps'!AI93*'On-Ramps'!CK93)/('On-Ramps'!AI93+Links!K93)</f>
        <v>#DIV/0!</v>
      </c>
      <c r="BK93" s="59" t="e">
        <f>(Links!L93*Links!AP93+'On-Ramps'!AJ93*'On-Ramps'!CL93)/(Links!L93+'On-Ramps'!AJ93)</f>
        <v>#DIV/0!</v>
      </c>
      <c r="BL93" s="59" t="e">
        <f>Links!AQ93</f>
        <v>#DIV/0!</v>
      </c>
      <c r="BM93" s="59" t="e">
        <f>(Links!N93*Links!AR93+'On-Ramps'!AL93*'On-Ramps'!CM93)/(Links!N93+'On-Ramps'!AL93)</f>
        <v>#DIV/0!</v>
      </c>
      <c r="BN93" s="59" t="e">
        <f>Links!AS93</f>
        <v>#DIV/0!</v>
      </c>
      <c r="BO93" s="60" t="e">
        <f>(Links!R93^2+'Off-Ramp'!L93^2)/(Links!R93+'Off-Ramp'!L93)</f>
        <v>#DIV/0!</v>
      </c>
      <c r="BP93" s="60" t="e">
        <f>Links!S93</f>
        <v>#DIV/0!</v>
      </c>
      <c r="BQ93" s="60" t="e">
        <f>(Links!S93^2+'Off-Ramp'!C93^2)/(Links!S93+'Off-Ramp'!C93)</f>
        <v>#DIV/0!</v>
      </c>
      <c r="BR93" s="60" t="e">
        <f>Links!T93</f>
        <v>#DIV/0!</v>
      </c>
      <c r="BS93" s="60" t="e">
        <f>(Links!X93^2+'Off-Ramp'!V93^2+'Off-Ramp'!W93^2+'Off-Ramp'!X93^2)/(Links!X93+'Off-Ramp'!V93+'Off-Ramp'!W93+'Off-Ramp'!X93)</f>
        <v>#DIV/0!</v>
      </c>
      <c r="BT93" s="60" t="e">
        <f>(Links!Y93^2+'Off-Ramp'!Y93^2+'Off-Ramp'!Z93^2+'Off-Ramp'!AA93^2)/(Links!Y93+'Off-Ramp'!Y93+'Off-Ramp'!Z93+'Off-Ramp'!AA93)</f>
        <v>#DIV/0!</v>
      </c>
      <c r="BU93" s="60" t="e">
        <f>(Links!W93^2+'Off-Ramp'!P93^2)/(Links!W93+'Off-Ramp'!P93)</f>
        <v>#DIV/0!</v>
      </c>
      <c r="BV93" s="60" t="e">
        <f>(Links!Y93^2+'Off-Ramp'!Q93^2)/(Links!Y93+'Off-Ramp'!Q93)</f>
        <v>#DIV/0!</v>
      </c>
      <c r="BW93" s="60" t="e">
        <f>(Links!Z93^2+'Off-Ramp'!R93^2)/(Links!Z93+'Off-Ramp'!R93)</f>
        <v>#DIV/0!</v>
      </c>
      <c r="BX93" s="60" t="e">
        <f>(Links!AA93+'Off-Ramp'!S93)/(Links!AA93^2+'Off-Ramp'!S93^2)</f>
        <v>#DIV/0!</v>
      </c>
      <c r="BY93" s="60" t="e">
        <f>(Links!AB93^2+'Off-Ramp'!T93^2)/(Links!AB93+'Off-Ramp'!T93)</f>
        <v>#DIV/0!</v>
      </c>
      <c r="BZ93" s="60" t="e">
        <f>Links!AC93</f>
        <v>#DIV/0!</v>
      </c>
      <c r="CA93" s="60" t="e">
        <f>(Links!AD93^2+'Off-Ramp'!U93^2)/(Links!AD93+'Off-Ramp'!U93)</f>
        <v>#DIV/0!</v>
      </c>
    </row>
    <row r="94" spans="1:79" x14ac:dyDescent="0.15">
      <c r="A94" s="58">
        <v>92</v>
      </c>
      <c r="B94" s="59" t="e">
        <f t="shared" si="31"/>
        <v>#DIV/0!</v>
      </c>
      <c r="C94" s="59" t="e">
        <f t="shared" si="32"/>
        <v>#DIV/0!</v>
      </c>
      <c r="D94" s="59" t="e">
        <f t="shared" si="33"/>
        <v>#DIV/0!</v>
      </c>
      <c r="E94" s="59" t="e">
        <f t="shared" si="34"/>
        <v>#DIV/0!</v>
      </c>
      <c r="F94" s="59" t="e">
        <f t="shared" si="35"/>
        <v>#DIV/0!</v>
      </c>
      <c r="G94" s="59" t="e">
        <f t="shared" si="36"/>
        <v>#DIV/0!</v>
      </c>
      <c r="H94" s="59" t="e">
        <f t="shared" si="37"/>
        <v>#DIV/0!</v>
      </c>
      <c r="I94" s="59" t="e">
        <f t="shared" si="38"/>
        <v>#DIV/0!</v>
      </c>
      <c r="J94" s="59" t="e">
        <f t="shared" si="39"/>
        <v>#DIV/0!</v>
      </c>
      <c r="K94" s="59" t="e">
        <f t="shared" si="40"/>
        <v>#DIV/0!</v>
      </c>
      <c r="L94" s="59" t="e">
        <f t="shared" si="41"/>
        <v>#DIV/0!</v>
      </c>
      <c r="M94" s="59" t="e">
        <f t="shared" si="42"/>
        <v>#DIV/0!</v>
      </c>
      <c r="N94" s="59" t="e">
        <f t="shared" si="43"/>
        <v>#DIV/0!</v>
      </c>
      <c r="O94" s="60" t="e">
        <f>Links!B94</f>
        <v>#DIV/0!</v>
      </c>
      <c r="P94" s="60" t="e">
        <f>Links!C94+'On-Ramps'!AC94</f>
        <v>#DIV/0!</v>
      </c>
      <c r="Q94" s="60" t="e">
        <f>Links!D94</f>
        <v>#DIV/0!</v>
      </c>
      <c r="R94" s="60" t="e">
        <f>Links!E94+'On-Ramps'!AD94</f>
        <v>#DIV/0!</v>
      </c>
      <c r="S94" s="60" t="e">
        <f>Links!F94+'On-Ramps'!AE94</f>
        <v>#DIV/0!</v>
      </c>
      <c r="T94" s="60" t="e">
        <f>Links!G94+'On-Ramps'!AF94</f>
        <v>#DIV/0!</v>
      </c>
      <c r="U94" s="60" t="e">
        <f>Links!H94+'On-Ramps'!AG94</f>
        <v>#DIV/0!</v>
      </c>
      <c r="V94" s="60" t="e">
        <f>Links!J94+'On-Ramps'!AH94</f>
        <v>#DIV/0!</v>
      </c>
      <c r="W94" s="60" t="e">
        <f>Links!K94+'On-Ramps'!AI94</f>
        <v>#DIV/0!</v>
      </c>
      <c r="X94" s="60" t="e">
        <f>Links!L94+'On-Ramps'!AJ94</f>
        <v>#DIV/0!</v>
      </c>
      <c r="Y94" s="60" t="e">
        <f>Links!M94</f>
        <v>#DIV/0!</v>
      </c>
      <c r="Z94" s="60" t="e">
        <f>Links!N94+'On-Ramps'!AK94</f>
        <v>#DIV/0!</v>
      </c>
      <c r="AA94" s="60" t="e">
        <f>Links!O94</f>
        <v>#DIV/0!</v>
      </c>
      <c r="AB94" s="59" t="e">
        <f t="shared" si="44"/>
        <v>#DIV/0!</v>
      </c>
      <c r="AC94" s="65"/>
      <c r="AD94" s="59" t="e">
        <f t="shared" si="45"/>
        <v>#DIV/0!</v>
      </c>
      <c r="AE94" s="65"/>
      <c r="AF94" s="59" t="e">
        <f t="shared" si="46"/>
        <v>#DIV/0!</v>
      </c>
      <c r="AG94" s="59" t="e">
        <f t="shared" si="47"/>
        <v>#DIV/0!</v>
      </c>
      <c r="AH94" s="59" t="e">
        <f t="shared" si="48"/>
        <v>#DIV/0!</v>
      </c>
      <c r="AI94" s="59" t="e">
        <f t="shared" si="49"/>
        <v>#DIV/0!</v>
      </c>
      <c r="AJ94" s="59" t="e">
        <f t="shared" si="50"/>
        <v>#DIV/0!</v>
      </c>
      <c r="AK94" s="59" t="e">
        <f t="shared" si="51"/>
        <v>#DIV/0!</v>
      </c>
      <c r="AL94" s="59" t="e">
        <f t="shared" si="52"/>
        <v>#DIV/0!</v>
      </c>
      <c r="AM94" s="65"/>
      <c r="AN94" s="59" t="e">
        <f t="shared" si="54"/>
        <v>#DIV/0!</v>
      </c>
      <c r="AO94" s="60" t="e">
        <f t="shared" si="30"/>
        <v>#DIV/0!</v>
      </c>
      <c r="AP94" s="65"/>
      <c r="AQ94" s="60" t="e">
        <f t="shared" si="53"/>
        <v>#DIV/0!</v>
      </c>
      <c r="AR94" s="65"/>
      <c r="AS94" s="60" t="e">
        <f t="shared" si="53"/>
        <v>#DIV/0!</v>
      </c>
      <c r="AT94" s="60" t="e">
        <f t="shared" si="53"/>
        <v>#DIV/0!</v>
      </c>
      <c r="AU94" s="60" t="e">
        <f t="shared" si="53"/>
        <v>#DIV/0!</v>
      </c>
      <c r="AV94" s="60" t="e">
        <f t="shared" si="53"/>
        <v>#DIV/0!</v>
      </c>
      <c r="AW94" s="60" t="e">
        <f t="shared" si="53"/>
        <v>#DIV/0!</v>
      </c>
      <c r="AX94" s="60" t="e">
        <f t="shared" si="53"/>
        <v>#DIV/0!</v>
      </c>
      <c r="AY94" s="60" t="e">
        <f t="shared" si="53"/>
        <v>#DIV/0!</v>
      </c>
      <c r="AZ94" s="65"/>
      <c r="BA94" s="60" t="e">
        <f t="shared" si="53"/>
        <v>#DIV/0!</v>
      </c>
      <c r="BB94" s="59" t="e">
        <f>Links!AF94</f>
        <v>#DIV/0!</v>
      </c>
      <c r="BC94" s="59" t="e">
        <f>(Links!AG94*Links!C94+'On-Ramps'!AC94*'On-Ramps'!CE94)/('On-Ramps'!AC94+Links!C94)</f>
        <v>#DIV/0!</v>
      </c>
      <c r="BD94" s="59" t="e">
        <f>Links!AH94</f>
        <v>#DIV/0!</v>
      </c>
      <c r="BE94" s="59" t="e">
        <f>(Links!AI94*Links!E94+'On-Ramps'!AD94*'On-Ramps'!CF93)/('On-Ramps'!AD94+Links!E94)</f>
        <v>#DIV/0!</v>
      </c>
      <c r="BF94" s="59" t="e">
        <f>(Links!F94*Links!AJ94+'On-Ramps'!AE94*'On-Ramps'!CG94)/('On-Ramps'!AE94+Links!F94)</f>
        <v>#DIV/0!</v>
      </c>
      <c r="BG94" s="59" t="e">
        <f>(Links!G94*Links!AK94+'On-Ramps'!AF94*'On-Ramps'!CH94)/('On-Ramps'!AF94+Links!G94)</f>
        <v>#DIV/0!</v>
      </c>
      <c r="BH94" s="59" t="e">
        <f>(Links!H94*Links!AL94+'On-Ramps'!AG94*'On-Ramps'!CI94)/('On-Ramps'!AG94+Links!H94)</f>
        <v>#DIV/0!</v>
      </c>
      <c r="BI94" s="59" t="e">
        <f>(Links!J94*Links!AN94+'On-Ramps'!AH94*'On-Ramps'!CJ94)/('On-Ramps'!AH94+Links!J94)</f>
        <v>#DIV/0!</v>
      </c>
      <c r="BJ94" s="59" t="e">
        <f>(Links!K94*Links!AO94+'On-Ramps'!AI94*'On-Ramps'!CK94)/('On-Ramps'!AI94+Links!K94)</f>
        <v>#DIV/0!</v>
      </c>
      <c r="BK94" s="59" t="e">
        <f>(Links!L94*Links!AP94+'On-Ramps'!AJ94*'On-Ramps'!CL94)/(Links!L94+'On-Ramps'!AJ94)</f>
        <v>#DIV/0!</v>
      </c>
      <c r="BL94" s="59" t="e">
        <f>Links!AQ94</f>
        <v>#DIV/0!</v>
      </c>
      <c r="BM94" s="59" t="e">
        <f>(Links!N94*Links!AR94+'On-Ramps'!AL94*'On-Ramps'!CM94)/(Links!N94+'On-Ramps'!AL94)</f>
        <v>#DIV/0!</v>
      </c>
      <c r="BN94" s="59" t="e">
        <f>Links!AS94</f>
        <v>#DIV/0!</v>
      </c>
      <c r="BO94" s="60" t="e">
        <f>(Links!R94^2+'Off-Ramp'!L94^2)/(Links!R94+'Off-Ramp'!L94)</f>
        <v>#DIV/0!</v>
      </c>
      <c r="BP94" s="60" t="e">
        <f>Links!S94</f>
        <v>#DIV/0!</v>
      </c>
      <c r="BQ94" s="60" t="e">
        <f>(Links!S94^2+'Off-Ramp'!C94^2)/(Links!S94+'Off-Ramp'!C94)</f>
        <v>#DIV/0!</v>
      </c>
      <c r="BR94" s="60" t="e">
        <f>Links!T94</f>
        <v>#DIV/0!</v>
      </c>
      <c r="BS94" s="60" t="e">
        <f>(Links!X94^2+'Off-Ramp'!V94^2+'Off-Ramp'!W94^2+'Off-Ramp'!X94^2)/(Links!X94+'Off-Ramp'!V94+'Off-Ramp'!W94+'Off-Ramp'!X94)</f>
        <v>#DIV/0!</v>
      </c>
      <c r="BT94" s="60" t="e">
        <f>(Links!Y94^2+'Off-Ramp'!Y94^2+'Off-Ramp'!Z94^2+'Off-Ramp'!AA94^2)/(Links!Y94+'Off-Ramp'!Y94+'Off-Ramp'!Z94+'Off-Ramp'!AA94)</f>
        <v>#DIV/0!</v>
      </c>
      <c r="BU94" s="60" t="e">
        <f>(Links!W94^2+'Off-Ramp'!P94^2)/(Links!W94+'Off-Ramp'!P94)</f>
        <v>#DIV/0!</v>
      </c>
      <c r="BV94" s="60" t="e">
        <f>(Links!Y94^2+'Off-Ramp'!Q94^2)/(Links!Y94+'Off-Ramp'!Q94)</f>
        <v>#DIV/0!</v>
      </c>
      <c r="BW94" s="60" t="e">
        <f>(Links!Z94^2+'Off-Ramp'!R94^2)/(Links!Z94+'Off-Ramp'!R94)</f>
        <v>#DIV/0!</v>
      </c>
      <c r="BX94" s="60" t="e">
        <f>(Links!AA94+'Off-Ramp'!S94)/(Links!AA94^2+'Off-Ramp'!S94^2)</f>
        <v>#DIV/0!</v>
      </c>
      <c r="BY94" s="60" t="e">
        <f>(Links!AB94^2+'Off-Ramp'!T94^2)/(Links!AB94+'Off-Ramp'!T94)</f>
        <v>#DIV/0!</v>
      </c>
      <c r="BZ94" s="60" t="e">
        <f>Links!AC94</f>
        <v>#DIV/0!</v>
      </c>
      <c r="CA94" s="60" t="e">
        <f>(Links!AD94^2+'Off-Ramp'!U94^2)/(Links!AD94+'Off-Ramp'!U94)</f>
        <v>#DIV/0!</v>
      </c>
    </row>
    <row r="95" spans="1:79" x14ac:dyDescent="0.15">
      <c r="A95" s="58">
        <v>93</v>
      </c>
      <c r="B95" s="59" t="e">
        <f t="shared" si="31"/>
        <v>#DIV/0!</v>
      </c>
      <c r="C95" s="59" t="e">
        <f t="shared" si="32"/>
        <v>#DIV/0!</v>
      </c>
      <c r="D95" s="59" t="e">
        <f t="shared" si="33"/>
        <v>#DIV/0!</v>
      </c>
      <c r="E95" s="59" t="e">
        <f t="shared" si="34"/>
        <v>#DIV/0!</v>
      </c>
      <c r="F95" s="59" t="e">
        <f t="shared" si="35"/>
        <v>#DIV/0!</v>
      </c>
      <c r="G95" s="59" t="e">
        <f t="shared" si="36"/>
        <v>#DIV/0!</v>
      </c>
      <c r="H95" s="59" t="e">
        <f t="shared" si="37"/>
        <v>#DIV/0!</v>
      </c>
      <c r="I95" s="59" t="e">
        <f t="shared" si="38"/>
        <v>#DIV/0!</v>
      </c>
      <c r="J95" s="59" t="e">
        <f t="shared" si="39"/>
        <v>#DIV/0!</v>
      </c>
      <c r="K95" s="59" t="e">
        <f t="shared" si="40"/>
        <v>#DIV/0!</v>
      </c>
      <c r="L95" s="59" t="e">
        <f t="shared" si="41"/>
        <v>#DIV/0!</v>
      </c>
      <c r="M95" s="59" t="e">
        <f t="shared" si="42"/>
        <v>#DIV/0!</v>
      </c>
      <c r="N95" s="59" t="e">
        <f t="shared" si="43"/>
        <v>#DIV/0!</v>
      </c>
      <c r="O95" s="60" t="e">
        <f>Links!B95</f>
        <v>#DIV/0!</v>
      </c>
      <c r="P95" s="60" t="e">
        <f>Links!C95+'On-Ramps'!AC95</f>
        <v>#DIV/0!</v>
      </c>
      <c r="Q95" s="60" t="e">
        <f>Links!D95</f>
        <v>#DIV/0!</v>
      </c>
      <c r="R95" s="60" t="e">
        <f>Links!E95+'On-Ramps'!AD95</f>
        <v>#DIV/0!</v>
      </c>
      <c r="S95" s="60" t="e">
        <f>Links!F95+'On-Ramps'!AE95</f>
        <v>#DIV/0!</v>
      </c>
      <c r="T95" s="60" t="e">
        <f>Links!G95+'On-Ramps'!AF95</f>
        <v>#DIV/0!</v>
      </c>
      <c r="U95" s="60" t="e">
        <f>Links!H95+'On-Ramps'!AG95</f>
        <v>#DIV/0!</v>
      </c>
      <c r="V95" s="60" t="e">
        <f>Links!J95+'On-Ramps'!AH95</f>
        <v>#DIV/0!</v>
      </c>
      <c r="W95" s="60" t="e">
        <f>Links!K95+'On-Ramps'!AI95</f>
        <v>#DIV/0!</v>
      </c>
      <c r="X95" s="60" t="e">
        <f>Links!L95+'On-Ramps'!AJ95</f>
        <v>#DIV/0!</v>
      </c>
      <c r="Y95" s="60" t="e">
        <f>Links!M95</f>
        <v>#DIV/0!</v>
      </c>
      <c r="Z95" s="60" t="e">
        <f>Links!N95+'On-Ramps'!AK95</f>
        <v>#DIV/0!</v>
      </c>
      <c r="AA95" s="60" t="e">
        <f>Links!O95</f>
        <v>#DIV/0!</v>
      </c>
      <c r="AB95" s="59" t="e">
        <f t="shared" si="44"/>
        <v>#DIV/0!</v>
      </c>
      <c r="AC95" s="65"/>
      <c r="AD95" s="59" t="e">
        <f t="shared" si="45"/>
        <v>#DIV/0!</v>
      </c>
      <c r="AE95" s="65"/>
      <c r="AF95" s="59" t="e">
        <f t="shared" si="46"/>
        <v>#DIV/0!</v>
      </c>
      <c r="AG95" s="59" t="e">
        <f t="shared" si="47"/>
        <v>#DIV/0!</v>
      </c>
      <c r="AH95" s="59" t="e">
        <f t="shared" si="48"/>
        <v>#DIV/0!</v>
      </c>
      <c r="AI95" s="59" t="e">
        <f t="shared" si="49"/>
        <v>#DIV/0!</v>
      </c>
      <c r="AJ95" s="59" t="e">
        <f t="shared" si="50"/>
        <v>#DIV/0!</v>
      </c>
      <c r="AK95" s="59" t="e">
        <f t="shared" si="51"/>
        <v>#DIV/0!</v>
      </c>
      <c r="AL95" s="59" t="e">
        <f t="shared" si="52"/>
        <v>#DIV/0!</v>
      </c>
      <c r="AM95" s="65"/>
      <c r="AN95" s="59" t="e">
        <f t="shared" si="54"/>
        <v>#DIV/0!</v>
      </c>
      <c r="AO95" s="60" t="e">
        <f t="shared" si="30"/>
        <v>#DIV/0!</v>
      </c>
      <c r="AP95" s="65"/>
      <c r="AQ95" s="60" t="e">
        <f t="shared" si="53"/>
        <v>#DIV/0!</v>
      </c>
      <c r="AR95" s="65"/>
      <c r="AS95" s="60" t="e">
        <f t="shared" si="53"/>
        <v>#DIV/0!</v>
      </c>
      <c r="AT95" s="60" t="e">
        <f t="shared" si="53"/>
        <v>#DIV/0!</v>
      </c>
      <c r="AU95" s="60" t="e">
        <f t="shared" si="53"/>
        <v>#DIV/0!</v>
      </c>
      <c r="AV95" s="60" t="e">
        <f t="shared" si="53"/>
        <v>#DIV/0!</v>
      </c>
      <c r="AW95" s="60" t="e">
        <f t="shared" si="53"/>
        <v>#DIV/0!</v>
      </c>
      <c r="AX95" s="60" t="e">
        <f t="shared" si="53"/>
        <v>#DIV/0!</v>
      </c>
      <c r="AY95" s="60" t="e">
        <f t="shared" si="53"/>
        <v>#DIV/0!</v>
      </c>
      <c r="AZ95" s="65"/>
      <c r="BA95" s="60" t="e">
        <f t="shared" si="53"/>
        <v>#DIV/0!</v>
      </c>
      <c r="BB95" s="59" t="e">
        <f>Links!AF95</f>
        <v>#DIV/0!</v>
      </c>
      <c r="BC95" s="59" t="e">
        <f>(Links!AG95*Links!C95+'On-Ramps'!AC95*'On-Ramps'!CE95)/('On-Ramps'!AC95+Links!C95)</f>
        <v>#DIV/0!</v>
      </c>
      <c r="BD95" s="59" t="e">
        <f>Links!AH95</f>
        <v>#DIV/0!</v>
      </c>
      <c r="BE95" s="59" t="e">
        <f>(Links!AI95*Links!E95+'On-Ramps'!AD95*'On-Ramps'!CF94)/('On-Ramps'!AD95+Links!E95)</f>
        <v>#DIV/0!</v>
      </c>
      <c r="BF95" s="59" t="e">
        <f>(Links!F95*Links!AJ95+'On-Ramps'!AE95*'On-Ramps'!CG95)/('On-Ramps'!AE95+Links!F95)</f>
        <v>#DIV/0!</v>
      </c>
      <c r="BG95" s="59" t="e">
        <f>(Links!G95*Links!AK95+'On-Ramps'!AF95*'On-Ramps'!CH95)/('On-Ramps'!AF95+Links!G95)</f>
        <v>#DIV/0!</v>
      </c>
      <c r="BH95" s="59" t="e">
        <f>(Links!H95*Links!AL95+'On-Ramps'!AG95*'On-Ramps'!CI95)/('On-Ramps'!AG95+Links!H95)</f>
        <v>#DIV/0!</v>
      </c>
      <c r="BI95" s="59" t="e">
        <f>(Links!J95*Links!AN95+'On-Ramps'!AH95*'On-Ramps'!CJ95)/('On-Ramps'!AH95+Links!J95)</f>
        <v>#DIV/0!</v>
      </c>
      <c r="BJ95" s="59" t="e">
        <f>(Links!K95*Links!AO95+'On-Ramps'!AI95*'On-Ramps'!CK95)/('On-Ramps'!AI95+Links!K95)</f>
        <v>#DIV/0!</v>
      </c>
      <c r="BK95" s="59" t="e">
        <f>(Links!L95*Links!AP95+'On-Ramps'!AJ95*'On-Ramps'!CL95)/(Links!L95+'On-Ramps'!AJ95)</f>
        <v>#DIV/0!</v>
      </c>
      <c r="BL95" s="59" t="e">
        <f>Links!AQ95</f>
        <v>#DIV/0!</v>
      </c>
      <c r="BM95" s="59" t="e">
        <f>(Links!N95*Links!AR95+'On-Ramps'!AL95*'On-Ramps'!CM95)/(Links!N95+'On-Ramps'!AL95)</f>
        <v>#DIV/0!</v>
      </c>
      <c r="BN95" s="59" t="e">
        <f>Links!AS95</f>
        <v>#DIV/0!</v>
      </c>
      <c r="BO95" s="60" t="e">
        <f>(Links!R95^2+'Off-Ramp'!L95^2)/(Links!R95+'Off-Ramp'!L95)</f>
        <v>#DIV/0!</v>
      </c>
      <c r="BP95" s="60" t="e">
        <f>Links!S95</f>
        <v>#DIV/0!</v>
      </c>
      <c r="BQ95" s="60" t="e">
        <f>(Links!S95^2+'Off-Ramp'!C95^2)/(Links!S95+'Off-Ramp'!C95)</f>
        <v>#DIV/0!</v>
      </c>
      <c r="BR95" s="60" t="e">
        <f>Links!T95</f>
        <v>#DIV/0!</v>
      </c>
      <c r="BS95" s="60" t="e">
        <f>(Links!X95^2+'Off-Ramp'!V95^2+'Off-Ramp'!W95^2+'Off-Ramp'!X95^2)/(Links!X95+'Off-Ramp'!V95+'Off-Ramp'!W95+'Off-Ramp'!X95)</f>
        <v>#DIV/0!</v>
      </c>
      <c r="BT95" s="60" t="e">
        <f>(Links!Y95^2+'Off-Ramp'!Y95^2+'Off-Ramp'!Z95^2+'Off-Ramp'!AA95^2)/(Links!Y95+'Off-Ramp'!Y95+'Off-Ramp'!Z95+'Off-Ramp'!AA95)</f>
        <v>#DIV/0!</v>
      </c>
      <c r="BU95" s="60" t="e">
        <f>(Links!W95^2+'Off-Ramp'!P95^2)/(Links!W95+'Off-Ramp'!P95)</f>
        <v>#DIV/0!</v>
      </c>
      <c r="BV95" s="60" t="e">
        <f>(Links!Y95^2+'Off-Ramp'!Q95^2)/(Links!Y95+'Off-Ramp'!Q95)</f>
        <v>#DIV/0!</v>
      </c>
      <c r="BW95" s="60" t="e">
        <f>(Links!Z95^2+'Off-Ramp'!R95^2)/(Links!Z95+'Off-Ramp'!R95)</f>
        <v>#DIV/0!</v>
      </c>
      <c r="BX95" s="60" t="e">
        <f>(Links!AA95+'Off-Ramp'!S95)/(Links!AA95^2+'Off-Ramp'!S95^2)</f>
        <v>#DIV/0!</v>
      </c>
      <c r="BY95" s="60" t="e">
        <f>(Links!AB95^2+'Off-Ramp'!T95^2)/(Links!AB95+'Off-Ramp'!T95)</f>
        <v>#DIV/0!</v>
      </c>
      <c r="BZ95" s="60" t="e">
        <f>Links!AC95</f>
        <v>#DIV/0!</v>
      </c>
      <c r="CA95" s="60" t="e">
        <f>(Links!AD95^2+'Off-Ramp'!U95^2)/(Links!AD95+'Off-Ramp'!U95)</f>
        <v>#DIV/0!</v>
      </c>
    </row>
    <row r="96" spans="1:79" x14ac:dyDescent="0.15">
      <c r="A96" s="58">
        <v>94</v>
      </c>
      <c r="B96" s="59" t="e">
        <f t="shared" si="31"/>
        <v>#DIV/0!</v>
      </c>
      <c r="C96" s="59" t="e">
        <f t="shared" si="32"/>
        <v>#DIV/0!</v>
      </c>
      <c r="D96" s="59" t="e">
        <f t="shared" si="33"/>
        <v>#DIV/0!</v>
      </c>
      <c r="E96" s="59" t="e">
        <f t="shared" si="34"/>
        <v>#DIV/0!</v>
      </c>
      <c r="F96" s="59" t="e">
        <f t="shared" si="35"/>
        <v>#DIV/0!</v>
      </c>
      <c r="G96" s="59" t="e">
        <f t="shared" si="36"/>
        <v>#DIV/0!</v>
      </c>
      <c r="H96" s="59" t="e">
        <f t="shared" si="37"/>
        <v>#DIV/0!</v>
      </c>
      <c r="I96" s="59" t="e">
        <f t="shared" si="38"/>
        <v>#DIV/0!</v>
      </c>
      <c r="J96" s="59" t="e">
        <f t="shared" si="39"/>
        <v>#DIV/0!</v>
      </c>
      <c r="K96" s="59" t="e">
        <f t="shared" si="40"/>
        <v>#DIV/0!</v>
      </c>
      <c r="L96" s="59" t="e">
        <f t="shared" si="41"/>
        <v>#DIV/0!</v>
      </c>
      <c r="M96" s="59" t="e">
        <f t="shared" si="42"/>
        <v>#DIV/0!</v>
      </c>
      <c r="N96" s="59" t="e">
        <f t="shared" si="43"/>
        <v>#DIV/0!</v>
      </c>
      <c r="O96" s="60" t="e">
        <f>Links!B96</f>
        <v>#DIV/0!</v>
      </c>
      <c r="P96" s="60" t="e">
        <f>Links!C96+'On-Ramps'!AC96</f>
        <v>#DIV/0!</v>
      </c>
      <c r="Q96" s="60" t="e">
        <f>Links!D96</f>
        <v>#DIV/0!</v>
      </c>
      <c r="R96" s="60" t="e">
        <f>Links!E96+'On-Ramps'!AD96</f>
        <v>#DIV/0!</v>
      </c>
      <c r="S96" s="60" t="e">
        <f>Links!F96+'On-Ramps'!AE96</f>
        <v>#DIV/0!</v>
      </c>
      <c r="T96" s="60" t="e">
        <f>Links!G96+'On-Ramps'!AF96</f>
        <v>#DIV/0!</v>
      </c>
      <c r="U96" s="60" t="e">
        <f>Links!H96+'On-Ramps'!AG96</f>
        <v>#DIV/0!</v>
      </c>
      <c r="V96" s="60" t="e">
        <f>Links!J96+'On-Ramps'!AH96</f>
        <v>#DIV/0!</v>
      </c>
      <c r="W96" s="60" t="e">
        <f>Links!K96+'On-Ramps'!AI96</f>
        <v>#DIV/0!</v>
      </c>
      <c r="X96" s="60" t="e">
        <f>Links!L96+'On-Ramps'!AJ96</f>
        <v>#DIV/0!</v>
      </c>
      <c r="Y96" s="60" t="e">
        <f>Links!M96</f>
        <v>#DIV/0!</v>
      </c>
      <c r="Z96" s="60" t="e">
        <f>Links!N96+'On-Ramps'!AK96</f>
        <v>#DIV/0!</v>
      </c>
      <c r="AA96" s="60" t="e">
        <f>Links!O96</f>
        <v>#DIV/0!</v>
      </c>
      <c r="AB96" s="59" t="e">
        <f t="shared" si="44"/>
        <v>#DIV/0!</v>
      </c>
      <c r="AC96" s="65"/>
      <c r="AD96" s="59" t="e">
        <f t="shared" si="45"/>
        <v>#DIV/0!</v>
      </c>
      <c r="AE96" s="65"/>
      <c r="AF96" s="59" t="e">
        <f t="shared" si="46"/>
        <v>#DIV/0!</v>
      </c>
      <c r="AG96" s="59" t="e">
        <f t="shared" si="47"/>
        <v>#DIV/0!</v>
      </c>
      <c r="AH96" s="59" t="e">
        <f t="shared" si="48"/>
        <v>#DIV/0!</v>
      </c>
      <c r="AI96" s="59" t="e">
        <f t="shared" si="49"/>
        <v>#DIV/0!</v>
      </c>
      <c r="AJ96" s="59" t="e">
        <f t="shared" si="50"/>
        <v>#DIV/0!</v>
      </c>
      <c r="AK96" s="59" t="e">
        <f t="shared" si="51"/>
        <v>#DIV/0!</v>
      </c>
      <c r="AL96" s="59" t="e">
        <f t="shared" si="52"/>
        <v>#DIV/0!</v>
      </c>
      <c r="AM96" s="65"/>
      <c r="AN96" s="59" t="e">
        <f t="shared" si="54"/>
        <v>#DIV/0!</v>
      </c>
      <c r="AO96" s="60" t="e">
        <f t="shared" si="30"/>
        <v>#DIV/0!</v>
      </c>
      <c r="AP96" s="65"/>
      <c r="AQ96" s="60" t="e">
        <f t="shared" si="53"/>
        <v>#DIV/0!</v>
      </c>
      <c r="AR96" s="65"/>
      <c r="AS96" s="60" t="e">
        <f t="shared" si="53"/>
        <v>#DIV/0!</v>
      </c>
      <c r="AT96" s="60" t="e">
        <f t="shared" si="53"/>
        <v>#DIV/0!</v>
      </c>
      <c r="AU96" s="60" t="e">
        <f t="shared" si="53"/>
        <v>#DIV/0!</v>
      </c>
      <c r="AV96" s="60" t="e">
        <f t="shared" si="53"/>
        <v>#DIV/0!</v>
      </c>
      <c r="AW96" s="60" t="e">
        <f t="shared" si="53"/>
        <v>#DIV/0!</v>
      </c>
      <c r="AX96" s="60" t="e">
        <f t="shared" si="53"/>
        <v>#DIV/0!</v>
      </c>
      <c r="AY96" s="60" t="e">
        <f t="shared" si="53"/>
        <v>#DIV/0!</v>
      </c>
      <c r="AZ96" s="65"/>
      <c r="BA96" s="60" t="e">
        <f t="shared" si="53"/>
        <v>#DIV/0!</v>
      </c>
      <c r="BB96" s="59" t="e">
        <f>Links!AF96</f>
        <v>#DIV/0!</v>
      </c>
      <c r="BC96" s="59" t="e">
        <f>(Links!AG96*Links!C96+'On-Ramps'!AC96*'On-Ramps'!CE96)/('On-Ramps'!AC96+Links!C96)</f>
        <v>#DIV/0!</v>
      </c>
      <c r="BD96" s="59" t="e">
        <f>Links!AH96</f>
        <v>#DIV/0!</v>
      </c>
      <c r="BE96" s="59" t="e">
        <f>(Links!AI96*Links!E96+'On-Ramps'!AD96*'On-Ramps'!CF95)/('On-Ramps'!AD96+Links!E96)</f>
        <v>#DIV/0!</v>
      </c>
      <c r="BF96" s="59" t="e">
        <f>(Links!F96*Links!AJ96+'On-Ramps'!AE96*'On-Ramps'!CG96)/('On-Ramps'!AE96+Links!F96)</f>
        <v>#DIV/0!</v>
      </c>
      <c r="BG96" s="59" t="e">
        <f>(Links!G96*Links!AK96+'On-Ramps'!AF96*'On-Ramps'!CH96)/('On-Ramps'!AF96+Links!G96)</f>
        <v>#DIV/0!</v>
      </c>
      <c r="BH96" s="59" t="e">
        <f>(Links!H96*Links!AL96+'On-Ramps'!AG96*'On-Ramps'!CI96)/('On-Ramps'!AG96+Links!H96)</f>
        <v>#DIV/0!</v>
      </c>
      <c r="BI96" s="59" t="e">
        <f>(Links!J96*Links!AN96+'On-Ramps'!AH96*'On-Ramps'!CJ96)/('On-Ramps'!AH96+Links!J96)</f>
        <v>#DIV/0!</v>
      </c>
      <c r="BJ96" s="59" t="e">
        <f>(Links!K96*Links!AO96+'On-Ramps'!AI96*'On-Ramps'!CK96)/('On-Ramps'!AI96+Links!K96)</f>
        <v>#DIV/0!</v>
      </c>
      <c r="BK96" s="59" t="e">
        <f>(Links!L96*Links!AP96+'On-Ramps'!AJ96*'On-Ramps'!CL96)/(Links!L96+'On-Ramps'!AJ96)</f>
        <v>#DIV/0!</v>
      </c>
      <c r="BL96" s="59" t="e">
        <f>Links!AQ96</f>
        <v>#DIV/0!</v>
      </c>
      <c r="BM96" s="59" t="e">
        <f>(Links!N96*Links!AR96+'On-Ramps'!AL96*'On-Ramps'!CM96)/(Links!N96+'On-Ramps'!AL96)</f>
        <v>#DIV/0!</v>
      </c>
      <c r="BN96" s="59" t="e">
        <f>Links!AS96</f>
        <v>#DIV/0!</v>
      </c>
      <c r="BO96" s="60" t="e">
        <f>(Links!R96^2+'Off-Ramp'!L96^2)/(Links!R96+'Off-Ramp'!L96)</f>
        <v>#DIV/0!</v>
      </c>
      <c r="BP96" s="60" t="e">
        <f>Links!S96</f>
        <v>#DIV/0!</v>
      </c>
      <c r="BQ96" s="60" t="e">
        <f>(Links!S96^2+'Off-Ramp'!C96^2)/(Links!S96+'Off-Ramp'!C96)</f>
        <v>#DIV/0!</v>
      </c>
      <c r="BR96" s="60" t="e">
        <f>Links!T96</f>
        <v>#DIV/0!</v>
      </c>
      <c r="BS96" s="60" t="e">
        <f>(Links!X96^2+'Off-Ramp'!V96^2+'Off-Ramp'!W96^2+'Off-Ramp'!X96^2)/(Links!X96+'Off-Ramp'!V96+'Off-Ramp'!W96+'Off-Ramp'!X96)</f>
        <v>#DIV/0!</v>
      </c>
      <c r="BT96" s="60" t="e">
        <f>(Links!Y96^2+'Off-Ramp'!Y96^2+'Off-Ramp'!Z96^2+'Off-Ramp'!AA96^2)/(Links!Y96+'Off-Ramp'!Y96+'Off-Ramp'!Z96+'Off-Ramp'!AA96)</f>
        <v>#DIV/0!</v>
      </c>
      <c r="BU96" s="60" t="e">
        <f>(Links!W96^2+'Off-Ramp'!P96^2)/(Links!W96+'Off-Ramp'!P96)</f>
        <v>#DIV/0!</v>
      </c>
      <c r="BV96" s="60" t="e">
        <f>(Links!Y96^2+'Off-Ramp'!Q96^2)/(Links!Y96+'Off-Ramp'!Q96)</f>
        <v>#DIV/0!</v>
      </c>
      <c r="BW96" s="60" t="e">
        <f>(Links!Z96^2+'Off-Ramp'!R96^2)/(Links!Z96+'Off-Ramp'!R96)</f>
        <v>#DIV/0!</v>
      </c>
      <c r="BX96" s="60" t="e">
        <f>(Links!AA96+'Off-Ramp'!S96)/(Links!AA96^2+'Off-Ramp'!S96^2)</f>
        <v>#DIV/0!</v>
      </c>
      <c r="BY96" s="60" t="e">
        <f>(Links!AB96^2+'Off-Ramp'!T96^2)/(Links!AB96+'Off-Ramp'!T96)</f>
        <v>#DIV/0!</v>
      </c>
      <c r="BZ96" s="60" t="e">
        <f>Links!AC96</f>
        <v>#DIV/0!</v>
      </c>
      <c r="CA96" s="60" t="e">
        <f>(Links!AD96^2+'Off-Ramp'!U96^2)/(Links!AD96+'Off-Ramp'!U96)</f>
        <v>#DIV/0!</v>
      </c>
    </row>
    <row r="97" spans="1:79" x14ac:dyDescent="0.15">
      <c r="A97" s="58">
        <v>95</v>
      </c>
      <c r="B97" s="59" t="e">
        <f t="shared" si="31"/>
        <v>#DIV/0!</v>
      </c>
      <c r="C97" s="59" t="e">
        <f t="shared" si="32"/>
        <v>#DIV/0!</v>
      </c>
      <c r="D97" s="59" t="e">
        <f t="shared" si="33"/>
        <v>#DIV/0!</v>
      </c>
      <c r="E97" s="59" t="e">
        <f t="shared" si="34"/>
        <v>#DIV/0!</v>
      </c>
      <c r="F97" s="59" t="e">
        <f t="shared" si="35"/>
        <v>#DIV/0!</v>
      </c>
      <c r="G97" s="59" t="e">
        <f t="shared" si="36"/>
        <v>#DIV/0!</v>
      </c>
      <c r="H97" s="59" t="e">
        <f t="shared" si="37"/>
        <v>#DIV/0!</v>
      </c>
      <c r="I97" s="59" t="e">
        <f t="shared" si="38"/>
        <v>#DIV/0!</v>
      </c>
      <c r="J97" s="59" t="e">
        <f t="shared" si="39"/>
        <v>#DIV/0!</v>
      </c>
      <c r="K97" s="59" t="e">
        <f t="shared" si="40"/>
        <v>#DIV/0!</v>
      </c>
      <c r="L97" s="59" t="e">
        <f t="shared" si="41"/>
        <v>#DIV/0!</v>
      </c>
      <c r="M97" s="59" t="e">
        <f t="shared" si="42"/>
        <v>#DIV/0!</v>
      </c>
      <c r="N97" s="59" t="e">
        <f t="shared" si="43"/>
        <v>#DIV/0!</v>
      </c>
      <c r="O97" s="60" t="e">
        <f>Links!B97</f>
        <v>#DIV/0!</v>
      </c>
      <c r="P97" s="60" t="e">
        <f>Links!C97+'On-Ramps'!AC97</f>
        <v>#DIV/0!</v>
      </c>
      <c r="Q97" s="60" t="e">
        <f>Links!D97</f>
        <v>#DIV/0!</v>
      </c>
      <c r="R97" s="60" t="e">
        <f>Links!E97+'On-Ramps'!AD97</f>
        <v>#DIV/0!</v>
      </c>
      <c r="S97" s="60" t="e">
        <f>Links!F97+'On-Ramps'!AE97</f>
        <v>#DIV/0!</v>
      </c>
      <c r="T97" s="60" t="e">
        <f>Links!G97+'On-Ramps'!AF97</f>
        <v>#DIV/0!</v>
      </c>
      <c r="U97" s="60" t="e">
        <f>Links!H97+'On-Ramps'!AG97</f>
        <v>#DIV/0!</v>
      </c>
      <c r="V97" s="60" t="e">
        <f>Links!J97+'On-Ramps'!AH97</f>
        <v>#DIV/0!</v>
      </c>
      <c r="W97" s="60" t="e">
        <f>Links!K97+'On-Ramps'!AI97</f>
        <v>#DIV/0!</v>
      </c>
      <c r="X97" s="60" t="e">
        <f>Links!L97+'On-Ramps'!AJ97</f>
        <v>#DIV/0!</v>
      </c>
      <c r="Y97" s="60" t="e">
        <f>Links!M97</f>
        <v>#DIV/0!</v>
      </c>
      <c r="Z97" s="60" t="e">
        <f>Links!N97+'On-Ramps'!AK97</f>
        <v>#DIV/0!</v>
      </c>
      <c r="AA97" s="60" t="e">
        <f>Links!O97</f>
        <v>#DIV/0!</v>
      </c>
      <c r="AB97" s="59" t="e">
        <f t="shared" si="44"/>
        <v>#DIV/0!</v>
      </c>
      <c r="AC97" s="65"/>
      <c r="AD97" s="59" t="e">
        <f t="shared" si="45"/>
        <v>#DIV/0!</v>
      </c>
      <c r="AE97" s="65"/>
      <c r="AF97" s="59" t="e">
        <f t="shared" si="46"/>
        <v>#DIV/0!</v>
      </c>
      <c r="AG97" s="59" t="e">
        <f t="shared" si="47"/>
        <v>#DIV/0!</v>
      </c>
      <c r="AH97" s="59" t="e">
        <f t="shared" si="48"/>
        <v>#DIV/0!</v>
      </c>
      <c r="AI97" s="59" t="e">
        <f t="shared" si="49"/>
        <v>#DIV/0!</v>
      </c>
      <c r="AJ97" s="59" t="e">
        <f t="shared" si="50"/>
        <v>#DIV/0!</v>
      </c>
      <c r="AK97" s="59" t="e">
        <f t="shared" si="51"/>
        <v>#DIV/0!</v>
      </c>
      <c r="AL97" s="59" t="e">
        <f t="shared" si="52"/>
        <v>#DIV/0!</v>
      </c>
      <c r="AM97" s="65"/>
      <c r="AN97" s="59" t="e">
        <f t="shared" si="54"/>
        <v>#DIV/0!</v>
      </c>
      <c r="AO97" s="60" t="e">
        <f t="shared" si="30"/>
        <v>#DIV/0!</v>
      </c>
      <c r="AP97" s="65"/>
      <c r="AQ97" s="60" t="e">
        <f t="shared" si="53"/>
        <v>#DIV/0!</v>
      </c>
      <c r="AR97" s="65"/>
      <c r="AS97" s="60" t="e">
        <f t="shared" si="53"/>
        <v>#DIV/0!</v>
      </c>
      <c r="AT97" s="60" t="e">
        <f t="shared" si="53"/>
        <v>#DIV/0!</v>
      </c>
      <c r="AU97" s="60" t="e">
        <f t="shared" si="53"/>
        <v>#DIV/0!</v>
      </c>
      <c r="AV97" s="60" t="e">
        <f t="shared" si="53"/>
        <v>#DIV/0!</v>
      </c>
      <c r="AW97" s="60" t="e">
        <f t="shared" si="53"/>
        <v>#DIV/0!</v>
      </c>
      <c r="AX97" s="60" t="e">
        <f t="shared" si="53"/>
        <v>#DIV/0!</v>
      </c>
      <c r="AY97" s="60" t="e">
        <f t="shared" si="53"/>
        <v>#DIV/0!</v>
      </c>
      <c r="AZ97" s="65"/>
      <c r="BA97" s="60" t="e">
        <f t="shared" si="53"/>
        <v>#DIV/0!</v>
      </c>
      <c r="BB97" s="59" t="e">
        <f>Links!AF97</f>
        <v>#DIV/0!</v>
      </c>
      <c r="BC97" s="59" t="e">
        <f>(Links!AG97*Links!C97+'On-Ramps'!AC97*'On-Ramps'!CE97)/('On-Ramps'!AC97+Links!C97)</f>
        <v>#DIV/0!</v>
      </c>
      <c r="BD97" s="59" t="e">
        <f>Links!AH97</f>
        <v>#DIV/0!</v>
      </c>
      <c r="BE97" s="59" t="e">
        <f>(Links!AI97*Links!E97+'On-Ramps'!AD97*'On-Ramps'!CF96)/('On-Ramps'!AD97+Links!E97)</f>
        <v>#DIV/0!</v>
      </c>
      <c r="BF97" s="59" t="e">
        <f>(Links!F97*Links!AJ97+'On-Ramps'!AE97*'On-Ramps'!CG97)/('On-Ramps'!AE97+Links!F97)</f>
        <v>#DIV/0!</v>
      </c>
      <c r="BG97" s="59" t="e">
        <f>(Links!G97*Links!AK97+'On-Ramps'!AF97*'On-Ramps'!CH97)/('On-Ramps'!AF97+Links!G97)</f>
        <v>#DIV/0!</v>
      </c>
      <c r="BH97" s="59" t="e">
        <f>(Links!H97*Links!AL97+'On-Ramps'!AG97*'On-Ramps'!CI97)/('On-Ramps'!AG97+Links!H97)</f>
        <v>#DIV/0!</v>
      </c>
      <c r="BI97" s="59" t="e">
        <f>(Links!J97*Links!AN97+'On-Ramps'!AH97*'On-Ramps'!CJ97)/('On-Ramps'!AH97+Links!J97)</f>
        <v>#DIV/0!</v>
      </c>
      <c r="BJ97" s="59" t="e">
        <f>(Links!K97*Links!AO97+'On-Ramps'!AI97*'On-Ramps'!CK97)/('On-Ramps'!AI97+Links!K97)</f>
        <v>#DIV/0!</v>
      </c>
      <c r="BK97" s="59" t="e">
        <f>(Links!L97*Links!AP97+'On-Ramps'!AJ97*'On-Ramps'!CL97)/(Links!L97+'On-Ramps'!AJ97)</f>
        <v>#DIV/0!</v>
      </c>
      <c r="BL97" s="59" t="e">
        <f>Links!AQ97</f>
        <v>#DIV/0!</v>
      </c>
      <c r="BM97" s="59" t="e">
        <f>(Links!N97*Links!AR97+'On-Ramps'!AL97*'On-Ramps'!CM97)/(Links!N97+'On-Ramps'!AL97)</f>
        <v>#DIV/0!</v>
      </c>
      <c r="BN97" s="59" t="e">
        <f>Links!AS97</f>
        <v>#DIV/0!</v>
      </c>
      <c r="BO97" s="60" t="e">
        <f>(Links!R97^2+'Off-Ramp'!L97^2)/(Links!R97+'Off-Ramp'!L97)</f>
        <v>#DIV/0!</v>
      </c>
      <c r="BP97" s="60" t="e">
        <f>Links!S97</f>
        <v>#DIV/0!</v>
      </c>
      <c r="BQ97" s="60" t="e">
        <f>(Links!S97^2+'Off-Ramp'!C97^2)/(Links!S97+'Off-Ramp'!C97)</f>
        <v>#DIV/0!</v>
      </c>
      <c r="BR97" s="60" t="e">
        <f>Links!T97</f>
        <v>#DIV/0!</v>
      </c>
      <c r="BS97" s="60" t="e">
        <f>(Links!X97^2+'Off-Ramp'!V97^2+'Off-Ramp'!W97^2+'Off-Ramp'!X97^2)/(Links!X97+'Off-Ramp'!V97+'Off-Ramp'!W97+'Off-Ramp'!X97)</f>
        <v>#DIV/0!</v>
      </c>
      <c r="BT97" s="60" t="e">
        <f>(Links!Y97^2+'Off-Ramp'!Y97^2+'Off-Ramp'!Z97^2+'Off-Ramp'!AA97^2)/(Links!Y97+'Off-Ramp'!Y97+'Off-Ramp'!Z97+'Off-Ramp'!AA97)</f>
        <v>#DIV/0!</v>
      </c>
      <c r="BU97" s="60" t="e">
        <f>(Links!W97^2+'Off-Ramp'!P97^2)/(Links!W97+'Off-Ramp'!P97)</f>
        <v>#DIV/0!</v>
      </c>
      <c r="BV97" s="60" t="e">
        <f>(Links!Y97^2+'Off-Ramp'!Q97^2)/(Links!Y97+'Off-Ramp'!Q97)</f>
        <v>#DIV/0!</v>
      </c>
      <c r="BW97" s="60" t="e">
        <f>(Links!Z97^2+'Off-Ramp'!R97^2)/(Links!Z97+'Off-Ramp'!R97)</f>
        <v>#DIV/0!</v>
      </c>
      <c r="BX97" s="60" t="e">
        <f>(Links!AA97+'Off-Ramp'!S97)/(Links!AA97^2+'Off-Ramp'!S97^2)</f>
        <v>#DIV/0!</v>
      </c>
      <c r="BY97" s="60" t="e">
        <f>(Links!AB97^2+'Off-Ramp'!T97^2)/(Links!AB97+'Off-Ramp'!T97)</f>
        <v>#DIV/0!</v>
      </c>
      <c r="BZ97" s="60" t="e">
        <f>Links!AC97</f>
        <v>#DIV/0!</v>
      </c>
      <c r="CA97" s="60" t="e">
        <f>(Links!AD97^2+'Off-Ramp'!U97^2)/(Links!AD97+'Off-Ramp'!U97)</f>
        <v>#DIV/0!</v>
      </c>
    </row>
    <row r="98" spans="1:79" x14ac:dyDescent="0.15">
      <c r="A98" s="58">
        <v>96</v>
      </c>
      <c r="B98" s="59" t="e">
        <f t="shared" si="31"/>
        <v>#DIV/0!</v>
      </c>
      <c r="C98" s="59" t="e">
        <f t="shared" si="32"/>
        <v>#DIV/0!</v>
      </c>
      <c r="D98" s="59" t="e">
        <f t="shared" si="33"/>
        <v>#DIV/0!</v>
      </c>
      <c r="E98" s="59" t="e">
        <f t="shared" si="34"/>
        <v>#DIV/0!</v>
      </c>
      <c r="F98" s="59" t="e">
        <f t="shared" si="35"/>
        <v>#DIV/0!</v>
      </c>
      <c r="G98" s="59" t="e">
        <f t="shared" si="36"/>
        <v>#DIV/0!</v>
      </c>
      <c r="H98" s="59" t="e">
        <f t="shared" si="37"/>
        <v>#DIV/0!</v>
      </c>
      <c r="I98" s="59" t="e">
        <f t="shared" si="38"/>
        <v>#DIV/0!</v>
      </c>
      <c r="J98" s="59" t="e">
        <f t="shared" si="39"/>
        <v>#DIV/0!</v>
      </c>
      <c r="K98" s="59" t="e">
        <f t="shared" si="40"/>
        <v>#DIV/0!</v>
      </c>
      <c r="L98" s="59" t="e">
        <f t="shared" si="41"/>
        <v>#DIV/0!</v>
      </c>
      <c r="M98" s="59" t="e">
        <f t="shared" si="42"/>
        <v>#DIV/0!</v>
      </c>
      <c r="N98" s="59" t="e">
        <f t="shared" si="43"/>
        <v>#DIV/0!</v>
      </c>
      <c r="O98" s="60" t="e">
        <f>Links!B98</f>
        <v>#DIV/0!</v>
      </c>
      <c r="P98" s="60" t="e">
        <f>Links!C98+'On-Ramps'!AC98</f>
        <v>#DIV/0!</v>
      </c>
      <c r="Q98" s="60" t="e">
        <f>Links!D98</f>
        <v>#DIV/0!</v>
      </c>
      <c r="R98" s="60" t="e">
        <f>Links!E98+'On-Ramps'!AD98</f>
        <v>#DIV/0!</v>
      </c>
      <c r="S98" s="60" t="e">
        <f>Links!F98+'On-Ramps'!AE98</f>
        <v>#DIV/0!</v>
      </c>
      <c r="T98" s="60" t="e">
        <f>Links!G98+'On-Ramps'!AF98</f>
        <v>#DIV/0!</v>
      </c>
      <c r="U98" s="60" t="e">
        <f>Links!H98+'On-Ramps'!AG98</f>
        <v>#DIV/0!</v>
      </c>
      <c r="V98" s="60" t="e">
        <f>Links!J98+'On-Ramps'!AH98</f>
        <v>#DIV/0!</v>
      </c>
      <c r="W98" s="60" t="e">
        <f>Links!K98+'On-Ramps'!AI98</f>
        <v>#DIV/0!</v>
      </c>
      <c r="X98" s="60" t="e">
        <f>Links!L98+'On-Ramps'!AJ98</f>
        <v>#DIV/0!</v>
      </c>
      <c r="Y98" s="60" t="e">
        <f>Links!M98</f>
        <v>#DIV/0!</v>
      </c>
      <c r="Z98" s="60" t="e">
        <f>Links!N98+'On-Ramps'!AK98</f>
        <v>#DIV/0!</v>
      </c>
      <c r="AA98" s="60" t="e">
        <f>Links!O98</f>
        <v>#DIV/0!</v>
      </c>
      <c r="AB98" s="59" t="e">
        <f t="shared" si="44"/>
        <v>#DIV/0!</v>
      </c>
      <c r="AC98" s="65"/>
      <c r="AD98" s="59" t="e">
        <f t="shared" si="45"/>
        <v>#DIV/0!</v>
      </c>
      <c r="AE98" s="65"/>
      <c r="AF98" s="59" t="e">
        <f t="shared" si="46"/>
        <v>#DIV/0!</v>
      </c>
      <c r="AG98" s="59" t="e">
        <f t="shared" si="47"/>
        <v>#DIV/0!</v>
      </c>
      <c r="AH98" s="59" t="e">
        <f t="shared" si="48"/>
        <v>#DIV/0!</v>
      </c>
      <c r="AI98" s="59" t="e">
        <f t="shared" si="49"/>
        <v>#DIV/0!</v>
      </c>
      <c r="AJ98" s="59" t="e">
        <f t="shared" si="50"/>
        <v>#DIV/0!</v>
      </c>
      <c r="AK98" s="59" t="e">
        <f t="shared" si="51"/>
        <v>#DIV/0!</v>
      </c>
      <c r="AL98" s="59" t="e">
        <f t="shared" si="52"/>
        <v>#DIV/0!</v>
      </c>
      <c r="AM98" s="65"/>
      <c r="AN98" s="59" t="e">
        <f t="shared" si="54"/>
        <v>#DIV/0!</v>
      </c>
      <c r="AO98" s="60" t="e">
        <f t="shared" si="30"/>
        <v>#DIV/0!</v>
      </c>
      <c r="AP98" s="65"/>
      <c r="AQ98" s="60" t="e">
        <f t="shared" si="53"/>
        <v>#DIV/0!</v>
      </c>
      <c r="AR98" s="65"/>
      <c r="AS98" s="60" t="e">
        <f t="shared" si="53"/>
        <v>#DIV/0!</v>
      </c>
      <c r="AT98" s="60" t="e">
        <f t="shared" si="53"/>
        <v>#DIV/0!</v>
      </c>
      <c r="AU98" s="60" t="e">
        <f t="shared" si="53"/>
        <v>#DIV/0!</v>
      </c>
      <c r="AV98" s="60" t="e">
        <f t="shared" si="53"/>
        <v>#DIV/0!</v>
      </c>
      <c r="AW98" s="60" t="e">
        <f t="shared" si="53"/>
        <v>#DIV/0!</v>
      </c>
      <c r="AX98" s="60" t="e">
        <f t="shared" si="53"/>
        <v>#DIV/0!</v>
      </c>
      <c r="AY98" s="60" t="e">
        <f t="shared" si="53"/>
        <v>#DIV/0!</v>
      </c>
      <c r="AZ98" s="65"/>
      <c r="BA98" s="60" t="e">
        <f t="shared" si="53"/>
        <v>#DIV/0!</v>
      </c>
      <c r="BB98" s="59" t="e">
        <f>Links!AF98</f>
        <v>#DIV/0!</v>
      </c>
      <c r="BC98" s="59" t="e">
        <f>(Links!AG98*Links!C98+'On-Ramps'!AC98*'On-Ramps'!CE98)/('On-Ramps'!AC98+Links!C98)</f>
        <v>#DIV/0!</v>
      </c>
      <c r="BD98" s="59" t="e">
        <f>Links!AH98</f>
        <v>#DIV/0!</v>
      </c>
      <c r="BE98" s="59" t="e">
        <f>(Links!AI98*Links!E98+'On-Ramps'!AD98*'On-Ramps'!CF97)/('On-Ramps'!AD98+Links!E98)</f>
        <v>#DIV/0!</v>
      </c>
      <c r="BF98" s="59" t="e">
        <f>(Links!F98*Links!AJ98+'On-Ramps'!AE98*'On-Ramps'!CG98)/('On-Ramps'!AE98+Links!F98)</f>
        <v>#DIV/0!</v>
      </c>
      <c r="BG98" s="59" t="e">
        <f>(Links!G98*Links!AK98+'On-Ramps'!AF98*'On-Ramps'!CH98)/('On-Ramps'!AF98+Links!G98)</f>
        <v>#DIV/0!</v>
      </c>
      <c r="BH98" s="59" t="e">
        <f>(Links!H98*Links!AL98+'On-Ramps'!AG98*'On-Ramps'!CI98)/('On-Ramps'!AG98+Links!H98)</f>
        <v>#DIV/0!</v>
      </c>
      <c r="BI98" s="59" t="e">
        <f>(Links!J98*Links!AN98+'On-Ramps'!AH98*'On-Ramps'!CJ98)/('On-Ramps'!AH98+Links!J98)</f>
        <v>#DIV/0!</v>
      </c>
      <c r="BJ98" s="59" t="e">
        <f>(Links!K98*Links!AO98+'On-Ramps'!AI98*'On-Ramps'!CK98)/('On-Ramps'!AI98+Links!K98)</f>
        <v>#DIV/0!</v>
      </c>
      <c r="BK98" s="59" t="e">
        <f>(Links!L98*Links!AP98+'On-Ramps'!AJ98*'On-Ramps'!CL98)/(Links!L98+'On-Ramps'!AJ98)</f>
        <v>#DIV/0!</v>
      </c>
      <c r="BL98" s="59" t="e">
        <f>Links!AQ98</f>
        <v>#DIV/0!</v>
      </c>
      <c r="BM98" s="59" t="e">
        <f>(Links!N98*Links!AR98+'On-Ramps'!AL98*'On-Ramps'!CM98)/(Links!N98+'On-Ramps'!AL98)</f>
        <v>#DIV/0!</v>
      </c>
      <c r="BN98" s="59" t="e">
        <f>Links!AS98</f>
        <v>#DIV/0!</v>
      </c>
      <c r="BO98" s="60" t="e">
        <f>(Links!R98^2+'Off-Ramp'!L98^2)/(Links!R98+'Off-Ramp'!L98)</f>
        <v>#DIV/0!</v>
      </c>
      <c r="BP98" s="60" t="e">
        <f>Links!S98</f>
        <v>#DIV/0!</v>
      </c>
      <c r="BQ98" s="60" t="e">
        <f>(Links!S98^2+'Off-Ramp'!C98^2)/(Links!S98+'Off-Ramp'!C98)</f>
        <v>#DIV/0!</v>
      </c>
      <c r="BR98" s="60" t="e">
        <f>Links!T98</f>
        <v>#DIV/0!</v>
      </c>
      <c r="BS98" s="60" t="e">
        <f>(Links!X98^2+'Off-Ramp'!V98^2+'Off-Ramp'!W98^2+'Off-Ramp'!X98^2)/(Links!X98+'Off-Ramp'!V98+'Off-Ramp'!W98+'Off-Ramp'!X98)</f>
        <v>#DIV/0!</v>
      </c>
      <c r="BT98" s="60" t="e">
        <f>(Links!Y98^2+'Off-Ramp'!Y98^2+'Off-Ramp'!Z98^2+'Off-Ramp'!AA98^2)/(Links!Y98+'Off-Ramp'!Y98+'Off-Ramp'!Z98+'Off-Ramp'!AA98)</f>
        <v>#DIV/0!</v>
      </c>
      <c r="BU98" s="60" t="e">
        <f>(Links!W98^2+'Off-Ramp'!P98^2)/(Links!W98+'Off-Ramp'!P98)</f>
        <v>#DIV/0!</v>
      </c>
      <c r="BV98" s="60" t="e">
        <f>(Links!Y98^2+'Off-Ramp'!Q98^2)/(Links!Y98+'Off-Ramp'!Q98)</f>
        <v>#DIV/0!</v>
      </c>
      <c r="BW98" s="60" t="e">
        <f>(Links!Z98^2+'Off-Ramp'!R98^2)/(Links!Z98+'Off-Ramp'!R98)</f>
        <v>#DIV/0!</v>
      </c>
      <c r="BX98" s="60" t="e">
        <f>(Links!AA98+'Off-Ramp'!S98)/(Links!AA98^2+'Off-Ramp'!S98^2)</f>
        <v>#DIV/0!</v>
      </c>
      <c r="BY98" s="60" t="e">
        <f>(Links!AB98^2+'Off-Ramp'!T98^2)/(Links!AB98+'Off-Ramp'!T98)</f>
        <v>#DIV/0!</v>
      </c>
      <c r="BZ98" s="60" t="e">
        <f>Links!AC98</f>
        <v>#DIV/0!</v>
      </c>
      <c r="CA98" s="60" t="e">
        <f>(Links!AD98^2+'Off-Ramp'!U98^2)/(Links!AD98+'Off-Ramp'!U98)</f>
        <v>#DIV/0!</v>
      </c>
    </row>
    <row r="99" spans="1:79" x14ac:dyDescent="0.15">
      <c r="A99" s="58">
        <v>97</v>
      </c>
      <c r="B99" s="59" t="e">
        <f t="shared" si="31"/>
        <v>#DIV/0!</v>
      </c>
      <c r="C99" s="59" t="e">
        <f t="shared" si="32"/>
        <v>#DIV/0!</v>
      </c>
      <c r="D99" s="59" t="e">
        <f t="shared" si="33"/>
        <v>#DIV/0!</v>
      </c>
      <c r="E99" s="59" t="e">
        <f t="shared" si="34"/>
        <v>#DIV/0!</v>
      </c>
      <c r="F99" s="59" t="e">
        <f t="shared" si="35"/>
        <v>#DIV/0!</v>
      </c>
      <c r="G99" s="59" t="e">
        <f t="shared" si="36"/>
        <v>#DIV/0!</v>
      </c>
      <c r="H99" s="59" t="e">
        <f t="shared" si="37"/>
        <v>#DIV/0!</v>
      </c>
      <c r="I99" s="59" t="e">
        <f t="shared" si="38"/>
        <v>#DIV/0!</v>
      </c>
      <c r="J99" s="59" t="e">
        <f t="shared" si="39"/>
        <v>#DIV/0!</v>
      </c>
      <c r="K99" s="59" t="e">
        <f t="shared" si="40"/>
        <v>#DIV/0!</v>
      </c>
      <c r="L99" s="59" t="e">
        <f t="shared" si="41"/>
        <v>#DIV/0!</v>
      </c>
      <c r="M99" s="59" t="e">
        <f t="shared" si="42"/>
        <v>#DIV/0!</v>
      </c>
      <c r="N99" s="59" t="e">
        <f t="shared" si="43"/>
        <v>#DIV/0!</v>
      </c>
      <c r="O99" s="60" t="e">
        <f>Links!B99</f>
        <v>#DIV/0!</v>
      </c>
      <c r="P99" s="60" t="e">
        <f>Links!C99+'On-Ramps'!AC99</f>
        <v>#DIV/0!</v>
      </c>
      <c r="Q99" s="60" t="e">
        <f>Links!D99</f>
        <v>#DIV/0!</v>
      </c>
      <c r="R99" s="60" t="e">
        <f>Links!E99+'On-Ramps'!AD99</f>
        <v>#DIV/0!</v>
      </c>
      <c r="S99" s="60" t="e">
        <f>Links!F99+'On-Ramps'!AE99</f>
        <v>#DIV/0!</v>
      </c>
      <c r="T99" s="60" t="e">
        <f>Links!G99+'On-Ramps'!AF99</f>
        <v>#DIV/0!</v>
      </c>
      <c r="U99" s="60" t="e">
        <f>Links!H99+'On-Ramps'!AG99</f>
        <v>#DIV/0!</v>
      </c>
      <c r="V99" s="60" t="e">
        <f>Links!J99+'On-Ramps'!AH99</f>
        <v>#DIV/0!</v>
      </c>
      <c r="W99" s="60" t="e">
        <f>Links!K99+'On-Ramps'!AI99</f>
        <v>#DIV/0!</v>
      </c>
      <c r="X99" s="60" t="e">
        <f>Links!L99+'On-Ramps'!AJ99</f>
        <v>#DIV/0!</v>
      </c>
      <c r="Y99" s="60" t="e">
        <f>Links!M99</f>
        <v>#DIV/0!</v>
      </c>
      <c r="Z99" s="60" t="e">
        <f>Links!N99+'On-Ramps'!AK99</f>
        <v>#DIV/0!</v>
      </c>
      <c r="AA99" s="60" t="e">
        <f>Links!O99</f>
        <v>#DIV/0!</v>
      </c>
      <c r="AB99" s="59" t="e">
        <f t="shared" si="44"/>
        <v>#DIV/0!</v>
      </c>
      <c r="AC99" s="65"/>
      <c r="AD99" s="59" t="e">
        <f t="shared" si="45"/>
        <v>#DIV/0!</v>
      </c>
      <c r="AE99" s="65"/>
      <c r="AF99" s="59" t="e">
        <f t="shared" si="46"/>
        <v>#DIV/0!</v>
      </c>
      <c r="AG99" s="59" t="e">
        <f t="shared" si="47"/>
        <v>#DIV/0!</v>
      </c>
      <c r="AH99" s="59" t="e">
        <f t="shared" si="48"/>
        <v>#DIV/0!</v>
      </c>
      <c r="AI99" s="59" t="e">
        <f t="shared" si="49"/>
        <v>#DIV/0!</v>
      </c>
      <c r="AJ99" s="59" t="e">
        <f t="shared" si="50"/>
        <v>#DIV/0!</v>
      </c>
      <c r="AK99" s="59" t="e">
        <f t="shared" si="51"/>
        <v>#DIV/0!</v>
      </c>
      <c r="AL99" s="59" t="e">
        <f t="shared" si="52"/>
        <v>#DIV/0!</v>
      </c>
      <c r="AM99" s="65"/>
      <c r="AN99" s="59" t="e">
        <f t="shared" si="54"/>
        <v>#DIV/0!</v>
      </c>
      <c r="AO99" s="60" t="e">
        <f t="shared" si="30"/>
        <v>#DIV/0!</v>
      </c>
      <c r="AP99" s="65"/>
      <c r="AQ99" s="60" t="e">
        <f t="shared" ref="AQ99:BA120" si="55">AQ$3</f>
        <v>#DIV/0!</v>
      </c>
      <c r="AR99" s="65"/>
      <c r="AS99" s="60" t="e">
        <f t="shared" si="55"/>
        <v>#DIV/0!</v>
      </c>
      <c r="AT99" s="60" t="e">
        <f t="shared" si="55"/>
        <v>#DIV/0!</v>
      </c>
      <c r="AU99" s="60" t="e">
        <f t="shared" si="55"/>
        <v>#DIV/0!</v>
      </c>
      <c r="AV99" s="60" t="e">
        <f t="shared" si="55"/>
        <v>#DIV/0!</v>
      </c>
      <c r="AW99" s="60" t="e">
        <f t="shared" si="55"/>
        <v>#DIV/0!</v>
      </c>
      <c r="AX99" s="60" t="e">
        <f t="shared" si="55"/>
        <v>#DIV/0!</v>
      </c>
      <c r="AY99" s="60" t="e">
        <f t="shared" si="55"/>
        <v>#DIV/0!</v>
      </c>
      <c r="AZ99" s="65"/>
      <c r="BA99" s="60" t="e">
        <f t="shared" si="55"/>
        <v>#DIV/0!</v>
      </c>
      <c r="BB99" s="59" t="e">
        <f>Links!AF99</f>
        <v>#DIV/0!</v>
      </c>
      <c r="BC99" s="59" t="e">
        <f>(Links!AG99*Links!C99+'On-Ramps'!AC99*'On-Ramps'!CE99)/('On-Ramps'!AC99+Links!C99)</f>
        <v>#DIV/0!</v>
      </c>
      <c r="BD99" s="59" t="e">
        <f>Links!AH99</f>
        <v>#DIV/0!</v>
      </c>
      <c r="BE99" s="59" t="e">
        <f>(Links!AI99*Links!E99+'On-Ramps'!AD99*'On-Ramps'!CF98)/('On-Ramps'!AD99+Links!E99)</f>
        <v>#DIV/0!</v>
      </c>
      <c r="BF99" s="59" t="e">
        <f>(Links!F99*Links!AJ99+'On-Ramps'!AE99*'On-Ramps'!CG99)/('On-Ramps'!AE99+Links!F99)</f>
        <v>#DIV/0!</v>
      </c>
      <c r="BG99" s="59" t="e">
        <f>(Links!G99*Links!AK99+'On-Ramps'!AF99*'On-Ramps'!CH99)/('On-Ramps'!AF99+Links!G99)</f>
        <v>#DIV/0!</v>
      </c>
      <c r="BH99" s="59" t="e">
        <f>(Links!H99*Links!AL99+'On-Ramps'!AG99*'On-Ramps'!CI99)/('On-Ramps'!AG99+Links!H99)</f>
        <v>#DIV/0!</v>
      </c>
      <c r="BI99" s="59" t="e">
        <f>(Links!J99*Links!AN99+'On-Ramps'!AH99*'On-Ramps'!CJ99)/('On-Ramps'!AH99+Links!J99)</f>
        <v>#DIV/0!</v>
      </c>
      <c r="BJ99" s="59" t="e">
        <f>(Links!K99*Links!AO99+'On-Ramps'!AI99*'On-Ramps'!CK99)/('On-Ramps'!AI99+Links!K99)</f>
        <v>#DIV/0!</v>
      </c>
      <c r="BK99" s="59" t="e">
        <f>(Links!L99*Links!AP99+'On-Ramps'!AJ99*'On-Ramps'!CL99)/(Links!L99+'On-Ramps'!AJ99)</f>
        <v>#DIV/0!</v>
      </c>
      <c r="BL99" s="59" t="e">
        <f>Links!AQ99</f>
        <v>#DIV/0!</v>
      </c>
      <c r="BM99" s="59" t="e">
        <f>(Links!N99*Links!AR99+'On-Ramps'!AL99*'On-Ramps'!CM99)/(Links!N99+'On-Ramps'!AL99)</f>
        <v>#DIV/0!</v>
      </c>
      <c r="BN99" s="59" t="e">
        <f>Links!AS99</f>
        <v>#DIV/0!</v>
      </c>
      <c r="BO99" s="60" t="e">
        <f>(Links!R99^2+'Off-Ramp'!L99^2)/(Links!R99+'Off-Ramp'!L99)</f>
        <v>#DIV/0!</v>
      </c>
      <c r="BP99" s="60" t="e">
        <f>Links!S99</f>
        <v>#DIV/0!</v>
      </c>
      <c r="BQ99" s="60" t="e">
        <f>(Links!S99^2+'Off-Ramp'!C99^2)/(Links!S99+'Off-Ramp'!C99)</f>
        <v>#DIV/0!</v>
      </c>
      <c r="BR99" s="60" t="e">
        <f>Links!T99</f>
        <v>#DIV/0!</v>
      </c>
      <c r="BS99" s="60" t="e">
        <f>(Links!X99^2+'Off-Ramp'!V99^2+'Off-Ramp'!W99^2+'Off-Ramp'!X99^2)/(Links!X99+'Off-Ramp'!V99+'Off-Ramp'!W99+'Off-Ramp'!X99)</f>
        <v>#DIV/0!</v>
      </c>
      <c r="BT99" s="60" t="e">
        <f>(Links!Y99^2+'Off-Ramp'!Y99^2+'Off-Ramp'!Z99^2+'Off-Ramp'!AA99^2)/(Links!Y99+'Off-Ramp'!Y99+'Off-Ramp'!Z99+'Off-Ramp'!AA99)</f>
        <v>#DIV/0!</v>
      </c>
      <c r="BU99" s="60" t="e">
        <f>(Links!W99^2+'Off-Ramp'!P99^2)/(Links!W99+'Off-Ramp'!P99)</f>
        <v>#DIV/0!</v>
      </c>
      <c r="BV99" s="60" t="e">
        <f>(Links!Y99^2+'Off-Ramp'!Q99^2)/(Links!Y99+'Off-Ramp'!Q99)</f>
        <v>#DIV/0!</v>
      </c>
      <c r="BW99" s="60" t="e">
        <f>(Links!Z99^2+'Off-Ramp'!R99^2)/(Links!Z99+'Off-Ramp'!R99)</f>
        <v>#DIV/0!</v>
      </c>
      <c r="BX99" s="60" t="e">
        <f>(Links!AA99+'Off-Ramp'!S99)/(Links!AA99^2+'Off-Ramp'!S99^2)</f>
        <v>#DIV/0!</v>
      </c>
      <c r="BY99" s="60" t="e">
        <f>(Links!AB99^2+'Off-Ramp'!T99^2)/(Links!AB99+'Off-Ramp'!T99)</f>
        <v>#DIV/0!</v>
      </c>
      <c r="BZ99" s="60" t="e">
        <f>Links!AC99</f>
        <v>#DIV/0!</v>
      </c>
      <c r="CA99" s="60" t="e">
        <f>(Links!AD99^2+'Off-Ramp'!U99^2)/(Links!AD99+'Off-Ramp'!U99)</f>
        <v>#DIV/0!</v>
      </c>
    </row>
    <row r="100" spans="1:79" x14ac:dyDescent="0.15">
      <c r="A100" s="58">
        <v>98</v>
      </c>
      <c r="B100" s="59" t="e">
        <f t="shared" si="31"/>
        <v>#DIV/0!</v>
      </c>
      <c r="C100" s="59" t="e">
        <f t="shared" si="32"/>
        <v>#DIV/0!</v>
      </c>
      <c r="D100" s="59" t="e">
        <f t="shared" si="33"/>
        <v>#DIV/0!</v>
      </c>
      <c r="E100" s="59" t="e">
        <f t="shared" si="34"/>
        <v>#DIV/0!</v>
      </c>
      <c r="F100" s="59" t="e">
        <f t="shared" si="35"/>
        <v>#DIV/0!</v>
      </c>
      <c r="G100" s="59" t="e">
        <f t="shared" si="36"/>
        <v>#DIV/0!</v>
      </c>
      <c r="H100" s="59" t="e">
        <f t="shared" si="37"/>
        <v>#DIV/0!</v>
      </c>
      <c r="I100" s="59" t="e">
        <f t="shared" si="38"/>
        <v>#DIV/0!</v>
      </c>
      <c r="J100" s="59" t="e">
        <f t="shared" si="39"/>
        <v>#DIV/0!</v>
      </c>
      <c r="K100" s="59" t="e">
        <f t="shared" si="40"/>
        <v>#DIV/0!</v>
      </c>
      <c r="L100" s="59" t="e">
        <f t="shared" si="41"/>
        <v>#DIV/0!</v>
      </c>
      <c r="M100" s="59" t="e">
        <f t="shared" si="42"/>
        <v>#DIV/0!</v>
      </c>
      <c r="N100" s="59" t="e">
        <f t="shared" si="43"/>
        <v>#DIV/0!</v>
      </c>
      <c r="O100" s="60" t="e">
        <f>Links!B100</f>
        <v>#DIV/0!</v>
      </c>
      <c r="P100" s="60" t="e">
        <f>Links!C100+'On-Ramps'!AC100</f>
        <v>#DIV/0!</v>
      </c>
      <c r="Q100" s="60" t="e">
        <f>Links!D100</f>
        <v>#DIV/0!</v>
      </c>
      <c r="R100" s="60" t="e">
        <f>Links!E100+'On-Ramps'!AD100</f>
        <v>#DIV/0!</v>
      </c>
      <c r="S100" s="60" t="e">
        <f>Links!F100+'On-Ramps'!AE100</f>
        <v>#DIV/0!</v>
      </c>
      <c r="T100" s="60" t="e">
        <f>Links!G100+'On-Ramps'!AF100</f>
        <v>#DIV/0!</v>
      </c>
      <c r="U100" s="60" t="e">
        <f>Links!H100+'On-Ramps'!AG100</f>
        <v>#DIV/0!</v>
      </c>
      <c r="V100" s="60" t="e">
        <f>Links!J100+'On-Ramps'!AH100</f>
        <v>#DIV/0!</v>
      </c>
      <c r="W100" s="60" t="e">
        <f>Links!K100+'On-Ramps'!AI100</f>
        <v>#DIV/0!</v>
      </c>
      <c r="X100" s="60" t="e">
        <f>Links!L100+'On-Ramps'!AJ100</f>
        <v>#DIV/0!</v>
      </c>
      <c r="Y100" s="60" t="e">
        <f>Links!M100</f>
        <v>#DIV/0!</v>
      </c>
      <c r="Z100" s="60" t="e">
        <f>Links!N100+'On-Ramps'!AK100</f>
        <v>#DIV/0!</v>
      </c>
      <c r="AA100" s="60" t="e">
        <f>Links!O100</f>
        <v>#DIV/0!</v>
      </c>
      <c r="AB100" s="59" t="e">
        <f t="shared" si="44"/>
        <v>#DIV/0!</v>
      </c>
      <c r="AC100" s="65"/>
      <c r="AD100" s="59" t="e">
        <f t="shared" si="45"/>
        <v>#DIV/0!</v>
      </c>
      <c r="AE100" s="65"/>
      <c r="AF100" s="59" t="e">
        <f t="shared" si="46"/>
        <v>#DIV/0!</v>
      </c>
      <c r="AG100" s="59" t="e">
        <f t="shared" si="47"/>
        <v>#DIV/0!</v>
      </c>
      <c r="AH100" s="59" t="e">
        <f t="shared" si="48"/>
        <v>#DIV/0!</v>
      </c>
      <c r="AI100" s="59" t="e">
        <f t="shared" si="49"/>
        <v>#DIV/0!</v>
      </c>
      <c r="AJ100" s="59" t="e">
        <f t="shared" si="50"/>
        <v>#DIV/0!</v>
      </c>
      <c r="AK100" s="59" t="e">
        <f t="shared" si="51"/>
        <v>#DIV/0!</v>
      </c>
      <c r="AL100" s="59" t="e">
        <f t="shared" si="52"/>
        <v>#DIV/0!</v>
      </c>
      <c r="AM100" s="65"/>
      <c r="AN100" s="59" t="e">
        <f t="shared" si="54"/>
        <v>#DIV/0!</v>
      </c>
      <c r="AO100" s="60" t="e">
        <f t="shared" si="30"/>
        <v>#DIV/0!</v>
      </c>
      <c r="AP100" s="65"/>
      <c r="AQ100" s="60" t="e">
        <f t="shared" si="55"/>
        <v>#DIV/0!</v>
      </c>
      <c r="AR100" s="65"/>
      <c r="AS100" s="60" t="e">
        <f t="shared" si="55"/>
        <v>#DIV/0!</v>
      </c>
      <c r="AT100" s="60" t="e">
        <f t="shared" si="55"/>
        <v>#DIV/0!</v>
      </c>
      <c r="AU100" s="60" t="e">
        <f t="shared" si="55"/>
        <v>#DIV/0!</v>
      </c>
      <c r="AV100" s="60" t="e">
        <f t="shared" si="55"/>
        <v>#DIV/0!</v>
      </c>
      <c r="AW100" s="60" t="e">
        <f t="shared" si="55"/>
        <v>#DIV/0!</v>
      </c>
      <c r="AX100" s="60" t="e">
        <f t="shared" si="55"/>
        <v>#DIV/0!</v>
      </c>
      <c r="AY100" s="60" t="e">
        <f t="shared" si="55"/>
        <v>#DIV/0!</v>
      </c>
      <c r="AZ100" s="65"/>
      <c r="BA100" s="60" t="e">
        <f t="shared" si="55"/>
        <v>#DIV/0!</v>
      </c>
      <c r="BB100" s="59" t="e">
        <f>Links!AF100</f>
        <v>#DIV/0!</v>
      </c>
      <c r="BC100" s="59" t="e">
        <f>(Links!AG100*Links!C100+'On-Ramps'!AC100*'On-Ramps'!CE100)/('On-Ramps'!AC100+Links!C100)</f>
        <v>#DIV/0!</v>
      </c>
      <c r="BD100" s="59" t="e">
        <f>Links!AH100</f>
        <v>#DIV/0!</v>
      </c>
      <c r="BE100" s="59" t="e">
        <f>(Links!AI100*Links!E100+'On-Ramps'!AD100*'On-Ramps'!CF99)/('On-Ramps'!AD100+Links!E100)</f>
        <v>#DIV/0!</v>
      </c>
      <c r="BF100" s="59" t="e">
        <f>(Links!F100*Links!AJ100+'On-Ramps'!AE100*'On-Ramps'!CG100)/('On-Ramps'!AE100+Links!F100)</f>
        <v>#DIV/0!</v>
      </c>
      <c r="BG100" s="59" t="e">
        <f>(Links!G100*Links!AK100+'On-Ramps'!AF100*'On-Ramps'!CH100)/('On-Ramps'!AF100+Links!G100)</f>
        <v>#DIV/0!</v>
      </c>
      <c r="BH100" s="59" t="e">
        <f>(Links!H100*Links!AL100+'On-Ramps'!AG100*'On-Ramps'!CI100)/('On-Ramps'!AG100+Links!H100)</f>
        <v>#DIV/0!</v>
      </c>
      <c r="BI100" s="59" t="e">
        <f>(Links!J100*Links!AN100+'On-Ramps'!AH100*'On-Ramps'!CJ100)/('On-Ramps'!AH100+Links!J100)</f>
        <v>#DIV/0!</v>
      </c>
      <c r="BJ100" s="59" t="e">
        <f>(Links!K100*Links!AO100+'On-Ramps'!AI100*'On-Ramps'!CK100)/('On-Ramps'!AI100+Links!K100)</f>
        <v>#DIV/0!</v>
      </c>
      <c r="BK100" s="59" t="e">
        <f>(Links!L100*Links!AP100+'On-Ramps'!AJ100*'On-Ramps'!CL100)/(Links!L100+'On-Ramps'!AJ100)</f>
        <v>#DIV/0!</v>
      </c>
      <c r="BL100" s="59" t="e">
        <f>Links!AQ100</f>
        <v>#DIV/0!</v>
      </c>
      <c r="BM100" s="59" t="e">
        <f>(Links!N100*Links!AR100+'On-Ramps'!AL100*'On-Ramps'!CM100)/(Links!N100+'On-Ramps'!AL100)</f>
        <v>#DIV/0!</v>
      </c>
      <c r="BN100" s="59" t="e">
        <f>Links!AS100</f>
        <v>#DIV/0!</v>
      </c>
      <c r="BO100" s="60" t="e">
        <f>(Links!R100^2+'Off-Ramp'!L100^2)/(Links!R100+'Off-Ramp'!L100)</f>
        <v>#DIV/0!</v>
      </c>
      <c r="BP100" s="60" t="e">
        <f>Links!S100</f>
        <v>#DIV/0!</v>
      </c>
      <c r="BQ100" s="60" t="e">
        <f>(Links!S100^2+'Off-Ramp'!C100^2)/(Links!S100+'Off-Ramp'!C100)</f>
        <v>#DIV/0!</v>
      </c>
      <c r="BR100" s="60" t="e">
        <f>Links!T100</f>
        <v>#DIV/0!</v>
      </c>
      <c r="BS100" s="60" t="e">
        <f>(Links!X100^2+'Off-Ramp'!V100^2+'Off-Ramp'!W100^2+'Off-Ramp'!X100^2)/(Links!X100+'Off-Ramp'!V100+'Off-Ramp'!W100+'Off-Ramp'!X100)</f>
        <v>#DIV/0!</v>
      </c>
      <c r="BT100" s="60" t="e">
        <f>(Links!Y100^2+'Off-Ramp'!Y100^2+'Off-Ramp'!Z100^2+'Off-Ramp'!AA100^2)/(Links!Y100+'Off-Ramp'!Y100+'Off-Ramp'!Z100+'Off-Ramp'!AA100)</f>
        <v>#DIV/0!</v>
      </c>
      <c r="BU100" s="60" t="e">
        <f>(Links!W100^2+'Off-Ramp'!P100^2)/(Links!W100+'Off-Ramp'!P100)</f>
        <v>#DIV/0!</v>
      </c>
      <c r="BV100" s="60" t="e">
        <f>(Links!Y100^2+'Off-Ramp'!Q100^2)/(Links!Y100+'Off-Ramp'!Q100)</f>
        <v>#DIV/0!</v>
      </c>
      <c r="BW100" s="60" t="e">
        <f>(Links!Z100^2+'Off-Ramp'!R100^2)/(Links!Z100+'Off-Ramp'!R100)</f>
        <v>#DIV/0!</v>
      </c>
      <c r="BX100" s="60" t="e">
        <f>(Links!AA100+'Off-Ramp'!S100)/(Links!AA100^2+'Off-Ramp'!S100^2)</f>
        <v>#DIV/0!</v>
      </c>
      <c r="BY100" s="60" t="e">
        <f>(Links!AB100^2+'Off-Ramp'!T100^2)/(Links!AB100+'Off-Ramp'!T100)</f>
        <v>#DIV/0!</v>
      </c>
      <c r="BZ100" s="60" t="e">
        <f>Links!AC100</f>
        <v>#DIV/0!</v>
      </c>
      <c r="CA100" s="60" t="e">
        <f>(Links!AD100^2+'Off-Ramp'!U100^2)/(Links!AD100+'Off-Ramp'!U100)</f>
        <v>#DIV/0!</v>
      </c>
    </row>
    <row r="101" spans="1:79" x14ac:dyDescent="0.15">
      <c r="A101" s="58">
        <v>99</v>
      </c>
      <c r="B101" s="59" t="e">
        <f t="shared" si="31"/>
        <v>#DIV/0!</v>
      </c>
      <c r="C101" s="59" t="e">
        <f t="shared" si="32"/>
        <v>#DIV/0!</v>
      </c>
      <c r="D101" s="59" t="e">
        <f t="shared" si="33"/>
        <v>#DIV/0!</v>
      </c>
      <c r="E101" s="59" t="e">
        <f t="shared" si="34"/>
        <v>#DIV/0!</v>
      </c>
      <c r="F101" s="59" t="e">
        <f t="shared" si="35"/>
        <v>#DIV/0!</v>
      </c>
      <c r="G101" s="59" t="e">
        <f t="shared" si="36"/>
        <v>#DIV/0!</v>
      </c>
      <c r="H101" s="59" t="e">
        <f t="shared" si="37"/>
        <v>#DIV/0!</v>
      </c>
      <c r="I101" s="59" t="e">
        <f t="shared" si="38"/>
        <v>#DIV/0!</v>
      </c>
      <c r="J101" s="59" t="e">
        <f t="shared" si="39"/>
        <v>#DIV/0!</v>
      </c>
      <c r="K101" s="59" t="e">
        <f t="shared" si="40"/>
        <v>#DIV/0!</v>
      </c>
      <c r="L101" s="59" t="e">
        <f t="shared" si="41"/>
        <v>#DIV/0!</v>
      </c>
      <c r="M101" s="59" t="e">
        <f t="shared" si="42"/>
        <v>#DIV/0!</v>
      </c>
      <c r="N101" s="59" t="e">
        <f t="shared" si="43"/>
        <v>#DIV/0!</v>
      </c>
      <c r="O101" s="60" t="e">
        <f>Links!B101</f>
        <v>#DIV/0!</v>
      </c>
      <c r="P101" s="60" t="e">
        <f>Links!C101+'On-Ramps'!AC101</f>
        <v>#DIV/0!</v>
      </c>
      <c r="Q101" s="60" t="e">
        <f>Links!D101</f>
        <v>#DIV/0!</v>
      </c>
      <c r="R101" s="60" t="e">
        <f>Links!E101+'On-Ramps'!AD101</f>
        <v>#DIV/0!</v>
      </c>
      <c r="S101" s="60" t="e">
        <f>Links!F101+'On-Ramps'!AE101</f>
        <v>#DIV/0!</v>
      </c>
      <c r="T101" s="60" t="e">
        <f>Links!G101+'On-Ramps'!AF101</f>
        <v>#DIV/0!</v>
      </c>
      <c r="U101" s="60" t="e">
        <f>Links!H101+'On-Ramps'!AG101</f>
        <v>#DIV/0!</v>
      </c>
      <c r="V101" s="60" t="e">
        <f>Links!J101+'On-Ramps'!AH101</f>
        <v>#DIV/0!</v>
      </c>
      <c r="W101" s="60" t="e">
        <f>Links!K101+'On-Ramps'!AI101</f>
        <v>#DIV/0!</v>
      </c>
      <c r="X101" s="60" t="e">
        <f>Links!L101+'On-Ramps'!AJ101</f>
        <v>#DIV/0!</v>
      </c>
      <c r="Y101" s="60" t="e">
        <f>Links!M101</f>
        <v>#DIV/0!</v>
      </c>
      <c r="Z101" s="60" t="e">
        <f>Links!N101+'On-Ramps'!AK101</f>
        <v>#DIV/0!</v>
      </c>
      <c r="AA101" s="60" t="e">
        <f>Links!O101</f>
        <v>#DIV/0!</v>
      </c>
      <c r="AB101" s="59" t="e">
        <f t="shared" si="44"/>
        <v>#DIV/0!</v>
      </c>
      <c r="AC101" s="65"/>
      <c r="AD101" s="59" t="e">
        <f t="shared" si="45"/>
        <v>#DIV/0!</v>
      </c>
      <c r="AE101" s="65"/>
      <c r="AF101" s="59" t="e">
        <f t="shared" si="46"/>
        <v>#DIV/0!</v>
      </c>
      <c r="AG101" s="59" t="e">
        <f t="shared" si="47"/>
        <v>#DIV/0!</v>
      </c>
      <c r="AH101" s="59" t="e">
        <f t="shared" si="48"/>
        <v>#DIV/0!</v>
      </c>
      <c r="AI101" s="59" t="e">
        <f t="shared" si="49"/>
        <v>#DIV/0!</v>
      </c>
      <c r="AJ101" s="59" t="e">
        <f t="shared" si="50"/>
        <v>#DIV/0!</v>
      </c>
      <c r="AK101" s="59" t="e">
        <f t="shared" si="51"/>
        <v>#DIV/0!</v>
      </c>
      <c r="AL101" s="59" t="e">
        <f t="shared" si="52"/>
        <v>#DIV/0!</v>
      </c>
      <c r="AM101" s="65"/>
      <c r="AN101" s="59" t="e">
        <f t="shared" si="54"/>
        <v>#DIV/0!</v>
      </c>
      <c r="AO101" s="60" t="e">
        <f t="shared" si="30"/>
        <v>#DIV/0!</v>
      </c>
      <c r="AP101" s="65"/>
      <c r="AQ101" s="60" t="e">
        <f t="shared" si="55"/>
        <v>#DIV/0!</v>
      </c>
      <c r="AR101" s="65"/>
      <c r="AS101" s="60" t="e">
        <f t="shared" si="55"/>
        <v>#DIV/0!</v>
      </c>
      <c r="AT101" s="60" t="e">
        <f t="shared" si="55"/>
        <v>#DIV/0!</v>
      </c>
      <c r="AU101" s="60" t="e">
        <f t="shared" si="55"/>
        <v>#DIV/0!</v>
      </c>
      <c r="AV101" s="60" t="e">
        <f t="shared" si="55"/>
        <v>#DIV/0!</v>
      </c>
      <c r="AW101" s="60" t="e">
        <f t="shared" si="55"/>
        <v>#DIV/0!</v>
      </c>
      <c r="AX101" s="60" t="e">
        <f t="shared" si="55"/>
        <v>#DIV/0!</v>
      </c>
      <c r="AY101" s="60" t="e">
        <f t="shared" si="55"/>
        <v>#DIV/0!</v>
      </c>
      <c r="AZ101" s="65"/>
      <c r="BA101" s="60" t="e">
        <f t="shared" si="55"/>
        <v>#DIV/0!</v>
      </c>
      <c r="BB101" s="59" t="e">
        <f>Links!AF101</f>
        <v>#DIV/0!</v>
      </c>
      <c r="BC101" s="59" t="e">
        <f>(Links!AG101*Links!C101+'On-Ramps'!AC101*'On-Ramps'!CE101)/('On-Ramps'!AC101+Links!C101)</f>
        <v>#DIV/0!</v>
      </c>
      <c r="BD101" s="59" t="e">
        <f>Links!AH101</f>
        <v>#DIV/0!</v>
      </c>
      <c r="BE101" s="59" t="e">
        <f>(Links!AI101*Links!E101+'On-Ramps'!AD101*'On-Ramps'!CF100)/('On-Ramps'!AD101+Links!E101)</f>
        <v>#DIV/0!</v>
      </c>
      <c r="BF101" s="59" t="e">
        <f>(Links!F101*Links!AJ101+'On-Ramps'!AE101*'On-Ramps'!CG101)/('On-Ramps'!AE101+Links!F101)</f>
        <v>#DIV/0!</v>
      </c>
      <c r="BG101" s="59" t="e">
        <f>(Links!G101*Links!AK101+'On-Ramps'!AF101*'On-Ramps'!CH101)/('On-Ramps'!AF101+Links!G101)</f>
        <v>#DIV/0!</v>
      </c>
      <c r="BH101" s="59" t="e">
        <f>(Links!H101*Links!AL101+'On-Ramps'!AG101*'On-Ramps'!CI101)/('On-Ramps'!AG101+Links!H101)</f>
        <v>#DIV/0!</v>
      </c>
      <c r="BI101" s="59" t="e">
        <f>(Links!J101*Links!AN101+'On-Ramps'!AH101*'On-Ramps'!CJ101)/('On-Ramps'!AH101+Links!J101)</f>
        <v>#DIV/0!</v>
      </c>
      <c r="BJ101" s="59" t="e">
        <f>(Links!K101*Links!AO101+'On-Ramps'!AI101*'On-Ramps'!CK101)/('On-Ramps'!AI101+Links!K101)</f>
        <v>#DIV/0!</v>
      </c>
      <c r="BK101" s="59" t="e">
        <f>(Links!L101*Links!AP101+'On-Ramps'!AJ101*'On-Ramps'!CL101)/(Links!L101+'On-Ramps'!AJ101)</f>
        <v>#DIV/0!</v>
      </c>
      <c r="BL101" s="59" t="e">
        <f>Links!AQ101</f>
        <v>#DIV/0!</v>
      </c>
      <c r="BM101" s="59" t="e">
        <f>(Links!N101*Links!AR101+'On-Ramps'!AL101*'On-Ramps'!CM101)/(Links!N101+'On-Ramps'!AL101)</f>
        <v>#DIV/0!</v>
      </c>
      <c r="BN101" s="59" t="e">
        <f>Links!AS101</f>
        <v>#DIV/0!</v>
      </c>
      <c r="BO101" s="60" t="e">
        <f>(Links!R101^2+'Off-Ramp'!L101^2)/(Links!R101+'Off-Ramp'!L101)</f>
        <v>#DIV/0!</v>
      </c>
      <c r="BP101" s="60" t="e">
        <f>Links!S101</f>
        <v>#DIV/0!</v>
      </c>
      <c r="BQ101" s="60" t="e">
        <f>(Links!S101^2+'Off-Ramp'!C101^2)/(Links!S101+'Off-Ramp'!C101)</f>
        <v>#DIV/0!</v>
      </c>
      <c r="BR101" s="60" t="e">
        <f>Links!T101</f>
        <v>#DIV/0!</v>
      </c>
      <c r="BS101" s="60" t="e">
        <f>(Links!X101^2+'Off-Ramp'!V101^2+'Off-Ramp'!W101^2+'Off-Ramp'!X101^2)/(Links!X101+'Off-Ramp'!V101+'Off-Ramp'!W101+'Off-Ramp'!X101)</f>
        <v>#DIV/0!</v>
      </c>
      <c r="BT101" s="60" t="e">
        <f>(Links!Y101^2+'Off-Ramp'!Y101^2+'Off-Ramp'!Z101^2+'Off-Ramp'!AA101^2)/(Links!Y101+'Off-Ramp'!Y101+'Off-Ramp'!Z101+'Off-Ramp'!AA101)</f>
        <v>#DIV/0!</v>
      </c>
      <c r="BU101" s="60" t="e">
        <f>(Links!W101^2+'Off-Ramp'!P101^2)/(Links!W101+'Off-Ramp'!P101)</f>
        <v>#DIV/0!</v>
      </c>
      <c r="BV101" s="60" t="e">
        <f>(Links!Y101^2+'Off-Ramp'!Q101^2)/(Links!Y101+'Off-Ramp'!Q101)</f>
        <v>#DIV/0!</v>
      </c>
      <c r="BW101" s="60" t="e">
        <f>(Links!Z101^2+'Off-Ramp'!R101^2)/(Links!Z101+'Off-Ramp'!R101)</f>
        <v>#DIV/0!</v>
      </c>
      <c r="BX101" s="60" t="e">
        <f>(Links!AA101+'Off-Ramp'!S101)/(Links!AA101^2+'Off-Ramp'!S101^2)</f>
        <v>#DIV/0!</v>
      </c>
      <c r="BY101" s="60" t="e">
        <f>(Links!AB101^2+'Off-Ramp'!T101^2)/(Links!AB101+'Off-Ramp'!T101)</f>
        <v>#DIV/0!</v>
      </c>
      <c r="BZ101" s="60" t="e">
        <f>Links!AC101</f>
        <v>#DIV/0!</v>
      </c>
      <c r="CA101" s="60" t="e">
        <f>(Links!AD101^2+'Off-Ramp'!U101^2)/(Links!AD101+'Off-Ramp'!U101)</f>
        <v>#DIV/0!</v>
      </c>
    </row>
    <row r="102" spans="1:79" x14ac:dyDescent="0.15">
      <c r="A102" s="58">
        <v>100</v>
      </c>
      <c r="B102" s="59" t="e">
        <f t="shared" si="31"/>
        <v>#DIV/0!</v>
      </c>
      <c r="C102" s="59" t="e">
        <f t="shared" si="32"/>
        <v>#DIV/0!</v>
      </c>
      <c r="D102" s="59" t="e">
        <f t="shared" si="33"/>
        <v>#DIV/0!</v>
      </c>
      <c r="E102" s="59" t="e">
        <f t="shared" si="34"/>
        <v>#DIV/0!</v>
      </c>
      <c r="F102" s="59" t="e">
        <f t="shared" si="35"/>
        <v>#DIV/0!</v>
      </c>
      <c r="G102" s="59" t="e">
        <f t="shared" si="36"/>
        <v>#DIV/0!</v>
      </c>
      <c r="H102" s="59" t="e">
        <f t="shared" si="37"/>
        <v>#DIV/0!</v>
      </c>
      <c r="I102" s="59" t="e">
        <f t="shared" si="38"/>
        <v>#DIV/0!</v>
      </c>
      <c r="J102" s="59" t="e">
        <f t="shared" si="39"/>
        <v>#DIV/0!</v>
      </c>
      <c r="K102" s="59" t="e">
        <f t="shared" si="40"/>
        <v>#DIV/0!</v>
      </c>
      <c r="L102" s="59" t="e">
        <f t="shared" si="41"/>
        <v>#DIV/0!</v>
      </c>
      <c r="M102" s="59" t="e">
        <f t="shared" si="42"/>
        <v>#DIV/0!</v>
      </c>
      <c r="N102" s="59" t="e">
        <f t="shared" si="43"/>
        <v>#DIV/0!</v>
      </c>
      <c r="O102" s="60" t="e">
        <f>Links!B102</f>
        <v>#DIV/0!</v>
      </c>
      <c r="P102" s="60" t="e">
        <f>Links!C102+'On-Ramps'!AC102</f>
        <v>#DIV/0!</v>
      </c>
      <c r="Q102" s="60" t="e">
        <f>Links!D102</f>
        <v>#DIV/0!</v>
      </c>
      <c r="R102" s="60" t="e">
        <f>Links!E102+'On-Ramps'!AD102</f>
        <v>#DIV/0!</v>
      </c>
      <c r="S102" s="60" t="e">
        <f>Links!F102+'On-Ramps'!AE102</f>
        <v>#DIV/0!</v>
      </c>
      <c r="T102" s="60" t="e">
        <f>Links!G102+'On-Ramps'!AF102</f>
        <v>#DIV/0!</v>
      </c>
      <c r="U102" s="60" t="e">
        <f>Links!H102+'On-Ramps'!AG102</f>
        <v>#DIV/0!</v>
      </c>
      <c r="V102" s="60" t="e">
        <f>Links!J102+'On-Ramps'!AH102</f>
        <v>#DIV/0!</v>
      </c>
      <c r="W102" s="60" t="e">
        <f>Links!K102+'On-Ramps'!AI102</f>
        <v>#DIV/0!</v>
      </c>
      <c r="X102" s="60" t="e">
        <f>Links!L102+'On-Ramps'!AJ102</f>
        <v>#DIV/0!</v>
      </c>
      <c r="Y102" s="60" t="e">
        <f>Links!M102</f>
        <v>#DIV/0!</v>
      </c>
      <c r="Z102" s="60" t="e">
        <f>Links!N102+'On-Ramps'!AK102</f>
        <v>#DIV/0!</v>
      </c>
      <c r="AA102" s="60" t="e">
        <f>Links!O102</f>
        <v>#DIV/0!</v>
      </c>
      <c r="AB102" s="59" t="e">
        <f t="shared" si="44"/>
        <v>#DIV/0!</v>
      </c>
      <c r="AC102" s="65"/>
      <c r="AD102" s="59" t="e">
        <f t="shared" si="45"/>
        <v>#DIV/0!</v>
      </c>
      <c r="AE102" s="65"/>
      <c r="AF102" s="59" t="e">
        <f t="shared" si="46"/>
        <v>#DIV/0!</v>
      </c>
      <c r="AG102" s="59" t="e">
        <f t="shared" si="47"/>
        <v>#DIV/0!</v>
      </c>
      <c r="AH102" s="59" t="e">
        <f t="shared" si="48"/>
        <v>#DIV/0!</v>
      </c>
      <c r="AI102" s="59" t="e">
        <f t="shared" si="49"/>
        <v>#DIV/0!</v>
      </c>
      <c r="AJ102" s="59" t="e">
        <f t="shared" si="50"/>
        <v>#DIV/0!</v>
      </c>
      <c r="AK102" s="59" t="e">
        <f t="shared" si="51"/>
        <v>#DIV/0!</v>
      </c>
      <c r="AL102" s="59" t="e">
        <f t="shared" si="52"/>
        <v>#DIV/0!</v>
      </c>
      <c r="AM102" s="65"/>
      <c r="AN102" s="59" t="e">
        <f t="shared" si="54"/>
        <v>#DIV/0!</v>
      </c>
      <c r="AO102" s="60" t="e">
        <f t="shared" si="30"/>
        <v>#DIV/0!</v>
      </c>
      <c r="AP102" s="65"/>
      <c r="AQ102" s="60" t="e">
        <f t="shared" si="55"/>
        <v>#DIV/0!</v>
      </c>
      <c r="AR102" s="65"/>
      <c r="AS102" s="60" t="e">
        <f t="shared" si="55"/>
        <v>#DIV/0!</v>
      </c>
      <c r="AT102" s="60" t="e">
        <f t="shared" si="55"/>
        <v>#DIV/0!</v>
      </c>
      <c r="AU102" s="60" t="e">
        <f t="shared" si="55"/>
        <v>#DIV/0!</v>
      </c>
      <c r="AV102" s="60" t="e">
        <f t="shared" si="55"/>
        <v>#DIV/0!</v>
      </c>
      <c r="AW102" s="60" t="e">
        <f t="shared" si="55"/>
        <v>#DIV/0!</v>
      </c>
      <c r="AX102" s="60" t="e">
        <f t="shared" si="55"/>
        <v>#DIV/0!</v>
      </c>
      <c r="AY102" s="60" t="e">
        <f t="shared" si="55"/>
        <v>#DIV/0!</v>
      </c>
      <c r="AZ102" s="65"/>
      <c r="BA102" s="60" t="e">
        <f t="shared" si="55"/>
        <v>#DIV/0!</v>
      </c>
      <c r="BB102" s="59" t="e">
        <f>Links!AF102</f>
        <v>#DIV/0!</v>
      </c>
      <c r="BC102" s="59" t="e">
        <f>(Links!AG102*Links!C102+'On-Ramps'!AC102*'On-Ramps'!CE102)/('On-Ramps'!AC102+Links!C102)</f>
        <v>#DIV/0!</v>
      </c>
      <c r="BD102" s="59" t="e">
        <f>Links!AH102</f>
        <v>#DIV/0!</v>
      </c>
      <c r="BE102" s="59" t="e">
        <f>(Links!AI102*Links!E102+'On-Ramps'!AD102*'On-Ramps'!CF101)/('On-Ramps'!AD102+Links!E102)</f>
        <v>#DIV/0!</v>
      </c>
      <c r="BF102" s="59" t="e">
        <f>(Links!F102*Links!AJ102+'On-Ramps'!AE102*'On-Ramps'!CG102)/('On-Ramps'!AE102+Links!F102)</f>
        <v>#DIV/0!</v>
      </c>
      <c r="BG102" s="59" t="e">
        <f>(Links!G102*Links!AK102+'On-Ramps'!AF102*'On-Ramps'!CH102)/('On-Ramps'!AF102+Links!G102)</f>
        <v>#DIV/0!</v>
      </c>
      <c r="BH102" s="59" t="e">
        <f>(Links!H102*Links!AL102+'On-Ramps'!AG102*'On-Ramps'!CI102)/('On-Ramps'!AG102+Links!H102)</f>
        <v>#DIV/0!</v>
      </c>
      <c r="BI102" s="59" t="e">
        <f>(Links!J102*Links!AN102+'On-Ramps'!AH102*'On-Ramps'!CJ102)/('On-Ramps'!AH102+Links!J102)</f>
        <v>#DIV/0!</v>
      </c>
      <c r="BJ102" s="59" t="e">
        <f>(Links!K102*Links!AO102+'On-Ramps'!AI102*'On-Ramps'!CK102)/('On-Ramps'!AI102+Links!K102)</f>
        <v>#DIV/0!</v>
      </c>
      <c r="BK102" s="59" t="e">
        <f>(Links!L102*Links!AP102+'On-Ramps'!AJ102*'On-Ramps'!CL102)/(Links!L102+'On-Ramps'!AJ102)</f>
        <v>#DIV/0!</v>
      </c>
      <c r="BL102" s="59" t="e">
        <f>Links!AQ102</f>
        <v>#DIV/0!</v>
      </c>
      <c r="BM102" s="59" t="e">
        <f>(Links!N102*Links!AR102+'On-Ramps'!AL102*'On-Ramps'!CM102)/(Links!N102+'On-Ramps'!AL102)</f>
        <v>#DIV/0!</v>
      </c>
      <c r="BN102" s="59" t="e">
        <f>Links!AS102</f>
        <v>#DIV/0!</v>
      </c>
      <c r="BO102" s="60" t="e">
        <f>(Links!R102^2+'Off-Ramp'!L102^2)/(Links!R102+'Off-Ramp'!L102)</f>
        <v>#DIV/0!</v>
      </c>
      <c r="BP102" s="60" t="e">
        <f>Links!S102</f>
        <v>#DIV/0!</v>
      </c>
      <c r="BQ102" s="60" t="e">
        <f>(Links!S102^2+'Off-Ramp'!C102^2)/(Links!S102+'Off-Ramp'!C102)</f>
        <v>#DIV/0!</v>
      </c>
      <c r="BR102" s="60" t="e">
        <f>Links!T102</f>
        <v>#DIV/0!</v>
      </c>
      <c r="BS102" s="60" t="e">
        <f>(Links!X102^2+'Off-Ramp'!V102^2+'Off-Ramp'!W102^2+'Off-Ramp'!X102^2)/(Links!X102+'Off-Ramp'!V102+'Off-Ramp'!W102+'Off-Ramp'!X102)</f>
        <v>#DIV/0!</v>
      </c>
      <c r="BT102" s="60" t="e">
        <f>(Links!Y102^2+'Off-Ramp'!Y102^2+'Off-Ramp'!Z102^2+'Off-Ramp'!AA102^2)/(Links!Y102+'Off-Ramp'!Y102+'Off-Ramp'!Z102+'Off-Ramp'!AA102)</f>
        <v>#DIV/0!</v>
      </c>
      <c r="BU102" s="60" t="e">
        <f>(Links!W102^2+'Off-Ramp'!P102^2)/(Links!W102+'Off-Ramp'!P102)</f>
        <v>#DIV/0!</v>
      </c>
      <c r="BV102" s="60" t="e">
        <f>(Links!Y102^2+'Off-Ramp'!Q102^2)/(Links!Y102+'Off-Ramp'!Q102)</f>
        <v>#DIV/0!</v>
      </c>
      <c r="BW102" s="60" t="e">
        <f>(Links!Z102^2+'Off-Ramp'!R102^2)/(Links!Z102+'Off-Ramp'!R102)</f>
        <v>#DIV/0!</v>
      </c>
      <c r="BX102" s="60" t="e">
        <f>(Links!AA102+'Off-Ramp'!S102)/(Links!AA102^2+'Off-Ramp'!S102^2)</f>
        <v>#DIV/0!</v>
      </c>
      <c r="BY102" s="60" t="e">
        <f>(Links!AB102^2+'Off-Ramp'!T102^2)/(Links!AB102+'Off-Ramp'!T102)</f>
        <v>#DIV/0!</v>
      </c>
      <c r="BZ102" s="60" t="e">
        <f>Links!AC102</f>
        <v>#DIV/0!</v>
      </c>
      <c r="CA102" s="60" t="e">
        <f>(Links!AD102^2+'Off-Ramp'!U102^2)/(Links!AD102+'Off-Ramp'!U102)</f>
        <v>#DIV/0!</v>
      </c>
    </row>
    <row r="103" spans="1:79" x14ac:dyDescent="0.15">
      <c r="A103" s="58">
        <v>101</v>
      </c>
      <c r="B103" s="59" t="e">
        <f t="shared" si="31"/>
        <v>#DIV/0!</v>
      </c>
      <c r="C103" s="59" t="e">
        <f t="shared" si="32"/>
        <v>#DIV/0!</v>
      </c>
      <c r="D103" s="59" t="e">
        <f t="shared" si="33"/>
        <v>#DIV/0!</v>
      </c>
      <c r="E103" s="59" t="e">
        <f t="shared" si="34"/>
        <v>#DIV/0!</v>
      </c>
      <c r="F103" s="59" t="e">
        <f t="shared" si="35"/>
        <v>#DIV/0!</v>
      </c>
      <c r="G103" s="59" t="e">
        <f t="shared" si="36"/>
        <v>#DIV/0!</v>
      </c>
      <c r="H103" s="59" t="e">
        <f t="shared" si="37"/>
        <v>#DIV/0!</v>
      </c>
      <c r="I103" s="59" t="e">
        <f t="shared" si="38"/>
        <v>#DIV/0!</v>
      </c>
      <c r="J103" s="59" t="e">
        <f t="shared" si="39"/>
        <v>#DIV/0!</v>
      </c>
      <c r="K103" s="59" t="e">
        <f t="shared" si="40"/>
        <v>#DIV/0!</v>
      </c>
      <c r="L103" s="59" t="e">
        <f t="shared" si="41"/>
        <v>#DIV/0!</v>
      </c>
      <c r="M103" s="59" t="e">
        <f t="shared" si="42"/>
        <v>#DIV/0!</v>
      </c>
      <c r="N103" s="59" t="e">
        <f t="shared" si="43"/>
        <v>#DIV/0!</v>
      </c>
      <c r="O103" s="60" t="e">
        <f>Links!B103</f>
        <v>#DIV/0!</v>
      </c>
      <c r="P103" s="60" t="e">
        <f>Links!C103+'On-Ramps'!AC103</f>
        <v>#DIV/0!</v>
      </c>
      <c r="Q103" s="60" t="e">
        <f>Links!D103</f>
        <v>#DIV/0!</v>
      </c>
      <c r="R103" s="60" t="e">
        <f>Links!E103+'On-Ramps'!AD103</f>
        <v>#DIV/0!</v>
      </c>
      <c r="S103" s="60" t="e">
        <f>Links!F103+'On-Ramps'!AE103</f>
        <v>#DIV/0!</v>
      </c>
      <c r="T103" s="60" t="e">
        <f>Links!G103+'On-Ramps'!AF103</f>
        <v>#DIV/0!</v>
      </c>
      <c r="U103" s="60" t="e">
        <f>Links!H103+'On-Ramps'!AG103</f>
        <v>#DIV/0!</v>
      </c>
      <c r="V103" s="60" t="e">
        <f>Links!J103+'On-Ramps'!AH103</f>
        <v>#DIV/0!</v>
      </c>
      <c r="W103" s="60" t="e">
        <f>Links!K103+'On-Ramps'!AI103</f>
        <v>#DIV/0!</v>
      </c>
      <c r="X103" s="60" t="e">
        <f>Links!L103+'On-Ramps'!AJ103</f>
        <v>#DIV/0!</v>
      </c>
      <c r="Y103" s="60" t="e">
        <f>Links!M103</f>
        <v>#DIV/0!</v>
      </c>
      <c r="Z103" s="60" t="e">
        <f>Links!N103+'On-Ramps'!AK103</f>
        <v>#DIV/0!</v>
      </c>
      <c r="AA103" s="60" t="e">
        <f>Links!O103</f>
        <v>#DIV/0!</v>
      </c>
      <c r="AB103" s="59" t="e">
        <f t="shared" si="44"/>
        <v>#DIV/0!</v>
      </c>
      <c r="AC103" s="65"/>
      <c r="AD103" s="59" t="e">
        <f t="shared" si="45"/>
        <v>#DIV/0!</v>
      </c>
      <c r="AE103" s="65"/>
      <c r="AF103" s="59" t="e">
        <f t="shared" si="46"/>
        <v>#DIV/0!</v>
      </c>
      <c r="AG103" s="59" t="e">
        <f t="shared" si="47"/>
        <v>#DIV/0!</v>
      </c>
      <c r="AH103" s="59" t="e">
        <f t="shared" si="48"/>
        <v>#DIV/0!</v>
      </c>
      <c r="AI103" s="59" t="e">
        <f t="shared" si="49"/>
        <v>#DIV/0!</v>
      </c>
      <c r="AJ103" s="59" t="e">
        <f t="shared" si="50"/>
        <v>#DIV/0!</v>
      </c>
      <c r="AK103" s="59" t="e">
        <f t="shared" si="51"/>
        <v>#DIV/0!</v>
      </c>
      <c r="AL103" s="59" t="e">
        <f t="shared" si="52"/>
        <v>#DIV/0!</v>
      </c>
      <c r="AM103" s="65"/>
      <c r="AN103" s="59" t="e">
        <f t="shared" si="54"/>
        <v>#DIV/0!</v>
      </c>
      <c r="AO103" s="60" t="e">
        <f t="shared" si="30"/>
        <v>#DIV/0!</v>
      </c>
      <c r="AP103" s="65"/>
      <c r="AQ103" s="60" t="e">
        <f t="shared" si="55"/>
        <v>#DIV/0!</v>
      </c>
      <c r="AR103" s="65"/>
      <c r="AS103" s="60" t="e">
        <f t="shared" si="55"/>
        <v>#DIV/0!</v>
      </c>
      <c r="AT103" s="60" t="e">
        <f t="shared" si="55"/>
        <v>#DIV/0!</v>
      </c>
      <c r="AU103" s="60" t="e">
        <f t="shared" si="55"/>
        <v>#DIV/0!</v>
      </c>
      <c r="AV103" s="60" t="e">
        <f t="shared" si="55"/>
        <v>#DIV/0!</v>
      </c>
      <c r="AW103" s="60" t="e">
        <f t="shared" si="55"/>
        <v>#DIV/0!</v>
      </c>
      <c r="AX103" s="60" t="e">
        <f t="shared" si="55"/>
        <v>#DIV/0!</v>
      </c>
      <c r="AY103" s="60" t="e">
        <f t="shared" si="55"/>
        <v>#DIV/0!</v>
      </c>
      <c r="AZ103" s="65"/>
      <c r="BA103" s="60" t="e">
        <f t="shared" si="55"/>
        <v>#DIV/0!</v>
      </c>
      <c r="BB103" s="59" t="e">
        <f>Links!AF103</f>
        <v>#DIV/0!</v>
      </c>
      <c r="BC103" s="59" t="e">
        <f>(Links!AG103*Links!C103+'On-Ramps'!AC103*'On-Ramps'!CE103)/('On-Ramps'!AC103+Links!C103)</f>
        <v>#DIV/0!</v>
      </c>
      <c r="BD103" s="59" t="e">
        <f>Links!AH103</f>
        <v>#DIV/0!</v>
      </c>
      <c r="BE103" s="59" t="e">
        <f>(Links!AI103*Links!E103+'On-Ramps'!AD103*'On-Ramps'!CF102)/('On-Ramps'!AD103+Links!E103)</f>
        <v>#DIV/0!</v>
      </c>
      <c r="BF103" s="59" t="e">
        <f>(Links!F103*Links!AJ103+'On-Ramps'!AE103*'On-Ramps'!CG103)/('On-Ramps'!AE103+Links!F103)</f>
        <v>#DIV/0!</v>
      </c>
      <c r="BG103" s="59" t="e">
        <f>(Links!G103*Links!AK103+'On-Ramps'!AF103*'On-Ramps'!CH103)/('On-Ramps'!AF103+Links!G103)</f>
        <v>#DIV/0!</v>
      </c>
      <c r="BH103" s="59" t="e">
        <f>(Links!H103*Links!AL103+'On-Ramps'!AG103*'On-Ramps'!CI103)/('On-Ramps'!AG103+Links!H103)</f>
        <v>#DIV/0!</v>
      </c>
      <c r="BI103" s="59" t="e">
        <f>(Links!J103*Links!AN103+'On-Ramps'!AH103*'On-Ramps'!CJ103)/('On-Ramps'!AH103+Links!J103)</f>
        <v>#DIV/0!</v>
      </c>
      <c r="BJ103" s="59" t="e">
        <f>(Links!K103*Links!AO103+'On-Ramps'!AI103*'On-Ramps'!CK103)/('On-Ramps'!AI103+Links!K103)</f>
        <v>#DIV/0!</v>
      </c>
      <c r="BK103" s="59" t="e">
        <f>(Links!L103*Links!AP103+'On-Ramps'!AJ103*'On-Ramps'!CL103)/(Links!L103+'On-Ramps'!AJ103)</f>
        <v>#DIV/0!</v>
      </c>
      <c r="BL103" s="59" t="e">
        <f>Links!AQ103</f>
        <v>#DIV/0!</v>
      </c>
      <c r="BM103" s="59" t="e">
        <f>(Links!N103*Links!AR103+'On-Ramps'!AL103*'On-Ramps'!CM103)/(Links!N103+'On-Ramps'!AL103)</f>
        <v>#DIV/0!</v>
      </c>
      <c r="BN103" s="59" t="e">
        <f>Links!AS103</f>
        <v>#DIV/0!</v>
      </c>
      <c r="BO103" s="60" t="e">
        <f>(Links!R103^2+'Off-Ramp'!L103^2)/(Links!R103+'Off-Ramp'!L103)</f>
        <v>#DIV/0!</v>
      </c>
      <c r="BP103" s="60" t="e">
        <f>Links!S103</f>
        <v>#DIV/0!</v>
      </c>
      <c r="BQ103" s="60" t="e">
        <f>(Links!S103^2+'Off-Ramp'!C103^2)/(Links!S103+'Off-Ramp'!C103)</f>
        <v>#DIV/0!</v>
      </c>
      <c r="BR103" s="60" t="e">
        <f>Links!T103</f>
        <v>#DIV/0!</v>
      </c>
      <c r="BS103" s="60" t="e">
        <f>(Links!X103^2+'Off-Ramp'!V103^2+'Off-Ramp'!W103^2+'Off-Ramp'!X103^2)/(Links!X103+'Off-Ramp'!V103+'Off-Ramp'!W103+'Off-Ramp'!X103)</f>
        <v>#DIV/0!</v>
      </c>
      <c r="BT103" s="60" t="e">
        <f>(Links!Y103^2+'Off-Ramp'!Y103^2+'Off-Ramp'!Z103^2+'Off-Ramp'!AA103^2)/(Links!Y103+'Off-Ramp'!Y103+'Off-Ramp'!Z103+'Off-Ramp'!AA103)</f>
        <v>#DIV/0!</v>
      </c>
      <c r="BU103" s="60" t="e">
        <f>(Links!W103^2+'Off-Ramp'!P103^2)/(Links!W103+'Off-Ramp'!P103)</f>
        <v>#DIV/0!</v>
      </c>
      <c r="BV103" s="60" t="e">
        <f>(Links!Y103^2+'Off-Ramp'!Q103^2)/(Links!Y103+'Off-Ramp'!Q103)</f>
        <v>#DIV/0!</v>
      </c>
      <c r="BW103" s="60" t="e">
        <f>(Links!Z103^2+'Off-Ramp'!R103^2)/(Links!Z103+'Off-Ramp'!R103)</f>
        <v>#DIV/0!</v>
      </c>
      <c r="BX103" s="60" t="e">
        <f>(Links!AA103+'Off-Ramp'!S103)/(Links!AA103^2+'Off-Ramp'!S103^2)</f>
        <v>#DIV/0!</v>
      </c>
      <c r="BY103" s="60" t="e">
        <f>(Links!AB103^2+'Off-Ramp'!T103^2)/(Links!AB103+'Off-Ramp'!T103)</f>
        <v>#DIV/0!</v>
      </c>
      <c r="BZ103" s="60" t="e">
        <f>Links!AC103</f>
        <v>#DIV/0!</v>
      </c>
      <c r="CA103" s="60" t="e">
        <f>(Links!AD103^2+'Off-Ramp'!U103^2)/(Links!AD103+'Off-Ramp'!U103)</f>
        <v>#DIV/0!</v>
      </c>
    </row>
    <row r="104" spans="1:79" x14ac:dyDescent="0.15">
      <c r="A104" s="58">
        <v>102</v>
      </c>
      <c r="B104" s="59" t="e">
        <f t="shared" si="31"/>
        <v>#DIV/0!</v>
      </c>
      <c r="C104" s="59" t="e">
        <f t="shared" si="32"/>
        <v>#DIV/0!</v>
      </c>
      <c r="D104" s="59" t="e">
        <f t="shared" si="33"/>
        <v>#DIV/0!</v>
      </c>
      <c r="E104" s="59" t="e">
        <f t="shared" si="34"/>
        <v>#DIV/0!</v>
      </c>
      <c r="F104" s="59" t="e">
        <f t="shared" si="35"/>
        <v>#DIV/0!</v>
      </c>
      <c r="G104" s="59" t="e">
        <f t="shared" si="36"/>
        <v>#DIV/0!</v>
      </c>
      <c r="H104" s="59" t="e">
        <f t="shared" si="37"/>
        <v>#DIV/0!</v>
      </c>
      <c r="I104" s="59" t="e">
        <f t="shared" si="38"/>
        <v>#DIV/0!</v>
      </c>
      <c r="J104" s="59" t="e">
        <f t="shared" si="39"/>
        <v>#DIV/0!</v>
      </c>
      <c r="K104" s="59" t="e">
        <f t="shared" si="40"/>
        <v>#DIV/0!</v>
      </c>
      <c r="L104" s="59" t="e">
        <f t="shared" si="41"/>
        <v>#DIV/0!</v>
      </c>
      <c r="M104" s="59" t="e">
        <f t="shared" si="42"/>
        <v>#DIV/0!</v>
      </c>
      <c r="N104" s="59" t="e">
        <f t="shared" si="43"/>
        <v>#DIV/0!</v>
      </c>
      <c r="O104" s="60" t="e">
        <f>Links!B104</f>
        <v>#DIV/0!</v>
      </c>
      <c r="P104" s="60" t="e">
        <f>Links!C104+'On-Ramps'!AC104</f>
        <v>#DIV/0!</v>
      </c>
      <c r="Q104" s="60" t="e">
        <f>Links!D104</f>
        <v>#DIV/0!</v>
      </c>
      <c r="R104" s="60" t="e">
        <f>Links!E104+'On-Ramps'!AD104</f>
        <v>#DIV/0!</v>
      </c>
      <c r="S104" s="60" t="e">
        <f>Links!F104+'On-Ramps'!AE104</f>
        <v>#DIV/0!</v>
      </c>
      <c r="T104" s="60" t="e">
        <f>Links!G104+'On-Ramps'!AF104</f>
        <v>#DIV/0!</v>
      </c>
      <c r="U104" s="60" t="e">
        <f>Links!H104+'On-Ramps'!AG104</f>
        <v>#DIV/0!</v>
      </c>
      <c r="V104" s="60" t="e">
        <f>Links!J104+'On-Ramps'!AH104</f>
        <v>#DIV/0!</v>
      </c>
      <c r="W104" s="60" t="e">
        <f>Links!K104+'On-Ramps'!AI104</f>
        <v>#DIV/0!</v>
      </c>
      <c r="X104" s="60" t="e">
        <f>Links!L104+'On-Ramps'!AJ104</f>
        <v>#DIV/0!</v>
      </c>
      <c r="Y104" s="60" t="e">
        <f>Links!M104</f>
        <v>#DIV/0!</v>
      </c>
      <c r="Z104" s="60" t="e">
        <f>Links!N104+'On-Ramps'!AK104</f>
        <v>#DIV/0!</v>
      </c>
      <c r="AA104" s="60" t="e">
        <f>Links!O104</f>
        <v>#DIV/0!</v>
      </c>
      <c r="AB104" s="59" t="e">
        <f t="shared" si="44"/>
        <v>#DIV/0!</v>
      </c>
      <c r="AC104" s="65"/>
      <c r="AD104" s="59" t="e">
        <f t="shared" si="45"/>
        <v>#DIV/0!</v>
      </c>
      <c r="AE104" s="65"/>
      <c r="AF104" s="59" t="e">
        <f t="shared" si="46"/>
        <v>#DIV/0!</v>
      </c>
      <c r="AG104" s="59" t="e">
        <f t="shared" si="47"/>
        <v>#DIV/0!</v>
      </c>
      <c r="AH104" s="59" t="e">
        <f t="shared" si="48"/>
        <v>#DIV/0!</v>
      </c>
      <c r="AI104" s="59" t="e">
        <f t="shared" si="49"/>
        <v>#DIV/0!</v>
      </c>
      <c r="AJ104" s="59" t="e">
        <f t="shared" si="50"/>
        <v>#DIV/0!</v>
      </c>
      <c r="AK104" s="59" t="e">
        <f t="shared" si="51"/>
        <v>#DIV/0!</v>
      </c>
      <c r="AL104" s="59" t="e">
        <f t="shared" si="52"/>
        <v>#DIV/0!</v>
      </c>
      <c r="AM104" s="65"/>
      <c r="AN104" s="59" t="e">
        <f t="shared" si="54"/>
        <v>#DIV/0!</v>
      </c>
      <c r="AO104" s="60" t="e">
        <f t="shared" si="30"/>
        <v>#DIV/0!</v>
      </c>
      <c r="AP104" s="65"/>
      <c r="AQ104" s="60" t="e">
        <f t="shared" si="55"/>
        <v>#DIV/0!</v>
      </c>
      <c r="AR104" s="65"/>
      <c r="AS104" s="60" t="e">
        <f t="shared" si="55"/>
        <v>#DIV/0!</v>
      </c>
      <c r="AT104" s="60" t="e">
        <f t="shared" si="55"/>
        <v>#DIV/0!</v>
      </c>
      <c r="AU104" s="60" t="e">
        <f t="shared" si="55"/>
        <v>#DIV/0!</v>
      </c>
      <c r="AV104" s="60" t="e">
        <f t="shared" si="55"/>
        <v>#DIV/0!</v>
      </c>
      <c r="AW104" s="60" t="e">
        <f t="shared" si="55"/>
        <v>#DIV/0!</v>
      </c>
      <c r="AX104" s="60" t="e">
        <f t="shared" si="55"/>
        <v>#DIV/0!</v>
      </c>
      <c r="AY104" s="60" t="e">
        <f t="shared" si="55"/>
        <v>#DIV/0!</v>
      </c>
      <c r="AZ104" s="65"/>
      <c r="BA104" s="60" t="e">
        <f t="shared" si="55"/>
        <v>#DIV/0!</v>
      </c>
      <c r="BB104" s="59" t="e">
        <f>Links!AF104</f>
        <v>#DIV/0!</v>
      </c>
      <c r="BC104" s="59" t="e">
        <f>(Links!AG104*Links!C104+'On-Ramps'!AC104*'On-Ramps'!CE104)/('On-Ramps'!AC104+Links!C104)</f>
        <v>#DIV/0!</v>
      </c>
      <c r="BD104" s="59" t="e">
        <f>Links!AH104</f>
        <v>#DIV/0!</v>
      </c>
      <c r="BE104" s="59" t="e">
        <f>(Links!AI104*Links!E104+'On-Ramps'!AD104*'On-Ramps'!CF103)/('On-Ramps'!AD104+Links!E104)</f>
        <v>#DIV/0!</v>
      </c>
      <c r="BF104" s="59" t="e">
        <f>(Links!F104*Links!AJ104+'On-Ramps'!AE104*'On-Ramps'!CG104)/('On-Ramps'!AE104+Links!F104)</f>
        <v>#DIV/0!</v>
      </c>
      <c r="BG104" s="59" t="e">
        <f>(Links!G104*Links!AK104+'On-Ramps'!AF104*'On-Ramps'!CH104)/('On-Ramps'!AF104+Links!G104)</f>
        <v>#DIV/0!</v>
      </c>
      <c r="BH104" s="59" t="e">
        <f>(Links!H104*Links!AL104+'On-Ramps'!AG104*'On-Ramps'!CI104)/('On-Ramps'!AG104+Links!H104)</f>
        <v>#DIV/0!</v>
      </c>
      <c r="BI104" s="59" t="e">
        <f>(Links!J104*Links!AN104+'On-Ramps'!AH104*'On-Ramps'!CJ104)/('On-Ramps'!AH104+Links!J104)</f>
        <v>#DIV/0!</v>
      </c>
      <c r="BJ104" s="59" t="e">
        <f>(Links!K104*Links!AO104+'On-Ramps'!AI104*'On-Ramps'!CK104)/('On-Ramps'!AI104+Links!K104)</f>
        <v>#DIV/0!</v>
      </c>
      <c r="BK104" s="59" t="e">
        <f>(Links!L104*Links!AP104+'On-Ramps'!AJ104*'On-Ramps'!CL104)/(Links!L104+'On-Ramps'!AJ104)</f>
        <v>#DIV/0!</v>
      </c>
      <c r="BL104" s="59" t="e">
        <f>Links!AQ104</f>
        <v>#DIV/0!</v>
      </c>
      <c r="BM104" s="59" t="e">
        <f>(Links!N104*Links!AR104+'On-Ramps'!AL104*'On-Ramps'!CM104)/(Links!N104+'On-Ramps'!AL104)</f>
        <v>#DIV/0!</v>
      </c>
      <c r="BN104" s="59" t="e">
        <f>Links!AS104</f>
        <v>#DIV/0!</v>
      </c>
      <c r="BO104" s="60" t="e">
        <f>(Links!R104^2+'Off-Ramp'!L104^2)/(Links!R104+'Off-Ramp'!L104)</f>
        <v>#DIV/0!</v>
      </c>
      <c r="BP104" s="60" t="e">
        <f>Links!S104</f>
        <v>#DIV/0!</v>
      </c>
      <c r="BQ104" s="60" t="e">
        <f>(Links!S104^2+'Off-Ramp'!C104^2)/(Links!S104+'Off-Ramp'!C104)</f>
        <v>#DIV/0!</v>
      </c>
      <c r="BR104" s="60" t="e">
        <f>Links!T104</f>
        <v>#DIV/0!</v>
      </c>
      <c r="BS104" s="60" t="e">
        <f>(Links!X104^2+'Off-Ramp'!V104^2+'Off-Ramp'!W104^2+'Off-Ramp'!X104^2)/(Links!X104+'Off-Ramp'!V104+'Off-Ramp'!W104+'Off-Ramp'!X104)</f>
        <v>#DIV/0!</v>
      </c>
      <c r="BT104" s="60" t="e">
        <f>(Links!Y104^2+'Off-Ramp'!Y104^2+'Off-Ramp'!Z104^2+'Off-Ramp'!AA104^2)/(Links!Y104+'Off-Ramp'!Y104+'Off-Ramp'!Z104+'Off-Ramp'!AA104)</f>
        <v>#DIV/0!</v>
      </c>
      <c r="BU104" s="60" t="e">
        <f>(Links!W104^2+'Off-Ramp'!P104^2)/(Links!W104+'Off-Ramp'!P104)</f>
        <v>#DIV/0!</v>
      </c>
      <c r="BV104" s="60" t="e">
        <f>(Links!Y104^2+'Off-Ramp'!Q104^2)/(Links!Y104+'Off-Ramp'!Q104)</f>
        <v>#DIV/0!</v>
      </c>
      <c r="BW104" s="60" t="e">
        <f>(Links!Z104^2+'Off-Ramp'!R104^2)/(Links!Z104+'Off-Ramp'!R104)</f>
        <v>#DIV/0!</v>
      </c>
      <c r="BX104" s="60" t="e">
        <f>(Links!AA104+'Off-Ramp'!S104)/(Links!AA104^2+'Off-Ramp'!S104^2)</f>
        <v>#DIV/0!</v>
      </c>
      <c r="BY104" s="60" t="e">
        <f>(Links!AB104^2+'Off-Ramp'!T104^2)/(Links!AB104+'Off-Ramp'!T104)</f>
        <v>#DIV/0!</v>
      </c>
      <c r="BZ104" s="60" t="e">
        <f>Links!AC104</f>
        <v>#DIV/0!</v>
      </c>
      <c r="CA104" s="60" t="e">
        <f>(Links!AD104^2+'Off-Ramp'!U104^2)/(Links!AD104+'Off-Ramp'!U104)</f>
        <v>#DIV/0!</v>
      </c>
    </row>
    <row r="105" spans="1:79" x14ac:dyDescent="0.15">
      <c r="A105" s="58">
        <v>103</v>
      </c>
      <c r="B105" s="59" t="e">
        <f t="shared" si="31"/>
        <v>#DIV/0!</v>
      </c>
      <c r="C105" s="59" t="e">
        <f t="shared" si="32"/>
        <v>#DIV/0!</v>
      </c>
      <c r="D105" s="59" t="e">
        <f t="shared" si="33"/>
        <v>#DIV/0!</v>
      </c>
      <c r="E105" s="59" t="e">
        <f t="shared" si="34"/>
        <v>#DIV/0!</v>
      </c>
      <c r="F105" s="59" t="e">
        <f t="shared" si="35"/>
        <v>#DIV/0!</v>
      </c>
      <c r="G105" s="59" t="e">
        <f t="shared" si="36"/>
        <v>#DIV/0!</v>
      </c>
      <c r="H105" s="59" t="e">
        <f t="shared" si="37"/>
        <v>#DIV/0!</v>
      </c>
      <c r="I105" s="59" t="e">
        <f t="shared" si="38"/>
        <v>#DIV/0!</v>
      </c>
      <c r="J105" s="59" t="e">
        <f t="shared" si="39"/>
        <v>#DIV/0!</v>
      </c>
      <c r="K105" s="59" t="e">
        <f t="shared" si="40"/>
        <v>#DIV/0!</v>
      </c>
      <c r="L105" s="59" t="e">
        <f t="shared" si="41"/>
        <v>#DIV/0!</v>
      </c>
      <c r="M105" s="59" t="e">
        <f t="shared" si="42"/>
        <v>#DIV/0!</v>
      </c>
      <c r="N105" s="59" t="e">
        <f t="shared" si="43"/>
        <v>#DIV/0!</v>
      </c>
      <c r="O105" s="60" t="e">
        <f>Links!B105</f>
        <v>#DIV/0!</v>
      </c>
      <c r="P105" s="60" t="e">
        <f>Links!C105+'On-Ramps'!AC105</f>
        <v>#DIV/0!</v>
      </c>
      <c r="Q105" s="60" t="e">
        <f>Links!D105</f>
        <v>#DIV/0!</v>
      </c>
      <c r="R105" s="60" t="e">
        <f>Links!E105+'On-Ramps'!AD105</f>
        <v>#DIV/0!</v>
      </c>
      <c r="S105" s="60" t="e">
        <f>Links!F105+'On-Ramps'!AE105</f>
        <v>#DIV/0!</v>
      </c>
      <c r="T105" s="60" t="e">
        <f>Links!G105+'On-Ramps'!AF105</f>
        <v>#DIV/0!</v>
      </c>
      <c r="U105" s="60" t="e">
        <f>Links!H105+'On-Ramps'!AG105</f>
        <v>#DIV/0!</v>
      </c>
      <c r="V105" s="60" t="e">
        <f>Links!J105+'On-Ramps'!AH105</f>
        <v>#DIV/0!</v>
      </c>
      <c r="W105" s="60" t="e">
        <f>Links!K105+'On-Ramps'!AI105</f>
        <v>#DIV/0!</v>
      </c>
      <c r="X105" s="60" t="e">
        <f>Links!L105+'On-Ramps'!AJ105</f>
        <v>#DIV/0!</v>
      </c>
      <c r="Y105" s="60" t="e">
        <f>Links!M105</f>
        <v>#DIV/0!</v>
      </c>
      <c r="Z105" s="60" t="e">
        <f>Links!N105+'On-Ramps'!AK105</f>
        <v>#DIV/0!</v>
      </c>
      <c r="AA105" s="60" t="e">
        <f>Links!O105</f>
        <v>#DIV/0!</v>
      </c>
      <c r="AB105" s="59" t="e">
        <f t="shared" si="44"/>
        <v>#DIV/0!</v>
      </c>
      <c r="AC105" s="65"/>
      <c r="AD105" s="59" t="e">
        <f t="shared" si="45"/>
        <v>#DIV/0!</v>
      </c>
      <c r="AE105" s="65"/>
      <c r="AF105" s="59" t="e">
        <f t="shared" si="46"/>
        <v>#DIV/0!</v>
      </c>
      <c r="AG105" s="59" t="e">
        <f t="shared" si="47"/>
        <v>#DIV/0!</v>
      </c>
      <c r="AH105" s="59" t="e">
        <f t="shared" si="48"/>
        <v>#DIV/0!</v>
      </c>
      <c r="AI105" s="59" t="e">
        <f t="shared" si="49"/>
        <v>#DIV/0!</v>
      </c>
      <c r="AJ105" s="59" t="e">
        <f t="shared" si="50"/>
        <v>#DIV/0!</v>
      </c>
      <c r="AK105" s="59" t="e">
        <f t="shared" si="51"/>
        <v>#DIV/0!</v>
      </c>
      <c r="AL105" s="59" t="e">
        <f t="shared" si="52"/>
        <v>#DIV/0!</v>
      </c>
      <c r="AM105" s="65"/>
      <c r="AN105" s="59" t="e">
        <f t="shared" si="54"/>
        <v>#DIV/0!</v>
      </c>
      <c r="AO105" s="60" t="e">
        <f t="shared" si="30"/>
        <v>#DIV/0!</v>
      </c>
      <c r="AP105" s="65"/>
      <c r="AQ105" s="60" t="e">
        <f t="shared" si="55"/>
        <v>#DIV/0!</v>
      </c>
      <c r="AR105" s="65"/>
      <c r="AS105" s="60" t="e">
        <f t="shared" si="55"/>
        <v>#DIV/0!</v>
      </c>
      <c r="AT105" s="60" t="e">
        <f t="shared" si="55"/>
        <v>#DIV/0!</v>
      </c>
      <c r="AU105" s="60" t="e">
        <f t="shared" si="55"/>
        <v>#DIV/0!</v>
      </c>
      <c r="AV105" s="60" t="e">
        <f t="shared" si="55"/>
        <v>#DIV/0!</v>
      </c>
      <c r="AW105" s="60" t="e">
        <f t="shared" si="55"/>
        <v>#DIV/0!</v>
      </c>
      <c r="AX105" s="60" t="e">
        <f t="shared" si="55"/>
        <v>#DIV/0!</v>
      </c>
      <c r="AY105" s="60" t="e">
        <f t="shared" si="55"/>
        <v>#DIV/0!</v>
      </c>
      <c r="AZ105" s="65"/>
      <c r="BA105" s="60" t="e">
        <f t="shared" si="55"/>
        <v>#DIV/0!</v>
      </c>
      <c r="BB105" s="59" t="e">
        <f>Links!AF105</f>
        <v>#DIV/0!</v>
      </c>
      <c r="BC105" s="59" t="e">
        <f>(Links!AG105*Links!C105+'On-Ramps'!AC105*'On-Ramps'!CE105)/('On-Ramps'!AC105+Links!C105)</f>
        <v>#DIV/0!</v>
      </c>
      <c r="BD105" s="59" t="e">
        <f>Links!AH105</f>
        <v>#DIV/0!</v>
      </c>
      <c r="BE105" s="59" t="e">
        <f>(Links!AI105*Links!E105+'On-Ramps'!AD105*'On-Ramps'!CF104)/('On-Ramps'!AD105+Links!E105)</f>
        <v>#DIV/0!</v>
      </c>
      <c r="BF105" s="59" t="e">
        <f>(Links!F105*Links!AJ105+'On-Ramps'!AE105*'On-Ramps'!CG105)/('On-Ramps'!AE105+Links!F105)</f>
        <v>#DIV/0!</v>
      </c>
      <c r="BG105" s="59" t="e">
        <f>(Links!G105*Links!AK105+'On-Ramps'!AF105*'On-Ramps'!CH105)/('On-Ramps'!AF105+Links!G105)</f>
        <v>#DIV/0!</v>
      </c>
      <c r="BH105" s="59" t="e">
        <f>(Links!H105*Links!AL105+'On-Ramps'!AG105*'On-Ramps'!CI105)/('On-Ramps'!AG105+Links!H105)</f>
        <v>#DIV/0!</v>
      </c>
      <c r="BI105" s="59" t="e">
        <f>(Links!J105*Links!AN105+'On-Ramps'!AH105*'On-Ramps'!CJ105)/('On-Ramps'!AH105+Links!J105)</f>
        <v>#DIV/0!</v>
      </c>
      <c r="BJ105" s="59" t="e">
        <f>(Links!K105*Links!AO105+'On-Ramps'!AI105*'On-Ramps'!CK105)/('On-Ramps'!AI105+Links!K105)</f>
        <v>#DIV/0!</v>
      </c>
      <c r="BK105" s="59" t="e">
        <f>(Links!L105*Links!AP105+'On-Ramps'!AJ105*'On-Ramps'!CL105)/(Links!L105+'On-Ramps'!AJ105)</f>
        <v>#DIV/0!</v>
      </c>
      <c r="BL105" s="59" t="e">
        <f>Links!AQ105</f>
        <v>#DIV/0!</v>
      </c>
      <c r="BM105" s="59" t="e">
        <f>(Links!N105*Links!AR105+'On-Ramps'!AL105*'On-Ramps'!CM105)/(Links!N105+'On-Ramps'!AL105)</f>
        <v>#DIV/0!</v>
      </c>
      <c r="BN105" s="59" t="e">
        <f>Links!AS105</f>
        <v>#DIV/0!</v>
      </c>
      <c r="BO105" s="60" t="e">
        <f>(Links!R105^2+'Off-Ramp'!L105^2)/(Links!R105+'Off-Ramp'!L105)</f>
        <v>#DIV/0!</v>
      </c>
      <c r="BP105" s="60" t="e">
        <f>Links!S105</f>
        <v>#DIV/0!</v>
      </c>
      <c r="BQ105" s="60" t="e">
        <f>(Links!S105^2+'Off-Ramp'!C105^2)/(Links!S105+'Off-Ramp'!C105)</f>
        <v>#DIV/0!</v>
      </c>
      <c r="BR105" s="60" t="e">
        <f>Links!T105</f>
        <v>#DIV/0!</v>
      </c>
      <c r="BS105" s="60" t="e">
        <f>(Links!X105^2+'Off-Ramp'!V105^2+'Off-Ramp'!W105^2+'Off-Ramp'!X105^2)/(Links!X105+'Off-Ramp'!V105+'Off-Ramp'!W105+'Off-Ramp'!X105)</f>
        <v>#DIV/0!</v>
      </c>
      <c r="BT105" s="60" t="e">
        <f>(Links!Y105^2+'Off-Ramp'!Y105^2+'Off-Ramp'!Z105^2+'Off-Ramp'!AA105^2)/(Links!Y105+'Off-Ramp'!Y105+'Off-Ramp'!Z105+'Off-Ramp'!AA105)</f>
        <v>#DIV/0!</v>
      </c>
      <c r="BU105" s="60" t="e">
        <f>(Links!W105^2+'Off-Ramp'!P105^2)/(Links!W105+'Off-Ramp'!P105)</f>
        <v>#DIV/0!</v>
      </c>
      <c r="BV105" s="60" t="e">
        <f>(Links!Y105^2+'Off-Ramp'!Q105^2)/(Links!Y105+'Off-Ramp'!Q105)</f>
        <v>#DIV/0!</v>
      </c>
      <c r="BW105" s="60" t="e">
        <f>(Links!Z105^2+'Off-Ramp'!R105^2)/(Links!Z105+'Off-Ramp'!R105)</f>
        <v>#DIV/0!</v>
      </c>
      <c r="BX105" s="60" t="e">
        <f>(Links!AA105+'Off-Ramp'!S105)/(Links!AA105^2+'Off-Ramp'!S105^2)</f>
        <v>#DIV/0!</v>
      </c>
      <c r="BY105" s="60" t="e">
        <f>(Links!AB105^2+'Off-Ramp'!T105^2)/(Links!AB105+'Off-Ramp'!T105)</f>
        <v>#DIV/0!</v>
      </c>
      <c r="BZ105" s="60" t="e">
        <f>Links!AC105</f>
        <v>#DIV/0!</v>
      </c>
      <c r="CA105" s="60" t="e">
        <f>(Links!AD105^2+'Off-Ramp'!U105^2)/(Links!AD105+'Off-Ramp'!U105)</f>
        <v>#DIV/0!</v>
      </c>
    </row>
    <row r="106" spans="1:79" x14ac:dyDescent="0.15">
      <c r="A106" s="58">
        <v>104</v>
      </c>
      <c r="B106" s="59" t="e">
        <f t="shared" si="31"/>
        <v>#DIV/0!</v>
      </c>
      <c r="C106" s="59" t="e">
        <f t="shared" si="32"/>
        <v>#DIV/0!</v>
      </c>
      <c r="D106" s="59" t="e">
        <f t="shared" si="33"/>
        <v>#DIV/0!</v>
      </c>
      <c r="E106" s="59" t="e">
        <f t="shared" si="34"/>
        <v>#DIV/0!</v>
      </c>
      <c r="F106" s="59" t="e">
        <f t="shared" si="35"/>
        <v>#DIV/0!</v>
      </c>
      <c r="G106" s="59" t="e">
        <f t="shared" si="36"/>
        <v>#DIV/0!</v>
      </c>
      <c r="H106" s="59" t="e">
        <f t="shared" si="37"/>
        <v>#DIV/0!</v>
      </c>
      <c r="I106" s="59" t="e">
        <f t="shared" si="38"/>
        <v>#DIV/0!</v>
      </c>
      <c r="J106" s="59" t="e">
        <f t="shared" si="39"/>
        <v>#DIV/0!</v>
      </c>
      <c r="K106" s="59" t="e">
        <f t="shared" si="40"/>
        <v>#DIV/0!</v>
      </c>
      <c r="L106" s="59" t="e">
        <f t="shared" si="41"/>
        <v>#DIV/0!</v>
      </c>
      <c r="M106" s="59" t="e">
        <f t="shared" si="42"/>
        <v>#DIV/0!</v>
      </c>
      <c r="N106" s="59" t="e">
        <f t="shared" si="43"/>
        <v>#DIV/0!</v>
      </c>
      <c r="O106" s="60" t="e">
        <f>Links!B106</f>
        <v>#DIV/0!</v>
      </c>
      <c r="P106" s="60" t="e">
        <f>Links!C106+'On-Ramps'!AC106</f>
        <v>#DIV/0!</v>
      </c>
      <c r="Q106" s="60" t="e">
        <f>Links!D106</f>
        <v>#DIV/0!</v>
      </c>
      <c r="R106" s="60" t="e">
        <f>Links!E106+'On-Ramps'!AD106</f>
        <v>#DIV/0!</v>
      </c>
      <c r="S106" s="60" t="e">
        <f>Links!F106+'On-Ramps'!AE106</f>
        <v>#DIV/0!</v>
      </c>
      <c r="T106" s="60" t="e">
        <f>Links!G106+'On-Ramps'!AF106</f>
        <v>#DIV/0!</v>
      </c>
      <c r="U106" s="60" t="e">
        <f>Links!H106+'On-Ramps'!AG106</f>
        <v>#DIV/0!</v>
      </c>
      <c r="V106" s="60" t="e">
        <f>Links!J106+'On-Ramps'!AH106</f>
        <v>#DIV/0!</v>
      </c>
      <c r="W106" s="60" t="e">
        <f>Links!K106+'On-Ramps'!AI106</f>
        <v>#DIV/0!</v>
      </c>
      <c r="X106" s="60" t="e">
        <f>Links!L106+'On-Ramps'!AJ106</f>
        <v>#DIV/0!</v>
      </c>
      <c r="Y106" s="60" t="e">
        <f>Links!M106</f>
        <v>#DIV/0!</v>
      </c>
      <c r="Z106" s="60" t="e">
        <f>Links!N106+'On-Ramps'!AK106</f>
        <v>#DIV/0!</v>
      </c>
      <c r="AA106" s="60" t="e">
        <f>Links!O106</f>
        <v>#DIV/0!</v>
      </c>
      <c r="AB106" s="59" t="e">
        <f t="shared" si="44"/>
        <v>#DIV/0!</v>
      </c>
      <c r="AC106" s="65"/>
      <c r="AD106" s="59" t="e">
        <f t="shared" si="45"/>
        <v>#DIV/0!</v>
      </c>
      <c r="AE106" s="65"/>
      <c r="AF106" s="59" t="e">
        <f t="shared" si="46"/>
        <v>#DIV/0!</v>
      </c>
      <c r="AG106" s="59" t="e">
        <f t="shared" si="47"/>
        <v>#DIV/0!</v>
      </c>
      <c r="AH106" s="59" t="e">
        <f t="shared" si="48"/>
        <v>#DIV/0!</v>
      </c>
      <c r="AI106" s="59" t="e">
        <f t="shared" si="49"/>
        <v>#DIV/0!</v>
      </c>
      <c r="AJ106" s="59" t="e">
        <f t="shared" si="50"/>
        <v>#DIV/0!</v>
      </c>
      <c r="AK106" s="59" t="e">
        <f t="shared" si="51"/>
        <v>#DIV/0!</v>
      </c>
      <c r="AL106" s="59" t="e">
        <f t="shared" si="52"/>
        <v>#DIV/0!</v>
      </c>
      <c r="AM106" s="65"/>
      <c r="AN106" s="59" t="e">
        <f t="shared" si="54"/>
        <v>#DIV/0!</v>
      </c>
      <c r="AO106" s="60" t="e">
        <f t="shared" si="30"/>
        <v>#DIV/0!</v>
      </c>
      <c r="AP106" s="65"/>
      <c r="AQ106" s="60" t="e">
        <f t="shared" si="55"/>
        <v>#DIV/0!</v>
      </c>
      <c r="AR106" s="65"/>
      <c r="AS106" s="60" t="e">
        <f t="shared" si="55"/>
        <v>#DIV/0!</v>
      </c>
      <c r="AT106" s="60" t="e">
        <f t="shared" si="55"/>
        <v>#DIV/0!</v>
      </c>
      <c r="AU106" s="60" t="e">
        <f t="shared" si="55"/>
        <v>#DIV/0!</v>
      </c>
      <c r="AV106" s="60" t="e">
        <f t="shared" si="55"/>
        <v>#DIV/0!</v>
      </c>
      <c r="AW106" s="60" t="e">
        <f t="shared" si="55"/>
        <v>#DIV/0!</v>
      </c>
      <c r="AX106" s="60" t="e">
        <f t="shared" si="55"/>
        <v>#DIV/0!</v>
      </c>
      <c r="AY106" s="60" t="e">
        <f t="shared" si="55"/>
        <v>#DIV/0!</v>
      </c>
      <c r="AZ106" s="65"/>
      <c r="BA106" s="60" t="e">
        <f t="shared" si="55"/>
        <v>#DIV/0!</v>
      </c>
      <c r="BB106" s="59" t="e">
        <f>Links!AF106</f>
        <v>#DIV/0!</v>
      </c>
      <c r="BC106" s="59" t="e">
        <f>(Links!AG106*Links!C106+'On-Ramps'!AC106*'On-Ramps'!CE106)/('On-Ramps'!AC106+Links!C106)</f>
        <v>#DIV/0!</v>
      </c>
      <c r="BD106" s="59" t="e">
        <f>Links!AH106</f>
        <v>#DIV/0!</v>
      </c>
      <c r="BE106" s="59" t="e">
        <f>(Links!AI106*Links!E106+'On-Ramps'!AD106*'On-Ramps'!CF105)/('On-Ramps'!AD106+Links!E106)</f>
        <v>#DIV/0!</v>
      </c>
      <c r="BF106" s="59" t="e">
        <f>(Links!F106*Links!AJ106+'On-Ramps'!AE106*'On-Ramps'!CG106)/('On-Ramps'!AE106+Links!F106)</f>
        <v>#DIV/0!</v>
      </c>
      <c r="BG106" s="59" t="e">
        <f>(Links!G106*Links!AK106+'On-Ramps'!AF106*'On-Ramps'!CH106)/('On-Ramps'!AF106+Links!G106)</f>
        <v>#DIV/0!</v>
      </c>
      <c r="BH106" s="59" t="e">
        <f>(Links!H106*Links!AL106+'On-Ramps'!AG106*'On-Ramps'!CI106)/('On-Ramps'!AG106+Links!H106)</f>
        <v>#DIV/0!</v>
      </c>
      <c r="BI106" s="59" t="e">
        <f>(Links!J106*Links!AN106+'On-Ramps'!AH106*'On-Ramps'!CJ106)/('On-Ramps'!AH106+Links!J106)</f>
        <v>#DIV/0!</v>
      </c>
      <c r="BJ106" s="59" t="e">
        <f>(Links!K106*Links!AO106+'On-Ramps'!AI106*'On-Ramps'!CK106)/('On-Ramps'!AI106+Links!K106)</f>
        <v>#DIV/0!</v>
      </c>
      <c r="BK106" s="59" t="e">
        <f>(Links!L106*Links!AP106+'On-Ramps'!AJ106*'On-Ramps'!CL106)/(Links!L106+'On-Ramps'!AJ106)</f>
        <v>#DIV/0!</v>
      </c>
      <c r="BL106" s="59" t="e">
        <f>Links!AQ106</f>
        <v>#DIV/0!</v>
      </c>
      <c r="BM106" s="59" t="e">
        <f>(Links!N106*Links!AR106+'On-Ramps'!AL106*'On-Ramps'!CM106)/(Links!N106+'On-Ramps'!AL106)</f>
        <v>#DIV/0!</v>
      </c>
      <c r="BN106" s="59" t="e">
        <f>Links!AS106</f>
        <v>#DIV/0!</v>
      </c>
      <c r="BO106" s="60" t="e">
        <f>(Links!R106^2+'Off-Ramp'!L106^2)/(Links!R106+'Off-Ramp'!L106)</f>
        <v>#DIV/0!</v>
      </c>
      <c r="BP106" s="60" t="e">
        <f>Links!S106</f>
        <v>#DIV/0!</v>
      </c>
      <c r="BQ106" s="60" t="e">
        <f>(Links!S106^2+'Off-Ramp'!C106^2)/(Links!S106+'Off-Ramp'!C106)</f>
        <v>#DIV/0!</v>
      </c>
      <c r="BR106" s="60" t="e">
        <f>Links!T106</f>
        <v>#DIV/0!</v>
      </c>
      <c r="BS106" s="60" t="e">
        <f>(Links!X106^2+'Off-Ramp'!V106^2+'Off-Ramp'!W106^2+'Off-Ramp'!X106^2)/(Links!X106+'Off-Ramp'!V106+'Off-Ramp'!W106+'Off-Ramp'!X106)</f>
        <v>#DIV/0!</v>
      </c>
      <c r="BT106" s="60" t="e">
        <f>(Links!Y106^2+'Off-Ramp'!Y106^2+'Off-Ramp'!Z106^2+'Off-Ramp'!AA106^2)/(Links!Y106+'Off-Ramp'!Y106+'Off-Ramp'!Z106+'Off-Ramp'!AA106)</f>
        <v>#DIV/0!</v>
      </c>
      <c r="BU106" s="60" t="e">
        <f>(Links!W106^2+'Off-Ramp'!P106^2)/(Links!W106+'Off-Ramp'!P106)</f>
        <v>#DIV/0!</v>
      </c>
      <c r="BV106" s="60" t="e">
        <f>(Links!Y106^2+'Off-Ramp'!Q106^2)/(Links!Y106+'Off-Ramp'!Q106)</f>
        <v>#DIV/0!</v>
      </c>
      <c r="BW106" s="60" t="e">
        <f>(Links!Z106^2+'Off-Ramp'!R106^2)/(Links!Z106+'Off-Ramp'!R106)</f>
        <v>#DIV/0!</v>
      </c>
      <c r="BX106" s="60" t="e">
        <f>(Links!AA106+'Off-Ramp'!S106)/(Links!AA106^2+'Off-Ramp'!S106^2)</f>
        <v>#DIV/0!</v>
      </c>
      <c r="BY106" s="60" t="e">
        <f>(Links!AB106^2+'Off-Ramp'!T106^2)/(Links!AB106+'Off-Ramp'!T106)</f>
        <v>#DIV/0!</v>
      </c>
      <c r="BZ106" s="60" t="e">
        <f>Links!AC106</f>
        <v>#DIV/0!</v>
      </c>
      <c r="CA106" s="60" t="e">
        <f>(Links!AD106^2+'Off-Ramp'!U106^2)/(Links!AD106+'Off-Ramp'!U106)</f>
        <v>#DIV/0!</v>
      </c>
    </row>
    <row r="107" spans="1:79" x14ac:dyDescent="0.15">
      <c r="A107" s="58">
        <v>105</v>
      </c>
      <c r="B107" s="59" t="e">
        <f t="shared" si="31"/>
        <v>#DIV/0!</v>
      </c>
      <c r="C107" s="59" t="e">
        <f t="shared" si="32"/>
        <v>#DIV/0!</v>
      </c>
      <c r="D107" s="59" t="e">
        <f t="shared" si="33"/>
        <v>#DIV/0!</v>
      </c>
      <c r="E107" s="59" t="e">
        <f t="shared" si="34"/>
        <v>#DIV/0!</v>
      </c>
      <c r="F107" s="59" t="e">
        <f t="shared" si="35"/>
        <v>#DIV/0!</v>
      </c>
      <c r="G107" s="59" t="e">
        <f t="shared" si="36"/>
        <v>#DIV/0!</v>
      </c>
      <c r="H107" s="59" t="e">
        <f t="shared" si="37"/>
        <v>#DIV/0!</v>
      </c>
      <c r="I107" s="59" t="e">
        <f t="shared" si="38"/>
        <v>#DIV/0!</v>
      </c>
      <c r="J107" s="59" t="e">
        <f t="shared" si="39"/>
        <v>#DIV/0!</v>
      </c>
      <c r="K107" s="59" t="e">
        <f t="shared" si="40"/>
        <v>#DIV/0!</v>
      </c>
      <c r="L107" s="59" t="e">
        <f t="shared" si="41"/>
        <v>#DIV/0!</v>
      </c>
      <c r="M107" s="59" t="e">
        <f t="shared" si="42"/>
        <v>#DIV/0!</v>
      </c>
      <c r="N107" s="59" t="e">
        <f t="shared" si="43"/>
        <v>#DIV/0!</v>
      </c>
      <c r="O107" s="60" t="e">
        <f>Links!B107</f>
        <v>#DIV/0!</v>
      </c>
      <c r="P107" s="60" t="e">
        <f>Links!C107+'On-Ramps'!AC107</f>
        <v>#DIV/0!</v>
      </c>
      <c r="Q107" s="60" t="e">
        <f>Links!D107</f>
        <v>#DIV/0!</v>
      </c>
      <c r="R107" s="60" t="e">
        <f>Links!E107+'On-Ramps'!AD107</f>
        <v>#DIV/0!</v>
      </c>
      <c r="S107" s="60" t="e">
        <f>Links!F107+'On-Ramps'!AE107</f>
        <v>#DIV/0!</v>
      </c>
      <c r="T107" s="60" t="e">
        <f>Links!G107+'On-Ramps'!AF107</f>
        <v>#DIV/0!</v>
      </c>
      <c r="U107" s="60" t="e">
        <f>Links!H107+'On-Ramps'!AG107</f>
        <v>#DIV/0!</v>
      </c>
      <c r="V107" s="60" t="e">
        <f>Links!J107+'On-Ramps'!AH107</f>
        <v>#DIV/0!</v>
      </c>
      <c r="W107" s="60" t="e">
        <f>Links!K107+'On-Ramps'!AI107</f>
        <v>#DIV/0!</v>
      </c>
      <c r="X107" s="60" t="e">
        <f>Links!L107+'On-Ramps'!AJ107</f>
        <v>#DIV/0!</v>
      </c>
      <c r="Y107" s="60" t="e">
        <f>Links!M107</f>
        <v>#DIV/0!</v>
      </c>
      <c r="Z107" s="60" t="e">
        <f>Links!N107+'On-Ramps'!AK107</f>
        <v>#DIV/0!</v>
      </c>
      <c r="AA107" s="60" t="e">
        <f>Links!O107</f>
        <v>#DIV/0!</v>
      </c>
      <c r="AB107" s="59" t="e">
        <f t="shared" si="44"/>
        <v>#DIV/0!</v>
      </c>
      <c r="AC107" s="65"/>
      <c r="AD107" s="59" t="e">
        <f t="shared" si="45"/>
        <v>#DIV/0!</v>
      </c>
      <c r="AE107" s="65"/>
      <c r="AF107" s="59" t="e">
        <f t="shared" si="46"/>
        <v>#DIV/0!</v>
      </c>
      <c r="AG107" s="59" t="e">
        <f t="shared" si="47"/>
        <v>#DIV/0!</v>
      </c>
      <c r="AH107" s="59" t="e">
        <f t="shared" si="48"/>
        <v>#DIV/0!</v>
      </c>
      <c r="AI107" s="59" t="e">
        <f t="shared" si="49"/>
        <v>#DIV/0!</v>
      </c>
      <c r="AJ107" s="59" t="e">
        <f t="shared" si="50"/>
        <v>#DIV/0!</v>
      </c>
      <c r="AK107" s="59" t="e">
        <f t="shared" si="51"/>
        <v>#DIV/0!</v>
      </c>
      <c r="AL107" s="59" t="e">
        <f t="shared" si="52"/>
        <v>#DIV/0!</v>
      </c>
      <c r="AM107" s="65"/>
      <c r="AN107" s="59" t="e">
        <f t="shared" si="54"/>
        <v>#DIV/0!</v>
      </c>
      <c r="AO107" s="60" t="e">
        <f t="shared" si="30"/>
        <v>#DIV/0!</v>
      </c>
      <c r="AP107" s="65"/>
      <c r="AQ107" s="60" t="e">
        <f t="shared" si="55"/>
        <v>#DIV/0!</v>
      </c>
      <c r="AR107" s="65"/>
      <c r="AS107" s="60" t="e">
        <f t="shared" si="55"/>
        <v>#DIV/0!</v>
      </c>
      <c r="AT107" s="60" t="e">
        <f t="shared" si="55"/>
        <v>#DIV/0!</v>
      </c>
      <c r="AU107" s="60" t="e">
        <f t="shared" si="55"/>
        <v>#DIV/0!</v>
      </c>
      <c r="AV107" s="60" t="e">
        <f t="shared" si="55"/>
        <v>#DIV/0!</v>
      </c>
      <c r="AW107" s="60" t="e">
        <f t="shared" si="55"/>
        <v>#DIV/0!</v>
      </c>
      <c r="AX107" s="60" t="e">
        <f t="shared" si="55"/>
        <v>#DIV/0!</v>
      </c>
      <c r="AY107" s="60" t="e">
        <f t="shared" si="55"/>
        <v>#DIV/0!</v>
      </c>
      <c r="AZ107" s="65"/>
      <c r="BA107" s="60" t="e">
        <f t="shared" si="55"/>
        <v>#DIV/0!</v>
      </c>
      <c r="BB107" s="59" t="e">
        <f>Links!AF107</f>
        <v>#DIV/0!</v>
      </c>
      <c r="BC107" s="59" t="e">
        <f>(Links!AG107*Links!C107+'On-Ramps'!AC107*'On-Ramps'!CE107)/('On-Ramps'!AC107+Links!C107)</f>
        <v>#DIV/0!</v>
      </c>
      <c r="BD107" s="59" t="e">
        <f>Links!AH107</f>
        <v>#DIV/0!</v>
      </c>
      <c r="BE107" s="59" t="e">
        <f>(Links!AI107*Links!E107+'On-Ramps'!AD107*'On-Ramps'!CF106)/('On-Ramps'!AD107+Links!E107)</f>
        <v>#DIV/0!</v>
      </c>
      <c r="BF107" s="59" t="e">
        <f>(Links!F107*Links!AJ107+'On-Ramps'!AE107*'On-Ramps'!CG107)/('On-Ramps'!AE107+Links!F107)</f>
        <v>#DIV/0!</v>
      </c>
      <c r="BG107" s="59" t="e">
        <f>(Links!G107*Links!AK107+'On-Ramps'!AF107*'On-Ramps'!CH107)/('On-Ramps'!AF107+Links!G107)</f>
        <v>#DIV/0!</v>
      </c>
      <c r="BH107" s="59" t="e">
        <f>(Links!H107*Links!AL107+'On-Ramps'!AG107*'On-Ramps'!CI107)/('On-Ramps'!AG107+Links!H107)</f>
        <v>#DIV/0!</v>
      </c>
      <c r="BI107" s="59" t="e">
        <f>(Links!J107*Links!AN107+'On-Ramps'!AH107*'On-Ramps'!CJ107)/('On-Ramps'!AH107+Links!J107)</f>
        <v>#DIV/0!</v>
      </c>
      <c r="BJ107" s="59" t="e">
        <f>(Links!K107*Links!AO107+'On-Ramps'!AI107*'On-Ramps'!CK107)/('On-Ramps'!AI107+Links!K107)</f>
        <v>#DIV/0!</v>
      </c>
      <c r="BK107" s="59" t="e">
        <f>(Links!L107*Links!AP107+'On-Ramps'!AJ107*'On-Ramps'!CL107)/(Links!L107+'On-Ramps'!AJ107)</f>
        <v>#DIV/0!</v>
      </c>
      <c r="BL107" s="59" t="e">
        <f>Links!AQ107</f>
        <v>#DIV/0!</v>
      </c>
      <c r="BM107" s="59" t="e">
        <f>(Links!N107*Links!AR107+'On-Ramps'!AL107*'On-Ramps'!CM107)/(Links!N107+'On-Ramps'!AL107)</f>
        <v>#DIV/0!</v>
      </c>
      <c r="BN107" s="59" t="e">
        <f>Links!AS107</f>
        <v>#DIV/0!</v>
      </c>
      <c r="BO107" s="60" t="e">
        <f>(Links!R107^2+'Off-Ramp'!L107^2)/(Links!R107+'Off-Ramp'!L107)</f>
        <v>#DIV/0!</v>
      </c>
      <c r="BP107" s="60" t="e">
        <f>Links!S107</f>
        <v>#DIV/0!</v>
      </c>
      <c r="BQ107" s="60" t="e">
        <f>(Links!S107^2+'Off-Ramp'!C107^2)/(Links!S107+'Off-Ramp'!C107)</f>
        <v>#DIV/0!</v>
      </c>
      <c r="BR107" s="60" t="e">
        <f>Links!T107</f>
        <v>#DIV/0!</v>
      </c>
      <c r="BS107" s="60" t="e">
        <f>(Links!X107^2+'Off-Ramp'!V107^2+'Off-Ramp'!W107^2+'Off-Ramp'!X107^2)/(Links!X107+'Off-Ramp'!V107+'Off-Ramp'!W107+'Off-Ramp'!X107)</f>
        <v>#DIV/0!</v>
      </c>
      <c r="BT107" s="60" t="e">
        <f>(Links!Y107^2+'Off-Ramp'!Y107^2+'Off-Ramp'!Z107^2+'Off-Ramp'!AA107^2)/(Links!Y107+'Off-Ramp'!Y107+'Off-Ramp'!Z107+'Off-Ramp'!AA107)</f>
        <v>#DIV/0!</v>
      </c>
      <c r="BU107" s="60" t="e">
        <f>(Links!W107^2+'Off-Ramp'!P107^2)/(Links!W107+'Off-Ramp'!P107)</f>
        <v>#DIV/0!</v>
      </c>
      <c r="BV107" s="60" t="e">
        <f>(Links!Y107^2+'Off-Ramp'!Q107^2)/(Links!Y107+'Off-Ramp'!Q107)</f>
        <v>#DIV/0!</v>
      </c>
      <c r="BW107" s="60" t="e">
        <f>(Links!Z107^2+'Off-Ramp'!R107^2)/(Links!Z107+'Off-Ramp'!R107)</f>
        <v>#DIV/0!</v>
      </c>
      <c r="BX107" s="60" t="e">
        <f>(Links!AA107+'Off-Ramp'!S107)/(Links!AA107^2+'Off-Ramp'!S107^2)</f>
        <v>#DIV/0!</v>
      </c>
      <c r="BY107" s="60" t="e">
        <f>(Links!AB107^2+'Off-Ramp'!T107^2)/(Links!AB107+'Off-Ramp'!T107)</f>
        <v>#DIV/0!</v>
      </c>
      <c r="BZ107" s="60" t="e">
        <f>Links!AC107</f>
        <v>#DIV/0!</v>
      </c>
      <c r="CA107" s="60" t="e">
        <f>(Links!AD107^2+'Off-Ramp'!U107^2)/(Links!AD107+'Off-Ramp'!U107)</f>
        <v>#DIV/0!</v>
      </c>
    </row>
    <row r="108" spans="1:79" x14ac:dyDescent="0.15">
      <c r="A108" s="58">
        <v>106</v>
      </c>
      <c r="B108" s="59" t="e">
        <f t="shared" si="31"/>
        <v>#DIV/0!</v>
      </c>
      <c r="C108" s="59" t="e">
        <f t="shared" si="32"/>
        <v>#DIV/0!</v>
      </c>
      <c r="D108" s="59" t="e">
        <f t="shared" si="33"/>
        <v>#DIV/0!</v>
      </c>
      <c r="E108" s="59" t="e">
        <f t="shared" si="34"/>
        <v>#DIV/0!</v>
      </c>
      <c r="F108" s="59" t="e">
        <f t="shared" si="35"/>
        <v>#DIV/0!</v>
      </c>
      <c r="G108" s="59" t="e">
        <f t="shared" si="36"/>
        <v>#DIV/0!</v>
      </c>
      <c r="H108" s="59" t="e">
        <f t="shared" si="37"/>
        <v>#DIV/0!</v>
      </c>
      <c r="I108" s="59" t="e">
        <f t="shared" si="38"/>
        <v>#DIV/0!</v>
      </c>
      <c r="J108" s="59" t="e">
        <f t="shared" si="39"/>
        <v>#DIV/0!</v>
      </c>
      <c r="K108" s="59" t="e">
        <f t="shared" si="40"/>
        <v>#DIV/0!</v>
      </c>
      <c r="L108" s="59" t="e">
        <f t="shared" si="41"/>
        <v>#DIV/0!</v>
      </c>
      <c r="M108" s="59" t="e">
        <f t="shared" si="42"/>
        <v>#DIV/0!</v>
      </c>
      <c r="N108" s="59" t="e">
        <f t="shared" si="43"/>
        <v>#DIV/0!</v>
      </c>
      <c r="O108" s="60" t="e">
        <f>Links!B108</f>
        <v>#DIV/0!</v>
      </c>
      <c r="P108" s="60" t="e">
        <f>Links!C108+'On-Ramps'!AC108</f>
        <v>#DIV/0!</v>
      </c>
      <c r="Q108" s="60" t="e">
        <f>Links!D108</f>
        <v>#DIV/0!</v>
      </c>
      <c r="R108" s="60" t="e">
        <f>Links!E108+'On-Ramps'!AD108</f>
        <v>#DIV/0!</v>
      </c>
      <c r="S108" s="60" t="e">
        <f>Links!F108+'On-Ramps'!AE108</f>
        <v>#DIV/0!</v>
      </c>
      <c r="T108" s="60" t="e">
        <f>Links!G108+'On-Ramps'!AF108</f>
        <v>#DIV/0!</v>
      </c>
      <c r="U108" s="60" t="e">
        <f>Links!H108+'On-Ramps'!AG108</f>
        <v>#DIV/0!</v>
      </c>
      <c r="V108" s="60" t="e">
        <f>Links!J108+'On-Ramps'!AH108</f>
        <v>#DIV/0!</v>
      </c>
      <c r="W108" s="60" t="e">
        <f>Links!K108+'On-Ramps'!AI108</f>
        <v>#DIV/0!</v>
      </c>
      <c r="X108" s="60" t="e">
        <f>Links!L108+'On-Ramps'!AJ108</f>
        <v>#DIV/0!</v>
      </c>
      <c r="Y108" s="60" t="e">
        <f>Links!M108</f>
        <v>#DIV/0!</v>
      </c>
      <c r="Z108" s="60" t="e">
        <f>Links!N108+'On-Ramps'!AK108</f>
        <v>#DIV/0!</v>
      </c>
      <c r="AA108" s="60" t="e">
        <f>Links!O108</f>
        <v>#DIV/0!</v>
      </c>
      <c r="AB108" s="59" t="e">
        <f t="shared" si="44"/>
        <v>#DIV/0!</v>
      </c>
      <c r="AC108" s="65"/>
      <c r="AD108" s="59" t="e">
        <f t="shared" si="45"/>
        <v>#DIV/0!</v>
      </c>
      <c r="AE108" s="65"/>
      <c r="AF108" s="59" t="e">
        <f t="shared" si="46"/>
        <v>#DIV/0!</v>
      </c>
      <c r="AG108" s="59" t="e">
        <f t="shared" si="47"/>
        <v>#DIV/0!</v>
      </c>
      <c r="AH108" s="59" t="e">
        <f t="shared" si="48"/>
        <v>#DIV/0!</v>
      </c>
      <c r="AI108" s="59" t="e">
        <f t="shared" si="49"/>
        <v>#DIV/0!</v>
      </c>
      <c r="AJ108" s="59" t="e">
        <f t="shared" si="50"/>
        <v>#DIV/0!</v>
      </c>
      <c r="AK108" s="59" t="e">
        <f t="shared" si="51"/>
        <v>#DIV/0!</v>
      </c>
      <c r="AL108" s="59" t="e">
        <f t="shared" si="52"/>
        <v>#DIV/0!</v>
      </c>
      <c r="AM108" s="65"/>
      <c r="AN108" s="59" t="e">
        <f t="shared" si="54"/>
        <v>#DIV/0!</v>
      </c>
      <c r="AO108" s="60" t="e">
        <f t="shared" si="30"/>
        <v>#DIV/0!</v>
      </c>
      <c r="AP108" s="65"/>
      <c r="AQ108" s="60" t="e">
        <f t="shared" si="55"/>
        <v>#DIV/0!</v>
      </c>
      <c r="AR108" s="65"/>
      <c r="AS108" s="60" t="e">
        <f t="shared" si="55"/>
        <v>#DIV/0!</v>
      </c>
      <c r="AT108" s="60" t="e">
        <f t="shared" si="55"/>
        <v>#DIV/0!</v>
      </c>
      <c r="AU108" s="60" t="e">
        <f t="shared" si="55"/>
        <v>#DIV/0!</v>
      </c>
      <c r="AV108" s="60" t="e">
        <f t="shared" si="55"/>
        <v>#DIV/0!</v>
      </c>
      <c r="AW108" s="60" t="e">
        <f t="shared" si="55"/>
        <v>#DIV/0!</v>
      </c>
      <c r="AX108" s="60" t="e">
        <f t="shared" si="55"/>
        <v>#DIV/0!</v>
      </c>
      <c r="AY108" s="60" t="e">
        <f t="shared" si="55"/>
        <v>#DIV/0!</v>
      </c>
      <c r="AZ108" s="65"/>
      <c r="BA108" s="60" t="e">
        <f t="shared" si="55"/>
        <v>#DIV/0!</v>
      </c>
      <c r="BB108" s="59" t="e">
        <f>Links!AF108</f>
        <v>#DIV/0!</v>
      </c>
      <c r="BC108" s="59" t="e">
        <f>(Links!AG108*Links!C108+'On-Ramps'!AC108*'On-Ramps'!CE108)/('On-Ramps'!AC108+Links!C108)</f>
        <v>#DIV/0!</v>
      </c>
      <c r="BD108" s="59" t="e">
        <f>Links!AH108</f>
        <v>#DIV/0!</v>
      </c>
      <c r="BE108" s="59" t="e">
        <f>(Links!AI108*Links!E108+'On-Ramps'!AD108*'On-Ramps'!CF107)/('On-Ramps'!AD108+Links!E108)</f>
        <v>#DIV/0!</v>
      </c>
      <c r="BF108" s="59" t="e">
        <f>(Links!F108*Links!AJ108+'On-Ramps'!AE108*'On-Ramps'!CG108)/('On-Ramps'!AE108+Links!F108)</f>
        <v>#DIV/0!</v>
      </c>
      <c r="BG108" s="59" t="e">
        <f>(Links!G108*Links!AK108+'On-Ramps'!AF108*'On-Ramps'!CH108)/('On-Ramps'!AF108+Links!G108)</f>
        <v>#DIV/0!</v>
      </c>
      <c r="BH108" s="59" t="e">
        <f>(Links!H108*Links!AL108+'On-Ramps'!AG108*'On-Ramps'!CI108)/('On-Ramps'!AG108+Links!H108)</f>
        <v>#DIV/0!</v>
      </c>
      <c r="BI108" s="59" t="e">
        <f>(Links!J108*Links!AN108+'On-Ramps'!AH108*'On-Ramps'!CJ108)/('On-Ramps'!AH108+Links!J108)</f>
        <v>#DIV/0!</v>
      </c>
      <c r="BJ108" s="59" t="e">
        <f>(Links!K108*Links!AO108+'On-Ramps'!AI108*'On-Ramps'!CK108)/('On-Ramps'!AI108+Links!K108)</f>
        <v>#DIV/0!</v>
      </c>
      <c r="BK108" s="59" t="e">
        <f>(Links!L108*Links!AP108+'On-Ramps'!AJ108*'On-Ramps'!CL108)/(Links!L108+'On-Ramps'!AJ108)</f>
        <v>#DIV/0!</v>
      </c>
      <c r="BL108" s="59" t="e">
        <f>Links!AQ108</f>
        <v>#DIV/0!</v>
      </c>
      <c r="BM108" s="59" t="e">
        <f>(Links!N108*Links!AR108+'On-Ramps'!AL108*'On-Ramps'!CM108)/(Links!N108+'On-Ramps'!AL108)</f>
        <v>#DIV/0!</v>
      </c>
      <c r="BN108" s="59" t="e">
        <f>Links!AS108</f>
        <v>#DIV/0!</v>
      </c>
      <c r="BO108" s="60" t="e">
        <f>(Links!R108^2+'Off-Ramp'!L108^2)/(Links!R108+'Off-Ramp'!L108)</f>
        <v>#DIV/0!</v>
      </c>
      <c r="BP108" s="60" t="e">
        <f>Links!S108</f>
        <v>#DIV/0!</v>
      </c>
      <c r="BQ108" s="60" t="e">
        <f>(Links!S108^2+'Off-Ramp'!C108^2)/(Links!S108+'Off-Ramp'!C108)</f>
        <v>#DIV/0!</v>
      </c>
      <c r="BR108" s="60" t="e">
        <f>Links!T108</f>
        <v>#DIV/0!</v>
      </c>
      <c r="BS108" s="60" t="e">
        <f>(Links!X108^2+'Off-Ramp'!V108^2+'Off-Ramp'!W108^2+'Off-Ramp'!X108^2)/(Links!X108+'Off-Ramp'!V108+'Off-Ramp'!W108+'Off-Ramp'!X108)</f>
        <v>#DIV/0!</v>
      </c>
      <c r="BT108" s="60" t="e">
        <f>(Links!Y108^2+'Off-Ramp'!Y108^2+'Off-Ramp'!Z108^2+'Off-Ramp'!AA108^2)/(Links!Y108+'Off-Ramp'!Y108+'Off-Ramp'!Z108+'Off-Ramp'!AA108)</f>
        <v>#DIV/0!</v>
      </c>
      <c r="BU108" s="60" t="e">
        <f>(Links!W108^2+'Off-Ramp'!P108^2)/(Links!W108+'Off-Ramp'!P108)</f>
        <v>#DIV/0!</v>
      </c>
      <c r="BV108" s="60" t="e">
        <f>(Links!Y108^2+'Off-Ramp'!Q108^2)/(Links!Y108+'Off-Ramp'!Q108)</f>
        <v>#DIV/0!</v>
      </c>
      <c r="BW108" s="60" t="e">
        <f>(Links!Z108^2+'Off-Ramp'!R108^2)/(Links!Z108+'Off-Ramp'!R108)</f>
        <v>#DIV/0!</v>
      </c>
      <c r="BX108" s="60" t="e">
        <f>(Links!AA108+'Off-Ramp'!S108)/(Links!AA108^2+'Off-Ramp'!S108^2)</f>
        <v>#DIV/0!</v>
      </c>
      <c r="BY108" s="60" t="e">
        <f>(Links!AB108^2+'Off-Ramp'!T108^2)/(Links!AB108+'Off-Ramp'!T108)</f>
        <v>#DIV/0!</v>
      </c>
      <c r="BZ108" s="60" t="e">
        <f>Links!AC108</f>
        <v>#DIV/0!</v>
      </c>
      <c r="CA108" s="60" t="e">
        <f>(Links!AD108^2+'Off-Ramp'!U108^2)/(Links!AD108+'Off-Ramp'!U108)</f>
        <v>#DIV/0!</v>
      </c>
    </row>
    <row r="109" spans="1:79" x14ac:dyDescent="0.15">
      <c r="A109" s="58">
        <v>107</v>
      </c>
      <c r="B109" s="59" t="e">
        <f t="shared" si="31"/>
        <v>#DIV/0!</v>
      </c>
      <c r="C109" s="59" t="e">
        <f t="shared" si="32"/>
        <v>#DIV/0!</v>
      </c>
      <c r="D109" s="59" t="e">
        <f t="shared" si="33"/>
        <v>#DIV/0!</v>
      </c>
      <c r="E109" s="59" t="e">
        <f t="shared" si="34"/>
        <v>#DIV/0!</v>
      </c>
      <c r="F109" s="59" t="e">
        <f t="shared" si="35"/>
        <v>#DIV/0!</v>
      </c>
      <c r="G109" s="59" t="e">
        <f t="shared" si="36"/>
        <v>#DIV/0!</v>
      </c>
      <c r="H109" s="59" t="e">
        <f t="shared" si="37"/>
        <v>#DIV/0!</v>
      </c>
      <c r="I109" s="59" t="e">
        <f t="shared" si="38"/>
        <v>#DIV/0!</v>
      </c>
      <c r="J109" s="59" t="e">
        <f t="shared" si="39"/>
        <v>#DIV/0!</v>
      </c>
      <c r="K109" s="59" t="e">
        <f t="shared" si="40"/>
        <v>#DIV/0!</v>
      </c>
      <c r="L109" s="59" t="e">
        <f t="shared" si="41"/>
        <v>#DIV/0!</v>
      </c>
      <c r="M109" s="59" t="e">
        <f t="shared" si="42"/>
        <v>#DIV/0!</v>
      </c>
      <c r="N109" s="59" t="e">
        <f t="shared" si="43"/>
        <v>#DIV/0!</v>
      </c>
      <c r="O109" s="60" t="e">
        <f>Links!B109</f>
        <v>#DIV/0!</v>
      </c>
      <c r="P109" s="60" t="e">
        <f>Links!C109+'On-Ramps'!AC109</f>
        <v>#DIV/0!</v>
      </c>
      <c r="Q109" s="60" t="e">
        <f>Links!D109</f>
        <v>#DIV/0!</v>
      </c>
      <c r="R109" s="60" t="e">
        <f>Links!E109+'On-Ramps'!AD109</f>
        <v>#DIV/0!</v>
      </c>
      <c r="S109" s="60" t="e">
        <f>Links!F109+'On-Ramps'!AE109</f>
        <v>#DIV/0!</v>
      </c>
      <c r="T109" s="60" t="e">
        <f>Links!G109+'On-Ramps'!AF109</f>
        <v>#DIV/0!</v>
      </c>
      <c r="U109" s="60" t="e">
        <f>Links!H109+'On-Ramps'!AG109</f>
        <v>#DIV/0!</v>
      </c>
      <c r="V109" s="60" t="e">
        <f>Links!J109+'On-Ramps'!AH109</f>
        <v>#DIV/0!</v>
      </c>
      <c r="W109" s="60" t="e">
        <f>Links!K109+'On-Ramps'!AI109</f>
        <v>#DIV/0!</v>
      </c>
      <c r="X109" s="60" t="e">
        <f>Links!L109+'On-Ramps'!AJ109</f>
        <v>#DIV/0!</v>
      </c>
      <c r="Y109" s="60" t="e">
        <f>Links!M109</f>
        <v>#DIV/0!</v>
      </c>
      <c r="Z109" s="60" t="e">
        <f>Links!N109+'On-Ramps'!AK109</f>
        <v>#DIV/0!</v>
      </c>
      <c r="AA109" s="60" t="e">
        <f>Links!O109</f>
        <v>#DIV/0!</v>
      </c>
      <c r="AB109" s="59" t="e">
        <f t="shared" si="44"/>
        <v>#DIV/0!</v>
      </c>
      <c r="AC109" s="65"/>
      <c r="AD109" s="59" t="e">
        <f t="shared" si="45"/>
        <v>#DIV/0!</v>
      </c>
      <c r="AE109" s="65"/>
      <c r="AF109" s="59" t="e">
        <f t="shared" si="46"/>
        <v>#DIV/0!</v>
      </c>
      <c r="AG109" s="59" t="e">
        <f t="shared" si="47"/>
        <v>#DIV/0!</v>
      </c>
      <c r="AH109" s="59" t="e">
        <f t="shared" si="48"/>
        <v>#DIV/0!</v>
      </c>
      <c r="AI109" s="59" t="e">
        <f t="shared" si="49"/>
        <v>#DIV/0!</v>
      </c>
      <c r="AJ109" s="59" t="e">
        <f t="shared" si="50"/>
        <v>#DIV/0!</v>
      </c>
      <c r="AK109" s="59" t="e">
        <f t="shared" si="51"/>
        <v>#DIV/0!</v>
      </c>
      <c r="AL109" s="59" t="e">
        <f t="shared" si="52"/>
        <v>#DIV/0!</v>
      </c>
      <c r="AM109" s="65"/>
      <c r="AN109" s="59" t="e">
        <f t="shared" si="54"/>
        <v>#DIV/0!</v>
      </c>
      <c r="AO109" s="60" t="e">
        <f t="shared" si="30"/>
        <v>#DIV/0!</v>
      </c>
      <c r="AP109" s="65"/>
      <c r="AQ109" s="60" t="e">
        <f t="shared" si="55"/>
        <v>#DIV/0!</v>
      </c>
      <c r="AR109" s="65"/>
      <c r="AS109" s="60" t="e">
        <f t="shared" si="55"/>
        <v>#DIV/0!</v>
      </c>
      <c r="AT109" s="60" t="e">
        <f t="shared" si="55"/>
        <v>#DIV/0!</v>
      </c>
      <c r="AU109" s="60" t="e">
        <f t="shared" si="55"/>
        <v>#DIV/0!</v>
      </c>
      <c r="AV109" s="60" t="e">
        <f t="shared" si="55"/>
        <v>#DIV/0!</v>
      </c>
      <c r="AW109" s="60" t="e">
        <f t="shared" si="55"/>
        <v>#DIV/0!</v>
      </c>
      <c r="AX109" s="60" t="e">
        <f t="shared" si="55"/>
        <v>#DIV/0!</v>
      </c>
      <c r="AY109" s="60" t="e">
        <f t="shared" si="55"/>
        <v>#DIV/0!</v>
      </c>
      <c r="AZ109" s="65"/>
      <c r="BA109" s="60" t="e">
        <f t="shared" si="55"/>
        <v>#DIV/0!</v>
      </c>
      <c r="BB109" s="59" t="e">
        <f>Links!AF109</f>
        <v>#DIV/0!</v>
      </c>
      <c r="BC109" s="59" t="e">
        <f>(Links!AG109*Links!C109+'On-Ramps'!AC109*'On-Ramps'!CE109)/('On-Ramps'!AC109+Links!C109)</f>
        <v>#DIV/0!</v>
      </c>
      <c r="BD109" s="59" t="e">
        <f>Links!AH109</f>
        <v>#DIV/0!</v>
      </c>
      <c r="BE109" s="59" t="e">
        <f>(Links!AI109*Links!E109+'On-Ramps'!AD109*'On-Ramps'!CF108)/('On-Ramps'!AD109+Links!E109)</f>
        <v>#DIV/0!</v>
      </c>
      <c r="BF109" s="59" t="e">
        <f>(Links!F109*Links!AJ109+'On-Ramps'!AE109*'On-Ramps'!CG109)/('On-Ramps'!AE109+Links!F109)</f>
        <v>#DIV/0!</v>
      </c>
      <c r="BG109" s="59" t="e">
        <f>(Links!G109*Links!AK109+'On-Ramps'!AF109*'On-Ramps'!CH109)/('On-Ramps'!AF109+Links!G109)</f>
        <v>#DIV/0!</v>
      </c>
      <c r="BH109" s="59" t="e">
        <f>(Links!H109*Links!AL109+'On-Ramps'!AG109*'On-Ramps'!CI109)/('On-Ramps'!AG109+Links!H109)</f>
        <v>#DIV/0!</v>
      </c>
      <c r="BI109" s="59" t="e">
        <f>(Links!J109*Links!AN109+'On-Ramps'!AH109*'On-Ramps'!CJ109)/('On-Ramps'!AH109+Links!J109)</f>
        <v>#DIV/0!</v>
      </c>
      <c r="BJ109" s="59" t="e">
        <f>(Links!K109*Links!AO109+'On-Ramps'!AI109*'On-Ramps'!CK109)/('On-Ramps'!AI109+Links!K109)</f>
        <v>#DIV/0!</v>
      </c>
      <c r="BK109" s="59" t="e">
        <f>(Links!L109*Links!AP109+'On-Ramps'!AJ109*'On-Ramps'!CL109)/(Links!L109+'On-Ramps'!AJ109)</f>
        <v>#DIV/0!</v>
      </c>
      <c r="BL109" s="59" t="e">
        <f>Links!AQ109</f>
        <v>#DIV/0!</v>
      </c>
      <c r="BM109" s="59" t="e">
        <f>(Links!N109*Links!AR109+'On-Ramps'!AL109*'On-Ramps'!CM109)/(Links!N109+'On-Ramps'!AL109)</f>
        <v>#DIV/0!</v>
      </c>
      <c r="BN109" s="59" t="e">
        <f>Links!AS109</f>
        <v>#DIV/0!</v>
      </c>
      <c r="BO109" s="60" t="e">
        <f>(Links!R109^2+'Off-Ramp'!L109^2)/(Links!R109+'Off-Ramp'!L109)</f>
        <v>#DIV/0!</v>
      </c>
      <c r="BP109" s="60" t="e">
        <f>Links!S109</f>
        <v>#DIV/0!</v>
      </c>
      <c r="BQ109" s="60" t="e">
        <f>(Links!S109^2+'Off-Ramp'!C109^2)/(Links!S109+'Off-Ramp'!C109)</f>
        <v>#DIV/0!</v>
      </c>
      <c r="BR109" s="60" t="e">
        <f>Links!T109</f>
        <v>#DIV/0!</v>
      </c>
      <c r="BS109" s="60" t="e">
        <f>(Links!X109^2+'Off-Ramp'!V109^2+'Off-Ramp'!W109^2+'Off-Ramp'!X109^2)/(Links!X109+'Off-Ramp'!V109+'Off-Ramp'!W109+'Off-Ramp'!X109)</f>
        <v>#DIV/0!</v>
      </c>
      <c r="BT109" s="60" t="e">
        <f>(Links!Y109^2+'Off-Ramp'!Y109^2+'Off-Ramp'!Z109^2+'Off-Ramp'!AA109^2)/(Links!Y109+'Off-Ramp'!Y109+'Off-Ramp'!Z109+'Off-Ramp'!AA109)</f>
        <v>#DIV/0!</v>
      </c>
      <c r="BU109" s="60" t="e">
        <f>(Links!W109^2+'Off-Ramp'!P109^2)/(Links!W109+'Off-Ramp'!P109)</f>
        <v>#DIV/0!</v>
      </c>
      <c r="BV109" s="60" t="e">
        <f>(Links!Y109^2+'Off-Ramp'!Q109^2)/(Links!Y109+'Off-Ramp'!Q109)</f>
        <v>#DIV/0!</v>
      </c>
      <c r="BW109" s="60" t="e">
        <f>(Links!Z109^2+'Off-Ramp'!R109^2)/(Links!Z109+'Off-Ramp'!R109)</f>
        <v>#DIV/0!</v>
      </c>
      <c r="BX109" s="60" t="e">
        <f>(Links!AA109+'Off-Ramp'!S109)/(Links!AA109^2+'Off-Ramp'!S109^2)</f>
        <v>#DIV/0!</v>
      </c>
      <c r="BY109" s="60" t="e">
        <f>(Links!AB109^2+'Off-Ramp'!T109^2)/(Links!AB109+'Off-Ramp'!T109)</f>
        <v>#DIV/0!</v>
      </c>
      <c r="BZ109" s="60" t="e">
        <f>Links!AC109</f>
        <v>#DIV/0!</v>
      </c>
      <c r="CA109" s="60" t="e">
        <f>(Links!AD109^2+'Off-Ramp'!U109^2)/(Links!AD109+'Off-Ramp'!U109)</f>
        <v>#DIV/0!</v>
      </c>
    </row>
    <row r="110" spans="1:79" x14ac:dyDescent="0.15">
      <c r="A110" s="58">
        <v>108</v>
      </c>
      <c r="B110" s="59" t="e">
        <f t="shared" si="31"/>
        <v>#DIV/0!</v>
      </c>
      <c r="C110" s="59" t="e">
        <f t="shared" si="32"/>
        <v>#DIV/0!</v>
      </c>
      <c r="D110" s="59" t="e">
        <f t="shared" si="33"/>
        <v>#DIV/0!</v>
      </c>
      <c r="E110" s="59" t="e">
        <f t="shared" si="34"/>
        <v>#DIV/0!</v>
      </c>
      <c r="F110" s="59" t="e">
        <f t="shared" si="35"/>
        <v>#DIV/0!</v>
      </c>
      <c r="G110" s="59" t="e">
        <f t="shared" si="36"/>
        <v>#DIV/0!</v>
      </c>
      <c r="H110" s="59" t="e">
        <f t="shared" si="37"/>
        <v>#DIV/0!</v>
      </c>
      <c r="I110" s="59" t="e">
        <f t="shared" si="38"/>
        <v>#DIV/0!</v>
      </c>
      <c r="J110" s="59" t="e">
        <f t="shared" si="39"/>
        <v>#DIV/0!</v>
      </c>
      <c r="K110" s="59" t="e">
        <f t="shared" si="40"/>
        <v>#DIV/0!</v>
      </c>
      <c r="L110" s="59" t="e">
        <f t="shared" si="41"/>
        <v>#DIV/0!</v>
      </c>
      <c r="M110" s="59" t="e">
        <f t="shared" si="42"/>
        <v>#DIV/0!</v>
      </c>
      <c r="N110" s="59" t="e">
        <f t="shared" si="43"/>
        <v>#DIV/0!</v>
      </c>
      <c r="O110" s="60" t="e">
        <f>Links!B110</f>
        <v>#DIV/0!</v>
      </c>
      <c r="P110" s="60" t="e">
        <f>Links!C110+'On-Ramps'!AC110</f>
        <v>#DIV/0!</v>
      </c>
      <c r="Q110" s="60" t="e">
        <f>Links!D110</f>
        <v>#DIV/0!</v>
      </c>
      <c r="R110" s="60" t="e">
        <f>Links!E110+'On-Ramps'!AD110</f>
        <v>#DIV/0!</v>
      </c>
      <c r="S110" s="60" t="e">
        <f>Links!F110+'On-Ramps'!AE110</f>
        <v>#DIV/0!</v>
      </c>
      <c r="T110" s="60" t="e">
        <f>Links!G110+'On-Ramps'!AF110</f>
        <v>#DIV/0!</v>
      </c>
      <c r="U110" s="60" t="e">
        <f>Links!H110+'On-Ramps'!AG110</f>
        <v>#DIV/0!</v>
      </c>
      <c r="V110" s="60" t="e">
        <f>Links!J110+'On-Ramps'!AH110</f>
        <v>#DIV/0!</v>
      </c>
      <c r="W110" s="60" t="e">
        <f>Links!K110+'On-Ramps'!AI110</f>
        <v>#DIV/0!</v>
      </c>
      <c r="X110" s="60" t="e">
        <f>Links!L110+'On-Ramps'!AJ110</f>
        <v>#DIV/0!</v>
      </c>
      <c r="Y110" s="60" t="e">
        <f>Links!M110</f>
        <v>#DIV/0!</v>
      </c>
      <c r="Z110" s="60" t="e">
        <f>Links!N110+'On-Ramps'!AK110</f>
        <v>#DIV/0!</v>
      </c>
      <c r="AA110" s="60" t="e">
        <f>Links!O110</f>
        <v>#DIV/0!</v>
      </c>
      <c r="AB110" s="59" t="e">
        <f t="shared" si="44"/>
        <v>#DIV/0!</v>
      </c>
      <c r="AC110" s="65"/>
      <c r="AD110" s="59" t="e">
        <f t="shared" si="45"/>
        <v>#DIV/0!</v>
      </c>
      <c r="AE110" s="65"/>
      <c r="AF110" s="59" t="e">
        <f t="shared" si="46"/>
        <v>#DIV/0!</v>
      </c>
      <c r="AG110" s="59" t="e">
        <f t="shared" si="47"/>
        <v>#DIV/0!</v>
      </c>
      <c r="AH110" s="59" t="e">
        <f t="shared" si="48"/>
        <v>#DIV/0!</v>
      </c>
      <c r="AI110" s="59" t="e">
        <f t="shared" si="49"/>
        <v>#DIV/0!</v>
      </c>
      <c r="AJ110" s="59" t="e">
        <f t="shared" si="50"/>
        <v>#DIV/0!</v>
      </c>
      <c r="AK110" s="59" t="e">
        <f t="shared" si="51"/>
        <v>#DIV/0!</v>
      </c>
      <c r="AL110" s="59" t="e">
        <f t="shared" si="52"/>
        <v>#DIV/0!</v>
      </c>
      <c r="AM110" s="65"/>
      <c r="AN110" s="59" t="e">
        <f t="shared" si="54"/>
        <v>#DIV/0!</v>
      </c>
      <c r="AO110" s="60" t="e">
        <f t="shared" si="30"/>
        <v>#DIV/0!</v>
      </c>
      <c r="AP110" s="65"/>
      <c r="AQ110" s="60" t="e">
        <f t="shared" si="55"/>
        <v>#DIV/0!</v>
      </c>
      <c r="AR110" s="65"/>
      <c r="AS110" s="60" t="e">
        <f t="shared" si="55"/>
        <v>#DIV/0!</v>
      </c>
      <c r="AT110" s="60" t="e">
        <f t="shared" si="55"/>
        <v>#DIV/0!</v>
      </c>
      <c r="AU110" s="60" t="e">
        <f t="shared" si="55"/>
        <v>#DIV/0!</v>
      </c>
      <c r="AV110" s="60" t="e">
        <f t="shared" si="55"/>
        <v>#DIV/0!</v>
      </c>
      <c r="AW110" s="60" t="e">
        <f t="shared" si="55"/>
        <v>#DIV/0!</v>
      </c>
      <c r="AX110" s="60" t="e">
        <f t="shared" si="55"/>
        <v>#DIV/0!</v>
      </c>
      <c r="AY110" s="60" t="e">
        <f t="shared" si="55"/>
        <v>#DIV/0!</v>
      </c>
      <c r="AZ110" s="65"/>
      <c r="BA110" s="60" t="e">
        <f t="shared" si="55"/>
        <v>#DIV/0!</v>
      </c>
      <c r="BB110" s="59" t="e">
        <f>Links!AF110</f>
        <v>#DIV/0!</v>
      </c>
      <c r="BC110" s="59" t="e">
        <f>(Links!AG110*Links!C110+'On-Ramps'!AC110*'On-Ramps'!CE110)/('On-Ramps'!AC110+Links!C110)</f>
        <v>#DIV/0!</v>
      </c>
      <c r="BD110" s="59" t="e">
        <f>Links!AH110</f>
        <v>#DIV/0!</v>
      </c>
      <c r="BE110" s="59" t="e">
        <f>(Links!AI110*Links!E110+'On-Ramps'!AD110*'On-Ramps'!CF109)/('On-Ramps'!AD110+Links!E110)</f>
        <v>#DIV/0!</v>
      </c>
      <c r="BF110" s="59" t="e">
        <f>(Links!F110*Links!AJ110+'On-Ramps'!AE110*'On-Ramps'!CG110)/('On-Ramps'!AE110+Links!F110)</f>
        <v>#DIV/0!</v>
      </c>
      <c r="BG110" s="59" t="e">
        <f>(Links!G110*Links!AK110+'On-Ramps'!AF110*'On-Ramps'!CH110)/('On-Ramps'!AF110+Links!G110)</f>
        <v>#DIV/0!</v>
      </c>
      <c r="BH110" s="59" t="e">
        <f>(Links!H110*Links!AL110+'On-Ramps'!AG110*'On-Ramps'!CI110)/('On-Ramps'!AG110+Links!H110)</f>
        <v>#DIV/0!</v>
      </c>
      <c r="BI110" s="59" t="e">
        <f>(Links!J110*Links!AN110+'On-Ramps'!AH110*'On-Ramps'!CJ110)/('On-Ramps'!AH110+Links!J110)</f>
        <v>#DIV/0!</v>
      </c>
      <c r="BJ110" s="59" t="e">
        <f>(Links!K110*Links!AO110+'On-Ramps'!AI110*'On-Ramps'!CK110)/('On-Ramps'!AI110+Links!K110)</f>
        <v>#DIV/0!</v>
      </c>
      <c r="BK110" s="59" t="e">
        <f>(Links!L110*Links!AP110+'On-Ramps'!AJ110*'On-Ramps'!CL110)/(Links!L110+'On-Ramps'!AJ110)</f>
        <v>#DIV/0!</v>
      </c>
      <c r="BL110" s="59" t="e">
        <f>Links!AQ110</f>
        <v>#DIV/0!</v>
      </c>
      <c r="BM110" s="59" t="e">
        <f>(Links!N110*Links!AR110+'On-Ramps'!AL110*'On-Ramps'!CM110)/(Links!N110+'On-Ramps'!AL110)</f>
        <v>#DIV/0!</v>
      </c>
      <c r="BN110" s="59" t="e">
        <f>Links!AS110</f>
        <v>#DIV/0!</v>
      </c>
      <c r="BO110" s="60" t="e">
        <f>(Links!R110^2+'Off-Ramp'!L110^2)/(Links!R110+'Off-Ramp'!L110)</f>
        <v>#DIV/0!</v>
      </c>
      <c r="BP110" s="60" t="e">
        <f>Links!S110</f>
        <v>#DIV/0!</v>
      </c>
      <c r="BQ110" s="60" t="e">
        <f>(Links!S110^2+'Off-Ramp'!C110^2)/(Links!S110+'Off-Ramp'!C110)</f>
        <v>#DIV/0!</v>
      </c>
      <c r="BR110" s="60" t="e">
        <f>Links!T110</f>
        <v>#DIV/0!</v>
      </c>
      <c r="BS110" s="60" t="e">
        <f>(Links!X110^2+'Off-Ramp'!V110^2+'Off-Ramp'!W110^2+'Off-Ramp'!X110^2)/(Links!X110+'Off-Ramp'!V110+'Off-Ramp'!W110+'Off-Ramp'!X110)</f>
        <v>#DIV/0!</v>
      </c>
      <c r="BT110" s="60" t="e">
        <f>(Links!Y110^2+'Off-Ramp'!Y110^2+'Off-Ramp'!Z110^2+'Off-Ramp'!AA110^2)/(Links!Y110+'Off-Ramp'!Y110+'Off-Ramp'!Z110+'Off-Ramp'!AA110)</f>
        <v>#DIV/0!</v>
      </c>
      <c r="BU110" s="60" t="e">
        <f>(Links!W110^2+'Off-Ramp'!P110^2)/(Links!W110+'Off-Ramp'!P110)</f>
        <v>#DIV/0!</v>
      </c>
      <c r="BV110" s="60" t="e">
        <f>(Links!Y110^2+'Off-Ramp'!Q110^2)/(Links!Y110+'Off-Ramp'!Q110)</f>
        <v>#DIV/0!</v>
      </c>
      <c r="BW110" s="60" t="e">
        <f>(Links!Z110^2+'Off-Ramp'!R110^2)/(Links!Z110+'Off-Ramp'!R110)</f>
        <v>#DIV/0!</v>
      </c>
      <c r="BX110" s="60" t="e">
        <f>(Links!AA110+'Off-Ramp'!S110)/(Links!AA110^2+'Off-Ramp'!S110^2)</f>
        <v>#DIV/0!</v>
      </c>
      <c r="BY110" s="60" t="e">
        <f>(Links!AB110^2+'Off-Ramp'!T110^2)/(Links!AB110+'Off-Ramp'!T110)</f>
        <v>#DIV/0!</v>
      </c>
      <c r="BZ110" s="60" t="e">
        <f>Links!AC110</f>
        <v>#DIV/0!</v>
      </c>
      <c r="CA110" s="60" t="e">
        <f>(Links!AD110^2+'Off-Ramp'!U110^2)/(Links!AD110+'Off-Ramp'!U110)</f>
        <v>#DIV/0!</v>
      </c>
    </row>
    <row r="111" spans="1:79" x14ac:dyDescent="0.15">
      <c r="A111" s="58">
        <v>109</v>
      </c>
      <c r="B111" s="59" t="e">
        <f t="shared" si="31"/>
        <v>#DIV/0!</v>
      </c>
      <c r="C111" s="59" t="e">
        <f t="shared" si="32"/>
        <v>#DIV/0!</v>
      </c>
      <c r="D111" s="59" t="e">
        <f t="shared" si="33"/>
        <v>#DIV/0!</v>
      </c>
      <c r="E111" s="59" t="e">
        <f t="shared" si="34"/>
        <v>#DIV/0!</v>
      </c>
      <c r="F111" s="59" t="e">
        <f t="shared" si="35"/>
        <v>#DIV/0!</v>
      </c>
      <c r="G111" s="59" t="e">
        <f t="shared" si="36"/>
        <v>#DIV/0!</v>
      </c>
      <c r="H111" s="59" t="e">
        <f t="shared" si="37"/>
        <v>#DIV/0!</v>
      </c>
      <c r="I111" s="59" t="e">
        <f t="shared" si="38"/>
        <v>#DIV/0!</v>
      </c>
      <c r="J111" s="59" t="e">
        <f t="shared" si="39"/>
        <v>#DIV/0!</v>
      </c>
      <c r="K111" s="59" t="e">
        <f t="shared" si="40"/>
        <v>#DIV/0!</v>
      </c>
      <c r="L111" s="59" t="e">
        <f t="shared" si="41"/>
        <v>#DIV/0!</v>
      </c>
      <c r="M111" s="59" t="e">
        <f t="shared" si="42"/>
        <v>#DIV/0!</v>
      </c>
      <c r="N111" s="59" t="e">
        <f t="shared" si="43"/>
        <v>#DIV/0!</v>
      </c>
      <c r="O111" s="60" t="e">
        <f>Links!B111</f>
        <v>#DIV/0!</v>
      </c>
      <c r="P111" s="60" t="e">
        <f>Links!C111+'On-Ramps'!AC111</f>
        <v>#DIV/0!</v>
      </c>
      <c r="Q111" s="60" t="e">
        <f>Links!D111</f>
        <v>#DIV/0!</v>
      </c>
      <c r="R111" s="60" t="e">
        <f>Links!E111+'On-Ramps'!AD111</f>
        <v>#DIV/0!</v>
      </c>
      <c r="S111" s="60" t="e">
        <f>Links!F111+'On-Ramps'!AE111</f>
        <v>#DIV/0!</v>
      </c>
      <c r="T111" s="60" t="e">
        <f>Links!G111+'On-Ramps'!AF111</f>
        <v>#DIV/0!</v>
      </c>
      <c r="U111" s="60" t="e">
        <f>Links!H111+'On-Ramps'!AG111</f>
        <v>#DIV/0!</v>
      </c>
      <c r="V111" s="60" t="e">
        <f>Links!J111+'On-Ramps'!AH111</f>
        <v>#DIV/0!</v>
      </c>
      <c r="W111" s="60" t="e">
        <f>Links!K111+'On-Ramps'!AI111</f>
        <v>#DIV/0!</v>
      </c>
      <c r="X111" s="60" t="e">
        <f>Links!L111+'On-Ramps'!AJ111</f>
        <v>#DIV/0!</v>
      </c>
      <c r="Y111" s="60" t="e">
        <f>Links!M111</f>
        <v>#DIV/0!</v>
      </c>
      <c r="Z111" s="60" t="e">
        <f>Links!N111+'On-Ramps'!AK111</f>
        <v>#DIV/0!</v>
      </c>
      <c r="AA111" s="60" t="e">
        <f>Links!O111</f>
        <v>#DIV/0!</v>
      </c>
      <c r="AB111" s="59" t="e">
        <f t="shared" si="44"/>
        <v>#DIV/0!</v>
      </c>
      <c r="AC111" s="65"/>
      <c r="AD111" s="59" t="e">
        <f t="shared" si="45"/>
        <v>#DIV/0!</v>
      </c>
      <c r="AE111" s="65"/>
      <c r="AF111" s="59" t="e">
        <f t="shared" si="46"/>
        <v>#DIV/0!</v>
      </c>
      <c r="AG111" s="59" t="e">
        <f t="shared" si="47"/>
        <v>#DIV/0!</v>
      </c>
      <c r="AH111" s="59" t="e">
        <f t="shared" si="48"/>
        <v>#DIV/0!</v>
      </c>
      <c r="AI111" s="59" t="e">
        <f t="shared" si="49"/>
        <v>#DIV/0!</v>
      </c>
      <c r="AJ111" s="59" t="e">
        <f t="shared" si="50"/>
        <v>#DIV/0!</v>
      </c>
      <c r="AK111" s="59" t="e">
        <f t="shared" si="51"/>
        <v>#DIV/0!</v>
      </c>
      <c r="AL111" s="59" t="e">
        <f t="shared" si="52"/>
        <v>#DIV/0!</v>
      </c>
      <c r="AM111" s="65"/>
      <c r="AN111" s="59" t="e">
        <f t="shared" si="54"/>
        <v>#DIV/0!</v>
      </c>
      <c r="AO111" s="60" t="e">
        <f t="shared" si="30"/>
        <v>#DIV/0!</v>
      </c>
      <c r="AP111" s="65"/>
      <c r="AQ111" s="60" t="e">
        <f t="shared" si="55"/>
        <v>#DIV/0!</v>
      </c>
      <c r="AR111" s="65"/>
      <c r="AS111" s="60" t="e">
        <f t="shared" si="55"/>
        <v>#DIV/0!</v>
      </c>
      <c r="AT111" s="60" t="e">
        <f t="shared" si="55"/>
        <v>#DIV/0!</v>
      </c>
      <c r="AU111" s="60" t="e">
        <f t="shared" si="55"/>
        <v>#DIV/0!</v>
      </c>
      <c r="AV111" s="60" t="e">
        <f t="shared" si="55"/>
        <v>#DIV/0!</v>
      </c>
      <c r="AW111" s="60" t="e">
        <f t="shared" si="55"/>
        <v>#DIV/0!</v>
      </c>
      <c r="AX111" s="60" t="e">
        <f t="shared" si="55"/>
        <v>#DIV/0!</v>
      </c>
      <c r="AY111" s="60" t="e">
        <f t="shared" si="55"/>
        <v>#DIV/0!</v>
      </c>
      <c r="AZ111" s="65"/>
      <c r="BA111" s="60" t="e">
        <f t="shared" si="55"/>
        <v>#DIV/0!</v>
      </c>
      <c r="BB111" s="59" t="e">
        <f>Links!AF111</f>
        <v>#DIV/0!</v>
      </c>
      <c r="BC111" s="59" t="e">
        <f>(Links!AG111*Links!C111+'On-Ramps'!AC111*'On-Ramps'!CE111)/('On-Ramps'!AC111+Links!C111)</f>
        <v>#DIV/0!</v>
      </c>
      <c r="BD111" s="59" t="e">
        <f>Links!AH111</f>
        <v>#DIV/0!</v>
      </c>
      <c r="BE111" s="59" t="e">
        <f>(Links!AI111*Links!E111+'On-Ramps'!AD111*'On-Ramps'!CF110)/('On-Ramps'!AD111+Links!E111)</f>
        <v>#DIV/0!</v>
      </c>
      <c r="BF111" s="59" t="e">
        <f>(Links!F111*Links!AJ111+'On-Ramps'!AE111*'On-Ramps'!CG111)/('On-Ramps'!AE111+Links!F111)</f>
        <v>#DIV/0!</v>
      </c>
      <c r="BG111" s="59" t="e">
        <f>(Links!G111*Links!AK111+'On-Ramps'!AF111*'On-Ramps'!CH111)/('On-Ramps'!AF111+Links!G111)</f>
        <v>#DIV/0!</v>
      </c>
      <c r="BH111" s="59" t="e">
        <f>(Links!H111*Links!AL111+'On-Ramps'!AG111*'On-Ramps'!CI111)/('On-Ramps'!AG111+Links!H111)</f>
        <v>#DIV/0!</v>
      </c>
      <c r="BI111" s="59" t="e">
        <f>(Links!J111*Links!AN111+'On-Ramps'!AH111*'On-Ramps'!CJ111)/('On-Ramps'!AH111+Links!J111)</f>
        <v>#DIV/0!</v>
      </c>
      <c r="BJ111" s="59" t="e">
        <f>(Links!K111*Links!AO111+'On-Ramps'!AI111*'On-Ramps'!CK111)/('On-Ramps'!AI111+Links!K111)</f>
        <v>#DIV/0!</v>
      </c>
      <c r="BK111" s="59" t="e">
        <f>(Links!L111*Links!AP111+'On-Ramps'!AJ111*'On-Ramps'!CL111)/(Links!L111+'On-Ramps'!AJ111)</f>
        <v>#DIV/0!</v>
      </c>
      <c r="BL111" s="59" t="e">
        <f>Links!AQ111</f>
        <v>#DIV/0!</v>
      </c>
      <c r="BM111" s="59" t="e">
        <f>(Links!N111*Links!AR111+'On-Ramps'!AL111*'On-Ramps'!CM111)/(Links!N111+'On-Ramps'!AL111)</f>
        <v>#DIV/0!</v>
      </c>
      <c r="BN111" s="59" t="e">
        <f>Links!AS111</f>
        <v>#DIV/0!</v>
      </c>
      <c r="BO111" s="60" t="e">
        <f>(Links!R111^2+'Off-Ramp'!L111^2)/(Links!R111+'Off-Ramp'!L111)</f>
        <v>#DIV/0!</v>
      </c>
      <c r="BP111" s="60" t="e">
        <f>Links!S111</f>
        <v>#DIV/0!</v>
      </c>
      <c r="BQ111" s="60" t="e">
        <f>(Links!S111^2+'Off-Ramp'!C111^2)/(Links!S111+'Off-Ramp'!C111)</f>
        <v>#DIV/0!</v>
      </c>
      <c r="BR111" s="60" t="e">
        <f>Links!T111</f>
        <v>#DIV/0!</v>
      </c>
      <c r="BS111" s="60" t="e">
        <f>(Links!X111^2+'Off-Ramp'!V111^2+'Off-Ramp'!W111^2+'Off-Ramp'!X111^2)/(Links!X111+'Off-Ramp'!V111+'Off-Ramp'!W111+'Off-Ramp'!X111)</f>
        <v>#DIV/0!</v>
      </c>
      <c r="BT111" s="60" t="e">
        <f>(Links!Y111^2+'Off-Ramp'!Y111^2+'Off-Ramp'!Z111^2+'Off-Ramp'!AA111^2)/(Links!Y111+'Off-Ramp'!Y111+'Off-Ramp'!Z111+'Off-Ramp'!AA111)</f>
        <v>#DIV/0!</v>
      </c>
      <c r="BU111" s="60" t="e">
        <f>(Links!W111^2+'Off-Ramp'!P111^2)/(Links!W111+'Off-Ramp'!P111)</f>
        <v>#DIV/0!</v>
      </c>
      <c r="BV111" s="60" t="e">
        <f>(Links!Y111^2+'Off-Ramp'!Q111^2)/(Links!Y111+'Off-Ramp'!Q111)</f>
        <v>#DIV/0!</v>
      </c>
      <c r="BW111" s="60" t="e">
        <f>(Links!Z111^2+'Off-Ramp'!R111^2)/(Links!Z111+'Off-Ramp'!R111)</f>
        <v>#DIV/0!</v>
      </c>
      <c r="BX111" s="60" t="e">
        <f>(Links!AA111+'Off-Ramp'!S111)/(Links!AA111^2+'Off-Ramp'!S111^2)</f>
        <v>#DIV/0!</v>
      </c>
      <c r="BY111" s="60" t="e">
        <f>(Links!AB111^2+'Off-Ramp'!T111^2)/(Links!AB111+'Off-Ramp'!T111)</f>
        <v>#DIV/0!</v>
      </c>
      <c r="BZ111" s="60" t="e">
        <f>Links!AC111</f>
        <v>#DIV/0!</v>
      </c>
      <c r="CA111" s="60" t="e">
        <f>(Links!AD111^2+'Off-Ramp'!U111^2)/(Links!AD111+'Off-Ramp'!U111)</f>
        <v>#DIV/0!</v>
      </c>
    </row>
    <row r="112" spans="1:79" x14ac:dyDescent="0.15">
      <c r="A112" s="58">
        <v>110</v>
      </c>
      <c r="B112" s="59" t="e">
        <f t="shared" si="31"/>
        <v>#DIV/0!</v>
      </c>
      <c r="C112" s="59" t="e">
        <f t="shared" si="32"/>
        <v>#DIV/0!</v>
      </c>
      <c r="D112" s="59" t="e">
        <f t="shared" si="33"/>
        <v>#DIV/0!</v>
      </c>
      <c r="E112" s="59" t="e">
        <f t="shared" si="34"/>
        <v>#DIV/0!</v>
      </c>
      <c r="F112" s="59" t="e">
        <f t="shared" si="35"/>
        <v>#DIV/0!</v>
      </c>
      <c r="G112" s="59" t="e">
        <f t="shared" si="36"/>
        <v>#DIV/0!</v>
      </c>
      <c r="H112" s="59" t="e">
        <f t="shared" si="37"/>
        <v>#DIV/0!</v>
      </c>
      <c r="I112" s="59" t="e">
        <f t="shared" si="38"/>
        <v>#DIV/0!</v>
      </c>
      <c r="J112" s="59" t="e">
        <f t="shared" si="39"/>
        <v>#DIV/0!</v>
      </c>
      <c r="K112" s="59" t="e">
        <f t="shared" si="40"/>
        <v>#DIV/0!</v>
      </c>
      <c r="L112" s="59" t="e">
        <f t="shared" si="41"/>
        <v>#DIV/0!</v>
      </c>
      <c r="M112" s="59" t="e">
        <f t="shared" si="42"/>
        <v>#DIV/0!</v>
      </c>
      <c r="N112" s="59" t="e">
        <f t="shared" si="43"/>
        <v>#DIV/0!</v>
      </c>
      <c r="O112" s="60" t="e">
        <f>Links!B112</f>
        <v>#DIV/0!</v>
      </c>
      <c r="P112" s="60" t="e">
        <f>Links!C112+'On-Ramps'!AC112</f>
        <v>#DIV/0!</v>
      </c>
      <c r="Q112" s="60" t="e">
        <f>Links!D112</f>
        <v>#DIV/0!</v>
      </c>
      <c r="R112" s="60" t="e">
        <f>Links!E112+'On-Ramps'!AD112</f>
        <v>#DIV/0!</v>
      </c>
      <c r="S112" s="60" t="e">
        <f>Links!F112+'On-Ramps'!AE112</f>
        <v>#DIV/0!</v>
      </c>
      <c r="T112" s="60" t="e">
        <f>Links!G112+'On-Ramps'!AF112</f>
        <v>#DIV/0!</v>
      </c>
      <c r="U112" s="60" t="e">
        <f>Links!H112+'On-Ramps'!AG112</f>
        <v>#DIV/0!</v>
      </c>
      <c r="V112" s="60" t="e">
        <f>Links!J112+'On-Ramps'!AH112</f>
        <v>#DIV/0!</v>
      </c>
      <c r="W112" s="60" t="e">
        <f>Links!K112+'On-Ramps'!AI112</f>
        <v>#DIV/0!</v>
      </c>
      <c r="X112" s="60" t="e">
        <f>Links!L112+'On-Ramps'!AJ112</f>
        <v>#DIV/0!</v>
      </c>
      <c r="Y112" s="60" t="e">
        <f>Links!M112</f>
        <v>#DIV/0!</v>
      </c>
      <c r="Z112" s="60" t="e">
        <f>Links!N112+'On-Ramps'!AK112</f>
        <v>#DIV/0!</v>
      </c>
      <c r="AA112" s="60" t="e">
        <f>Links!O112</f>
        <v>#DIV/0!</v>
      </c>
      <c r="AB112" s="59" t="e">
        <f t="shared" si="44"/>
        <v>#DIV/0!</v>
      </c>
      <c r="AC112" s="65"/>
      <c r="AD112" s="59" t="e">
        <f t="shared" si="45"/>
        <v>#DIV/0!</v>
      </c>
      <c r="AE112" s="65"/>
      <c r="AF112" s="59" t="e">
        <f t="shared" si="46"/>
        <v>#DIV/0!</v>
      </c>
      <c r="AG112" s="59" t="e">
        <f t="shared" si="47"/>
        <v>#DIV/0!</v>
      </c>
      <c r="AH112" s="59" t="e">
        <f t="shared" si="48"/>
        <v>#DIV/0!</v>
      </c>
      <c r="AI112" s="59" t="e">
        <f t="shared" si="49"/>
        <v>#DIV/0!</v>
      </c>
      <c r="AJ112" s="59" t="e">
        <f t="shared" si="50"/>
        <v>#DIV/0!</v>
      </c>
      <c r="AK112" s="59" t="e">
        <f t="shared" si="51"/>
        <v>#DIV/0!</v>
      </c>
      <c r="AL112" s="59" t="e">
        <f t="shared" si="52"/>
        <v>#DIV/0!</v>
      </c>
      <c r="AM112" s="65"/>
      <c r="AN112" s="59" t="e">
        <f t="shared" si="54"/>
        <v>#DIV/0!</v>
      </c>
      <c r="AO112" s="60" t="e">
        <f t="shared" si="30"/>
        <v>#DIV/0!</v>
      </c>
      <c r="AP112" s="65"/>
      <c r="AQ112" s="60" t="e">
        <f t="shared" si="55"/>
        <v>#DIV/0!</v>
      </c>
      <c r="AR112" s="65"/>
      <c r="AS112" s="60" t="e">
        <f t="shared" si="55"/>
        <v>#DIV/0!</v>
      </c>
      <c r="AT112" s="60" t="e">
        <f t="shared" si="55"/>
        <v>#DIV/0!</v>
      </c>
      <c r="AU112" s="60" t="e">
        <f t="shared" si="55"/>
        <v>#DIV/0!</v>
      </c>
      <c r="AV112" s="60" t="e">
        <f t="shared" si="55"/>
        <v>#DIV/0!</v>
      </c>
      <c r="AW112" s="60" t="e">
        <f t="shared" si="55"/>
        <v>#DIV/0!</v>
      </c>
      <c r="AX112" s="60" t="e">
        <f t="shared" si="55"/>
        <v>#DIV/0!</v>
      </c>
      <c r="AY112" s="60" t="e">
        <f t="shared" si="55"/>
        <v>#DIV/0!</v>
      </c>
      <c r="AZ112" s="65"/>
      <c r="BA112" s="60" t="e">
        <f t="shared" si="55"/>
        <v>#DIV/0!</v>
      </c>
      <c r="BB112" s="59" t="e">
        <f>Links!AF112</f>
        <v>#DIV/0!</v>
      </c>
      <c r="BC112" s="59" t="e">
        <f>(Links!AG112*Links!C112+'On-Ramps'!AC112*'On-Ramps'!CE112)/('On-Ramps'!AC112+Links!C112)</f>
        <v>#DIV/0!</v>
      </c>
      <c r="BD112" s="59" t="e">
        <f>Links!AH112</f>
        <v>#DIV/0!</v>
      </c>
      <c r="BE112" s="59" t="e">
        <f>(Links!AI112*Links!E112+'On-Ramps'!AD112*'On-Ramps'!CF111)/('On-Ramps'!AD112+Links!E112)</f>
        <v>#DIV/0!</v>
      </c>
      <c r="BF112" s="59" t="e">
        <f>(Links!F112*Links!AJ112+'On-Ramps'!AE112*'On-Ramps'!CG112)/('On-Ramps'!AE112+Links!F112)</f>
        <v>#DIV/0!</v>
      </c>
      <c r="BG112" s="59" t="e">
        <f>(Links!G112*Links!AK112+'On-Ramps'!AF112*'On-Ramps'!CH112)/('On-Ramps'!AF112+Links!G112)</f>
        <v>#DIV/0!</v>
      </c>
      <c r="BH112" s="59" t="e">
        <f>(Links!H112*Links!AL112+'On-Ramps'!AG112*'On-Ramps'!CI112)/('On-Ramps'!AG112+Links!H112)</f>
        <v>#DIV/0!</v>
      </c>
      <c r="BI112" s="59" t="e">
        <f>(Links!J112*Links!AN112+'On-Ramps'!AH112*'On-Ramps'!CJ112)/('On-Ramps'!AH112+Links!J112)</f>
        <v>#DIV/0!</v>
      </c>
      <c r="BJ112" s="59" t="e">
        <f>(Links!K112*Links!AO112+'On-Ramps'!AI112*'On-Ramps'!CK112)/('On-Ramps'!AI112+Links!K112)</f>
        <v>#DIV/0!</v>
      </c>
      <c r="BK112" s="59" t="e">
        <f>(Links!L112*Links!AP112+'On-Ramps'!AJ112*'On-Ramps'!CL112)/(Links!L112+'On-Ramps'!AJ112)</f>
        <v>#DIV/0!</v>
      </c>
      <c r="BL112" s="59" t="e">
        <f>Links!AQ112</f>
        <v>#DIV/0!</v>
      </c>
      <c r="BM112" s="59" t="e">
        <f>(Links!N112*Links!AR112+'On-Ramps'!AL112*'On-Ramps'!CM112)/(Links!N112+'On-Ramps'!AL112)</f>
        <v>#DIV/0!</v>
      </c>
      <c r="BN112" s="59" t="e">
        <f>Links!AS112</f>
        <v>#DIV/0!</v>
      </c>
      <c r="BO112" s="60" t="e">
        <f>(Links!R112^2+'Off-Ramp'!L112^2)/(Links!R112+'Off-Ramp'!L112)</f>
        <v>#DIV/0!</v>
      </c>
      <c r="BP112" s="60" t="e">
        <f>Links!S112</f>
        <v>#DIV/0!</v>
      </c>
      <c r="BQ112" s="60" t="e">
        <f>(Links!S112^2+'Off-Ramp'!C112^2)/(Links!S112+'Off-Ramp'!C112)</f>
        <v>#DIV/0!</v>
      </c>
      <c r="BR112" s="60" t="e">
        <f>Links!T112</f>
        <v>#DIV/0!</v>
      </c>
      <c r="BS112" s="60" t="e">
        <f>(Links!X112^2+'Off-Ramp'!V112^2+'Off-Ramp'!W112^2+'Off-Ramp'!X112^2)/(Links!X112+'Off-Ramp'!V112+'Off-Ramp'!W112+'Off-Ramp'!X112)</f>
        <v>#DIV/0!</v>
      </c>
      <c r="BT112" s="60" t="e">
        <f>(Links!Y112^2+'Off-Ramp'!Y112^2+'Off-Ramp'!Z112^2+'Off-Ramp'!AA112^2)/(Links!Y112+'Off-Ramp'!Y112+'Off-Ramp'!Z112+'Off-Ramp'!AA112)</f>
        <v>#DIV/0!</v>
      </c>
      <c r="BU112" s="60" t="e">
        <f>(Links!W112^2+'Off-Ramp'!P112^2)/(Links!W112+'Off-Ramp'!P112)</f>
        <v>#DIV/0!</v>
      </c>
      <c r="BV112" s="60" t="e">
        <f>(Links!Y112^2+'Off-Ramp'!Q112^2)/(Links!Y112+'Off-Ramp'!Q112)</f>
        <v>#DIV/0!</v>
      </c>
      <c r="BW112" s="60" t="e">
        <f>(Links!Z112^2+'Off-Ramp'!R112^2)/(Links!Z112+'Off-Ramp'!R112)</f>
        <v>#DIV/0!</v>
      </c>
      <c r="BX112" s="60" t="e">
        <f>(Links!AA112+'Off-Ramp'!S112)/(Links!AA112^2+'Off-Ramp'!S112^2)</f>
        <v>#DIV/0!</v>
      </c>
      <c r="BY112" s="60" t="e">
        <f>(Links!AB112^2+'Off-Ramp'!T112^2)/(Links!AB112+'Off-Ramp'!T112)</f>
        <v>#DIV/0!</v>
      </c>
      <c r="BZ112" s="60" t="e">
        <f>Links!AC112</f>
        <v>#DIV/0!</v>
      </c>
      <c r="CA112" s="60" t="e">
        <f>(Links!AD112^2+'Off-Ramp'!U112^2)/(Links!AD112+'Off-Ramp'!U112)</f>
        <v>#DIV/0!</v>
      </c>
    </row>
    <row r="113" spans="1:79" x14ac:dyDescent="0.15">
      <c r="A113" s="58">
        <v>111</v>
      </c>
      <c r="B113" s="59" t="e">
        <f t="shared" si="31"/>
        <v>#DIV/0!</v>
      </c>
      <c r="C113" s="59" t="e">
        <f t="shared" si="32"/>
        <v>#DIV/0!</v>
      </c>
      <c r="D113" s="59" t="e">
        <f t="shared" si="33"/>
        <v>#DIV/0!</v>
      </c>
      <c r="E113" s="59" t="e">
        <f t="shared" si="34"/>
        <v>#DIV/0!</v>
      </c>
      <c r="F113" s="59" t="e">
        <f t="shared" si="35"/>
        <v>#DIV/0!</v>
      </c>
      <c r="G113" s="59" t="e">
        <f t="shared" si="36"/>
        <v>#DIV/0!</v>
      </c>
      <c r="H113" s="59" t="e">
        <f t="shared" si="37"/>
        <v>#DIV/0!</v>
      </c>
      <c r="I113" s="59" t="e">
        <f t="shared" si="38"/>
        <v>#DIV/0!</v>
      </c>
      <c r="J113" s="59" t="e">
        <f t="shared" si="39"/>
        <v>#DIV/0!</v>
      </c>
      <c r="K113" s="59" t="e">
        <f t="shared" si="40"/>
        <v>#DIV/0!</v>
      </c>
      <c r="L113" s="59" t="e">
        <f t="shared" si="41"/>
        <v>#DIV/0!</v>
      </c>
      <c r="M113" s="59" t="e">
        <f t="shared" si="42"/>
        <v>#DIV/0!</v>
      </c>
      <c r="N113" s="59" t="e">
        <f t="shared" si="43"/>
        <v>#DIV/0!</v>
      </c>
      <c r="O113" s="60" t="e">
        <f>Links!B113</f>
        <v>#DIV/0!</v>
      </c>
      <c r="P113" s="60" t="e">
        <f>Links!C113+'On-Ramps'!AC113</f>
        <v>#DIV/0!</v>
      </c>
      <c r="Q113" s="60" t="e">
        <f>Links!D113</f>
        <v>#DIV/0!</v>
      </c>
      <c r="R113" s="60" t="e">
        <f>Links!E113+'On-Ramps'!AD113</f>
        <v>#DIV/0!</v>
      </c>
      <c r="S113" s="60" t="e">
        <f>Links!F113+'On-Ramps'!AE113</f>
        <v>#DIV/0!</v>
      </c>
      <c r="T113" s="60" t="e">
        <f>Links!G113+'On-Ramps'!AF113</f>
        <v>#DIV/0!</v>
      </c>
      <c r="U113" s="60" t="e">
        <f>Links!H113+'On-Ramps'!AG113</f>
        <v>#DIV/0!</v>
      </c>
      <c r="V113" s="60" t="e">
        <f>Links!J113+'On-Ramps'!AH113</f>
        <v>#DIV/0!</v>
      </c>
      <c r="W113" s="60" t="e">
        <f>Links!K113+'On-Ramps'!AI113</f>
        <v>#DIV/0!</v>
      </c>
      <c r="X113" s="60" t="e">
        <f>Links!L113+'On-Ramps'!AJ113</f>
        <v>#DIV/0!</v>
      </c>
      <c r="Y113" s="60" t="e">
        <f>Links!M113</f>
        <v>#DIV/0!</v>
      </c>
      <c r="Z113" s="60" t="e">
        <f>Links!N113+'On-Ramps'!AK113</f>
        <v>#DIV/0!</v>
      </c>
      <c r="AA113" s="60" t="e">
        <f>Links!O113</f>
        <v>#DIV/0!</v>
      </c>
      <c r="AB113" s="59" t="e">
        <f t="shared" si="44"/>
        <v>#DIV/0!</v>
      </c>
      <c r="AC113" s="65"/>
      <c r="AD113" s="59" t="e">
        <f t="shared" si="45"/>
        <v>#DIV/0!</v>
      </c>
      <c r="AE113" s="65"/>
      <c r="AF113" s="59" t="e">
        <f t="shared" si="46"/>
        <v>#DIV/0!</v>
      </c>
      <c r="AG113" s="59" t="e">
        <f t="shared" si="47"/>
        <v>#DIV/0!</v>
      </c>
      <c r="AH113" s="59" t="e">
        <f t="shared" si="48"/>
        <v>#DIV/0!</v>
      </c>
      <c r="AI113" s="59" t="e">
        <f t="shared" si="49"/>
        <v>#DIV/0!</v>
      </c>
      <c r="AJ113" s="59" t="e">
        <f t="shared" si="50"/>
        <v>#DIV/0!</v>
      </c>
      <c r="AK113" s="59" t="e">
        <f t="shared" si="51"/>
        <v>#DIV/0!</v>
      </c>
      <c r="AL113" s="59" t="e">
        <f t="shared" si="52"/>
        <v>#DIV/0!</v>
      </c>
      <c r="AM113" s="65"/>
      <c r="AN113" s="59" t="e">
        <f t="shared" si="54"/>
        <v>#DIV/0!</v>
      </c>
      <c r="AO113" s="60" t="e">
        <f t="shared" si="30"/>
        <v>#DIV/0!</v>
      </c>
      <c r="AP113" s="65"/>
      <c r="AQ113" s="60" t="e">
        <f t="shared" si="55"/>
        <v>#DIV/0!</v>
      </c>
      <c r="AR113" s="65"/>
      <c r="AS113" s="60" t="e">
        <f t="shared" si="55"/>
        <v>#DIV/0!</v>
      </c>
      <c r="AT113" s="60" t="e">
        <f t="shared" si="55"/>
        <v>#DIV/0!</v>
      </c>
      <c r="AU113" s="60" t="e">
        <f t="shared" si="55"/>
        <v>#DIV/0!</v>
      </c>
      <c r="AV113" s="60" t="e">
        <f t="shared" si="55"/>
        <v>#DIV/0!</v>
      </c>
      <c r="AW113" s="60" t="e">
        <f t="shared" si="55"/>
        <v>#DIV/0!</v>
      </c>
      <c r="AX113" s="60" t="e">
        <f t="shared" si="55"/>
        <v>#DIV/0!</v>
      </c>
      <c r="AY113" s="60" t="e">
        <f t="shared" si="55"/>
        <v>#DIV/0!</v>
      </c>
      <c r="AZ113" s="65"/>
      <c r="BA113" s="60" t="e">
        <f t="shared" si="55"/>
        <v>#DIV/0!</v>
      </c>
      <c r="BB113" s="59" t="e">
        <f>Links!AF113</f>
        <v>#DIV/0!</v>
      </c>
      <c r="BC113" s="59" t="e">
        <f>(Links!AG113*Links!C113+'On-Ramps'!AC113*'On-Ramps'!CE113)/('On-Ramps'!AC113+Links!C113)</f>
        <v>#DIV/0!</v>
      </c>
      <c r="BD113" s="59" t="e">
        <f>Links!AH113</f>
        <v>#DIV/0!</v>
      </c>
      <c r="BE113" s="59" t="e">
        <f>(Links!AI113*Links!E113+'On-Ramps'!AD113*'On-Ramps'!CF112)/('On-Ramps'!AD113+Links!E113)</f>
        <v>#DIV/0!</v>
      </c>
      <c r="BF113" s="59" t="e">
        <f>(Links!F113*Links!AJ113+'On-Ramps'!AE113*'On-Ramps'!CG113)/('On-Ramps'!AE113+Links!F113)</f>
        <v>#DIV/0!</v>
      </c>
      <c r="BG113" s="59" t="e">
        <f>(Links!G113*Links!AK113+'On-Ramps'!AF113*'On-Ramps'!CH113)/('On-Ramps'!AF113+Links!G113)</f>
        <v>#DIV/0!</v>
      </c>
      <c r="BH113" s="59" t="e">
        <f>(Links!H113*Links!AL113+'On-Ramps'!AG113*'On-Ramps'!CI113)/('On-Ramps'!AG113+Links!H113)</f>
        <v>#DIV/0!</v>
      </c>
      <c r="BI113" s="59" t="e">
        <f>(Links!J113*Links!AN113+'On-Ramps'!AH113*'On-Ramps'!CJ113)/('On-Ramps'!AH113+Links!J113)</f>
        <v>#DIV/0!</v>
      </c>
      <c r="BJ113" s="59" t="e">
        <f>(Links!K113*Links!AO113+'On-Ramps'!AI113*'On-Ramps'!CK113)/('On-Ramps'!AI113+Links!K113)</f>
        <v>#DIV/0!</v>
      </c>
      <c r="BK113" s="59" t="e">
        <f>(Links!L113*Links!AP113+'On-Ramps'!AJ113*'On-Ramps'!CL113)/(Links!L113+'On-Ramps'!AJ113)</f>
        <v>#DIV/0!</v>
      </c>
      <c r="BL113" s="59" t="e">
        <f>Links!AQ113</f>
        <v>#DIV/0!</v>
      </c>
      <c r="BM113" s="59" t="e">
        <f>(Links!N113*Links!AR113+'On-Ramps'!AL113*'On-Ramps'!CM113)/(Links!N113+'On-Ramps'!AL113)</f>
        <v>#DIV/0!</v>
      </c>
      <c r="BN113" s="59" t="e">
        <f>Links!AS113</f>
        <v>#DIV/0!</v>
      </c>
      <c r="BO113" s="60" t="e">
        <f>(Links!R113^2+'Off-Ramp'!L113^2)/(Links!R113+'Off-Ramp'!L113)</f>
        <v>#DIV/0!</v>
      </c>
      <c r="BP113" s="60" t="e">
        <f>Links!S113</f>
        <v>#DIV/0!</v>
      </c>
      <c r="BQ113" s="60" t="e">
        <f>(Links!S113^2+'Off-Ramp'!C113^2)/(Links!S113+'Off-Ramp'!C113)</f>
        <v>#DIV/0!</v>
      </c>
      <c r="BR113" s="60" t="e">
        <f>Links!T113</f>
        <v>#DIV/0!</v>
      </c>
      <c r="BS113" s="60" t="e">
        <f>(Links!X113^2+'Off-Ramp'!V113^2+'Off-Ramp'!W113^2+'Off-Ramp'!X113^2)/(Links!X113+'Off-Ramp'!V113+'Off-Ramp'!W113+'Off-Ramp'!X113)</f>
        <v>#DIV/0!</v>
      </c>
      <c r="BT113" s="60" t="e">
        <f>(Links!Y113^2+'Off-Ramp'!Y113^2+'Off-Ramp'!Z113^2+'Off-Ramp'!AA113^2)/(Links!Y113+'Off-Ramp'!Y113+'Off-Ramp'!Z113+'Off-Ramp'!AA113)</f>
        <v>#DIV/0!</v>
      </c>
      <c r="BU113" s="60" t="e">
        <f>(Links!W113^2+'Off-Ramp'!P113^2)/(Links!W113+'Off-Ramp'!P113)</f>
        <v>#DIV/0!</v>
      </c>
      <c r="BV113" s="60" t="e">
        <f>(Links!Y113^2+'Off-Ramp'!Q113^2)/(Links!Y113+'Off-Ramp'!Q113)</f>
        <v>#DIV/0!</v>
      </c>
      <c r="BW113" s="60" t="e">
        <f>(Links!Z113^2+'Off-Ramp'!R113^2)/(Links!Z113+'Off-Ramp'!R113)</f>
        <v>#DIV/0!</v>
      </c>
      <c r="BX113" s="60" t="e">
        <f>(Links!AA113+'Off-Ramp'!S113)/(Links!AA113^2+'Off-Ramp'!S113^2)</f>
        <v>#DIV/0!</v>
      </c>
      <c r="BY113" s="60" t="e">
        <f>(Links!AB113^2+'Off-Ramp'!T113^2)/(Links!AB113+'Off-Ramp'!T113)</f>
        <v>#DIV/0!</v>
      </c>
      <c r="BZ113" s="60" t="e">
        <f>Links!AC113</f>
        <v>#DIV/0!</v>
      </c>
      <c r="CA113" s="60" t="e">
        <f>(Links!AD113^2+'Off-Ramp'!U113^2)/(Links!AD113+'Off-Ramp'!U113)</f>
        <v>#DIV/0!</v>
      </c>
    </row>
    <row r="114" spans="1:79" x14ac:dyDescent="0.15">
      <c r="A114" s="58">
        <v>112</v>
      </c>
      <c r="B114" s="59" t="e">
        <f t="shared" si="31"/>
        <v>#DIV/0!</v>
      </c>
      <c r="C114" s="59" t="e">
        <f t="shared" si="32"/>
        <v>#DIV/0!</v>
      </c>
      <c r="D114" s="59" t="e">
        <f t="shared" si="33"/>
        <v>#DIV/0!</v>
      </c>
      <c r="E114" s="59" t="e">
        <f t="shared" si="34"/>
        <v>#DIV/0!</v>
      </c>
      <c r="F114" s="59" t="e">
        <f t="shared" si="35"/>
        <v>#DIV/0!</v>
      </c>
      <c r="G114" s="59" t="e">
        <f t="shared" si="36"/>
        <v>#DIV/0!</v>
      </c>
      <c r="H114" s="59" t="e">
        <f t="shared" si="37"/>
        <v>#DIV/0!</v>
      </c>
      <c r="I114" s="59" t="e">
        <f t="shared" si="38"/>
        <v>#DIV/0!</v>
      </c>
      <c r="J114" s="59" t="e">
        <f t="shared" si="39"/>
        <v>#DIV/0!</v>
      </c>
      <c r="K114" s="59" t="e">
        <f t="shared" si="40"/>
        <v>#DIV/0!</v>
      </c>
      <c r="L114" s="59" t="e">
        <f t="shared" si="41"/>
        <v>#DIV/0!</v>
      </c>
      <c r="M114" s="59" t="e">
        <f t="shared" si="42"/>
        <v>#DIV/0!</v>
      </c>
      <c r="N114" s="59" t="e">
        <f t="shared" si="43"/>
        <v>#DIV/0!</v>
      </c>
      <c r="O114" s="60" t="e">
        <f>Links!B114</f>
        <v>#DIV/0!</v>
      </c>
      <c r="P114" s="60" t="e">
        <f>Links!C114+'On-Ramps'!AC114</f>
        <v>#DIV/0!</v>
      </c>
      <c r="Q114" s="60" t="e">
        <f>Links!D114</f>
        <v>#DIV/0!</v>
      </c>
      <c r="R114" s="60" t="e">
        <f>Links!E114+'On-Ramps'!AD114</f>
        <v>#DIV/0!</v>
      </c>
      <c r="S114" s="60" t="e">
        <f>Links!F114+'On-Ramps'!AE114</f>
        <v>#DIV/0!</v>
      </c>
      <c r="T114" s="60" t="e">
        <f>Links!G114+'On-Ramps'!AF114</f>
        <v>#DIV/0!</v>
      </c>
      <c r="U114" s="60" t="e">
        <f>Links!H114+'On-Ramps'!AG114</f>
        <v>#DIV/0!</v>
      </c>
      <c r="V114" s="60" t="e">
        <f>Links!J114+'On-Ramps'!AH114</f>
        <v>#DIV/0!</v>
      </c>
      <c r="W114" s="60" t="e">
        <f>Links!K114+'On-Ramps'!AI114</f>
        <v>#DIV/0!</v>
      </c>
      <c r="X114" s="60" t="e">
        <f>Links!L114+'On-Ramps'!AJ114</f>
        <v>#DIV/0!</v>
      </c>
      <c r="Y114" s="60" t="e">
        <f>Links!M114</f>
        <v>#DIV/0!</v>
      </c>
      <c r="Z114" s="60" t="e">
        <f>Links!N114+'On-Ramps'!AK114</f>
        <v>#DIV/0!</v>
      </c>
      <c r="AA114" s="60" t="e">
        <f>Links!O114</f>
        <v>#DIV/0!</v>
      </c>
      <c r="AB114" s="59" t="e">
        <f t="shared" si="44"/>
        <v>#DIV/0!</v>
      </c>
      <c r="AC114" s="65"/>
      <c r="AD114" s="59" t="e">
        <f t="shared" si="45"/>
        <v>#DIV/0!</v>
      </c>
      <c r="AE114" s="65"/>
      <c r="AF114" s="59" t="e">
        <f t="shared" si="46"/>
        <v>#DIV/0!</v>
      </c>
      <c r="AG114" s="59" t="e">
        <f t="shared" si="47"/>
        <v>#DIV/0!</v>
      </c>
      <c r="AH114" s="59" t="e">
        <f t="shared" si="48"/>
        <v>#DIV/0!</v>
      </c>
      <c r="AI114" s="59" t="e">
        <f t="shared" si="49"/>
        <v>#DIV/0!</v>
      </c>
      <c r="AJ114" s="59" t="e">
        <f t="shared" si="50"/>
        <v>#DIV/0!</v>
      </c>
      <c r="AK114" s="59" t="e">
        <f t="shared" si="51"/>
        <v>#DIV/0!</v>
      </c>
      <c r="AL114" s="59" t="e">
        <f t="shared" si="52"/>
        <v>#DIV/0!</v>
      </c>
      <c r="AM114" s="65"/>
      <c r="AN114" s="59" t="e">
        <f t="shared" si="54"/>
        <v>#DIV/0!</v>
      </c>
      <c r="AO114" s="60" t="e">
        <f t="shared" si="30"/>
        <v>#DIV/0!</v>
      </c>
      <c r="AP114" s="65"/>
      <c r="AQ114" s="60" t="e">
        <f t="shared" si="55"/>
        <v>#DIV/0!</v>
      </c>
      <c r="AR114" s="65"/>
      <c r="AS114" s="60" t="e">
        <f t="shared" si="55"/>
        <v>#DIV/0!</v>
      </c>
      <c r="AT114" s="60" t="e">
        <f t="shared" si="55"/>
        <v>#DIV/0!</v>
      </c>
      <c r="AU114" s="60" t="e">
        <f t="shared" si="55"/>
        <v>#DIV/0!</v>
      </c>
      <c r="AV114" s="60" t="e">
        <f t="shared" si="55"/>
        <v>#DIV/0!</v>
      </c>
      <c r="AW114" s="60" t="e">
        <f t="shared" si="55"/>
        <v>#DIV/0!</v>
      </c>
      <c r="AX114" s="60" t="e">
        <f t="shared" si="55"/>
        <v>#DIV/0!</v>
      </c>
      <c r="AY114" s="60" t="e">
        <f t="shared" si="55"/>
        <v>#DIV/0!</v>
      </c>
      <c r="AZ114" s="65"/>
      <c r="BA114" s="60" t="e">
        <f t="shared" si="55"/>
        <v>#DIV/0!</v>
      </c>
      <c r="BB114" s="59" t="e">
        <f>Links!AF114</f>
        <v>#DIV/0!</v>
      </c>
      <c r="BC114" s="59" t="e">
        <f>(Links!AG114*Links!C114+'On-Ramps'!AC114*'On-Ramps'!CE114)/('On-Ramps'!AC114+Links!C114)</f>
        <v>#DIV/0!</v>
      </c>
      <c r="BD114" s="59" t="e">
        <f>Links!AH114</f>
        <v>#DIV/0!</v>
      </c>
      <c r="BE114" s="59" t="e">
        <f>(Links!AI114*Links!E114+'On-Ramps'!AD114*'On-Ramps'!CF113)/('On-Ramps'!AD114+Links!E114)</f>
        <v>#DIV/0!</v>
      </c>
      <c r="BF114" s="59" t="e">
        <f>(Links!F114*Links!AJ114+'On-Ramps'!AE114*'On-Ramps'!CG114)/('On-Ramps'!AE114+Links!F114)</f>
        <v>#DIV/0!</v>
      </c>
      <c r="BG114" s="59" t="e">
        <f>(Links!G114*Links!AK114+'On-Ramps'!AF114*'On-Ramps'!CH114)/('On-Ramps'!AF114+Links!G114)</f>
        <v>#DIV/0!</v>
      </c>
      <c r="BH114" s="59" t="e">
        <f>(Links!H114*Links!AL114+'On-Ramps'!AG114*'On-Ramps'!CI114)/('On-Ramps'!AG114+Links!H114)</f>
        <v>#DIV/0!</v>
      </c>
      <c r="BI114" s="59" t="e">
        <f>(Links!J114*Links!AN114+'On-Ramps'!AH114*'On-Ramps'!CJ114)/('On-Ramps'!AH114+Links!J114)</f>
        <v>#DIV/0!</v>
      </c>
      <c r="BJ114" s="59" t="e">
        <f>(Links!K114*Links!AO114+'On-Ramps'!AI114*'On-Ramps'!CK114)/('On-Ramps'!AI114+Links!K114)</f>
        <v>#DIV/0!</v>
      </c>
      <c r="BK114" s="59" t="e">
        <f>(Links!L114*Links!AP114+'On-Ramps'!AJ114*'On-Ramps'!CL114)/(Links!L114+'On-Ramps'!AJ114)</f>
        <v>#DIV/0!</v>
      </c>
      <c r="BL114" s="59" t="e">
        <f>Links!AQ114</f>
        <v>#DIV/0!</v>
      </c>
      <c r="BM114" s="59" t="e">
        <f>(Links!N114*Links!AR114+'On-Ramps'!AL114*'On-Ramps'!CM114)/(Links!N114+'On-Ramps'!AL114)</f>
        <v>#DIV/0!</v>
      </c>
      <c r="BN114" s="59" t="e">
        <f>Links!AS114</f>
        <v>#DIV/0!</v>
      </c>
      <c r="BO114" s="60" t="e">
        <f>(Links!R114^2+'Off-Ramp'!L114^2)/(Links!R114+'Off-Ramp'!L114)</f>
        <v>#DIV/0!</v>
      </c>
      <c r="BP114" s="60" t="e">
        <f>Links!S114</f>
        <v>#DIV/0!</v>
      </c>
      <c r="BQ114" s="60" t="e">
        <f>(Links!S114^2+'Off-Ramp'!C114^2)/(Links!S114+'Off-Ramp'!C114)</f>
        <v>#DIV/0!</v>
      </c>
      <c r="BR114" s="60" t="e">
        <f>Links!T114</f>
        <v>#DIV/0!</v>
      </c>
      <c r="BS114" s="60" t="e">
        <f>(Links!X114^2+'Off-Ramp'!V114^2+'Off-Ramp'!W114^2+'Off-Ramp'!X114^2)/(Links!X114+'Off-Ramp'!V114+'Off-Ramp'!W114+'Off-Ramp'!X114)</f>
        <v>#DIV/0!</v>
      </c>
      <c r="BT114" s="60" t="e">
        <f>(Links!Y114^2+'Off-Ramp'!Y114^2+'Off-Ramp'!Z114^2+'Off-Ramp'!AA114^2)/(Links!Y114+'Off-Ramp'!Y114+'Off-Ramp'!Z114+'Off-Ramp'!AA114)</f>
        <v>#DIV/0!</v>
      </c>
      <c r="BU114" s="60" t="e">
        <f>(Links!W114^2+'Off-Ramp'!P114^2)/(Links!W114+'Off-Ramp'!P114)</f>
        <v>#DIV/0!</v>
      </c>
      <c r="BV114" s="60" t="e">
        <f>(Links!Y114^2+'Off-Ramp'!Q114^2)/(Links!Y114+'Off-Ramp'!Q114)</f>
        <v>#DIV/0!</v>
      </c>
      <c r="BW114" s="60" t="e">
        <f>(Links!Z114^2+'Off-Ramp'!R114^2)/(Links!Z114+'Off-Ramp'!R114)</f>
        <v>#DIV/0!</v>
      </c>
      <c r="BX114" s="60" t="e">
        <f>(Links!AA114+'Off-Ramp'!S114)/(Links!AA114^2+'Off-Ramp'!S114^2)</f>
        <v>#DIV/0!</v>
      </c>
      <c r="BY114" s="60" t="e">
        <f>(Links!AB114^2+'Off-Ramp'!T114^2)/(Links!AB114+'Off-Ramp'!T114)</f>
        <v>#DIV/0!</v>
      </c>
      <c r="BZ114" s="60" t="e">
        <f>Links!AC114</f>
        <v>#DIV/0!</v>
      </c>
      <c r="CA114" s="60" t="e">
        <f>(Links!AD114^2+'Off-Ramp'!U114^2)/(Links!AD114+'Off-Ramp'!U114)</f>
        <v>#DIV/0!</v>
      </c>
    </row>
    <row r="115" spans="1:79" x14ac:dyDescent="0.15">
      <c r="A115" s="58">
        <v>113</v>
      </c>
      <c r="B115" s="59" t="e">
        <f t="shared" si="31"/>
        <v>#DIV/0!</v>
      </c>
      <c r="C115" s="59" t="e">
        <f t="shared" si="32"/>
        <v>#DIV/0!</v>
      </c>
      <c r="D115" s="59" t="e">
        <f t="shared" si="33"/>
        <v>#DIV/0!</v>
      </c>
      <c r="E115" s="59" t="e">
        <f t="shared" si="34"/>
        <v>#DIV/0!</v>
      </c>
      <c r="F115" s="59" t="e">
        <f t="shared" si="35"/>
        <v>#DIV/0!</v>
      </c>
      <c r="G115" s="59" t="e">
        <f t="shared" si="36"/>
        <v>#DIV/0!</v>
      </c>
      <c r="H115" s="59" t="e">
        <f t="shared" si="37"/>
        <v>#DIV/0!</v>
      </c>
      <c r="I115" s="59" t="e">
        <f t="shared" si="38"/>
        <v>#DIV/0!</v>
      </c>
      <c r="J115" s="59" t="e">
        <f t="shared" si="39"/>
        <v>#DIV/0!</v>
      </c>
      <c r="K115" s="59" t="e">
        <f t="shared" si="40"/>
        <v>#DIV/0!</v>
      </c>
      <c r="L115" s="59" t="e">
        <f t="shared" si="41"/>
        <v>#DIV/0!</v>
      </c>
      <c r="M115" s="59" t="e">
        <f t="shared" si="42"/>
        <v>#DIV/0!</v>
      </c>
      <c r="N115" s="59" t="e">
        <f t="shared" si="43"/>
        <v>#DIV/0!</v>
      </c>
      <c r="O115" s="60" t="e">
        <f>Links!B115</f>
        <v>#DIV/0!</v>
      </c>
      <c r="P115" s="60" t="e">
        <f>Links!C115+'On-Ramps'!AC115</f>
        <v>#DIV/0!</v>
      </c>
      <c r="Q115" s="60" t="e">
        <f>Links!D115</f>
        <v>#DIV/0!</v>
      </c>
      <c r="R115" s="60" t="e">
        <f>Links!E115+'On-Ramps'!AD115</f>
        <v>#DIV/0!</v>
      </c>
      <c r="S115" s="60" t="e">
        <f>Links!F115+'On-Ramps'!AE115</f>
        <v>#DIV/0!</v>
      </c>
      <c r="T115" s="60" t="e">
        <f>Links!G115+'On-Ramps'!AF115</f>
        <v>#DIV/0!</v>
      </c>
      <c r="U115" s="60" t="e">
        <f>Links!H115+'On-Ramps'!AG115</f>
        <v>#DIV/0!</v>
      </c>
      <c r="V115" s="60" t="e">
        <f>Links!J115+'On-Ramps'!AH115</f>
        <v>#DIV/0!</v>
      </c>
      <c r="W115" s="60" t="e">
        <f>Links!K115+'On-Ramps'!AI115</f>
        <v>#DIV/0!</v>
      </c>
      <c r="X115" s="60" t="e">
        <f>Links!L115+'On-Ramps'!AJ115</f>
        <v>#DIV/0!</v>
      </c>
      <c r="Y115" s="60" t="e">
        <f>Links!M115</f>
        <v>#DIV/0!</v>
      </c>
      <c r="Z115" s="60" t="e">
        <f>Links!N115+'On-Ramps'!AK115</f>
        <v>#DIV/0!</v>
      </c>
      <c r="AA115" s="60" t="e">
        <f>Links!O115</f>
        <v>#DIV/0!</v>
      </c>
      <c r="AB115" s="59" t="e">
        <f t="shared" si="44"/>
        <v>#DIV/0!</v>
      </c>
      <c r="AC115" s="65"/>
      <c r="AD115" s="59" t="e">
        <f t="shared" si="45"/>
        <v>#DIV/0!</v>
      </c>
      <c r="AE115" s="65"/>
      <c r="AF115" s="59" t="e">
        <f t="shared" si="46"/>
        <v>#DIV/0!</v>
      </c>
      <c r="AG115" s="59" t="e">
        <f t="shared" si="47"/>
        <v>#DIV/0!</v>
      </c>
      <c r="AH115" s="59" t="e">
        <f t="shared" si="48"/>
        <v>#DIV/0!</v>
      </c>
      <c r="AI115" s="59" t="e">
        <f t="shared" si="49"/>
        <v>#DIV/0!</v>
      </c>
      <c r="AJ115" s="59" t="e">
        <f t="shared" si="50"/>
        <v>#DIV/0!</v>
      </c>
      <c r="AK115" s="59" t="e">
        <f t="shared" si="51"/>
        <v>#DIV/0!</v>
      </c>
      <c r="AL115" s="59" t="e">
        <f t="shared" si="52"/>
        <v>#DIV/0!</v>
      </c>
      <c r="AM115" s="65"/>
      <c r="AN115" s="59" t="e">
        <f t="shared" si="54"/>
        <v>#DIV/0!</v>
      </c>
      <c r="AO115" s="60" t="e">
        <f t="shared" si="30"/>
        <v>#DIV/0!</v>
      </c>
      <c r="AP115" s="65"/>
      <c r="AQ115" s="60" t="e">
        <f t="shared" si="55"/>
        <v>#DIV/0!</v>
      </c>
      <c r="AR115" s="65"/>
      <c r="AS115" s="60" t="e">
        <f t="shared" si="55"/>
        <v>#DIV/0!</v>
      </c>
      <c r="AT115" s="60" t="e">
        <f t="shared" si="55"/>
        <v>#DIV/0!</v>
      </c>
      <c r="AU115" s="60" t="e">
        <f t="shared" si="55"/>
        <v>#DIV/0!</v>
      </c>
      <c r="AV115" s="60" t="e">
        <f t="shared" si="55"/>
        <v>#DIV/0!</v>
      </c>
      <c r="AW115" s="60" t="e">
        <f t="shared" si="55"/>
        <v>#DIV/0!</v>
      </c>
      <c r="AX115" s="60" t="e">
        <f t="shared" si="55"/>
        <v>#DIV/0!</v>
      </c>
      <c r="AY115" s="60" t="e">
        <f t="shared" si="55"/>
        <v>#DIV/0!</v>
      </c>
      <c r="AZ115" s="65"/>
      <c r="BA115" s="60" t="e">
        <f t="shared" si="55"/>
        <v>#DIV/0!</v>
      </c>
      <c r="BB115" s="59" t="e">
        <f>Links!AF115</f>
        <v>#DIV/0!</v>
      </c>
      <c r="BC115" s="59" t="e">
        <f>(Links!AG115*Links!C115+'On-Ramps'!AC115*'On-Ramps'!CE115)/('On-Ramps'!AC115+Links!C115)</f>
        <v>#DIV/0!</v>
      </c>
      <c r="BD115" s="59" t="e">
        <f>Links!AH115</f>
        <v>#DIV/0!</v>
      </c>
      <c r="BE115" s="59" t="e">
        <f>(Links!AI115*Links!E115+'On-Ramps'!AD115*'On-Ramps'!CF114)/('On-Ramps'!AD115+Links!E115)</f>
        <v>#DIV/0!</v>
      </c>
      <c r="BF115" s="59" t="e">
        <f>(Links!F115*Links!AJ115+'On-Ramps'!AE115*'On-Ramps'!CG115)/('On-Ramps'!AE115+Links!F115)</f>
        <v>#DIV/0!</v>
      </c>
      <c r="BG115" s="59" t="e">
        <f>(Links!G115*Links!AK115+'On-Ramps'!AF115*'On-Ramps'!CH115)/('On-Ramps'!AF115+Links!G115)</f>
        <v>#DIV/0!</v>
      </c>
      <c r="BH115" s="59" t="e">
        <f>(Links!H115*Links!AL115+'On-Ramps'!AG115*'On-Ramps'!CI115)/('On-Ramps'!AG115+Links!H115)</f>
        <v>#DIV/0!</v>
      </c>
      <c r="BI115" s="59" t="e">
        <f>(Links!J115*Links!AN115+'On-Ramps'!AH115*'On-Ramps'!CJ115)/('On-Ramps'!AH115+Links!J115)</f>
        <v>#DIV/0!</v>
      </c>
      <c r="BJ115" s="59" t="e">
        <f>(Links!K115*Links!AO115+'On-Ramps'!AI115*'On-Ramps'!CK115)/('On-Ramps'!AI115+Links!K115)</f>
        <v>#DIV/0!</v>
      </c>
      <c r="BK115" s="59" t="e">
        <f>(Links!L115*Links!AP115+'On-Ramps'!AJ115*'On-Ramps'!CL115)/(Links!L115+'On-Ramps'!AJ115)</f>
        <v>#DIV/0!</v>
      </c>
      <c r="BL115" s="59" t="e">
        <f>Links!AQ115</f>
        <v>#DIV/0!</v>
      </c>
      <c r="BM115" s="59" t="e">
        <f>(Links!N115*Links!AR115+'On-Ramps'!AL115*'On-Ramps'!CM115)/(Links!N115+'On-Ramps'!AL115)</f>
        <v>#DIV/0!</v>
      </c>
      <c r="BN115" s="59" t="e">
        <f>Links!AS115</f>
        <v>#DIV/0!</v>
      </c>
      <c r="BO115" s="60" t="e">
        <f>(Links!R115^2+'Off-Ramp'!L115^2)/(Links!R115+'Off-Ramp'!L115)</f>
        <v>#DIV/0!</v>
      </c>
      <c r="BP115" s="60" t="e">
        <f>Links!S115</f>
        <v>#DIV/0!</v>
      </c>
      <c r="BQ115" s="60" t="e">
        <f>(Links!S115^2+'Off-Ramp'!C115^2)/(Links!S115+'Off-Ramp'!C115)</f>
        <v>#DIV/0!</v>
      </c>
      <c r="BR115" s="60" t="e">
        <f>Links!T115</f>
        <v>#DIV/0!</v>
      </c>
      <c r="BS115" s="60" t="e">
        <f>(Links!X115^2+'Off-Ramp'!V115^2+'Off-Ramp'!W115^2+'Off-Ramp'!X115^2)/(Links!X115+'Off-Ramp'!V115+'Off-Ramp'!W115+'Off-Ramp'!X115)</f>
        <v>#DIV/0!</v>
      </c>
      <c r="BT115" s="60" t="e">
        <f>(Links!Y115^2+'Off-Ramp'!Y115^2+'Off-Ramp'!Z115^2+'Off-Ramp'!AA115^2)/(Links!Y115+'Off-Ramp'!Y115+'Off-Ramp'!Z115+'Off-Ramp'!AA115)</f>
        <v>#DIV/0!</v>
      </c>
      <c r="BU115" s="60" t="e">
        <f>(Links!W115^2+'Off-Ramp'!P115^2)/(Links!W115+'Off-Ramp'!P115)</f>
        <v>#DIV/0!</v>
      </c>
      <c r="BV115" s="60" t="e">
        <f>(Links!Y115^2+'Off-Ramp'!Q115^2)/(Links!Y115+'Off-Ramp'!Q115)</f>
        <v>#DIV/0!</v>
      </c>
      <c r="BW115" s="60" t="e">
        <f>(Links!Z115^2+'Off-Ramp'!R115^2)/(Links!Z115+'Off-Ramp'!R115)</f>
        <v>#DIV/0!</v>
      </c>
      <c r="BX115" s="60" t="e">
        <f>(Links!AA115+'Off-Ramp'!S115)/(Links!AA115^2+'Off-Ramp'!S115^2)</f>
        <v>#DIV/0!</v>
      </c>
      <c r="BY115" s="60" t="e">
        <f>(Links!AB115^2+'Off-Ramp'!T115^2)/(Links!AB115+'Off-Ramp'!T115)</f>
        <v>#DIV/0!</v>
      </c>
      <c r="BZ115" s="60" t="e">
        <f>Links!AC115</f>
        <v>#DIV/0!</v>
      </c>
      <c r="CA115" s="60" t="e">
        <f>(Links!AD115^2+'Off-Ramp'!U115^2)/(Links!AD115+'Off-Ramp'!U115)</f>
        <v>#DIV/0!</v>
      </c>
    </row>
    <row r="116" spans="1:79" x14ac:dyDescent="0.15">
      <c r="A116" s="58">
        <v>114</v>
      </c>
      <c r="B116" s="59" t="e">
        <f t="shared" si="31"/>
        <v>#DIV/0!</v>
      </c>
      <c r="C116" s="59" t="e">
        <f t="shared" si="32"/>
        <v>#DIV/0!</v>
      </c>
      <c r="D116" s="59" t="e">
        <f t="shared" si="33"/>
        <v>#DIV/0!</v>
      </c>
      <c r="E116" s="59" t="e">
        <f t="shared" si="34"/>
        <v>#DIV/0!</v>
      </c>
      <c r="F116" s="59" t="e">
        <f t="shared" si="35"/>
        <v>#DIV/0!</v>
      </c>
      <c r="G116" s="59" t="e">
        <f t="shared" si="36"/>
        <v>#DIV/0!</v>
      </c>
      <c r="H116" s="59" t="e">
        <f t="shared" si="37"/>
        <v>#DIV/0!</v>
      </c>
      <c r="I116" s="59" t="e">
        <f t="shared" si="38"/>
        <v>#DIV/0!</v>
      </c>
      <c r="J116" s="59" t="e">
        <f t="shared" si="39"/>
        <v>#DIV/0!</v>
      </c>
      <c r="K116" s="59" t="e">
        <f t="shared" si="40"/>
        <v>#DIV/0!</v>
      </c>
      <c r="L116" s="59" t="e">
        <f t="shared" si="41"/>
        <v>#DIV/0!</v>
      </c>
      <c r="M116" s="59" t="e">
        <f t="shared" si="42"/>
        <v>#DIV/0!</v>
      </c>
      <c r="N116" s="59" t="e">
        <f t="shared" si="43"/>
        <v>#DIV/0!</v>
      </c>
      <c r="O116" s="60" t="e">
        <f>Links!B116</f>
        <v>#DIV/0!</v>
      </c>
      <c r="P116" s="60" t="e">
        <f>Links!C116+'On-Ramps'!AC116</f>
        <v>#DIV/0!</v>
      </c>
      <c r="Q116" s="60" t="e">
        <f>Links!D116</f>
        <v>#DIV/0!</v>
      </c>
      <c r="R116" s="60" t="e">
        <f>Links!E116+'On-Ramps'!AD116</f>
        <v>#DIV/0!</v>
      </c>
      <c r="S116" s="60" t="e">
        <f>Links!F116+'On-Ramps'!AE116</f>
        <v>#DIV/0!</v>
      </c>
      <c r="T116" s="60" t="e">
        <f>Links!G116+'On-Ramps'!AF116</f>
        <v>#DIV/0!</v>
      </c>
      <c r="U116" s="60" t="e">
        <f>Links!H116+'On-Ramps'!AG116</f>
        <v>#DIV/0!</v>
      </c>
      <c r="V116" s="60" t="e">
        <f>Links!J116+'On-Ramps'!AH116</f>
        <v>#DIV/0!</v>
      </c>
      <c r="W116" s="60" t="e">
        <f>Links!K116+'On-Ramps'!AI116</f>
        <v>#DIV/0!</v>
      </c>
      <c r="X116" s="60" t="e">
        <f>Links!L116+'On-Ramps'!AJ116</f>
        <v>#DIV/0!</v>
      </c>
      <c r="Y116" s="60" t="e">
        <f>Links!M116</f>
        <v>#DIV/0!</v>
      </c>
      <c r="Z116" s="60" t="e">
        <f>Links!N116+'On-Ramps'!AK116</f>
        <v>#DIV/0!</v>
      </c>
      <c r="AA116" s="60" t="e">
        <f>Links!O116</f>
        <v>#DIV/0!</v>
      </c>
      <c r="AB116" s="59" t="e">
        <f t="shared" si="44"/>
        <v>#DIV/0!</v>
      </c>
      <c r="AC116" s="65"/>
      <c r="AD116" s="59" t="e">
        <f t="shared" si="45"/>
        <v>#DIV/0!</v>
      </c>
      <c r="AE116" s="65"/>
      <c r="AF116" s="59" t="e">
        <f t="shared" si="46"/>
        <v>#DIV/0!</v>
      </c>
      <c r="AG116" s="59" t="e">
        <f t="shared" si="47"/>
        <v>#DIV/0!</v>
      </c>
      <c r="AH116" s="59" t="e">
        <f t="shared" si="48"/>
        <v>#DIV/0!</v>
      </c>
      <c r="AI116" s="59" t="e">
        <f t="shared" si="49"/>
        <v>#DIV/0!</v>
      </c>
      <c r="AJ116" s="59" t="e">
        <f t="shared" si="50"/>
        <v>#DIV/0!</v>
      </c>
      <c r="AK116" s="59" t="e">
        <f t="shared" si="51"/>
        <v>#DIV/0!</v>
      </c>
      <c r="AL116" s="59" t="e">
        <f t="shared" si="52"/>
        <v>#DIV/0!</v>
      </c>
      <c r="AM116" s="65"/>
      <c r="AN116" s="59" t="e">
        <f t="shared" si="54"/>
        <v>#DIV/0!</v>
      </c>
      <c r="AO116" s="60" t="e">
        <f t="shared" si="30"/>
        <v>#DIV/0!</v>
      </c>
      <c r="AP116" s="65"/>
      <c r="AQ116" s="60" t="e">
        <f t="shared" si="55"/>
        <v>#DIV/0!</v>
      </c>
      <c r="AR116" s="65"/>
      <c r="AS116" s="60" t="e">
        <f t="shared" si="55"/>
        <v>#DIV/0!</v>
      </c>
      <c r="AT116" s="60" t="e">
        <f t="shared" si="55"/>
        <v>#DIV/0!</v>
      </c>
      <c r="AU116" s="60" t="e">
        <f t="shared" si="55"/>
        <v>#DIV/0!</v>
      </c>
      <c r="AV116" s="60" t="e">
        <f t="shared" si="55"/>
        <v>#DIV/0!</v>
      </c>
      <c r="AW116" s="60" t="e">
        <f t="shared" si="55"/>
        <v>#DIV/0!</v>
      </c>
      <c r="AX116" s="60" t="e">
        <f t="shared" si="55"/>
        <v>#DIV/0!</v>
      </c>
      <c r="AY116" s="60" t="e">
        <f t="shared" si="55"/>
        <v>#DIV/0!</v>
      </c>
      <c r="AZ116" s="65"/>
      <c r="BA116" s="60" t="e">
        <f t="shared" si="55"/>
        <v>#DIV/0!</v>
      </c>
      <c r="BB116" s="59" t="e">
        <f>Links!AF116</f>
        <v>#DIV/0!</v>
      </c>
      <c r="BC116" s="59" t="e">
        <f>(Links!AG116*Links!C116+'On-Ramps'!AC116*'On-Ramps'!CE116)/('On-Ramps'!AC116+Links!C116)</f>
        <v>#DIV/0!</v>
      </c>
      <c r="BD116" s="59" t="e">
        <f>Links!AH116</f>
        <v>#DIV/0!</v>
      </c>
      <c r="BE116" s="59" t="e">
        <f>(Links!AI116*Links!E116+'On-Ramps'!AD116*'On-Ramps'!CF115)/('On-Ramps'!AD116+Links!E116)</f>
        <v>#DIV/0!</v>
      </c>
      <c r="BF116" s="59" t="e">
        <f>(Links!F116*Links!AJ116+'On-Ramps'!AE116*'On-Ramps'!CG116)/('On-Ramps'!AE116+Links!F116)</f>
        <v>#DIV/0!</v>
      </c>
      <c r="BG116" s="59" t="e">
        <f>(Links!G116*Links!AK116+'On-Ramps'!AF116*'On-Ramps'!CH116)/('On-Ramps'!AF116+Links!G116)</f>
        <v>#DIV/0!</v>
      </c>
      <c r="BH116" s="59" t="e">
        <f>(Links!H116*Links!AL116+'On-Ramps'!AG116*'On-Ramps'!CI116)/('On-Ramps'!AG116+Links!H116)</f>
        <v>#DIV/0!</v>
      </c>
      <c r="BI116" s="59" t="e">
        <f>(Links!J116*Links!AN116+'On-Ramps'!AH116*'On-Ramps'!CJ116)/('On-Ramps'!AH116+Links!J116)</f>
        <v>#DIV/0!</v>
      </c>
      <c r="BJ116" s="59" t="e">
        <f>(Links!K116*Links!AO116+'On-Ramps'!AI116*'On-Ramps'!CK116)/('On-Ramps'!AI116+Links!K116)</f>
        <v>#DIV/0!</v>
      </c>
      <c r="BK116" s="59" t="e">
        <f>(Links!L116*Links!AP116+'On-Ramps'!AJ116*'On-Ramps'!CL116)/(Links!L116+'On-Ramps'!AJ116)</f>
        <v>#DIV/0!</v>
      </c>
      <c r="BL116" s="59" t="e">
        <f>Links!AQ116</f>
        <v>#DIV/0!</v>
      </c>
      <c r="BM116" s="59" t="e">
        <f>(Links!N116*Links!AR116+'On-Ramps'!AL116*'On-Ramps'!CM116)/(Links!N116+'On-Ramps'!AL116)</f>
        <v>#DIV/0!</v>
      </c>
      <c r="BN116" s="59" t="e">
        <f>Links!AS116</f>
        <v>#DIV/0!</v>
      </c>
      <c r="BO116" s="60" t="e">
        <f>(Links!R116^2+'Off-Ramp'!L116^2)/(Links!R116+'Off-Ramp'!L116)</f>
        <v>#DIV/0!</v>
      </c>
      <c r="BP116" s="60" t="e">
        <f>Links!S116</f>
        <v>#DIV/0!</v>
      </c>
      <c r="BQ116" s="60" t="e">
        <f>(Links!S116^2+'Off-Ramp'!C116^2)/(Links!S116+'Off-Ramp'!C116)</f>
        <v>#DIV/0!</v>
      </c>
      <c r="BR116" s="60" t="e">
        <f>Links!T116</f>
        <v>#DIV/0!</v>
      </c>
      <c r="BS116" s="60" t="e">
        <f>(Links!X116^2+'Off-Ramp'!V116^2+'Off-Ramp'!W116^2+'Off-Ramp'!X116^2)/(Links!X116+'Off-Ramp'!V116+'Off-Ramp'!W116+'Off-Ramp'!X116)</f>
        <v>#DIV/0!</v>
      </c>
      <c r="BT116" s="60" t="e">
        <f>(Links!Y116^2+'Off-Ramp'!Y116^2+'Off-Ramp'!Z116^2+'Off-Ramp'!AA116^2)/(Links!Y116+'Off-Ramp'!Y116+'Off-Ramp'!Z116+'Off-Ramp'!AA116)</f>
        <v>#DIV/0!</v>
      </c>
      <c r="BU116" s="60" t="e">
        <f>(Links!W116^2+'Off-Ramp'!P116^2)/(Links!W116+'Off-Ramp'!P116)</f>
        <v>#DIV/0!</v>
      </c>
      <c r="BV116" s="60" t="e">
        <f>(Links!Y116^2+'Off-Ramp'!Q116^2)/(Links!Y116+'Off-Ramp'!Q116)</f>
        <v>#DIV/0!</v>
      </c>
      <c r="BW116" s="60" t="e">
        <f>(Links!Z116^2+'Off-Ramp'!R116^2)/(Links!Z116+'Off-Ramp'!R116)</f>
        <v>#DIV/0!</v>
      </c>
      <c r="BX116" s="60" t="e">
        <f>(Links!AA116+'Off-Ramp'!S116)/(Links!AA116^2+'Off-Ramp'!S116^2)</f>
        <v>#DIV/0!</v>
      </c>
      <c r="BY116" s="60" t="e">
        <f>(Links!AB116^2+'Off-Ramp'!T116^2)/(Links!AB116+'Off-Ramp'!T116)</f>
        <v>#DIV/0!</v>
      </c>
      <c r="BZ116" s="60" t="e">
        <f>Links!AC116</f>
        <v>#DIV/0!</v>
      </c>
      <c r="CA116" s="60" t="e">
        <f>(Links!AD116^2+'Off-Ramp'!U116^2)/(Links!AD116+'Off-Ramp'!U116)</f>
        <v>#DIV/0!</v>
      </c>
    </row>
    <row r="117" spans="1:79" x14ac:dyDescent="0.15">
      <c r="A117" s="58">
        <v>115</v>
      </c>
      <c r="B117" s="59" t="e">
        <f t="shared" si="31"/>
        <v>#DIV/0!</v>
      </c>
      <c r="C117" s="59" t="e">
        <f t="shared" si="32"/>
        <v>#DIV/0!</v>
      </c>
      <c r="D117" s="59" t="e">
        <f t="shared" si="33"/>
        <v>#DIV/0!</v>
      </c>
      <c r="E117" s="59" t="e">
        <f t="shared" si="34"/>
        <v>#DIV/0!</v>
      </c>
      <c r="F117" s="59" t="e">
        <f t="shared" si="35"/>
        <v>#DIV/0!</v>
      </c>
      <c r="G117" s="59" t="e">
        <f t="shared" si="36"/>
        <v>#DIV/0!</v>
      </c>
      <c r="H117" s="59" t="e">
        <f t="shared" si="37"/>
        <v>#DIV/0!</v>
      </c>
      <c r="I117" s="59" t="e">
        <f t="shared" si="38"/>
        <v>#DIV/0!</v>
      </c>
      <c r="J117" s="59" t="e">
        <f t="shared" si="39"/>
        <v>#DIV/0!</v>
      </c>
      <c r="K117" s="59" t="e">
        <f t="shared" si="40"/>
        <v>#DIV/0!</v>
      </c>
      <c r="L117" s="59" t="e">
        <f t="shared" si="41"/>
        <v>#DIV/0!</v>
      </c>
      <c r="M117" s="59" t="e">
        <f t="shared" si="42"/>
        <v>#DIV/0!</v>
      </c>
      <c r="N117" s="59" t="e">
        <f t="shared" si="43"/>
        <v>#DIV/0!</v>
      </c>
      <c r="O117" s="60" t="e">
        <f>Links!B117</f>
        <v>#DIV/0!</v>
      </c>
      <c r="P117" s="60" t="e">
        <f>Links!C117+'On-Ramps'!AC117</f>
        <v>#DIV/0!</v>
      </c>
      <c r="Q117" s="60" t="e">
        <f>Links!D117</f>
        <v>#DIV/0!</v>
      </c>
      <c r="R117" s="60" t="e">
        <f>Links!E117+'On-Ramps'!AD117</f>
        <v>#DIV/0!</v>
      </c>
      <c r="S117" s="60" t="e">
        <f>Links!F117+'On-Ramps'!AE117</f>
        <v>#DIV/0!</v>
      </c>
      <c r="T117" s="60" t="e">
        <f>Links!G117+'On-Ramps'!AF117</f>
        <v>#DIV/0!</v>
      </c>
      <c r="U117" s="60" t="e">
        <f>Links!H117+'On-Ramps'!AG117</f>
        <v>#DIV/0!</v>
      </c>
      <c r="V117" s="60" t="e">
        <f>Links!J117+'On-Ramps'!AH117</f>
        <v>#DIV/0!</v>
      </c>
      <c r="W117" s="60" t="e">
        <f>Links!K117+'On-Ramps'!AI117</f>
        <v>#DIV/0!</v>
      </c>
      <c r="X117" s="60" t="e">
        <f>Links!L117+'On-Ramps'!AJ117</f>
        <v>#DIV/0!</v>
      </c>
      <c r="Y117" s="60" t="e">
        <f>Links!M117</f>
        <v>#DIV/0!</v>
      </c>
      <c r="Z117" s="60" t="e">
        <f>Links!N117+'On-Ramps'!AK117</f>
        <v>#DIV/0!</v>
      </c>
      <c r="AA117" s="60" t="e">
        <f>Links!O117</f>
        <v>#DIV/0!</v>
      </c>
      <c r="AB117" s="59" t="e">
        <f t="shared" si="44"/>
        <v>#DIV/0!</v>
      </c>
      <c r="AC117" s="65"/>
      <c r="AD117" s="59" t="e">
        <f t="shared" si="45"/>
        <v>#DIV/0!</v>
      </c>
      <c r="AE117" s="65"/>
      <c r="AF117" s="59" t="e">
        <f t="shared" si="46"/>
        <v>#DIV/0!</v>
      </c>
      <c r="AG117" s="59" t="e">
        <f t="shared" si="47"/>
        <v>#DIV/0!</v>
      </c>
      <c r="AH117" s="59" t="e">
        <f t="shared" si="48"/>
        <v>#DIV/0!</v>
      </c>
      <c r="AI117" s="59" t="e">
        <f t="shared" si="49"/>
        <v>#DIV/0!</v>
      </c>
      <c r="AJ117" s="59" t="e">
        <f t="shared" si="50"/>
        <v>#DIV/0!</v>
      </c>
      <c r="AK117" s="59" t="e">
        <f t="shared" si="51"/>
        <v>#DIV/0!</v>
      </c>
      <c r="AL117" s="59" t="e">
        <f t="shared" si="52"/>
        <v>#DIV/0!</v>
      </c>
      <c r="AM117" s="65"/>
      <c r="AN117" s="59" t="e">
        <f t="shared" si="54"/>
        <v>#DIV/0!</v>
      </c>
      <c r="AO117" s="60" t="e">
        <f t="shared" si="30"/>
        <v>#DIV/0!</v>
      </c>
      <c r="AP117" s="65"/>
      <c r="AQ117" s="60" t="e">
        <f t="shared" si="55"/>
        <v>#DIV/0!</v>
      </c>
      <c r="AR117" s="65"/>
      <c r="AS117" s="60" t="e">
        <f t="shared" si="55"/>
        <v>#DIV/0!</v>
      </c>
      <c r="AT117" s="60" t="e">
        <f t="shared" si="55"/>
        <v>#DIV/0!</v>
      </c>
      <c r="AU117" s="60" t="e">
        <f t="shared" si="55"/>
        <v>#DIV/0!</v>
      </c>
      <c r="AV117" s="60" t="e">
        <f t="shared" si="55"/>
        <v>#DIV/0!</v>
      </c>
      <c r="AW117" s="60" t="e">
        <f t="shared" si="55"/>
        <v>#DIV/0!</v>
      </c>
      <c r="AX117" s="60" t="e">
        <f t="shared" si="55"/>
        <v>#DIV/0!</v>
      </c>
      <c r="AY117" s="60" t="e">
        <f t="shared" si="55"/>
        <v>#DIV/0!</v>
      </c>
      <c r="AZ117" s="65"/>
      <c r="BA117" s="60" t="e">
        <f t="shared" si="55"/>
        <v>#DIV/0!</v>
      </c>
      <c r="BB117" s="59" t="e">
        <f>Links!AF117</f>
        <v>#DIV/0!</v>
      </c>
      <c r="BC117" s="59" t="e">
        <f>(Links!AG117*Links!C117+'On-Ramps'!AC117*'On-Ramps'!CE117)/('On-Ramps'!AC117+Links!C117)</f>
        <v>#DIV/0!</v>
      </c>
      <c r="BD117" s="59" t="e">
        <f>Links!AH117</f>
        <v>#DIV/0!</v>
      </c>
      <c r="BE117" s="59" t="e">
        <f>(Links!AI117*Links!E117+'On-Ramps'!AD117*'On-Ramps'!CF116)/('On-Ramps'!AD117+Links!E117)</f>
        <v>#DIV/0!</v>
      </c>
      <c r="BF117" s="59" t="e">
        <f>(Links!F117*Links!AJ117+'On-Ramps'!AE117*'On-Ramps'!CG117)/('On-Ramps'!AE117+Links!F117)</f>
        <v>#DIV/0!</v>
      </c>
      <c r="BG117" s="59" t="e">
        <f>(Links!G117*Links!AK117+'On-Ramps'!AF117*'On-Ramps'!CH117)/('On-Ramps'!AF117+Links!G117)</f>
        <v>#DIV/0!</v>
      </c>
      <c r="BH117" s="59" t="e">
        <f>(Links!H117*Links!AL117+'On-Ramps'!AG117*'On-Ramps'!CI117)/('On-Ramps'!AG117+Links!H117)</f>
        <v>#DIV/0!</v>
      </c>
      <c r="BI117" s="59" t="e">
        <f>(Links!J117*Links!AN117+'On-Ramps'!AH117*'On-Ramps'!CJ117)/('On-Ramps'!AH117+Links!J117)</f>
        <v>#DIV/0!</v>
      </c>
      <c r="BJ117" s="59" t="e">
        <f>(Links!K117*Links!AO117+'On-Ramps'!AI117*'On-Ramps'!CK117)/('On-Ramps'!AI117+Links!K117)</f>
        <v>#DIV/0!</v>
      </c>
      <c r="BK117" s="59" t="e">
        <f>(Links!L117*Links!AP117+'On-Ramps'!AJ117*'On-Ramps'!CL117)/(Links!L117+'On-Ramps'!AJ117)</f>
        <v>#DIV/0!</v>
      </c>
      <c r="BL117" s="59" t="e">
        <f>Links!AQ117</f>
        <v>#DIV/0!</v>
      </c>
      <c r="BM117" s="59" t="e">
        <f>(Links!N117*Links!AR117+'On-Ramps'!AL117*'On-Ramps'!CM117)/(Links!N117+'On-Ramps'!AL117)</f>
        <v>#DIV/0!</v>
      </c>
      <c r="BN117" s="59" t="e">
        <f>Links!AS117</f>
        <v>#DIV/0!</v>
      </c>
      <c r="BO117" s="60" t="e">
        <f>(Links!R117^2+'Off-Ramp'!L117^2)/(Links!R117+'Off-Ramp'!L117)</f>
        <v>#DIV/0!</v>
      </c>
      <c r="BP117" s="60" t="e">
        <f>Links!S117</f>
        <v>#DIV/0!</v>
      </c>
      <c r="BQ117" s="60" t="e">
        <f>(Links!S117^2+'Off-Ramp'!C117^2)/(Links!S117+'Off-Ramp'!C117)</f>
        <v>#DIV/0!</v>
      </c>
      <c r="BR117" s="60" t="e">
        <f>Links!T117</f>
        <v>#DIV/0!</v>
      </c>
      <c r="BS117" s="60" t="e">
        <f>(Links!X117^2+'Off-Ramp'!V117^2+'Off-Ramp'!W117^2+'Off-Ramp'!X117^2)/(Links!X117+'Off-Ramp'!V117+'Off-Ramp'!W117+'Off-Ramp'!X117)</f>
        <v>#DIV/0!</v>
      </c>
      <c r="BT117" s="60" t="e">
        <f>(Links!Y117^2+'Off-Ramp'!Y117^2+'Off-Ramp'!Z117^2+'Off-Ramp'!AA117^2)/(Links!Y117+'Off-Ramp'!Y117+'Off-Ramp'!Z117+'Off-Ramp'!AA117)</f>
        <v>#DIV/0!</v>
      </c>
      <c r="BU117" s="60" t="e">
        <f>(Links!W117^2+'Off-Ramp'!P117^2)/(Links!W117+'Off-Ramp'!P117)</f>
        <v>#DIV/0!</v>
      </c>
      <c r="BV117" s="60" t="e">
        <f>(Links!Y117^2+'Off-Ramp'!Q117^2)/(Links!Y117+'Off-Ramp'!Q117)</f>
        <v>#DIV/0!</v>
      </c>
      <c r="BW117" s="60" t="e">
        <f>(Links!Z117^2+'Off-Ramp'!R117^2)/(Links!Z117+'Off-Ramp'!R117)</f>
        <v>#DIV/0!</v>
      </c>
      <c r="BX117" s="60" t="e">
        <f>(Links!AA117+'Off-Ramp'!S117)/(Links!AA117^2+'Off-Ramp'!S117^2)</f>
        <v>#DIV/0!</v>
      </c>
      <c r="BY117" s="60" t="e">
        <f>(Links!AB117^2+'Off-Ramp'!T117^2)/(Links!AB117+'Off-Ramp'!T117)</f>
        <v>#DIV/0!</v>
      </c>
      <c r="BZ117" s="60" t="e">
        <f>Links!AC117</f>
        <v>#DIV/0!</v>
      </c>
      <c r="CA117" s="60" t="e">
        <f>(Links!AD117^2+'Off-Ramp'!U117^2)/(Links!AD117+'Off-Ramp'!U117)</f>
        <v>#DIV/0!</v>
      </c>
    </row>
    <row r="118" spans="1:79" x14ac:dyDescent="0.15">
      <c r="A118" s="58">
        <v>116</v>
      </c>
      <c r="B118" s="59" t="e">
        <f t="shared" si="31"/>
        <v>#DIV/0!</v>
      </c>
      <c r="C118" s="59" t="e">
        <f t="shared" si="32"/>
        <v>#DIV/0!</v>
      </c>
      <c r="D118" s="59" t="e">
        <f t="shared" si="33"/>
        <v>#DIV/0!</v>
      </c>
      <c r="E118" s="59" t="e">
        <f t="shared" si="34"/>
        <v>#DIV/0!</v>
      </c>
      <c r="F118" s="59" t="e">
        <f t="shared" si="35"/>
        <v>#DIV/0!</v>
      </c>
      <c r="G118" s="59" t="e">
        <f t="shared" si="36"/>
        <v>#DIV/0!</v>
      </c>
      <c r="H118" s="59" t="e">
        <f t="shared" si="37"/>
        <v>#DIV/0!</v>
      </c>
      <c r="I118" s="59" t="e">
        <f t="shared" si="38"/>
        <v>#DIV/0!</v>
      </c>
      <c r="J118" s="59" t="e">
        <f t="shared" si="39"/>
        <v>#DIV/0!</v>
      </c>
      <c r="K118" s="59" t="e">
        <f t="shared" si="40"/>
        <v>#DIV/0!</v>
      </c>
      <c r="L118" s="59" t="e">
        <f t="shared" si="41"/>
        <v>#DIV/0!</v>
      </c>
      <c r="M118" s="59" t="e">
        <f t="shared" si="42"/>
        <v>#DIV/0!</v>
      </c>
      <c r="N118" s="59" t="e">
        <f t="shared" si="43"/>
        <v>#DIV/0!</v>
      </c>
      <c r="O118" s="60" t="e">
        <f>Links!B118</f>
        <v>#DIV/0!</v>
      </c>
      <c r="P118" s="60" t="e">
        <f>Links!C118+'On-Ramps'!AC118</f>
        <v>#DIV/0!</v>
      </c>
      <c r="Q118" s="60" t="e">
        <f>Links!D118</f>
        <v>#DIV/0!</v>
      </c>
      <c r="R118" s="60" t="e">
        <f>Links!E118+'On-Ramps'!AD118</f>
        <v>#DIV/0!</v>
      </c>
      <c r="S118" s="60" t="e">
        <f>Links!F118+'On-Ramps'!AE118</f>
        <v>#DIV/0!</v>
      </c>
      <c r="T118" s="60" t="e">
        <f>Links!G118+'On-Ramps'!AF118</f>
        <v>#DIV/0!</v>
      </c>
      <c r="U118" s="60" t="e">
        <f>Links!H118+'On-Ramps'!AG118</f>
        <v>#DIV/0!</v>
      </c>
      <c r="V118" s="60" t="e">
        <f>Links!J118+'On-Ramps'!AH118</f>
        <v>#DIV/0!</v>
      </c>
      <c r="W118" s="60" t="e">
        <f>Links!K118+'On-Ramps'!AI118</f>
        <v>#DIV/0!</v>
      </c>
      <c r="X118" s="60" t="e">
        <f>Links!L118+'On-Ramps'!AJ118</f>
        <v>#DIV/0!</v>
      </c>
      <c r="Y118" s="60" t="e">
        <f>Links!M118</f>
        <v>#DIV/0!</v>
      </c>
      <c r="Z118" s="60" t="e">
        <f>Links!N118+'On-Ramps'!AK118</f>
        <v>#DIV/0!</v>
      </c>
      <c r="AA118" s="60" t="e">
        <f>Links!O118</f>
        <v>#DIV/0!</v>
      </c>
      <c r="AB118" s="59" t="e">
        <f t="shared" si="44"/>
        <v>#DIV/0!</v>
      </c>
      <c r="AC118" s="65"/>
      <c r="AD118" s="59" t="e">
        <f t="shared" si="45"/>
        <v>#DIV/0!</v>
      </c>
      <c r="AE118" s="65"/>
      <c r="AF118" s="59" t="e">
        <f t="shared" si="46"/>
        <v>#DIV/0!</v>
      </c>
      <c r="AG118" s="59" t="e">
        <f t="shared" si="47"/>
        <v>#DIV/0!</v>
      </c>
      <c r="AH118" s="59" t="e">
        <f t="shared" si="48"/>
        <v>#DIV/0!</v>
      </c>
      <c r="AI118" s="59" t="e">
        <f t="shared" si="49"/>
        <v>#DIV/0!</v>
      </c>
      <c r="AJ118" s="59" t="e">
        <f t="shared" si="50"/>
        <v>#DIV/0!</v>
      </c>
      <c r="AK118" s="59" t="e">
        <f t="shared" si="51"/>
        <v>#DIV/0!</v>
      </c>
      <c r="AL118" s="59" t="e">
        <f t="shared" si="52"/>
        <v>#DIV/0!</v>
      </c>
      <c r="AM118" s="65"/>
      <c r="AN118" s="59" t="e">
        <f t="shared" si="54"/>
        <v>#DIV/0!</v>
      </c>
      <c r="AO118" s="60" t="e">
        <f t="shared" si="30"/>
        <v>#DIV/0!</v>
      </c>
      <c r="AP118" s="65"/>
      <c r="AQ118" s="60" t="e">
        <f t="shared" si="55"/>
        <v>#DIV/0!</v>
      </c>
      <c r="AR118" s="65"/>
      <c r="AS118" s="60" t="e">
        <f t="shared" si="55"/>
        <v>#DIV/0!</v>
      </c>
      <c r="AT118" s="60" t="e">
        <f t="shared" si="55"/>
        <v>#DIV/0!</v>
      </c>
      <c r="AU118" s="60" t="e">
        <f t="shared" si="55"/>
        <v>#DIV/0!</v>
      </c>
      <c r="AV118" s="60" t="e">
        <f t="shared" si="55"/>
        <v>#DIV/0!</v>
      </c>
      <c r="AW118" s="60" t="e">
        <f t="shared" si="55"/>
        <v>#DIV/0!</v>
      </c>
      <c r="AX118" s="60" t="e">
        <f t="shared" si="55"/>
        <v>#DIV/0!</v>
      </c>
      <c r="AY118" s="60" t="e">
        <f t="shared" si="55"/>
        <v>#DIV/0!</v>
      </c>
      <c r="AZ118" s="65"/>
      <c r="BA118" s="60" t="e">
        <f t="shared" si="55"/>
        <v>#DIV/0!</v>
      </c>
      <c r="BB118" s="59" t="e">
        <f>Links!AF118</f>
        <v>#DIV/0!</v>
      </c>
      <c r="BC118" s="59" t="e">
        <f>(Links!AG118*Links!C118+'On-Ramps'!AC118*'On-Ramps'!CE118)/('On-Ramps'!AC118+Links!C118)</f>
        <v>#DIV/0!</v>
      </c>
      <c r="BD118" s="59" t="e">
        <f>Links!AH118</f>
        <v>#DIV/0!</v>
      </c>
      <c r="BE118" s="59" t="e">
        <f>(Links!AI118*Links!E118+'On-Ramps'!AD118*'On-Ramps'!CF117)/('On-Ramps'!AD118+Links!E118)</f>
        <v>#DIV/0!</v>
      </c>
      <c r="BF118" s="59" t="e">
        <f>(Links!F118*Links!AJ118+'On-Ramps'!AE118*'On-Ramps'!CG118)/('On-Ramps'!AE118+Links!F118)</f>
        <v>#DIV/0!</v>
      </c>
      <c r="BG118" s="59" t="e">
        <f>(Links!G118*Links!AK118+'On-Ramps'!AF118*'On-Ramps'!CH118)/('On-Ramps'!AF118+Links!G118)</f>
        <v>#DIV/0!</v>
      </c>
      <c r="BH118" s="59" t="e">
        <f>(Links!H118*Links!AL118+'On-Ramps'!AG118*'On-Ramps'!CI118)/('On-Ramps'!AG118+Links!H118)</f>
        <v>#DIV/0!</v>
      </c>
      <c r="BI118" s="59" t="e">
        <f>(Links!J118*Links!AN118+'On-Ramps'!AH118*'On-Ramps'!CJ118)/('On-Ramps'!AH118+Links!J118)</f>
        <v>#DIV/0!</v>
      </c>
      <c r="BJ118" s="59" t="e">
        <f>(Links!K118*Links!AO118+'On-Ramps'!AI118*'On-Ramps'!CK118)/('On-Ramps'!AI118+Links!K118)</f>
        <v>#DIV/0!</v>
      </c>
      <c r="BK118" s="59" t="e">
        <f>(Links!L118*Links!AP118+'On-Ramps'!AJ118*'On-Ramps'!CL118)/(Links!L118+'On-Ramps'!AJ118)</f>
        <v>#DIV/0!</v>
      </c>
      <c r="BL118" s="59" t="e">
        <f>Links!AQ118</f>
        <v>#DIV/0!</v>
      </c>
      <c r="BM118" s="59" t="e">
        <f>(Links!N118*Links!AR118+'On-Ramps'!AL118*'On-Ramps'!CM118)/(Links!N118+'On-Ramps'!AL118)</f>
        <v>#DIV/0!</v>
      </c>
      <c r="BN118" s="59" t="e">
        <f>Links!AS118</f>
        <v>#DIV/0!</v>
      </c>
      <c r="BO118" s="60" t="e">
        <f>(Links!R118^2+'Off-Ramp'!L118^2)/(Links!R118+'Off-Ramp'!L118)</f>
        <v>#DIV/0!</v>
      </c>
      <c r="BP118" s="60" t="e">
        <f>Links!S118</f>
        <v>#DIV/0!</v>
      </c>
      <c r="BQ118" s="60" t="e">
        <f>(Links!S118^2+'Off-Ramp'!C118^2)/(Links!S118+'Off-Ramp'!C118)</f>
        <v>#DIV/0!</v>
      </c>
      <c r="BR118" s="60" t="e">
        <f>Links!T118</f>
        <v>#DIV/0!</v>
      </c>
      <c r="BS118" s="60" t="e">
        <f>(Links!X118^2+'Off-Ramp'!V118^2+'Off-Ramp'!W118^2+'Off-Ramp'!X118^2)/(Links!X118+'Off-Ramp'!V118+'Off-Ramp'!W118+'Off-Ramp'!X118)</f>
        <v>#DIV/0!</v>
      </c>
      <c r="BT118" s="60" t="e">
        <f>(Links!Y118^2+'Off-Ramp'!Y118^2+'Off-Ramp'!Z118^2+'Off-Ramp'!AA118^2)/(Links!Y118+'Off-Ramp'!Y118+'Off-Ramp'!Z118+'Off-Ramp'!AA118)</f>
        <v>#DIV/0!</v>
      </c>
      <c r="BU118" s="60" t="e">
        <f>(Links!W118^2+'Off-Ramp'!P118^2)/(Links!W118+'Off-Ramp'!P118)</f>
        <v>#DIV/0!</v>
      </c>
      <c r="BV118" s="60" t="e">
        <f>(Links!Y118^2+'Off-Ramp'!Q118^2)/(Links!Y118+'Off-Ramp'!Q118)</f>
        <v>#DIV/0!</v>
      </c>
      <c r="BW118" s="60" t="e">
        <f>(Links!Z118^2+'Off-Ramp'!R118^2)/(Links!Z118+'Off-Ramp'!R118)</f>
        <v>#DIV/0!</v>
      </c>
      <c r="BX118" s="60" t="e">
        <f>(Links!AA118+'Off-Ramp'!S118)/(Links!AA118^2+'Off-Ramp'!S118^2)</f>
        <v>#DIV/0!</v>
      </c>
      <c r="BY118" s="60" t="e">
        <f>(Links!AB118^2+'Off-Ramp'!T118^2)/(Links!AB118+'Off-Ramp'!T118)</f>
        <v>#DIV/0!</v>
      </c>
      <c r="BZ118" s="60" t="e">
        <f>Links!AC118</f>
        <v>#DIV/0!</v>
      </c>
      <c r="CA118" s="60" t="e">
        <f>(Links!AD118^2+'Off-Ramp'!U118^2)/(Links!AD118+'Off-Ramp'!U118)</f>
        <v>#DIV/0!</v>
      </c>
    </row>
    <row r="119" spans="1:79" x14ac:dyDescent="0.15">
      <c r="A119" s="58">
        <v>117</v>
      </c>
      <c r="B119" s="59" t="e">
        <f t="shared" si="31"/>
        <v>#DIV/0!</v>
      </c>
      <c r="C119" s="59" t="e">
        <f t="shared" si="32"/>
        <v>#DIV/0!</v>
      </c>
      <c r="D119" s="59" t="e">
        <f t="shared" si="33"/>
        <v>#DIV/0!</v>
      </c>
      <c r="E119" s="59" t="e">
        <f t="shared" si="34"/>
        <v>#DIV/0!</v>
      </c>
      <c r="F119" s="59" t="e">
        <f t="shared" si="35"/>
        <v>#DIV/0!</v>
      </c>
      <c r="G119" s="59" t="e">
        <f t="shared" si="36"/>
        <v>#DIV/0!</v>
      </c>
      <c r="H119" s="59" t="e">
        <f t="shared" si="37"/>
        <v>#DIV/0!</v>
      </c>
      <c r="I119" s="59" t="e">
        <f t="shared" si="38"/>
        <v>#DIV/0!</v>
      </c>
      <c r="J119" s="59" t="e">
        <f t="shared" si="39"/>
        <v>#DIV/0!</v>
      </c>
      <c r="K119" s="59" t="e">
        <f t="shared" si="40"/>
        <v>#DIV/0!</v>
      </c>
      <c r="L119" s="59" t="e">
        <f t="shared" si="41"/>
        <v>#DIV/0!</v>
      </c>
      <c r="M119" s="59" t="e">
        <f t="shared" si="42"/>
        <v>#DIV/0!</v>
      </c>
      <c r="N119" s="59" t="e">
        <f t="shared" si="43"/>
        <v>#DIV/0!</v>
      </c>
      <c r="O119" s="60" t="e">
        <f>Links!B119</f>
        <v>#DIV/0!</v>
      </c>
      <c r="P119" s="60" t="e">
        <f>Links!C119+'On-Ramps'!AC119</f>
        <v>#DIV/0!</v>
      </c>
      <c r="Q119" s="60" t="e">
        <f>Links!D119</f>
        <v>#DIV/0!</v>
      </c>
      <c r="R119" s="60" t="e">
        <f>Links!E119+'On-Ramps'!AD119</f>
        <v>#DIV/0!</v>
      </c>
      <c r="S119" s="60" t="e">
        <f>Links!F119+'On-Ramps'!AE119</f>
        <v>#DIV/0!</v>
      </c>
      <c r="T119" s="60" t="e">
        <f>Links!G119+'On-Ramps'!AF119</f>
        <v>#DIV/0!</v>
      </c>
      <c r="U119" s="60" t="e">
        <f>Links!H119+'On-Ramps'!AG119</f>
        <v>#DIV/0!</v>
      </c>
      <c r="V119" s="60" t="e">
        <f>Links!J119+'On-Ramps'!AH119</f>
        <v>#DIV/0!</v>
      </c>
      <c r="W119" s="60" t="e">
        <f>Links!K119+'On-Ramps'!AI119</f>
        <v>#DIV/0!</v>
      </c>
      <c r="X119" s="60" t="e">
        <f>Links!L119+'On-Ramps'!AJ119</f>
        <v>#DIV/0!</v>
      </c>
      <c r="Y119" s="60" t="e">
        <f>Links!M119</f>
        <v>#DIV/0!</v>
      </c>
      <c r="Z119" s="60" t="e">
        <f>Links!N119+'On-Ramps'!AK119</f>
        <v>#DIV/0!</v>
      </c>
      <c r="AA119" s="60" t="e">
        <f>Links!O119</f>
        <v>#DIV/0!</v>
      </c>
      <c r="AB119" s="59" t="e">
        <f t="shared" si="44"/>
        <v>#DIV/0!</v>
      </c>
      <c r="AC119" s="65"/>
      <c r="AD119" s="59" t="e">
        <f t="shared" si="45"/>
        <v>#DIV/0!</v>
      </c>
      <c r="AE119" s="65"/>
      <c r="AF119" s="59" t="e">
        <f t="shared" si="46"/>
        <v>#DIV/0!</v>
      </c>
      <c r="AG119" s="59" t="e">
        <f t="shared" si="47"/>
        <v>#DIV/0!</v>
      </c>
      <c r="AH119" s="59" t="e">
        <f t="shared" si="48"/>
        <v>#DIV/0!</v>
      </c>
      <c r="AI119" s="59" t="e">
        <f t="shared" si="49"/>
        <v>#DIV/0!</v>
      </c>
      <c r="AJ119" s="59" t="e">
        <f t="shared" si="50"/>
        <v>#DIV/0!</v>
      </c>
      <c r="AK119" s="59" t="e">
        <f t="shared" si="51"/>
        <v>#DIV/0!</v>
      </c>
      <c r="AL119" s="59" t="e">
        <f t="shared" si="52"/>
        <v>#DIV/0!</v>
      </c>
      <c r="AM119" s="65"/>
      <c r="AN119" s="59" t="e">
        <f t="shared" si="54"/>
        <v>#DIV/0!</v>
      </c>
      <c r="AO119" s="60" t="e">
        <f t="shared" si="30"/>
        <v>#DIV/0!</v>
      </c>
      <c r="AP119" s="65"/>
      <c r="AQ119" s="60" t="e">
        <f t="shared" si="55"/>
        <v>#DIV/0!</v>
      </c>
      <c r="AR119" s="65"/>
      <c r="AS119" s="60" t="e">
        <f t="shared" si="55"/>
        <v>#DIV/0!</v>
      </c>
      <c r="AT119" s="60" t="e">
        <f t="shared" si="55"/>
        <v>#DIV/0!</v>
      </c>
      <c r="AU119" s="60" t="e">
        <f t="shared" si="55"/>
        <v>#DIV/0!</v>
      </c>
      <c r="AV119" s="60" t="e">
        <f t="shared" si="55"/>
        <v>#DIV/0!</v>
      </c>
      <c r="AW119" s="60" t="e">
        <f t="shared" si="55"/>
        <v>#DIV/0!</v>
      </c>
      <c r="AX119" s="60" t="e">
        <f t="shared" si="55"/>
        <v>#DIV/0!</v>
      </c>
      <c r="AY119" s="60" t="e">
        <f t="shared" si="55"/>
        <v>#DIV/0!</v>
      </c>
      <c r="AZ119" s="65"/>
      <c r="BA119" s="60" t="e">
        <f t="shared" si="55"/>
        <v>#DIV/0!</v>
      </c>
      <c r="BB119" s="59" t="e">
        <f>Links!AF119</f>
        <v>#DIV/0!</v>
      </c>
      <c r="BC119" s="59" t="e">
        <f>(Links!AG119*Links!C119+'On-Ramps'!AC119*'On-Ramps'!CE119)/('On-Ramps'!AC119+Links!C119)</f>
        <v>#DIV/0!</v>
      </c>
      <c r="BD119" s="59" t="e">
        <f>Links!AH119</f>
        <v>#DIV/0!</v>
      </c>
      <c r="BE119" s="59" t="e">
        <f>(Links!AI119*Links!E119+'On-Ramps'!AD119*'On-Ramps'!CF118)/('On-Ramps'!AD119+Links!E119)</f>
        <v>#DIV/0!</v>
      </c>
      <c r="BF119" s="59" t="e">
        <f>(Links!F119*Links!AJ119+'On-Ramps'!AE119*'On-Ramps'!CG119)/('On-Ramps'!AE119+Links!F119)</f>
        <v>#DIV/0!</v>
      </c>
      <c r="BG119" s="59" t="e">
        <f>(Links!G119*Links!AK119+'On-Ramps'!AF119*'On-Ramps'!CH119)/('On-Ramps'!AF119+Links!G119)</f>
        <v>#DIV/0!</v>
      </c>
      <c r="BH119" s="59" t="e">
        <f>(Links!H119*Links!AL119+'On-Ramps'!AG119*'On-Ramps'!CI119)/('On-Ramps'!AG119+Links!H119)</f>
        <v>#DIV/0!</v>
      </c>
      <c r="BI119" s="59" t="e">
        <f>(Links!J119*Links!AN119+'On-Ramps'!AH119*'On-Ramps'!CJ119)/('On-Ramps'!AH119+Links!J119)</f>
        <v>#DIV/0!</v>
      </c>
      <c r="BJ119" s="59" t="e">
        <f>(Links!K119*Links!AO119+'On-Ramps'!AI119*'On-Ramps'!CK119)/('On-Ramps'!AI119+Links!K119)</f>
        <v>#DIV/0!</v>
      </c>
      <c r="BK119" s="59" t="e">
        <f>(Links!L119*Links!AP119+'On-Ramps'!AJ119*'On-Ramps'!CL119)/(Links!L119+'On-Ramps'!AJ119)</f>
        <v>#DIV/0!</v>
      </c>
      <c r="BL119" s="59" t="e">
        <f>Links!AQ119</f>
        <v>#DIV/0!</v>
      </c>
      <c r="BM119" s="59" t="e">
        <f>(Links!N119*Links!AR119+'On-Ramps'!AL119*'On-Ramps'!CM119)/(Links!N119+'On-Ramps'!AL119)</f>
        <v>#DIV/0!</v>
      </c>
      <c r="BN119" s="59" t="e">
        <f>Links!AS119</f>
        <v>#DIV/0!</v>
      </c>
      <c r="BO119" s="60" t="e">
        <f>(Links!R119^2+'Off-Ramp'!L119^2)/(Links!R119+'Off-Ramp'!L119)</f>
        <v>#DIV/0!</v>
      </c>
      <c r="BP119" s="60" t="e">
        <f>Links!S119</f>
        <v>#DIV/0!</v>
      </c>
      <c r="BQ119" s="60" t="e">
        <f>(Links!S119^2+'Off-Ramp'!C119^2)/(Links!S119+'Off-Ramp'!C119)</f>
        <v>#DIV/0!</v>
      </c>
      <c r="BR119" s="60" t="e">
        <f>Links!T119</f>
        <v>#DIV/0!</v>
      </c>
      <c r="BS119" s="60" t="e">
        <f>(Links!X119^2+'Off-Ramp'!V119^2+'Off-Ramp'!W119^2+'Off-Ramp'!X119^2)/(Links!X119+'Off-Ramp'!V119+'Off-Ramp'!W119+'Off-Ramp'!X119)</f>
        <v>#DIV/0!</v>
      </c>
      <c r="BT119" s="60" t="e">
        <f>(Links!Y119^2+'Off-Ramp'!Y119^2+'Off-Ramp'!Z119^2+'Off-Ramp'!AA119^2)/(Links!Y119+'Off-Ramp'!Y119+'Off-Ramp'!Z119+'Off-Ramp'!AA119)</f>
        <v>#DIV/0!</v>
      </c>
      <c r="BU119" s="60" t="e">
        <f>(Links!W119^2+'Off-Ramp'!P119^2)/(Links!W119+'Off-Ramp'!P119)</f>
        <v>#DIV/0!</v>
      </c>
      <c r="BV119" s="60" t="e">
        <f>(Links!Y119^2+'Off-Ramp'!Q119^2)/(Links!Y119+'Off-Ramp'!Q119)</f>
        <v>#DIV/0!</v>
      </c>
      <c r="BW119" s="60" t="e">
        <f>(Links!Z119^2+'Off-Ramp'!R119^2)/(Links!Z119+'Off-Ramp'!R119)</f>
        <v>#DIV/0!</v>
      </c>
      <c r="BX119" s="60" t="e">
        <f>(Links!AA119+'Off-Ramp'!S119)/(Links!AA119^2+'Off-Ramp'!S119^2)</f>
        <v>#DIV/0!</v>
      </c>
      <c r="BY119" s="60" t="e">
        <f>(Links!AB119^2+'Off-Ramp'!T119^2)/(Links!AB119+'Off-Ramp'!T119)</f>
        <v>#DIV/0!</v>
      </c>
      <c r="BZ119" s="60" t="e">
        <f>Links!AC119</f>
        <v>#DIV/0!</v>
      </c>
      <c r="CA119" s="60" t="e">
        <f>(Links!AD119^2+'Off-Ramp'!U119^2)/(Links!AD119+'Off-Ramp'!U119)</f>
        <v>#DIV/0!</v>
      </c>
    </row>
    <row r="120" spans="1:79" x14ac:dyDescent="0.15">
      <c r="A120" s="58">
        <v>118</v>
      </c>
      <c r="B120" s="59" t="e">
        <f t="shared" si="31"/>
        <v>#DIV/0!</v>
      </c>
      <c r="C120" s="59" t="e">
        <f t="shared" si="32"/>
        <v>#DIV/0!</v>
      </c>
      <c r="D120" s="59" t="e">
        <f t="shared" si="33"/>
        <v>#DIV/0!</v>
      </c>
      <c r="E120" s="59" t="e">
        <f t="shared" si="34"/>
        <v>#DIV/0!</v>
      </c>
      <c r="F120" s="59" t="e">
        <f t="shared" si="35"/>
        <v>#DIV/0!</v>
      </c>
      <c r="G120" s="59" t="e">
        <f t="shared" si="36"/>
        <v>#DIV/0!</v>
      </c>
      <c r="H120" s="59" t="e">
        <f t="shared" si="37"/>
        <v>#DIV/0!</v>
      </c>
      <c r="I120" s="59" t="e">
        <f t="shared" si="38"/>
        <v>#DIV/0!</v>
      </c>
      <c r="J120" s="59" t="e">
        <f t="shared" si="39"/>
        <v>#DIV/0!</v>
      </c>
      <c r="K120" s="59" t="e">
        <f t="shared" si="40"/>
        <v>#DIV/0!</v>
      </c>
      <c r="L120" s="59" t="e">
        <f t="shared" si="41"/>
        <v>#DIV/0!</v>
      </c>
      <c r="M120" s="59" t="e">
        <f t="shared" si="42"/>
        <v>#DIV/0!</v>
      </c>
      <c r="N120" s="59" t="e">
        <f t="shared" si="43"/>
        <v>#DIV/0!</v>
      </c>
      <c r="O120" s="60" t="e">
        <f>Links!B120</f>
        <v>#DIV/0!</v>
      </c>
      <c r="P120" s="60" t="e">
        <f>Links!C120+'On-Ramps'!AC120</f>
        <v>#DIV/0!</v>
      </c>
      <c r="Q120" s="60" t="e">
        <f>Links!D120</f>
        <v>#DIV/0!</v>
      </c>
      <c r="R120" s="60" t="e">
        <f>Links!E120+'On-Ramps'!AD120</f>
        <v>#DIV/0!</v>
      </c>
      <c r="S120" s="60" t="e">
        <f>Links!F120+'On-Ramps'!AE120</f>
        <v>#DIV/0!</v>
      </c>
      <c r="T120" s="60" t="e">
        <f>Links!G120+'On-Ramps'!AF120</f>
        <v>#DIV/0!</v>
      </c>
      <c r="U120" s="60" t="e">
        <f>Links!H120+'On-Ramps'!AG120</f>
        <v>#DIV/0!</v>
      </c>
      <c r="V120" s="60" t="e">
        <f>Links!J120+'On-Ramps'!AH120</f>
        <v>#DIV/0!</v>
      </c>
      <c r="W120" s="60" t="e">
        <f>Links!K120+'On-Ramps'!AI120</f>
        <v>#DIV/0!</v>
      </c>
      <c r="X120" s="60" t="e">
        <f>Links!L120+'On-Ramps'!AJ120</f>
        <v>#DIV/0!</v>
      </c>
      <c r="Y120" s="60" t="e">
        <f>Links!M120</f>
        <v>#DIV/0!</v>
      </c>
      <c r="Z120" s="60" t="e">
        <f>Links!N120+'On-Ramps'!AK120</f>
        <v>#DIV/0!</v>
      </c>
      <c r="AA120" s="60" t="e">
        <f>Links!O120</f>
        <v>#DIV/0!</v>
      </c>
      <c r="AB120" s="59" t="e">
        <f t="shared" si="44"/>
        <v>#DIV/0!</v>
      </c>
      <c r="AC120" s="65"/>
      <c r="AD120" s="59" t="e">
        <f t="shared" si="45"/>
        <v>#DIV/0!</v>
      </c>
      <c r="AE120" s="65"/>
      <c r="AF120" s="59" t="e">
        <f t="shared" si="46"/>
        <v>#DIV/0!</v>
      </c>
      <c r="AG120" s="59" t="e">
        <f t="shared" si="47"/>
        <v>#DIV/0!</v>
      </c>
      <c r="AH120" s="59" t="e">
        <f t="shared" si="48"/>
        <v>#DIV/0!</v>
      </c>
      <c r="AI120" s="59" t="e">
        <f t="shared" si="49"/>
        <v>#DIV/0!</v>
      </c>
      <c r="AJ120" s="59" t="e">
        <f t="shared" si="50"/>
        <v>#DIV/0!</v>
      </c>
      <c r="AK120" s="59" t="e">
        <f t="shared" si="51"/>
        <v>#DIV/0!</v>
      </c>
      <c r="AL120" s="59" t="e">
        <f t="shared" si="52"/>
        <v>#DIV/0!</v>
      </c>
      <c r="AM120" s="65"/>
      <c r="AN120" s="59" t="e">
        <f t="shared" si="54"/>
        <v>#DIV/0!</v>
      </c>
      <c r="AO120" s="60" t="e">
        <f t="shared" si="30"/>
        <v>#DIV/0!</v>
      </c>
      <c r="AP120" s="65"/>
      <c r="AQ120" s="60" t="e">
        <f t="shared" si="55"/>
        <v>#DIV/0!</v>
      </c>
      <c r="AR120" s="65"/>
      <c r="AS120" s="60" t="e">
        <f t="shared" si="55"/>
        <v>#DIV/0!</v>
      </c>
      <c r="AT120" s="60" t="e">
        <f t="shared" ref="AQ120:BA141" si="56">AT$3</f>
        <v>#DIV/0!</v>
      </c>
      <c r="AU120" s="60" t="e">
        <f t="shared" si="56"/>
        <v>#DIV/0!</v>
      </c>
      <c r="AV120" s="60" t="e">
        <f t="shared" si="56"/>
        <v>#DIV/0!</v>
      </c>
      <c r="AW120" s="60" t="e">
        <f t="shared" si="56"/>
        <v>#DIV/0!</v>
      </c>
      <c r="AX120" s="60" t="e">
        <f t="shared" si="56"/>
        <v>#DIV/0!</v>
      </c>
      <c r="AY120" s="60" t="e">
        <f t="shared" si="56"/>
        <v>#DIV/0!</v>
      </c>
      <c r="AZ120" s="65"/>
      <c r="BA120" s="60" t="e">
        <f t="shared" si="56"/>
        <v>#DIV/0!</v>
      </c>
      <c r="BB120" s="59" t="e">
        <f>Links!AF120</f>
        <v>#DIV/0!</v>
      </c>
      <c r="BC120" s="59" t="e">
        <f>(Links!AG120*Links!C120+'On-Ramps'!AC120*'On-Ramps'!CE120)/('On-Ramps'!AC120+Links!C120)</f>
        <v>#DIV/0!</v>
      </c>
      <c r="BD120" s="59" t="e">
        <f>Links!AH120</f>
        <v>#DIV/0!</v>
      </c>
      <c r="BE120" s="59" t="e">
        <f>(Links!AI120*Links!E120+'On-Ramps'!AD120*'On-Ramps'!CF119)/('On-Ramps'!AD120+Links!E120)</f>
        <v>#DIV/0!</v>
      </c>
      <c r="BF120" s="59" t="e">
        <f>(Links!F120*Links!AJ120+'On-Ramps'!AE120*'On-Ramps'!CG120)/('On-Ramps'!AE120+Links!F120)</f>
        <v>#DIV/0!</v>
      </c>
      <c r="BG120" s="59" t="e">
        <f>(Links!G120*Links!AK120+'On-Ramps'!AF120*'On-Ramps'!CH120)/('On-Ramps'!AF120+Links!G120)</f>
        <v>#DIV/0!</v>
      </c>
      <c r="BH120" s="59" t="e">
        <f>(Links!H120*Links!AL120+'On-Ramps'!AG120*'On-Ramps'!CI120)/('On-Ramps'!AG120+Links!H120)</f>
        <v>#DIV/0!</v>
      </c>
      <c r="BI120" s="59" t="e">
        <f>(Links!J120*Links!AN120+'On-Ramps'!AH120*'On-Ramps'!CJ120)/('On-Ramps'!AH120+Links!J120)</f>
        <v>#DIV/0!</v>
      </c>
      <c r="BJ120" s="59" t="e">
        <f>(Links!K120*Links!AO120+'On-Ramps'!AI120*'On-Ramps'!CK120)/('On-Ramps'!AI120+Links!K120)</f>
        <v>#DIV/0!</v>
      </c>
      <c r="BK120" s="59" t="e">
        <f>(Links!L120*Links!AP120+'On-Ramps'!AJ120*'On-Ramps'!CL120)/(Links!L120+'On-Ramps'!AJ120)</f>
        <v>#DIV/0!</v>
      </c>
      <c r="BL120" s="59" t="e">
        <f>Links!AQ120</f>
        <v>#DIV/0!</v>
      </c>
      <c r="BM120" s="59" t="e">
        <f>(Links!N120*Links!AR120+'On-Ramps'!AL120*'On-Ramps'!CM120)/(Links!N120+'On-Ramps'!AL120)</f>
        <v>#DIV/0!</v>
      </c>
      <c r="BN120" s="59" t="e">
        <f>Links!AS120</f>
        <v>#DIV/0!</v>
      </c>
      <c r="BO120" s="60" t="e">
        <f>(Links!R120^2+'Off-Ramp'!L120^2)/(Links!R120+'Off-Ramp'!L120)</f>
        <v>#DIV/0!</v>
      </c>
      <c r="BP120" s="60" t="e">
        <f>Links!S120</f>
        <v>#DIV/0!</v>
      </c>
      <c r="BQ120" s="60" t="e">
        <f>(Links!S120^2+'Off-Ramp'!C120^2)/(Links!S120+'Off-Ramp'!C120)</f>
        <v>#DIV/0!</v>
      </c>
      <c r="BR120" s="60" t="e">
        <f>Links!T120</f>
        <v>#DIV/0!</v>
      </c>
      <c r="BS120" s="60" t="e">
        <f>(Links!X120^2+'Off-Ramp'!V120^2+'Off-Ramp'!W120^2+'Off-Ramp'!X120^2)/(Links!X120+'Off-Ramp'!V120+'Off-Ramp'!W120+'Off-Ramp'!X120)</f>
        <v>#DIV/0!</v>
      </c>
      <c r="BT120" s="60" t="e">
        <f>(Links!Y120^2+'Off-Ramp'!Y120^2+'Off-Ramp'!Z120^2+'Off-Ramp'!AA120^2)/(Links!Y120+'Off-Ramp'!Y120+'Off-Ramp'!Z120+'Off-Ramp'!AA120)</f>
        <v>#DIV/0!</v>
      </c>
      <c r="BU120" s="60" t="e">
        <f>(Links!W120^2+'Off-Ramp'!P120^2)/(Links!W120+'Off-Ramp'!P120)</f>
        <v>#DIV/0!</v>
      </c>
      <c r="BV120" s="60" t="e">
        <f>(Links!Y120^2+'Off-Ramp'!Q120^2)/(Links!Y120+'Off-Ramp'!Q120)</f>
        <v>#DIV/0!</v>
      </c>
      <c r="BW120" s="60" t="e">
        <f>(Links!Z120^2+'Off-Ramp'!R120^2)/(Links!Z120+'Off-Ramp'!R120)</f>
        <v>#DIV/0!</v>
      </c>
      <c r="BX120" s="60" t="e">
        <f>(Links!AA120+'Off-Ramp'!S120)/(Links!AA120^2+'Off-Ramp'!S120^2)</f>
        <v>#DIV/0!</v>
      </c>
      <c r="BY120" s="60" t="e">
        <f>(Links!AB120^2+'Off-Ramp'!T120^2)/(Links!AB120+'Off-Ramp'!T120)</f>
        <v>#DIV/0!</v>
      </c>
      <c r="BZ120" s="60" t="e">
        <f>Links!AC120</f>
        <v>#DIV/0!</v>
      </c>
      <c r="CA120" s="60" t="e">
        <f>(Links!AD120^2+'Off-Ramp'!U120^2)/(Links!AD120+'Off-Ramp'!U120)</f>
        <v>#DIV/0!</v>
      </c>
    </row>
    <row r="121" spans="1:79" x14ac:dyDescent="0.15">
      <c r="A121" s="58">
        <v>119</v>
      </c>
      <c r="B121" s="59" t="e">
        <f t="shared" si="31"/>
        <v>#DIV/0!</v>
      </c>
      <c r="C121" s="59" t="e">
        <f t="shared" si="32"/>
        <v>#DIV/0!</v>
      </c>
      <c r="D121" s="59" t="e">
        <f t="shared" si="33"/>
        <v>#DIV/0!</v>
      </c>
      <c r="E121" s="59" t="e">
        <f t="shared" si="34"/>
        <v>#DIV/0!</v>
      </c>
      <c r="F121" s="59" t="e">
        <f t="shared" si="35"/>
        <v>#DIV/0!</v>
      </c>
      <c r="G121" s="59" t="e">
        <f t="shared" si="36"/>
        <v>#DIV/0!</v>
      </c>
      <c r="H121" s="59" t="e">
        <f t="shared" si="37"/>
        <v>#DIV/0!</v>
      </c>
      <c r="I121" s="59" t="e">
        <f t="shared" si="38"/>
        <v>#DIV/0!</v>
      </c>
      <c r="J121" s="59" t="e">
        <f t="shared" si="39"/>
        <v>#DIV/0!</v>
      </c>
      <c r="K121" s="59" t="e">
        <f t="shared" si="40"/>
        <v>#DIV/0!</v>
      </c>
      <c r="L121" s="59" t="e">
        <f t="shared" si="41"/>
        <v>#DIV/0!</v>
      </c>
      <c r="M121" s="59" t="e">
        <f t="shared" si="42"/>
        <v>#DIV/0!</v>
      </c>
      <c r="N121" s="59" t="e">
        <f t="shared" si="43"/>
        <v>#DIV/0!</v>
      </c>
      <c r="O121" s="60" t="e">
        <f>Links!B121</f>
        <v>#DIV/0!</v>
      </c>
      <c r="P121" s="60" t="e">
        <f>Links!C121+'On-Ramps'!AC121</f>
        <v>#DIV/0!</v>
      </c>
      <c r="Q121" s="60" t="e">
        <f>Links!D121</f>
        <v>#DIV/0!</v>
      </c>
      <c r="R121" s="60" t="e">
        <f>Links!E121+'On-Ramps'!AD121</f>
        <v>#DIV/0!</v>
      </c>
      <c r="S121" s="60" t="e">
        <f>Links!F121+'On-Ramps'!AE121</f>
        <v>#DIV/0!</v>
      </c>
      <c r="T121" s="60" t="e">
        <f>Links!G121+'On-Ramps'!AF121</f>
        <v>#DIV/0!</v>
      </c>
      <c r="U121" s="60" t="e">
        <f>Links!H121+'On-Ramps'!AG121</f>
        <v>#DIV/0!</v>
      </c>
      <c r="V121" s="60" t="e">
        <f>Links!J121+'On-Ramps'!AH121</f>
        <v>#DIV/0!</v>
      </c>
      <c r="W121" s="60" t="e">
        <f>Links!K121+'On-Ramps'!AI121</f>
        <v>#DIV/0!</v>
      </c>
      <c r="X121" s="60" t="e">
        <f>Links!L121+'On-Ramps'!AJ121</f>
        <v>#DIV/0!</v>
      </c>
      <c r="Y121" s="60" t="e">
        <f>Links!M121</f>
        <v>#DIV/0!</v>
      </c>
      <c r="Z121" s="60" t="e">
        <f>Links!N121+'On-Ramps'!AK121</f>
        <v>#DIV/0!</v>
      </c>
      <c r="AA121" s="60" t="e">
        <f>Links!O121</f>
        <v>#DIV/0!</v>
      </c>
      <c r="AB121" s="59" t="e">
        <f t="shared" si="44"/>
        <v>#DIV/0!</v>
      </c>
      <c r="AC121" s="65"/>
      <c r="AD121" s="59" t="e">
        <f t="shared" si="45"/>
        <v>#DIV/0!</v>
      </c>
      <c r="AE121" s="65"/>
      <c r="AF121" s="59" t="e">
        <f t="shared" si="46"/>
        <v>#DIV/0!</v>
      </c>
      <c r="AG121" s="59" t="e">
        <f t="shared" si="47"/>
        <v>#DIV/0!</v>
      </c>
      <c r="AH121" s="59" t="e">
        <f t="shared" si="48"/>
        <v>#DIV/0!</v>
      </c>
      <c r="AI121" s="59" t="e">
        <f t="shared" si="49"/>
        <v>#DIV/0!</v>
      </c>
      <c r="AJ121" s="59" t="e">
        <f t="shared" si="50"/>
        <v>#DIV/0!</v>
      </c>
      <c r="AK121" s="59" t="e">
        <f t="shared" si="51"/>
        <v>#DIV/0!</v>
      </c>
      <c r="AL121" s="59" t="e">
        <f t="shared" si="52"/>
        <v>#DIV/0!</v>
      </c>
      <c r="AM121" s="65"/>
      <c r="AN121" s="59" t="e">
        <f t="shared" si="54"/>
        <v>#DIV/0!</v>
      </c>
      <c r="AO121" s="60" t="e">
        <f t="shared" ref="AO121:AO182" si="57">AO$3</f>
        <v>#DIV/0!</v>
      </c>
      <c r="AP121" s="65"/>
      <c r="AQ121" s="60" t="e">
        <f t="shared" si="56"/>
        <v>#DIV/0!</v>
      </c>
      <c r="AR121" s="65"/>
      <c r="AS121" s="60" t="e">
        <f t="shared" si="56"/>
        <v>#DIV/0!</v>
      </c>
      <c r="AT121" s="60" t="e">
        <f t="shared" si="56"/>
        <v>#DIV/0!</v>
      </c>
      <c r="AU121" s="60" t="e">
        <f t="shared" si="56"/>
        <v>#DIV/0!</v>
      </c>
      <c r="AV121" s="60" t="e">
        <f t="shared" si="56"/>
        <v>#DIV/0!</v>
      </c>
      <c r="AW121" s="60" t="e">
        <f t="shared" si="56"/>
        <v>#DIV/0!</v>
      </c>
      <c r="AX121" s="60" t="e">
        <f t="shared" si="56"/>
        <v>#DIV/0!</v>
      </c>
      <c r="AY121" s="60" t="e">
        <f t="shared" si="56"/>
        <v>#DIV/0!</v>
      </c>
      <c r="AZ121" s="65"/>
      <c r="BA121" s="60" t="e">
        <f t="shared" si="56"/>
        <v>#DIV/0!</v>
      </c>
      <c r="BB121" s="59" t="e">
        <f>Links!AF121</f>
        <v>#DIV/0!</v>
      </c>
      <c r="BC121" s="59" t="e">
        <f>(Links!AG121*Links!C121+'On-Ramps'!AC121*'On-Ramps'!CE121)/('On-Ramps'!AC121+Links!C121)</f>
        <v>#DIV/0!</v>
      </c>
      <c r="BD121" s="59" t="e">
        <f>Links!AH121</f>
        <v>#DIV/0!</v>
      </c>
      <c r="BE121" s="59" t="e">
        <f>(Links!AI121*Links!E121+'On-Ramps'!AD121*'On-Ramps'!CF120)/('On-Ramps'!AD121+Links!E121)</f>
        <v>#DIV/0!</v>
      </c>
      <c r="BF121" s="59" t="e">
        <f>(Links!F121*Links!AJ121+'On-Ramps'!AE121*'On-Ramps'!CG121)/('On-Ramps'!AE121+Links!F121)</f>
        <v>#DIV/0!</v>
      </c>
      <c r="BG121" s="59" t="e">
        <f>(Links!G121*Links!AK121+'On-Ramps'!AF121*'On-Ramps'!CH121)/('On-Ramps'!AF121+Links!G121)</f>
        <v>#DIV/0!</v>
      </c>
      <c r="BH121" s="59" t="e">
        <f>(Links!H121*Links!AL121+'On-Ramps'!AG121*'On-Ramps'!CI121)/('On-Ramps'!AG121+Links!H121)</f>
        <v>#DIV/0!</v>
      </c>
      <c r="BI121" s="59" t="e">
        <f>(Links!J121*Links!AN121+'On-Ramps'!AH121*'On-Ramps'!CJ121)/('On-Ramps'!AH121+Links!J121)</f>
        <v>#DIV/0!</v>
      </c>
      <c r="BJ121" s="59" t="e">
        <f>(Links!K121*Links!AO121+'On-Ramps'!AI121*'On-Ramps'!CK121)/('On-Ramps'!AI121+Links!K121)</f>
        <v>#DIV/0!</v>
      </c>
      <c r="BK121" s="59" t="e">
        <f>(Links!L121*Links!AP121+'On-Ramps'!AJ121*'On-Ramps'!CL121)/(Links!L121+'On-Ramps'!AJ121)</f>
        <v>#DIV/0!</v>
      </c>
      <c r="BL121" s="59" t="e">
        <f>Links!AQ121</f>
        <v>#DIV/0!</v>
      </c>
      <c r="BM121" s="59" t="e">
        <f>(Links!N121*Links!AR121+'On-Ramps'!AL121*'On-Ramps'!CM121)/(Links!N121+'On-Ramps'!AL121)</f>
        <v>#DIV/0!</v>
      </c>
      <c r="BN121" s="59" t="e">
        <f>Links!AS121</f>
        <v>#DIV/0!</v>
      </c>
      <c r="BO121" s="60" t="e">
        <f>(Links!R121^2+'Off-Ramp'!L121^2)/(Links!R121+'Off-Ramp'!L121)</f>
        <v>#DIV/0!</v>
      </c>
      <c r="BP121" s="60" t="e">
        <f>Links!S121</f>
        <v>#DIV/0!</v>
      </c>
      <c r="BQ121" s="60" t="e">
        <f>(Links!S121^2+'Off-Ramp'!C121^2)/(Links!S121+'Off-Ramp'!C121)</f>
        <v>#DIV/0!</v>
      </c>
      <c r="BR121" s="60" t="e">
        <f>Links!T121</f>
        <v>#DIV/0!</v>
      </c>
      <c r="BS121" s="60" t="e">
        <f>(Links!X121^2+'Off-Ramp'!V121^2+'Off-Ramp'!W121^2+'Off-Ramp'!X121^2)/(Links!X121+'Off-Ramp'!V121+'Off-Ramp'!W121+'Off-Ramp'!X121)</f>
        <v>#DIV/0!</v>
      </c>
      <c r="BT121" s="60" t="e">
        <f>(Links!Y121^2+'Off-Ramp'!Y121^2+'Off-Ramp'!Z121^2+'Off-Ramp'!AA121^2)/(Links!Y121+'Off-Ramp'!Y121+'Off-Ramp'!Z121+'Off-Ramp'!AA121)</f>
        <v>#DIV/0!</v>
      </c>
      <c r="BU121" s="60" t="e">
        <f>(Links!W121^2+'Off-Ramp'!P121^2)/(Links!W121+'Off-Ramp'!P121)</f>
        <v>#DIV/0!</v>
      </c>
      <c r="BV121" s="60" t="e">
        <f>(Links!Y121^2+'Off-Ramp'!Q121^2)/(Links!Y121+'Off-Ramp'!Q121)</f>
        <v>#DIV/0!</v>
      </c>
      <c r="BW121" s="60" t="e">
        <f>(Links!Z121^2+'Off-Ramp'!R121^2)/(Links!Z121+'Off-Ramp'!R121)</f>
        <v>#DIV/0!</v>
      </c>
      <c r="BX121" s="60" t="e">
        <f>(Links!AA121+'Off-Ramp'!S121)/(Links!AA121^2+'Off-Ramp'!S121^2)</f>
        <v>#DIV/0!</v>
      </c>
      <c r="BY121" s="60" t="e">
        <f>(Links!AB121^2+'Off-Ramp'!T121^2)/(Links!AB121+'Off-Ramp'!T121)</f>
        <v>#DIV/0!</v>
      </c>
      <c r="BZ121" s="60" t="e">
        <f>Links!AC121</f>
        <v>#DIV/0!</v>
      </c>
      <c r="CA121" s="60" t="e">
        <f>(Links!AD121^2+'Off-Ramp'!U121^2)/(Links!AD121+'Off-Ramp'!U121)</f>
        <v>#DIV/0!</v>
      </c>
    </row>
    <row r="122" spans="1:79" x14ac:dyDescent="0.15">
      <c r="A122" s="58">
        <v>120</v>
      </c>
      <c r="B122" s="59" t="e">
        <f t="shared" si="31"/>
        <v>#DIV/0!</v>
      </c>
      <c r="C122" s="59" t="e">
        <f t="shared" si="32"/>
        <v>#DIV/0!</v>
      </c>
      <c r="D122" s="59" t="e">
        <f t="shared" si="33"/>
        <v>#DIV/0!</v>
      </c>
      <c r="E122" s="59" t="e">
        <f t="shared" si="34"/>
        <v>#DIV/0!</v>
      </c>
      <c r="F122" s="59" t="e">
        <f t="shared" si="35"/>
        <v>#DIV/0!</v>
      </c>
      <c r="G122" s="59" t="e">
        <f t="shared" si="36"/>
        <v>#DIV/0!</v>
      </c>
      <c r="H122" s="59" t="e">
        <f t="shared" si="37"/>
        <v>#DIV/0!</v>
      </c>
      <c r="I122" s="59" t="e">
        <f t="shared" si="38"/>
        <v>#DIV/0!</v>
      </c>
      <c r="J122" s="59" t="e">
        <f t="shared" si="39"/>
        <v>#DIV/0!</v>
      </c>
      <c r="K122" s="59" t="e">
        <f t="shared" si="40"/>
        <v>#DIV/0!</v>
      </c>
      <c r="L122" s="59" t="e">
        <f t="shared" si="41"/>
        <v>#DIV/0!</v>
      </c>
      <c r="M122" s="59" t="e">
        <f t="shared" si="42"/>
        <v>#DIV/0!</v>
      </c>
      <c r="N122" s="59" t="e">
        <f t="shared" si="43"/>
        <v>#DIV/0!</v>
      </c>
      <c r="O122" s="60" t="e">
        <f>Links!B122</f>
        <v>#DIV/0!</v>
      </c>
      <c r="P122" s="60" t="e">
        <f>Links!C122+'On-Ramps'!AC122</f>
        <v>#DIV/0!</v>
      </c>
      <c r="Q122" s="60" t="e">
        <f>Links!D122</f>
        <v>#DIV/0!</v>
      </c>
      <c r="R122" s="60" t="e">
        <f>Links!E122+'On-Ramps'!AD122</f>
        <v>#DIV/0!</v>
      </c>
      <c r="S122" s="60" t="e">
        <f>Links!F122+'On-Ramps'!AE122</f>
        <v>#DIV/0!</v>
      </c>
      <c r="T122" s="60" t="e">
        <f>Links!G122+'On-Ramps'!AF122</f>
        <v>#DIV/0!</v>
      </c>
      <c r="U122" s="60" t="e">
        <f>Links!H122+'On-Ramps'!AG122</f>
        <v>#DIV/0!</v>
      </c>
      <c r="V122" s="60" t="e">
        <f>Links!J122+'On-Ramps'!AH122</f>
        <v>#DIV/0!</v>
      </c>
      <c r="W122" s="60" t="e">
        <f>Links!K122+'On-Ramps'!AI122</f>
        <v>#DIV/0!</v>
      </c>
      <c r="X122" s="60" t="e">
        <f>Links!L122+'On-Ramps'!AJ122</f>
        <v>#DIV/0!</v>
      </c>
      <c r="Y122" s="60" t="e">
        <f>Links!M122</f>
        <v>#DIV/0!</v>
      </c>
      <c r="Z122" s="60" t="e">
        <f>Links!N122+'On-Ramps'!AK122</f>
        <v>#DIV/0!</v>
      </c>
      <c r="AA122" s="60" t="e">
        <f>Links!O122</f>
        <v>#DIV/0!</v>
      </c>
      <c r="AB122" s="59" t="e">
        <f t="shared" si="44"/>
        <v>#DIV/0!</v>
      </c>
      <c r="AC122" s="65"/>
      <c r="AD122" s="59" t="e">
        <f t="shared" si="45"/>
        <v>#DIV/0!</v>
      </c>
      <c r="AE122" s="65"/>
      <c r="AF122" s="59" t="e">
        <f t="shared" si="46"/>
        <v>#DIV/0!</v>
      </c>
      <c r="AG122" s="59" t="e">
        <f t="shared" si="47"/>
        <v>#DIV/0!</v>
      </c>
      <c r="AH122" s="59" t="e">
        <f t="shared" si="48"/>
        <v>#DIV/0!</v>
      </c>
      <c r="AI122" s="59" t="e">
        <f t="shared" si="49"/>
        <v>#DIV/0!</v>
      </c>
      <c r="AJ122" s="59" t="e">
        <f t="shared" si="50"/>
        <v>#DIV/0!</v>
      </c>
      <c r="AK122" s="59" t="e">
        <f t="shared" si="51"/>
        <v>#DIV/0!</v>
      </c>
      <c r="AL122" s="59" t="e">
        <f t="shared" si="52"/>
        <v>#DIV/0!</v>
      </c>
      <c r="AM122" s="65"/>
      <c r="AN122" s="59" t="e">
        <f t="shared" si="54"/>
        <v>#DIV/0!</v>
      </c>
      <c r="AO122" s="60" t="e">
        <f t="shared" si="57"/>
        <v>#DIV/0!</v>
      </c>
      <c r="AP122" s="65"/>
      <c r="AQ122" s="60" t="e">
        <f t="shared" si="56"/>
        <v>#DIV/0!</v>
      </c>
      <c r="AR122" s="65"/>
      <c r="AS122" s="60" t="e">
        <f t="shared" si="56"/>
        <v>#DIV/0!</v>
      </c>
      <c r="AT122" s="60" t="e">
        <f t="shared" si="56"/>
        <v>#DIV/0!</v>
      </c>
      <c r="AU122" s="60" t="e">
        <f t="shared" si="56"/>
        <v>#DIV/0!</v>
      </c>
      <c r="AV122" s="60" t="e">
        <f t="shared" si="56"/>
        <v>#DIV/0!</v>
      </c>
      <c r="AW122" s="60" t="e">
        <f t="shared" si="56"/>
        <v>#DIV/0!</v>
      </c>
      <c r="AX122" s="60" t="e">
        <f t="shared" si="56"/>
        <v>#DIV/0!</v>
      </c>
      <c r="AY122" s="60" t="e">
        <f t="shared" si="56"/>
        <v>#DIV/0!</v>
      </c>
      <c r="AZ122" s="65"/>
      <c r="BA122" s="60" t="e">
        <f t="shared" si="56"/>
        <v>#DIV/0!</v>
      </c>
      <c r="BB122" s="59" t="e">
        <f>Links!AF122</f>
        <v>#DIV/0!</v>
      </c>
      <c r="BC122" s="59" t="e">
        <f>(Links!AG122*Links!C122+'On-Ramps'!AC122*'On-Ramps'!CE122)/('On-Ramps'!AC122+Links!C122)</f>
        <v>#DIV/0!</v>
      </c>
      <c r="BD122" s="59" t="e">
        <f>Links!AH122</f>
        <v>#DIV/0!</v>
      </c>
      <c r="BE122" s="59" t="e">
        <f>(Links!AI122*Links!E122+'On-Ramps'!AD122*'On-Ramps'!CF121)/('On-Ramps'!AD122+Links!E122)</f>
        <v>#DIV/0!</v>
      </c>
      <c r="BF122" s="59" t="e">
        <f>(Links!F122*Links!AJ122+'On-Ramps'!AE122*'On-Ramps'!CG122)/('On-Ramps'!AE122+Links!F122)</f>
        <v>#DIV/0!</v>
      </c>
      <c r="BG122" s="59" t="e">
        <f>(Links!G122*Links!AK122+'On-Ramps'!AF122*'On-Ramps'!CH122)/('On-Ramps'!AF122+Links!G122)</f>
        <v>#DIV/0!</v>
      </c>
      <c r="BH122" s="59" t="e">
        <f>(Links!H122*Links!AL122+'On-Ramps'!AG122*'On-Ramps'!CI122)/('On-Ramps'!AG122+Links!H122)</f>
        <v>#DIV/0!</v>
      </c>
      <c r="BI122" s="59" t="e">
        <f>(Links!J122*Links!AN122+'On-Ramps'!AH122*'On-Ramps'!CJ122)/('On-Ramps'!AH122+Links!J122)</f>
        <v>#DIV/0!</v>
      </c>
      <c r="BJ122" s="59" t="e">
        <f>(Links!K122*Links!AO122+'On-Ramps'!AI122*'On-Ramps'!CK122)/('On-Ramps'!AI122+Links!K122)</f>
        <v>#DIV/0!</v>
      </c>
      <c r="BK122" s="59" t="e">
        <f>(Links!L122*Links!AP122+'On-Ramps'!AJ122*'On-Ramps'!CL122)/(Links!L122+'On-Ramps'!AJ122)</f>
        <v>#DIV/0!</v>
      </c>
      <c r="BL122" s="59" t="e">
        <f>Links!AQ122</f>
        <v>#DIV/0!</v>
      </c>
      <c r="BM122" s="59" t="e">
        <f>(Links!N122*Links!AR122+'On-Ramps'!AL122*'On-Ramps'!CM122)/(Links!N122+'On-Ramps'!AL122)</f>
        <v>#DIV/0!</v>
      </c>
      <c r="BN122" s="59" t="e">
        <f>Links!AS122</f>
        <v>#DIV/0!</v>
      </c>
      <c r="BO122" s="60" t="e">
        <f>(Links!R122^2+'Off-Ramp'!L122^2)/(Links!R122+'Off-Ramp'!L122)</f>
        <v>#DIV/0!</v>
      </c>
      <c r="BP122" s="60" t="e">
        <f>Links!S122</f>
        <v>#DIV/0!</v>
      </c>
      <c r="BQ122" s="60" t="e">
        <f>(Links!S122^2+'Off-Ramp'!C122^2)/(Links!S122+'Off-Ramp'!C122)</f>
        <v>#DIV/0!</v>
      </c>
      <c r="BR122" s="60" t="e">
        <f>Links!T122</f>
        <v>#DIV/0!</v>
      </c>
      <c r="BS122" s="60" t="e">
        <f>(Links!X122^2+'Off-Ramp'!V122^2+'Off-Ramp'!W122^2+'Off-Ramp'!X122^2)/(Links!X122+'Off-Ramp'!V122+'Off-Ramp'!W122+'Off-Ramp'!X122)</f>
        <v>#DIV/0!</v>
      </c>
      <c r="BT122" s="60" t="e">
        <f>(Links!Y122^2+'Off-Ramp'!Y122^2+'Off-Ramp'!Z122^2+'Off-Ramp'!AA122^2)/(Links!Y122+'Off-Ramp'!Y122+'Off-Ramp'!Z122+'Off-Ramp'!AA122)</f>
        <v>#DIV/0!</v>
      </c>
      <c r="BU122" s="60" t="e">
        <f>(Links!W122^2+'Off-Ramp'!P122^2)/(Links!W122+'Off-Ramp'!P122)</f>
        <v>#DIV/0!</v>
      </c>
      <c r="BV122" s="60" t="e">
        <f>(Links!Y122^2+'Off-Ramp'!Q122^2)/(Links!Y122+'Off-Ramp'!Q122)</f>
        <v>#DIV/0!</v>
      </c>
      <c r="BW122" s="60" t="e">
        <f>(Links!Z122^2+'Off-Ramp'!R122^2)/(Links!Z122+'Off-Ramp'!R122)</f>
        <v>#DIV/0!</v>
      </c>
      <c r="BX122" s="60" t="e">
        <f>(Links!AA122+'Off-Ramp'!S122)/(Links!AA122^2+'Off-Ramp'!S122^2)</f>
        <v>#DIV/0!</v>
      </c>
      <c r="BY122" s="60" t="e">
        <f>(Links!AB122^2+'Off-Ramp'!T122^2)/(Links!AB122+'Off-Ramp'!T122)</f>
        <v>#DIV/0!</v>
      </c>
      <c r="BZ122" s="60" t="e">
        <f>Links!AC122</f>
        <v>#DIV/0!</v>
      </c>
      <c r="CA122" s="60" t="e">
        <f>(Links!AD122^2+'Off-Ramp'!U122^2)/(Links!AD122+'Off-Ramp'!U122)</f>
        <v>#DIV/0!</v>
      </c>
    </row>
    <row r="123" spans="1:79" x14ac:dyDescent="0.15">
      <c r="A123" s="58">
        <v>121</v>
      </c>
      <c r="B123" s="59" t="e">
        <f t="shared" si="31"/>
        <v>#DIV/0!</v>
      </c>
      <c r="C123" s="59" t="e">
        <f t="shared" si="32"/>
        <v>#DIV/0!</v>
      </c>
      <c r="D123" s="59" t="e">
        <f t="shared" si="33"/>
        <v>#DIV/0!</v>
      </c>
      <c r="E123" s="59" t="e">
        <f t="shared" si="34"/>
        <v>#DIV/0!</v>
      </c>
      <c r="F123" s="59" t="e">
        <f t="shared" si="35"/>
        <v>#DIV/0!</v>
      </c>
      <c r="G123" s="59" t="e">
        <f t="shared" si="36"/>
        <v>#DIV/0!</v>
      </c>
      <c r="H123" s="59" t="e">
        <f t="shared" si="37"/>
        <v>#DIV/0!</v>
      </c>
      <c r="I123" s="59" t="e">
        <f t="shared" si="38"/>
        <v>#DIV/0!</v>
      </c>
      <c r="J123" s="59" t="e">
        <f t="shared" si="39"/>
        <v>#DIV/0!</v>
      </c>
      <c r="K123" s="59" t="e">
        <f t="shared" si="40"/>
        <v>#DIV/0!</v>
      </c>
      <c r="L123" s="59" t="e">
        <f t="shared" si="41"/>
        <v>#DIV/0!</v>
      </c>
      <c r="M123" s="59" t="e">
        <f t="shared" si="42"/>
        <v>#DIV/0!</v>
      </c>
      <c r="N123" s="59" t="e">
        <f t="shared" si="43"/>
        <v>#DIV/0!</v>
      </c>
      <c r="O123" s="60" t="e">
        <f>Links!B123</f>
        <v>#DIV/0!</v>
      </c>
      <c r="P123" s="60" t="e">
        <f>Links!C123+'On-Ramps'!AC123</f>
        <v>#DIV/0!</v>
      </c>
      <c r="Q123" s="60" t="e">
        <f>Links!D123</f>
        <v>#DIV/0!</v>
      </c>
      <c r="R123" s="60" t="e">
        <f>Links!E123+'On-Ramps'!AD123</f>
        <v>#DIV/0!</v>
      </c>
      <c r="S123" s="60" t="e">
        <f>Links!F123+'On-Ramps'!AE123</f>
        <v>#DIV/0!</v>
      </c>
      <c r="T123" s="60" t="e">
        <f>Links!G123+'On-Ramps'!AF123</f>
        <v>#DIV/0!</v>
      </c>
      <c r="U123" s="60" t="e">
        <f>Links!H123+'On-Ramps'!AG123</f>
        <v>#DIV/0!</v>
      </c>
      <c r="V123" s="60" t="e">
        <f>Links!J123+'On-Ramps'!AH123</f>
        <v>#DIV/0!</v>
      </c>
      <c r="W123" s="60" t="e">
        <f>Links!K123+'On-Ramps'!AI123</f>
        <v>#DIV/0!</v>
      </c>
      <c r="X123" s="60" t="e">
        <f>Links!L123+'On-Ramps'!AJ123</f>
        <v>#DIV/0!</v>
      </c>
      <c r="Y123" s="60" t="e">
        <f>Links!M123</f>
        <v>#DIV/0!</v>
      </c>
      <c r="Z123" s="60" t="e">
        <f>Links!N123+'On-Ramps'!AK123</f>
        <v>#DIV/0!</v>
      </c>
      <c r="AA123" s="60" t="e">
        <f>Links!O123</f>
        <v>#DIV/0!</v>
      </c>
      <c r="AB123" s="59" t="e">
        <f t="shared" si="44"/>
        <v>#DIV/0!</v>
      </c>
      <c r="AC123" s="65"/>
      <c r="AD123" s="59" t="e">
        <f t="shared" si="45"/>
        <v>#DIV/0!</v>
      </c>
      <c r="AE123" s="65"/>
      <c r="AF123" s="59" t="e">
        <f t="shared" si="46"/>
        <v>#DIV/0!</v>
      </c>
      <c r="AG123" s="59" t="e">
        <f t="shared" si="47"/>
        <v>#DIV/0!</v>
      </c>
      <c r="AH123" s="59" t="e">
        <f t="shared" si="48"/>
        <v>#DIV/0!</v>
      </c>
      <c r="AI123" s="59" t="e">
        <f t="shared" si="49"/>
        <v>#DIV/0!</v>
      </c>
      <c r="AJ123" s="59" t="e">
        <f t="shared" si="50"/>
        <v>#DIV/0!</v>
      </c>
      <c r="AK123" s="59" t="e">
        <f t="shared" si="51"/>
        <v>#DIV/0!</v>
      </c>
      <c r="AL123" s="59" t="e">
        <f t="shared" si="52"/>
        <v>#DIV/0!</v>
      </c>
      <c r="AM123" s="65"/>
      <c r="AN123" s="59" t="e">
        <f t="shared" si="54"/>
        <v>#DIV/0!</v>
      </c>
      <c r="AO123" s="60" t="e">
        <f t="shared" si="57"/>
        <v>#DIV/0!</v>
      </c>
      <c r="AP123" s="65"/>
      <c r="AQ123" s="60" t="e">
        <f t="shared" si="56"/>
        <v>#DIV/0!</v>
      </c>
      <c r="AR123" s="65"/>
      <c r="AS123" s="60" t="e">
        <f t="shared" si="56"/>
        <v>#DIV/0!</v>
      </c>
      <c r="AT123" s="60" t="e">
        <f t="shared" si="56"/>
        <v>#DIV/0!</v>
      </c>
      <c r="AU123" s="60" t="e">
        <f t="shared" si="56"/>
        <v>#DIV/0!</v>
      </c>
      <c r="AV123" s="60" t="e">
        <f t="shared" si="56"/>
        <v>#DIV/0!</v>
      </c>
      <c r="AW123" s="60" t="e">
        <f t="shared" si="56"/>
        <v>#DIV/0!</v>
      </c>
      <c r="AX123" s="60" t="e">
        <f t="shared" si="56"/>
        <v>#DIV/0!</v>
      </c>
      <c r="AY123" s="60" t="e">
        <f t="shared" si="56"/>
        <v>#DIV/0!</v>
      </c>
      <c r="AZ123" s="65"/>
      <c r="BA123" s="60" t="e">
        <f t="shared" si="56"/>
        <v>#DIV/0!</v>
      </c>
      <c r="BB123" s="59" t="e">
        <f>Links!AF123</f>
        <v>#DIV/0!</v>
      </c>
      <c r="BC123" s="59" t="e">
        <f>(Links!AG123*Links!C123+'On-Ramps'!AC123*'On-Ramps'!CE123)/('On-Ramps'!AC123+Links!C123)</f>
        <v>#DIV/0!</v>
      </c>
      <c r="BD123" s="59" t="e">
        <f>Links!AH123</f>
        <v>#DIV/0!</v>
      </c>
      <c r="BE123" s="59" t="e">
        <f>(Links!AI123*Links!E123+'On-Ramps'!AD123*'On-Ramps'!CF122)/('On-Ramps'!AD123+Links!E123)</f>
        <v>#DIV/0!</v>
      </c>
      <c r="BF123" s="59" t="e">
        <f>(Links!F123*Links!AJ123+'On-Ramps'!AE123*'On-Ramps'!CG123)/('On-Ramps'!AE123+Links!F123)</f>
        <v>#DIV/0!</v>
      </c>
      <c r="BG123" s="59" t="e">
        <f>(Links!G123*Links!AK123+'On-Ramps'!AF123*'On-Ramps'!CH123)/('On-Ramps'!AF123+Links!G123)</f>
        <v>#DIV/0!</v>
      </c>
      <c r="BH123" s="59" t="e">
        <f>(Links!H123*Links!AL123+'On-Ramps'!AG123*'On-Ramps'!CI123)/('On-Ramps'!AG123+Links!H123)</f>
        <v>#DIV/0!</v>
      </c>
      <c r="BI123" s="59" t="e">
        <f>(Links!J123*Links!AN123+'On-Ramps'!AH123*'On-Ramps'!CJ123)/('On-Ramps'!AH123+Links!J123)</f>
        <v>#DIV/0!</v>
      </c>
      <c r="BJ123" s="59" t="e">
        <f>(Links!K123*Links!AO123+'On-Ramps'!AI123*'On-Ramps'!CK123)/('On-Ramps'!AI123+Links!K123)</f>
        <v>#DIV/0!</v>
      </c>
      <c r="BK123" s="59" t="e">
        <f>(Links!L123*Links!AP123+'On-Ramps'!AJ123*'On-Ramps'!CL123)/(Links!L123+'On-Ramps'!AJ123)</f>
        <v>#DIV/0!</v>
      </c>
      <c r="BL123" s="59" t="e">
        <f>Links!AQ123</f>
        <v>#DIV/0!</v>
      </c>
      <c r="BM123" s="59" t="e">
        <f>(Links!N123*Links!AR123+'On-Ramps'!AL123*'On-Ramps'!CM123)/(Links!N123+'On-Ramps'!AL123)</f>
        <v>#DIV/0!</v>
      </c>
      <c r="BN123" s="59" t="e">
        <f>Links!AS123</f>
        <v>#DIV/0!</v>
      </c>
      <c r="BO123" s="60" t="e">
        <f>(Links!R123^2+'Off-Ramp'!L123^2)/(Links!R123+'Off-Ramp'!L123)</f>
        <v>#DIV/0!</v>
      </c>
      <c r="BP123" s="60" t="e">
        <f>Links!S123</f>
        <v>#DIV/0!</v>
      </c>
      <c r="BQ123" s="60" t="e">
        <f>(Links!S123^2+'Off-Ramp'!C123^2)/(Links!S123+'Off-Ramp'!C123)</f>
        <v>#DIV/0!</v>
      </c>
      <c r="BR123" s="60" t="e">
        <f>Links!T123</f>
        <v>#DIV/0!</v>
      </c>
      <c r="BS123" s="60" t="e">
        <f>(Links!X123^2+'Off-Ramp'!V123^2+'Off-Ramp'!W123^2+'Off-Ramp'!X123^2)/(Links!X123+'Off-Ramp'!V123+'Off-Ramp'!W123+'Off-Ramp'!X123)</f>
        <v>#DIV/0!</v>
      </c>
      <c r="BT123" s="60" t="e">
        <f>(Links!Y123^2+'Off-Ramp'!Y123^2+'Off-Ramp'!Z123^2+'Off-Ramp'!AA123^2)/(Links!Y123+'Off-Ramp'!Y123+'Off-Ramp'!Z123+'Off-Ramp'!AA123)</f>
        <v>#DIV/0!</v>
      </c>
      <c r="BU123" s="60" t="e">
        <f>(Links!W123^2+'Off-Ramp'!P123^2)/(Links!W123+'Off-Ramp'!P123)</f>
        <v>#DIV/0!</v>
      </c>
      <c r="BV123" s="60" t="e">
        <f>(Links!Y123^2+'Off-Ramp'!Q123^2)/(Links!Y123+'Off-Ramp'!Q123)</f>
        <v>#DIV/0!</v>
      </c>
      <c r="BW123" s="60" t="e">
        <f>(Links!Z123^2+'Off-Ramp'!R123^2)/(Links!Z123+'Off-Ramp'!R123)</f>
        <v>#DIV/0!</v>
      </c>
      <c r="BX123" s="60" t="e">
        <f>(Links!AA123+'Off-Ramp'!S123)/(Links!AA123^2+'Off-Ramp'!S123^2)</f>
        <v>#DIV/0!</v>
      </c>
      <c r="BY123" s="60" t="e">
        <f>(Links!AB123^2+'Off-Ramp'!T123^2)/(Links!AB123+'Off-Ramp'!T123)</f>
        <v>#DIV/0!</v>
      </c>
      <c r="BZ123" s="60" t="e">
        <f>Links!AC123</f>
        <v>#DIV/0!</v>
      </c>
      <c r="CA123" s="60" t="e">
        <f>(Links!AD123^2+'Off-Ramp'!U123^2)/(Links!AD123+'Off-Ramp'!U123)</f>
        <v>#DIV/0!</v>
      </c>
    </row>
    <row r="124" spans="1:79" x14ac:dyDescent="0.15">
      <c r="A124" s="58">
        <v>122</v>
      </c>
      <c r="B124" s="59" t="e">
        <f t="shared" si="31"/>
        <v>#DIV/0!</v>
      </c>
      <c r="C124" s="59" t="e">
        <f t="shared" si="32"/>
        <v>#DIV/0!</v>
      </c>
      <c r="D124" s="59" t="e">
        <f t="shared" si="33"/>
        <v>#DIV/0!</v>
      </c>
      <c r="E124" s="59" t="e">
        <f t="shared" si="34"/>
        <v>#DIV/0!</v>
      </c>
      <c r="F124" s="59" t="e">
        <f t="shared" si="35"/>
        <v>#DIV/0!</v>
      </c>
      <c r="G124" s="59" t="e">
        <f t="shared" si="36"/>
        <v>#DIV/0!</v>
      </c>
      <c r="H124" s="59" t="e">
        <f t="shared" si="37"/>
        <v>#DIV/0!</v>
      </c>
      <c r="I124" s="59" t="e">
        <f t="shared" si="38"/>
        <v>#DIV/0!</v>
      </c>
      <c r="J124" s="59" t="e">
        <f t="shared" si="39"/>
        <v>#DIV/0!</v>
      </c>
      <c r="K124" s="59" t="e">
        <f t="shared" si="40"/>
        <v>#DIV/0!</v>
      </c>
      <c r="L124" s="59" t="e">
        <f t="shared" si="41"/>
        <v>#DIV/0!</v>
      </c>
      <c r="M124" s="59" t="e">
        <f t="shared" si="42"/>
        <v>#DIV/0!</v>
      </c>
      <c r="N124" s="59" t="e">
        <f t="shared" si="43"/>
        <v>#DIV/0!</v>
      </c>
      <c r="O124" s="60" t="e">
        <f>Links!B124</f>
        <v>#DIV/0!</v>
      </c>
      <c r="P124" s="60" t="e">
        <f>Links!C124+'On-Ramps'!AC124</f>
        <v>#DIV/0!</v>
      </c>
      <c r="Q124" s="60" t="e">
        <f>Links!D124</f>
        <v>#DIV/0!</v>
      </c>
      <c r="R124" s="60" t="e">
        <f>Links!E124+'On-Ramps'!AD124</f>
        <v>#DIV/0!</v>
      </c>
      <c r="S124" s="60" t="e">
        <f>Links!F124+'On-Ramps'!AE124</f>
        <v>#DIV/0!</v>
      </c>
      <c r="T124" s="60" t="e">
        <f>Links!G124+'On-Ramps'!AF124</f>
        <v>#DIV/0!</v>
      </c>
      <c r="U124" s="60" t="e">
        <f>Links!H124+'On-Ramps'!AG124</f>
        <v>#DIV/0!</v>
      </c>
      <c r="V124" s="60" t="e">
        <f>Links!J124+'On-Ramps'!AH124</f>
        <v>#DIV/0!</v>
      </c>
      <c r="W124" s="60" t="e">
        <f>Links!K124+'On-Ramps'!AI124</f>
        <v>#DIV/0!</v>
      </c>
      <c r="X124" s="60" t="e">
        <f>Links!L124+'On-Ramps'!AJ124</f>
        <v>#DIV/0!</v>
      </c>
      <c r="Y124" s="60" t="e">
        <f>Links!M124</f>
        <v>#DIV/0!</v>
      </c>
      <c r="Z124" s="60" t="e">
        <f>Links!N124+'On-Ramps'!AK124</f>
        <v>#DIV/0!</v>
      </c>
      <c r="AA124" s="60" t="e">
        <f>Links!O124</f>
        <v>#DIV/0!</v>
      </c>
      <c r="AB124" s="59" t="e">
        <f t="shared" si="44"/>
        <v>#DIV/0!</v>
      </c>
      <c r="AC124" s="65"/>
      <c r="AD124" s="59" t="e">
        <f t="shared" si="45"/>
        <v>#DIV/0!</v>
      </c>
      <c r="AE124" s="65"/>
      <c r="AF124" s="59" t="e">
        <f t="shared" si="46"/>
        <v>#DIV/0!</v>
      </c>
      <c r="AG124" s="59" t="e">
        <f t="shared" si="47"/>
        <v>#DIV/0!</v>
      </c>
      <c r="AH124" s="59" t="e">
        <f t="shared" si="48"/>
        <v>#DIV/0!</v>
      </c>
      <c r="AI124" s="59" t="e">
        <f t="shared" si="49"/>
        <v>#DIV/0!</v>
      </c>
      <c r="AJ124" s="59" t="e">
        <f t="shared" si="50"/>
        <v>#DIV/0!</v>
      </c>
      <c r="AK124" s="59" t="e">
        <f t="shared" si="51"/>
        <v>#DIV/0!</v>
      </c>
      <c r="AL124" s="59" t="e">
        <f t="shared" si="52"/>
        <v>#DIV/0!</v>
      </c>
      <c r="AM124" s="65"/>
      <c r="AN124" s="59" t="e">
        <f t="shared" si="54"/>
        <v>#DIV/0!</v>
      </c>
      <c r="AO124" s="60" t="e">
        <f t="shared" si="57"/>
        <v>#DIV/0!</v>
      </c>
      <c r="AP124" s="65"/>
      <c r="AQ124" s="60" t="e">
        <f t="shared" si="56"/>
        <v>#DIV/0!</v>
      </c>
      <c r="AR124" s="65"/>
      <c r="AS124" s="60" t="e">
        <f t="shared" si="56"/>
        <v>#DIV/0!</v>
      </c>
      <c r="AT124" s="60" t="e">
        <f t="shared" si="56"/>
        <v>#DIV/0!</v>
      </c>
      <c r="AU124" s="60" t="e">
        <f t="shared" si="56"/>
        <v>#DIV/0!</v>
      </c>
      <c r="AV124" s="60" t="e">
        <f t="shared" si="56"/>
        <v>#DIV/0!</v>
      </c>
      <c r="AW124" s="60" t="e">
        <f t="shared" si="56"/>
        <v>#DIV/0!</v>
      </c>
      <c r="AX124" s="60" t="e">
        <f t="shared" si="56"/>
        <v>#DIV/0!</v>
      </c>
      <c r="AY124" s="60" t="e">
        <f t="shared" si="56"/>
        <v>#DIV/0!</v>
      </c>
      <c r="AZ124" s="65"/>
      <c r="BA124" s="60" t="e">
        <f t="shared" si="56"/>
        <v>#DIV/0!</v>
      </c>
      <c r="BB124" s="59" t="e">
        <f>Links!AF124</f>
        <v>#DIV/0!</v>
      </c>
      <c r="BC124" s="59" t="e">
        <f>(Links!AG124*Links!C124+'On-Ramps'!AC124*'On-Ramps'!CE124)/('On-Ramps'!AC124+Links!C124)</f>
        <v>#DIV/0!</v>
      </c>
      <c r="BD124" s="59" t="e">
        <f>Links!AH124</f>
        <v>#DIV/0!</v>
      </c>
      <c r="BE124" s="59" t="e">
        <f>(Links!AI124*Links!E124+'On-Ramps'!AD124*'On-Ramps'!CF123)/('On-Ramps'!AD124+Links!E124)</f>
        <v>#DIV/0!</v>
      </c>
      <c r="BF124" s="59" t="e">
        <f>(Links!F124*Links!AJ124+'On-Ramps'!AE124*'On-Ramps'!CG124)/('On-Ramps'!AE124+Links!F124)</f>
        <v>#DIV/0!</v>
      </c>
      <c r="BG124" s="59" t="e">
        <f>(Links!G124*Links!AK124+'On-Ramps'!AF124*'On-Ramps'!CH124)/('On-Ramps'!AF124+Links!G124)</f>
        <v>#DIV/0!</v>
      </c>
      <c r="BH124" s="59" t="e">
        <f>(Links!H124*Links!AL124+'On-Ramps'!AG124*'On-Ramps'!CI124)/('On-Ramps'!AG124+Links!H124)</f>
        <v>#DIV/0!</v>
      </c>
      <c r="BI124" s="59" t="e">
        <f>(Links!J124*Links!AN124+'On-Ramps'!AH124*'On-Ramps'!CJ124)/('On-Ramps'!AH124+Links!J124)</f>
        <v>#DIV/0!</v>
      </c>
      <c r="BJ124" s="59" t="e">
        <f>(Links!K124*Links!AO124+'On-Ramps'!AI124*'On-Ramps'!CK124)/('On-Ramps'!AI124+Links!K124)</f>
        <v>#DIV/0!</v>
      </c>
      <c r="BK124" s="59" t="e">
        <f>(Links!L124*Links!AP124+'On-Ramps'!AJ124*'On-Ramps'!CL124)/(Links!L124+'On-Ramps'!AJ124)</f>
        <v>#DIV/0!</v>
      </c>
      <c r="BL124" s="59" t="e">
        <f>Links!AQ124</f>
        <v>#DIV/0!</v>
      </c>
      <c r="BM124" s="59" t="e">
        <f>(Links!N124*Links!AR124+'On-Ramps'!AL124*'On-Ramps'!CM124)/(Links!N124+'On-Ramps'!AL124)</f>
        <v>#DIV/0!</v>
      </c>
      <c r="BN124" s="59" t="e">
        <f>Links!AS124</f>
        <v>#DIV/0!</v>
      </c>
      <c r="BO124" s="60" t="e">
        <f>(Links!R124^2+'Off-Ramp'!L124^2)/(Links!R124+'Off-Ramp'!L124)</f>
        <v>#DIV/0!</v>
      </c>
      <c r="BP124" s="60" t="e">
        <f>Links!S124</f>
        <v>#DIV/0!</v>
      </c>
      <c r="BQ124" s="60" t="e">
        <f>(Links!S124^2+'Off-Ramp'!C124^2)/(Links!S124+'Off-Ramp'!C124)</f>
        <v>#DIV/0!</v>
      </c>
      <c r="BR124" s="60" t="e">
        <f>Links!T124</f>
        <v>#DIV/0!</v>
      </c>
      <c r="BS124" s="60" t="e">
        <f>(Links!X124^2+'Off-Ramp'!V124^2+'Off-Ramp'!W124^2+'Off-Ramp'!X124^2)/(Links!X124+'Off-Ramp'!V124+'Off-Ramp'!W124+'Off-Ramp'!X124)</f>
        <v>#DIV/0!</v>
      </c>
      <c r="BT124" s="60" t="e">
        <f>(Links!Y124^2+'Off-Ramp'!Y124^2+'Off-Ramp'!Z124^2+'Off-Ramp'!AA124^2)/(Links!Y124+'Off-Ramp'!Y124+'Off-Ramp'!Z124+'Off-Ramp'!AA124)</f>
        <v>#DIV/0!</v>
      </c>
      <c r="BU124" s="60" t="e">
        <f>(Links!W124^2+'Off-Ramp'!P124^2)/(Links!W124+'Off-Ramp'!P124)</f>
        <v>#DIV/0!</v>
      </c>
      <c r="BV124" s="60" t="e">
        <f>(Links!Y124^2+'Off-Ramp'!Q124^2)/(Links!Y124+'Off-Ramp'!Q124)</f>
        <v>#DIV/0!</v>
      </c>
      <c r="BW124" s="60" t="e">
        <f>(Links!Z124^2+'Off-Ramp'!R124^2)/(Links!Z124+'Off-Ramp'!R124)</f>
        <v>#DIV/0!</v>
      </c>
      <c r="BX124" s="60" t="e">
        <f>(Links!AA124+'Off-Ramp'!S124)/(Links!AA124^2+'Off-Ramp'!S124^2)</f>
        <v>#DIV/0!</v>
      </c>
      <c r="BY124" s="60" t="e">
        <f>(Links!AB124^2+'Off-Ramp'!T124^2)/(Links!AB124+'Off-Ramp'!T124)</f>
        <v>#DIV/0!</v>
      </c>
      <c r="BZ124" s="60" t="e">
        <f>Links!AC124</f>
        <v>#DIV/0!</v>
      </c>
      <c r="CA124" s="60" t="e">
        <f>(Links!AD124^2+'Off-Ramp'!U124^2)/(Links!AD124+'Off-Ramp'!U124)</f>
        <v>#DIV/0!</v>
      </c>
    </row>
    <row r="125" spans="1:79" x14ac:dyDescent="0.15">
      <c r="A125" s="58">
        <v>123</v>
      </c>
      <c r="B125" s="59" t="e">
        <f t="shared" si="31"/>
        <v>#DIV/0!</v>
      </c>
      <c r="C125" s="59" t="e">
        <f t="shared" si="32"/>
        <v>#DIV/0!</v>
      </c>
      <c r="D125" s="59" t="e">
        <f t="shared" si="33"/>
        <v>#DIV/0!</v>
      </c>
      <c r="E125" s="59" t="e">
        <f t="shared" si="34"/>
        <v>#DIV/0!</v>
      </c>
      <c r="F125" s="59" t="e">
        <f t="shared" si="35"/>
        <v>#DIV/0!</v>
      </c>
      <c r="G125" s="59" t="e">
        <f t="shared" si="36"/>
        <v>#DIV/0!</v>
      </c>
      <c r="H125" s="59" t="e">
        <f t="shared" si="37"/>
        <v>#DIV/0!</v>
      </c>
      <c r="I125" s="59" t="e">
        <f t="shared" si="38"/>
        <v>#DIV/0!</v>
      </c>
      <c r="J125" s="59" t="e">
        <f t="shared" si="39"/>
        <v>#DIV/0!</v>
      </c>
      <c r="K125" s="59" t="e">
        <f t="shared" si="40"/>
        <v>#DIV/0!</v>
      </c>
      <c r="L125" s="59" t="e">
        <f t="shared" si="41"/>
        <v>#DIV/0!</v>
      </c>
      <c r="M125" s="59" t="e">
        <f t="shared" si="42"/>
        <v>#DIV/0!</v>
      </c>
      <c r="N125" s="59" t="e">
        <f t="shared" si="43"/>
        <v>#DIV/0!</v>
      </c>
      <c r="O125" s="60" t="e">
        <f>Links!B125</f>
        <v>#DIV/0!</v>
      </c>
      <c r="P125" s="60" t="e">
        <f>Links!C125+'On-Ramps'!AC125</f>
        <v>#DIV/0!</v>
      </c>
      <c r="Q125" s="60" t="e">
        <f>Links!D125</f>
        <v>#DIV/0!</v>
      </c>
      <c r="R125" s="60" t="e">
        <f>Links!E125+'On-Ramps'!AD125</f>
        <v>#DIV/0!</v>
      </c>
      <c r="S125" s="60" t="e">
        <f>Links!F125+'On-Ramps'!AE125</f>
        <v>#DIV/0!</v>
      </c>
      <c r="T125" s="60" t="e">
        <f>Links!G125+'On-Ramps'!AF125</f>
        <v>#DIV/0!</v>
      </c>
      <c r="U125" s="60" t="e">
        <f>Links!H125+'On-Ramps'!AG125</f>
        <v>#DIV/0!</v>
      </c>
      <c r="V125" s="60" t="e">
        <f>Links!J125+'On-Ramps'!AH125</f>
        <v>#DIV/0!</v>
      </c>
      <c r="W125" s="60" t="e">
        <f>Links!K125+'On-Ramps'!AI125</f>
        <v>#DIV/0!</v>
      </c>
      <c r="X125" s="60" t="e">
        <f>Links!L125+'On-Ramps'!AJ125</f>
        <v>#DIV/0!</v>
      </c>
      <c r="Y125" s="60" t="e">
        <f>Links!M125</f>
        <v>#DIV/0!</v>
      </c>
      <c r="Z125" s="60" t="e">
        <f>Links!N125+'On-Ramps'!AK125</f>
        <v>#DIV/0!</v>
      </c>
      <c r="AA125" s="60" t="e">
        <f>Links!O125</f>
        <v>#DIV/0!</v>
      </c>
      <c r="AB125" s="59" t="e">
        <f t="shared" si="44"/>
        <v>#DIV/0!</v>
      </c>
      <c r="AC125" s="65"/>
      <c r="AD125" s="59" t="e">
        <f t="shared" si="45"/>
        <v>#DIV/0!</v>
      </c>
      <c r="AE125" s="65"/>
      <c r="AF125" s="59" t="e">
        <f t="shared" si="46"/>
        <v>#DIV/0!</v>
      </c>
      <c r="AG125" s="59" t="e">
        <f t="shared" si="47"/>
        <v>#DIV/0!</v>
      </c>
      <c r="AH125" s="59" t="e">
        <f t="shared" si="48"/>
        <v>#DIV/0!</v>
      </c>
      <c r="AI125" s="59" t="e">
        <f t="shared" si="49"/>
        <v>#DIV/0!</v>
      </c>
      <c r="AJ125" s="59" t="e">
        <f t="shared" si="50"/>
        <v>#DIV/0!</v>
      </c>
      <c r="AK125" s="59" t="e">
        <f t="shared" si="51"/>
        <v>#DIV/0!</v>
      </c>
      <c r="AL125" s="59" t="e">
        <f t="shared" si="52"/>
        <v>#DIV/0!</v>
      </c>
      <c r="AM125" s="65"/>
      <c r="AN125" s="59" t="e">
        <f t="shared" si="54"/>
        <v>#DIV/0!</v>
      </c>
      <c r="AO125" s="60" t="e">
        <f t="shared" si="57"/>
        <v>#DIV/0!</v>
      </c>
      <c r="AP125" s="65"/>
      <c r="AQ125" s="60" t="e">
        <f t="shared" si="56"/>
        <v>#DIV/0!</v>
      </c>
      <c r="AR125" s="65"/>
      <c r="AS125" s="60" t="e">
        <f t="shared" si="56"/>
        <v>#DIV/0!</v>
      </c>
      <c r="AT125" s="60" t="e">
        <f t="shared" si="56"/>
        <v>#DIV/0!</v>
      </c>
      <c r="AU125" s="60" t="e">
        <f t="shared" si="56"/>
        <v>#DIV/0!</v>
      </c>
      <c r="AV125" s="60" t="e">
        <f t="shared" si="56"/>
        <v>#DIV/0!</v>
      </c>
      <c r="AW125" s="60" t="e">
        <f t="shared" si="56"/>
        <v>#DIV/0!</v>
      </c>
      <c r="AX125" s="60" t="e">
        <f t="shared" si="56"/>
        <v>#DIV/0!</v>
      </c>
      <c r="AY125" s="60" t="e">
        <f t="shared" si="56"/>
        <v>#DIV/0!</v>
      </c>
      <c r="AZ125" s="65"/>
      <c r="BA125" s="60" t="e">
        <f t="shared" si="56"/>
        <v>#DIV/0!</v>
      </c>
      <c r="BB125" s="59" t="e">
        <f>Links!AF125</f>
        <v>#DIV/0!</v>
      </c>
      <c r="BC125" s="59" t="e">
        <f>(Links!AG125*Links!C125+'On-Ramps'!AC125*'On-Ramps'!CE125)/('On-Ramps'!AC125+Links!C125)</f>
        <v>#DIV/0!</v>
      </c>
      <c r="BD125" s="59" t="e">
        <f>Links!AH125</f>
        <v>#DIV/0!</v>
      </c>
      <c r="BE125" s="59" t="e">
        <f>(Links!AI125*Links!E125+'On-Ramps'!AD125*'On-Ramps'!CF124)/('On-Ramps'!AD125+Links!E125)</f>
        <v>#DIV/0!</v>
      </c>
      <c r="BF125" s="59" t="e">
        <f>(Links!F125*Links!AJ125+'On-Ramps'!AE125*'On-Ramps'!CG125)/('On-Ramps'!AE125+Links!F125)</f>
        <v>#DIV/0!</v>
      </c>
      <c r="BG125" s="59" t="e">
        <f>(Links!G125*Links!AK125+'On-Ramps'!AF125*'On-Ramps'!CH125)/('On-Ramps'!AF125+Links!G125)</f>
        <v>#DIV/0!</v>
      </c>
      <c r="BH125" s="59" t="e">
        <f>(Links!H125*Links!AL125+'On-Ramps'!AG125*'On-Ramps'!CI125)/('On-Ramps'!AG125+Links!H125)</f>
        <v>#DIV/0!</v>
      </c>
      <c r="BI125" s="59" t="e">
        <f>(Links!J125*Links!AN125+'On-Ramps'!AH125*'On-Ramps'!CJ125)/('On-Ramps'!AH125+Links!J125)</f>
        <v>#DIV/0!</v>
      </c>
      <c r="BJ125" s="59" t="e">
        <f>(Links!K125*Links!AO125+'On-Ramps'!AI125*'On-Ramps'!CK125)/('On-Ramps'!AI125+Links!K125)</f>
        <v>#DIV/0!</v>
      </c>
      <c r="BK125" s="59" t="e">
        <f>(Links!L125*Links!AP125+'On-Ramps'!AJ125*'On-Ramps'!CL125)/(Links!L125+'On-Ramps'!AJ125)</f>
        <v>#DIV/0!</v>
      </c>
      <c r="BL125" s="59" t="e">
        <f>Links!AQ125</f>
        <v>#DIV/0!</v>
      </c>
      <c r="BM125" s="59" t="e">
        <f>(Links!N125*Links!AR125+'On-Ramps'!AL125*'On-Ramps'!CM125)/(Links!N125+'On-Ramps'!AL125)</f>
        <v>#DIV/0!</v>
      </c>
      <c r="BN125" s="59" t="e">
        <f>Links!AS125</f>
        <v>#DIV/0!</v>
      </c>
      <c r="BO125" s="60" t="e">
        <f>(Links!R125^2+'Off-Ramp'!L125^2)/(Links!R125+'Off-Ramp'!L125)</f>
        <v>#DIV/0!</v>
      </c>
      <c r="BP125" s="60" t="e">
        <f>Links!S125</f>
        <v>#DIV/0!</v>
      </c>
      <c r="BQ125" s="60" t="e">
        <f>(Links!S125^2+'Off-Ramp'!C125^2)/(Links!S125+'Off-Ramp'!C125)</f>
        <v>#DIV/0!</v>
      </c>
      <c r="BR125" s="60" t="e">
        <f>Links!T125</f>
        <v>#DIV/0!</v>
      </c>
      <c r="BS125" s="60" t="e">
        <f>(Links!X125^2+'Off-Ramp'!V125^2+'Off-Ramp'!W125^2+'Off-Ramp'!X125^2)/(Links!X125+'Off-Ramp'!V125+'Off-Ramp'!W125+'Off-Ramp'!X125)</f>
        <v>#DIV/0!</v>
      </c>
      <c r="BT125" s="60" t="e">
        <f>(Links!Y125^2+'Off-Ramp'!Y125^2+'Off-Ramp'!Z125^2+'Off-Ramp'!AA125^2)/(Links!Y125+'Off-Ramp'!Y125+'Off-Ramp'!Z125+'Off-Ramp'!AA125)</f>
        <v>#DIV/0!</v>
      </c>
      <c r="BU125" s="60" t="e">
        <f>(Links!W125^2+'Off-Ramp'!P125^2)/(Links!W125+'Off-Ramp'!P125)</f>
        <v>#DIV/0!</v>
      </c>
      <c r="BV125" s="60" t="e">
        <f>(Links!Y125^2+'Off-Ramp'!Q125^2)/(Links!Y125+'Off-Ramp'!Q125)</f>
        <v>#DIV/0!</v>
      </c>
      <c r="BW125" s="60" t="e">
        <f>(Links!Z125^2+'Off-Ramp'!R125^2)/(Links!Z125+'Off-Ramp'!R125)</f>
        <v>#DIV/0!</v>
      </c>
      <c r="BX125" s="60" t="e">
        <f>(Links!AA125+'Off-Ramp'!S125)/(Links!AA125^2+'Off-Ramp'!S125^2)</f>
        <v>#DIV/0!</v>
      </c>
      <c r="BY125" s="60" t="e">
        <f>(Links!AB125^2+'Off-Ramp'!T125^2)/(Links!AB125+'Off-Ramp'!T125)</f>
        <v>#DIV/0!</v>
      </c>
      <c r="BZ125" s="60" t="e">
        <f>Links!AC125</f>
        <v>#DIV/0!</v>
      </c>
      <c r="CA125" s="60" t="e">
        <f>(Links!AD125^2+'Off-Ramp'!U125^2)/(Links!AD125+'Off-Ramp'!U125)</f>
        <v>#DIV/0!</v>
      </c>
    </row>
    <row r="126" spans="1:79" x14ac:dyDescent="0.15">
      <c r="A126" s="58">
        <v>124</v>
      </c>
      <c r="B126" s="59" t="e">
        <f t="shared" si="31"/>
        <v>#DIV/0!</v>
      </c>
      <c r="C126" s="59" t="e">
        <f t="shared" si="32"/>
        <v>#DIV/0!</v>
      </c>
      <c r="D126" s="59" t="e">
        <f t="shared" si="33"/>
        <v>#DIV/0!</v>
      </c>
      <c r="E126" s="59" t="e">
        <f t="shared" si="34"/>
        <v>#DIV/0!</v>
      </c>
      <c r="F126" s="59" t="e">
        <f t="shared" si="35"/>
        <v>#DIV/0!</v>
      </c>
      <c r="G126" s="59" t="e">
        <f t="shared" si="36"/>
        <v>#DIV/0!</v>
      </c>
      <c r="H126" s="59" t="e">
        <f t="shared" si="37"/>
        <v>#DIV/0!</v>
      </c>
      <c r="I126" s="59" t="e">
        <f t="shared" si="38"/>
        <v>#DIV/0!</v>
      </c>
      <c r="J126" s="59" t="e">
        <f t="shared" si="39"/>
        <v>#DIV/0!</v>
      </c>
      <c r="K126" s="59" t="e">
        <f t="shared" si="40"/>
        <v>#DIV/0!</v>
      </c>
      <c r="L126" s="59" t="e">
        <f t="shared" si="41"/>
        <v>#DIV/0!</v>
      </c>
      <c r="M126" s="59" t="e">
        <f t="shared" si="42"/>
        <v>#DIV/0!</v>
      </c>
      <c r="N126" s="59" t="e">
        <f t="shared" si="43"/>
        <v>#DIV/0!</v>
      </c>
      <c r="O126" s="60" t="e">
        <f>Links!B126</f>
        <v>#DIV/0!</v>
      </c>
      <c r="P126" s="60" t="e">
        <f>Links!C126+'On-Ramps'!AC126</f>
        <v>#DIV/0!</v>
      </c>
      <c r="Q126" s="60" t="e">
        <f>Links!D126</f>
        <v>#DIV/0!</v>
      </c>
      <c r="R126" s="60" t="e">
        <f>Links!E126+'On-Ramps'!AD126</f>
        <v>#DIV/0!</v>
      </c>
      <c r="S126" s="60" t="e">
        <f>Links!F126+'On-Ramps'!AE126</f>
        <v>#DIV/0!</v>
      </c>
      <c r="T126" s="60" t="e">
        <f>Links!G126+'On-Ramps'!AF126</f>
        <v>#DIV/0!</v>
      </c>
      <c r="U126" s="60" t="e">
        <f>Links!H126+'On-Ramps'!AG126</f>
        <v>#DIV/0!</v>
      </c>
      <c r="V126" s="60" t="e">
        <f>Links!J126+'On-Ramps'!AH126</f>
        <v>#DIV/0!</v>
      </c>
      <c r="W126" s="60" t="e">
        <f>Links!K126+'On-Ramps'!AI126</f>
        <v>#DIV/0!</v>
      </c>
      <c r="X126" s="60" t="e">
        <f>Links!L126+'On-Ramps'!AJ126</f>
        <v>#DIV/0!</v>
      </c>
      <c r="Y126" s="60" t="e">
        <f>Links!M126</f>
        <v>#DIV/0!</v>
      </c>
      <c r="Z126" s="60" t="e">
        <f>Links!N126+'On-Ramps'!AK126</f>
        <v>#DIV/0!</v>
      </c>
      <c r="AA126" s="60" t="e">
        <f>Links!O126</f>
        <v>#DIV/0!</v>
      </c>
      <c r="AB126" s="59" t="e">
        <f t="shared" si="44"/>
        <v>#DIV/0!</v>
      </c>
      <c r="AC126" s="65"/>
      <c r="AD126" s="59" t="e">
        <f t="shared" si="45"/>
        <v>#DIV/0!</v>
      </c>
      <c r="AE126" s="65"/>
      <c r="AF126" s="59" t="e">
        <f t="shared" si="46"/>
        <v>#DIV/0!</v>
      </c>
      <c r="AG126" s="59" t="e">
        <f t="shared" si="47"/>
        <v>#DIV/0!</v>
      </c>
      <c r="AH126" s="59" t="e">
        <f t="shared" si="48"/>
        <v>#DIV/0!</v>
      </c>
      <c r="AI126" s="59" t="e">
        <f t="shared" si="49"/>
        <v>#DIV/0!</v>
      </c>
      <c r="AJ126" s="59" t="e">
        <f t="shared" si="50"/>
        <v>#DIV/0!</v>
      </c>
      <c r="AK126" s="59" t="e">
        <f t="shared" si="51"/>
        <v>#DIV/0!</v>
      </c>
      <c r="AL126" s="59" t="e">
        <f t="shared" si="52"/>
        <v>#DIV/0!</v>
      </c>
      <c r="AM126" s="65"/>
      <c r="AN126" s="59" t="e">
        <f t="shared" si="54"/>
        <v>#DIV/0!</v>
      </c>
      <c r="AO126" s="60" t="e">
        <f t="shared" si="57"/>
        <v>#DIV/0!</v>
      </c>
      <c r="AP126" s="65"/>
      <c r="AQ126" s="60" t="e">
        <f t="shared" si="56"/>
        <v>#DIV/0!</v>
      </c>
      <c r="AR126" s="65"/>
      <c r="AS126" s="60" t="e">
        <f t="shared" si="56"/>
        <v>#DIV/0!</v>
      </c>
      <c r="AT126" s="60" t="e">
        <f t="shared" si="56"/>
        <v>#DIV/0!</v>
      </c>
      <c r="AU126" s="60" t="e">
        <f t="shared" si="56"/>
        <v>#DIV/0!</v>
      </c>
      <c r="AV126" s="60" t="e">
        <f t="shared" si="56"/>
        <v>#DIV/0!</v>
      </c>
      <c r="AW126" s="60" t="e">
        <f t="shared" si="56"/>
        <v>#DIV/0!</v>
      </c>
      <c r="AX126" s="60" t="e">
        <f t="shared" si="56"/>
        <v>#DIV/0!</v>
      </c>
      <c r="AY126" s="60" t="e">
        <f t="shared" si="56"/>
        <v>#DIV/0!</v>
      </c>
      <c r="AZ126" s="65"/>
      <c r="BA126" s="60" t="e">
        <f t="shared" si="56"/>
        <v>#DIV/0!</v>
      </c>
      <c r="BB126" s="59" t="e">
        <f>Links!AF126</f>
        <v>#DIV/0!</v>
      </c>
      <c r="BC126" s="59" t="e">
        <f>(Links!AG126*Links!C126+'On-Ramps'!AC126*'On-Ramps'!CE126)/('On-Ramps'!AC126+Links!C126)</f>
        <v>#DIV/0!</v>
      </c>
      <c r="BD126" s="59" t="e">
        <f>Links!AH126</f>
        <v>#DIV/0!</v>
      </c>
      <c r="BE126" s="59" t="e">
        <f>(Links!AI126*Links!E126+'On-Ramps'!AD126*'On-Ramps'!CF125)/('On-Ramps'!AD126+Links!E126)</f>
        <v>#DIV/0!</v>
      </c>
      <c r="BF126" s="59" t="e">
        <f>(Links!F126*Links!AJ126+'On-Ramps'!AE126*'On-Ramps'!CG126)/('On-Ramps'!AE126+Links!F126)</f>
        <v>#DIV/0!</v>
      </c>
      <c r="BG126" s="59" t="e">
        <f>(Links!G126*Links!AK126+'On-Ramps'!AF126*'On-Ramps'!CH126)/('On-Ramps'!AF126+Links!G126)</f>
        <v>#DIV/0!</v>
      </c>
      <c r="BH126" s="59" t="e">
        <f>(Links!H126*Links!AL126+'On-Ramps'!AG126*'On-Ramps'!CI126)/('On-Ramps'!AG126+Links!H126)</f>
        <v>#DIV/0!</v>
      </c>
      <c r="BI126" s="59" t="e">
        <f>(Links!J126*Links!AN126+'On-Ramps'!AH126*'On-Ramps'!CJ126)/('On-Ramps'!AH126+Links!J126)</f>
        <v>#DIV/0!</v>
      </c>
      <c r="BJ126" s="59" t="e">
        <f>(Links!K126*Links!AO126+'On-Ramps'!AI126*'On-Ramps'!CK126)/('On-Ramps'!AI126+Links!K126)</f>
        <v>#DIV/0!</v>
      </c>
      <c r="BK126" s="59" t="e">
        <f>(Links!L126*Links!AP126+'On-Ramps'!AJ126*'On-Ramps'!CL126)/(Links!L126+'On-Ramps'!AJ126)</f>
        <v>#DIV/0!</v>
      </c>
      <c r="BL126" s="59" t="e">
        <f>Links!AQ126</f>
        <v>#DIV/0!</v>
      </c>
      <c r="BM126" s="59" t="e">
        <f>(Links!N126*Links!AR126+'On-Ramps'!AL126*'On-Ramps'!CM126)/(Links!N126+'On-Ramps'!AL126)</f>
        <v>#DIV/0!</v>
      </c>
      <c r="BN126" s="59" t="e">
        <f>Links!AS126</f>
        <v>#DIV/0!</v>
      </c>
      <c r="BO126" s="60" t="e">
        <f>(Links!R126^2+'Off-Ramp'!L126^2)/(Links!R126+'Off-Ramp'!L126)</f>
        <v>#DIV/0!</v>
      </c>
      <c r="BP126" s="60" t="e">
        <f>Links!S126</f>
        <v>#DIV/0!</v>
      </c>
      <c r="BQ126" s="60" t="e">
        <f>(Links!S126^2+'Off-Ramp'!C126^2)/(Links!S126+'Off-Ramp'!C126)</f>
        <v>#DIV/0!</v>
      </c>
      <c r="BR126" s="60" t="e">
        <f>Links!T126</f>
        <v>#DIV/0!</v>
      </c>
      <c r="BS126" s="60" t="e">
        <f>(Links!X126^2+'Off-Ramp'!V126^2+'Off-Ramp'!W126^2+'Off-Ramp'!X126^2)/(Links!X126+'Off-Ramp'!V126+'Off-Ramp'!W126+'Off-Ramp'!X126)</f>
        <v>#DIV/0!</v>
      </c>
      <c r="BT126" s="60" t="e">
        <f>(Links!Y126^2+'Off-Ramp'!Y126^2+'Off-Ramp'!Z126^2+'Off-Ramp'!AA126^2)/(Links!Y126+'Off-Ramp'!Y126+'Off-Ramp'!Z126+'Off-Ramp'!AA126)</f>
        <v>#DIV/0!</v>
      </c>
      <c r="BU126" s="60" t="e">
        <f>(Links!W126^2+'Off-Ramp'!P126^2)/(Links!W126+'Off-Ramp'!P126)</f>
        <v>#DIV/0!</v>
      </c>
      <c r="BV126" s="60" t="e">
        <f>(Links!Y126^2+'Off-Ramp'!Q126^2)/(Links!Y126+'Off-Ramp'!Q126)</f>
        <v>#DIV/0!</v>
      </c>
      <c r="BW126" s="60" t="e">
        <f>(Links!Z126^2+'Off-Ramp'!R126^2)/(Links!Z126+'Off-Ramp'!R126)</f>
        <v>#DIV/0!</v>
      </c>
      <c r="BX126" s="60" t="e">
        <f>(Links!AA126+'Off-Ramp'!S126)/(Links!AA126^2+'Off-Ramp'!S126^2)</f>
        <v>#DIV/0!</v>
      </c>
      <c r="BY126" s="60" t="e">
        <f>(Links!AB126^2+'Off-Ramp'!T126^2)/(Links!AB126+'Off-Ramp'!T126)</f>
        <v>#DIV/0!</v>
      </c>
      <c r="BZ126" s="60" t="e">
        <f>Links!AC126</f>
        <v>#DIV/0!</v>
      </c>
      <c r="CA126" s="60" t="e">
        <f>(Links!AD126^2+'Off-Ramp'!U126^2)/(Links!AD126+'Off-Ramp'!U126)</f>
        <v>#DIV/0!</v>
      </c>
    </row>
    <row r="127" spans="1:79" x14ac:dyDescent="0.15">
      <c r="A127" s="58">
        <v>125</v>
      </c>
      <c r="B127" s="59" t="e">
        <f t="shared" si="31"/>
        <v>#DIV/0!</v>
      </c>
      <c r="C127" s="59" t="e">
        <f t="shared" si="32"/>
        <v>#DIV/0!</v>
      </c>
      <c r="D127" s="59" t="e">
        <f t="shared" si="33"/>
        <v>#DIV/0!</v>
      </c>
      <c r="E127" s="59" t="e">
        <f t="shared" si="34"/>
        <v>#DIV/0!</v>
      </c>
      <c r="F127" s="59" t="e">
        <f t="shared" si="35"/>
        <v>#DIV/0!</v>
      </c>
      <c r="G127" s="59" t="e">
        <f t="shared" si="36"/>
        <v>#DIV/0!</v>
      </c>
      <c r="H127" s="59" t="e">
        <f t="shared" si="37"/>
        <v>#DIV/0!</v>
      </c>
      <c r="I127" s="59" t="e">
        <f t="shared" si="38"/>
        <v>#DIV/0!</v>
      </c>
      <c r="J127" s="59" t="e">
        <f t="shared" si="39"/>
        <v>#DIV/0!</v>
      </c>
      <c r="K127" s="59" t="e">
        <f t="shared" si="40"/>
        <v>#DIV/0!</v>
      </c>
      <c r="L127" s="59" t="e">
        <f t="shared" si="41"/>
        <v>#DIV/0!</v>
      </c>
      <c r="M127" s="59" t="e">
        <f t="shared" si="42"/>
        <v>#DIV/0!</v>
      </c>
      <c r="N127" s="59" t="e">
        <f t="shared" si="43"/>
        <v>#DIV/0!</v>
      </c>
      <c r="O127" s="60" t="e">
        <f>Links!B127</f>
        <v>#DIV/0!</v>
      </c>
      <c r="P127" s="60" t="e">
        <f>Links!C127+'On-Ramps'!AC127</f>
        <v>#DIV/0!</v>
      </c>
      <c r="Q127" s="60" t="e">
        <f>Links!D127</f>
        <v>#DIV/0!</v>
      </c>
      <c r="R127" s="60" t="e">
        <f>Links!E127+'On-Ramps'!AD127</f>
        <v>#DIV/0!</v>
      </c>
      <c r="S127" s="60" t="e">
        <f>Links!F127+'On-Ramps'!AE127</f>
        <v>#DIV/0!</v>
      </c>
      <c r="T127" s="60" t="e">
        <f>Links!G127+'On-Ramps'!AF127</f>
        <v>#DIV/0!</v>
      </c>
      <c r="U127" s="60" t="e">
        <f>Links!H127+'On-Ramps'!AG127</f>
        <v>#DIV/0!</v>
      </c>
      <c r="V127" s="60" t="e">
        <f>Links!J127+'On-Ramps'!AH127</f>
        <v>#DIV/0!</v>
      </c>
      <c r="W127" s="60" t="e">
        <f>Links!K127+'On-Ramps'!AI127</f>
        <v>#DIV/0!</v>
      </c>
      <c r="X127" s="60" t="e">
        <f>Links!L127+'On-Ramps'!AJ127</f>
        <v>#DIV/0!</v>
      </c>
      <c r="Y127" s="60" t="e">
        <f>Links!M127</f>
        <v>#DIV/0!</v>
      </c>
      <c r="Z127" s="60" t="e">
        <f>Links!N127+'On-Ramps'!AK127</f>
        <v>#DIV/0!</v>
      </c>
      <c r="AA127" s="60" t="e">
        <f>Links!O127</f>
        <v>#DIV/0!</v>
      </c>
      <c r="AB127" s="59" t="e">
        <f t="shared" si="44"/>
        <v>#DIV/0!</v>
      </c>
      <c r="AC127" s="65"/>
      <c r="AD127" s="59" t="e">
        <f t="shared" si="45"/>
        <v>#DIV/0!</v>
      </c>
      <c r="AE127" s="65"/>
      <c r="AF127" s="59" t="e">
        <f t="shared" si="46"/>
        <v>#DIV/0!</v>
      </c>
      <c r="AG127" s="59" t="e">
        <f t="shared" si="47"/>
        <v>#DIV/0!</v>
      </c>
      <c r="AH127" s="59" t="e">
        <f t="shared" si="48"/>
        <v>#DIV/0!</v>
      </c>
      <c r="AI127" s="59" t="e">
        <f t="shared" si="49"/>
        <v>#DIV/0!</v>
      </c>
      <c r="AJ127" s="59" t="e">
        <f t="shared" si="50"/>
        <v>#DIV/0!</v>
      </c>
      <c r="AK127" s="59" t="e">
        <f t="shared" si="51"/>
        <v>#DIV/0!</v>
      </c>
      <c r="AL127" s="59" t="e">
        <f t="shared" si="52"/>
        <v>#DIV/0!</v>
      </c>
      <c r="AM127" s="65"/>
      <c r="AN127" s="59" t="e">
        <f t="shared" si="54"/>
        <v>#DIV/0!</v>
      </c>
      <c r="AO127" s="60" t="e">
        <f t="shared" si="57"/>
        <v>#DIV/0!</v>
      </c>
      <c r="AP127" s="65"/>
      <c r="AQ127" s="60" t="e">
        <f t="shared" si="56"/>
        <v>#DIV/0!</v>
      </c>
      <c r="AR127" s="65"/>
      <c r="AS127" s="60" t="e">
        <f t="shared" si="56"/>
        <v>#DIV/0!</v>
      </c>
      <c r="AT127" s="60" t="e">
        <f t="shared" si="56"/>
        <v>#DIV/0!</v>
      </c>
      <c r="AU127" s="60" t="e">
        <f t="shared" si="56"/>
        <v>#DIV/0!</v>
      </c>
      <c r="AV127" s="60" t="e">
        <f t="shared" si="56"/>
        <v>#DIV/0!</v>
      </c>
      <c r="AW127" s="60" t="e">
        <f t="shared" si="56"/>
        <v>#DIV/0!</v>
      </c>
      <c r="AX127" s="60" t="e">
        <f t="shared" si="56"/>
        <v>#DIV/0!</v>
      </c>
      <c r="AY127" s="60" t="e">
        <f t="shared" si="56"/>
        <v>#DIV/0!</v>
      </c>
      <c r="AZ127" s="65"/>
      <c r="BA127" s="60" t="e">
        <f t="shared" si="56"/>
        <v>#DIV/0!</v>
      </c>
      <c r="BB127" s="59" t="e">
        <f>Links!AF127</f>
        <v>#DIV/0!</v>
      </c>
      <c r="BC127" s="59" t="e">
        <f>(Links!AG127*Links!C127+'On-Ramps'!AC127*'On-Ramps'!CE127)/('On-Ramps'!AC127+Links!C127)</f>
        <v>#DIV/0!</v>
      </c>
      <c r="BD127" s="59" t="e">
        <f>Links!AH127</f>
        <v>#DIV/0!</v>
      </c>
      <c r="BE127" s="59" t="e">
        <f>(Links!AI127*Links!E127+'On-Ramps'!AD127*'On-Ramps'!CF126)/('On-Ramps'!AD127+Links!E127)</f>
        <v>#DIV/0!</v>
      </c>
      <c r="BF127" s="59" t="e">
        <f>(Links!F127*Links!AJ127+'On-Ramps'!AE127*'On-Ramps'!CG127)/('On-Ramps'!AE127+Links!F127)</f>
        <v>#DIV/0!</v>
      </c>
      <c r="BG127" s="59" t="e">
        <f>(Links!G127*Links!AK127+'On-Ramps'!AF127*'On-Ramps'!CH127)/('On-Ramps'!AF127+Links!G127)</f>
        <v>#DIV/0!</v>
      </c>
      <c r="BH127" s="59" t="e">
        <f>(Links!H127*Links!AL127+'On-Ramps'!AG127*'On-Ramps'!CI127)/('On-Ramps'!AG127+Links!H127)</f>
        <v>#DIV/0!</v>
      </c>
      <c r="BI127" s="59" t="e">
        <f>(Links!J127*Links!AN127+'On-Ramps'!AH127*'On-Ramps'!CJ127)/('On-Ramps'!AH127+Links!J127)</f>
        <v>#DIV/0!</v>
      </c>
      <c r="BJ127" s="59" t="e">
        <f>(Links!K127*Links!AO127+'On-Ramps'!AI127*'On-Ramps'!CK127)/('On-Ramps'!AI127+Links!K127)</f>
        <v>#DIV/0!</v>
      </c>
      <c r="BK127" s="59" t="e">
        <f>(Links!L127*Links!AP127+'On-Ramps'!AJ127*'On-Ramps'!CL127)/(Links!L127+'On-Ramps'!AJ127)</f>
        <v>#DIV/0!</v>
      </c>
      <c r="BL127" s="59" t="e">
        <f>Links!AQ127</f>
        <v>#DIV/0!</v>
      </c>
      <c r="BM127" s="59" t="e">
        <f>(Links!N127*Links!AR127+'On-Ramps'!AL127*'On-Ramps'!CM127)/(Links!N127+'On-Ramps'!AL127)</f>
        <v>#DIV/0!</v>
      </c>
      <c r="BN127" s="59" t="e">
        <f>Links!AS127</f>
        <v>#DIV/0!</v>
      </c>
      <c r="BO127" s="60" t="e">
        <f>(Links!R127^2+'Off-Ramp'!L127^2)/(Links!R127+'Off-Ramp'!L127)</f>
        <v>#DIV/0!</v>
      </c>
      <c r="BP127" s="60" t="e">
        <f>Links!S127</f>
        <v>#DIV/0!</v>
      </c>
      <c r="BQ127" s="60" t="e">
        <f>(Links!S127^2+'Off-Ramp'!C127^2)/(Links!S127+'Off-Ramp'!C127)</f>
        <v>#DIV/0!</v>
      </c>
      <c r="BR127" s="60" t="e">
        <f>Links!T127</f>
        <v>#DIV/0!</v>
      </c>
      <c r="BS127" s="60" t="e">
        <f>(Links!X127^2+'Off-Ramp'!V127^2+'Off-Ramp'!W127^2+'Off-Ramp'!X127^2)/(Links!X127+'Off-Ramp'!V127+'Off-Ramp'!W127+'Off-Ramp'!X127)</f>
        <v>#DIV/0!</v>
      </c>
      <c r="BT127" s="60" t="e">
        <f>(Links!Y127^2+'Off-Ramp'!Y127^2+'Off-Ramp'!Z127^2+'Off-Ramp'!AA127^2)/(Links!Y127+'Off-Ramp'!Y127+'Off-Ramp'!Z127+'Off-Ramp'!AA127)</f>
        <v>#DIV/0!</v>
      </c>
      <c r="BU127" s="60" t="e">
        <f>(Links!W127^2+'Off-Ramp'!P127^2)/(Links!W127+'Off-Ramp'!P127)</f>
        <v>#DIV/0!</v>
      </c>
      <c r="BV127" s="60" t="e">
        <f>(Links!Y127^2+'Off-Ramp'!Q127^2)/(Links!Y127+'Off-Ramp'!Q127)</f>
        <v>#DIV/0!</v>
      </c>
      <c r="BW127" s="60" t="e">
        <f>(Links!Z127^2+'Off-Ramp'!R127^2)/(Links!Z127+'Off-Ramp'!R127)</f>
        <v>#DIV/0!</v>
      </c>
      <c r="BX127" s="60" t="e">
        <f>(Links!AA127+'Off-Ramp'!S127)/(Links!AA127^2+'Off-Ramp'!S127^2)</f>
        <v>#DIV/0!</v>
      </c>
      <c r="BY127" s="60" t="e">
        <f>(Links!AB127^2+'Off-Ramp'!T127^2)/(Links!AB127+'Off-Ramp'!T127)</f>
        <v>#DIV/0!</v>
      </c>
      <c r="BZ127" s="60" t="e">
        <f>Links!AC127</f>
        <v>#DIV/0!</v>
      </c>
      <c r="CA127" s="60" t="e">
        <f>(Links!AD127^2+'Off-Ramp'!U127^2)/(Links!AD127+'Off-Ramp'!U127)</f>
        <v>#DIV/0!</v>
      </c>
    </row>
    <row r="128" spans="1:79" x14ac:dyDescent="0.15">
      <c r="A128" s="58">
        <v>126</v>
      </c>
      <c r="B128" s="59" t="e">
        <f t="shared" si="31"/>
        <v>#DIV/0!</v>
      </c>
      <c r="C128" s="59" t="e">
        <f t="shared" si="32"/>
        <v>#DIV/0!</v>
      </c>
      <c r="D128" s="59" t="e">
        <f t="shared" si="33"/>
        <v>#DIV/0!</v>
      </c>
      <c r="E128" s="59" t="e">
        <f t="shared" si="34"/>
        <v>#DIV/0!</v>
      </c>
      <c r="F128" s="59" t="e">
        <f t="shared" si="35"/>
        <v>#DIV/0!</v>
      </c>
      <c r="G128" s="59" t="e">
        <f t="shared" si="36"/>
        <v>#DIV/0!</v>
      </c>
      <c r="H128" s="59" t="e">
        <f t="shared" si="37"/>
        <v>#DIV/0!</v>
      </c>
      <c r="I128" s="59" t="e">
        <f t="shared" si="38"/>
        <v>#DIV/0!</v>
      </c>
      <c r="J128" s="59" t="e">
        <f t="shared" si="39"/>
        <v>#DIV/0!</v>
      </c>
      <c r="K128" s="59" t="e">
        <f t="shared" si="40"/>
        <v>#DIV/0!</v>
      </c>
      <c r="L128" s="59" t="e">
        <f t="shared" si="41"/>
        <v>#DIV/0!</v>
      </c>
      <c r="M128" s="59" t="e">
        <f t="shared" si="42"/>
        <v>#DIV/0!</v>
      </c>
      <c r="N128" s="59" t="e">
        <f t="shared" si="43"/>
        <v>#DIV/0!</v>
      </c>
      <c r="O128" s="60" t="e">
        <f>Links!B128</f>
        <v>#DIV/0!</v>
      </c>
      <c r="P128" s="60" t="e">
        <f>Links!C128+'On-Ramps'!AC128</f>
        <v>#DIV/0!</v>
      </c>
      <c r="Q128" s="60" t="e">
        <f>Links!D128</f>
        <v>#DIV/0!</v>
      </c>
      <c r="R128" s="60" t="e">
        <f>Links!E128+'On-Ramps'!AD128</f>
        <v>#DIV/0!</v>
      </c>
      <c r="S128" s="60" t="e">
        <f>Links!F128+'On-Ramps'!AE128</f>
        <v>#DIV/0!</v>
      </c>
      <c r="T128" s="60" t="e">
        <f>Links!G128+'On-Ramps'!AF128</f>
        <v>#DIV/0!</v>
      </c>
      <c r="U128" s="60" t="e">
        <f>Links!H128+'On-Ramps'!AG128</f>
        <v>#DIV/0!</v>
      </c>
      <c r="V128" s="60" t="e">
        <f>Links!J128+'On-Ramps'!AH128</f>
        <v>#DIV/0!</v>
      </c>
      <c r="W128" s="60" t="e">
        <f>Links!K128+'On-Ramps'!AI128</f>
        <v>#DIV/0!</v>
      </c>
      <c r="X128" s="60" t="e">
        <f>Links!L128+'On-Ramps'!AJ128</f>
        <v>#DIV/0!</v>
      </c>
      <c r="Y128" s="60" t="e">
        <f>Links!M128</f>
        <v>#DIV/0!</v>
      </c>
      <c r="Z128" s="60" t="e">
        <f>Links!N128+'On-Ramps'!AK128</f>
        <v>#DIV/0!</v>
      </c>
      <c r="AA128" s="60" t="e">
        <f>Links!O128</f>
        <v>#DIV/0!</v>
      </c>
      <c r="AB128" s="59" t="e">
        <f t="shared" si="44"/>
        <v>#DIV/0!</v>
      </c>
      <c r="AC128" s="65"/>
      <c r="AD128" s="59" t="e">
        <f t="shared" si="45"/>
        <v>#DIV/0!</v>
      </c>
      <c r="AE128" s="65"/>
      <c r="AF128" s="59" t="e">
        <f t="shared" si="46"/>
        <v>#DIV/0!</v>
      </c>
      <c r="AG128" s="59" t="e">
        <f t="shared" si="47"/>
        <v>#DIV/0!</v>
      </c>
      <c r="AH128" s="59" t="e">
        <f t="shared" si="48"/>
        <v>#DIV/0!</v>
      </c>
      <c r="AI128" s="59" t="e">
        <f t="shared" si="49"/>
        <v>#DIV/0!</v>
      </c>
      <c r="AJ128" s="59" t="e">
        <f t="shared" si="50"/>
        <v>#DIV/0!</v>
      </c>
      <c r="AK128" s="59" t="e">
        <f t="shared" si="51"/>
        <v>#DIV/0!</v>
      </c>
      <c r="AL128" s="59" t="e">
        <f t="shared" si="52"/>
        <v>#DIV/0!</v>
      </c>
      <c r="AM128" s="65"/>
      <c r="AN128" s="59" t="e">
        <f t="shared" si="54"/>
        <v>#DIV/0!</v>
      </c>
      <c r="AO128" s="60" t="e">
        <f t="shared" si="57"/>
        <v>#DIV/0!</v>
      </c>
      <c r="AP128" s="65"/>
      <c r="AQ128" s="60" t="e">
        <f t="shared" si="56"/>
        <v>#DIV/0!</v>
      </c>
      <c r="AR128" s="65"/>
      <c r="AS128" s="60" t="e">
        <f t="shared" si="56"/>
        <v>#DIV/0!</v>
      </c>
      <c r="AT128" s="60" t="e">
        <f t="shared" si="56"/>
        <v>#DIV/0!</v>
      </c>
      <c r="AU128" s="60" t="e">
        <f t="shared" si="56"/>
        <v>#DIV/0!</v>
      </c>
      <c r="AV128" s="60" t="e">
        <f t="shared" si="56"/>
        <v>#DIV/0!</v>
      </c>
      <c r="AW128" s="60" t="e">
        <f t="shared" si="56"/>
        <v>#DIV/0!</v>
      </c>
      <c r="AX128" s="60" t="e">
        <f t="shared" si="56"/>
        <v>#DIV/0!</v>
      </c>
      <c r="AY128" s="60" t="e">
        <f t="shared" si="56"/>
        <v>#DIV/0!</v>
      </c>
      <c r="AZ128" s="65"/>
      <c r="BA128" s="60" t="e">
        <f t="shared" si="56"/>
        <v>#DIV/0!</v>
      </c>
      <c r="BB128" s="59" t="e">
        <f>Links!AF128</f>
        <v>#DIV/0!</v>
      </c>
      <c r="BC128" s="59" t="e">
        <f>(Links!AG128*Links!C128+'On-Ramps'!AC128*'On-Ramps'!CE128)/('On-Ramps'!AC128+Links!C128)</f>
        <v>#DIV/0!</v>
      </c>
      <c r="BD128" s="59" t="e">
        <f>Links!AH128</f>
        <v>#DIV/0!</v>
      </c>
      <c r="BE128" s="59" t="e">
        <f>(Links!AI128*Links!E128+'On-Ramps'!AD128*'On-Ramps'!CF127)/('On-Ramps'!AD128+Links!E128)</f>
        <v>#DIV/0!</v>
      </c>
      <c r="BF128" s="59" t="e">
        <f>(Links!F128*Links!AJ128+'On-Ramps'!AE128*'On-Ramps'!CG128)/('On-Ramps'!AE128+Links!F128)</f>
        <v>#DIV/0!</v>
      </c>
      <c r="BG128" s="59" t="e">
        <f>(Links!G128*Links!AK128+'On-Ramps'!AF128*'On-Ramps'!CH128)/('On-Ramps'!AF128+Links!G128)</f>
        <v>#DIV/0!</v>
      </c>
      <c r="BH128" s="59" t="e">
        <f>(Links!H128*Links!AL128+'On-Ramps'!AG128*'On-Ramps'!CI128)/('On-Ramps'!AG128+Links!H128)</f>
        <v>#DIV/0!</v>
      </c>
      <c r="BI128" s="59" t="e">
        <f>(Links!J128*Links!AN128+'On-Ramps'!AH128*'On-Ramps'!CJ128)/('On-Ramps'!AH128+Links!J128)</f>
        <v>#DIV/0!</v>
      </c>
      <c r="BJ128" s="59" t="e">
        <f>(Links!K128*Links!AO128+'On-Ramps'!AI128*'On-Ramps'!CK128)/('On-Ramps'!AI128+Links!K128)</f>
        <v>#DIV/0!</v>
      </c>
      <c r="BK128" s="59" t="e">
        <f>(Links!L128*Links!AP128+'On-Ramps'!AJ128*'On-Ramps'!CL128)/(Links!L128+'On-Ramps'!AJ128)</f>
        <v>#DIV/0!</v>
      </c>
      <c r="BL128" s="59" t="e">
        <f>Links!AQ128</f>
        <v>#DIV/0!</v>
      </c>
      <c r="BM128" s="59" t="e">
        <f>(Links!N128*Links!AR128+'On-Ramps'!AL128*'On-Ramps'!CM128)/(Links!N128+'On-Ramps'!AL128)</f>
        <v>#DIV/0!</v>
      </c>
      <c r="BN128" s="59" t="e">
        <f>Links!AS128</f>
        <v>#DIV/0!</v>
      </c>
      <c r="BO128" s="60" t="e">
        <f>(Links!R128^2+'Off-Ramp'!L128^2)/(Links!R128+'Off-Ramp'!L128)</f>
        <v>#DIV/0!</v>
      </c>
      <c r="BP128" s="60" t="e">
        <f>Links!S128</f>
        <v>#DIV/0!</v>
      </c>
      <c r="BQ128" s="60" t="e">
        <f>(Links!S128^2+'Off-Ramp'!C128^2)/(Links!S128+'Off-Ramp'!C128)</f>
        <v>#DIV/0!</v>
      </c>
      <c r="BR128" s="60" t="e">
        <f>Links!T128</f>
        <v>#DIV/0!</v>
      </c>
      <c r="BS128" s="60" t="e">
        <f>(Links!X128^2+'Off-Ramp'!V128^2+'Off-Ramp'!W128^2+'Off-Ramp'!X128^2)/(Links!X128+'Off-Ramp'!V128+'Off-Ramp'!W128+'Off-Ramp'!X128)</f>
        <v>#DIV/0!</v>
      </c>
      <c r="BT128" s="60" t="e">
        <f>(Links!Y128^2+'Off-Ramp'!Y128^2+'Off-Ramp'!Z128^2+'Off-Ramp'!AA128^2)/(Links!Y128+'Off-Ramp'!Y128+'Off-Ramp'!Z128+'Off-Ramp'!AA128)</f>
        <v>#DIV/0!</v>
      </c>
      <c r="BU128" s="60" t="e">
        <f>(Links!W128^2+'Off-Ramp'!P128^2)/(Links!W128+'Off-Ramp'!P128)</f>
        <v>#DIV/0!</v>
      </c>
      <c r="BV128" s="60" t="e">
        <f>(Links!Y128^2+'Off-Ramp'!Q128^2)/(Links!Y128+'Off-Ramp'!Q128)</f>
        <v>#DIV/0!</v>
      </c>
      <c r="BW128" s="60" t="e">
        <f>(Links!Z128^2+'Off-Ramp'!R128^2)/(Links!Z128+'Off-Ramp'!R128)</f>
        <v>#DIV/0!</v>
      </c>
      <c r="BX128" s="60" t="e">
        <f>(Links!AA128+'Off-Ramp'!S128)/(Links!AA128^2+'Off-Ramp'!S128^2)</f>
        <v>#DIV/0!</v>
      </c>
      <c r="BY128" s="60" t="e">
        <f>(Links!AB128^2+'Off-Ramp'!T128^2)/(Links!AB128+'Off-Ramp'!T128)</f>
        <v>#DIV/0!</v>
      </c>
      <c r="BZ128" s="60" t="e">
        <f>Links!AC128</f>
        <v>#DIV/0!</v>
      </c>
      <c r="CA128" s="60" t="e">
        <f>(Links!AD128^2+'Off-Ramp'!U128^2)/(Links!AD128+'Off-Ramp'!U128)</f>
        <v>#DIV/0!</v>
      </c>
    </row>
    <row r="129" spans="1:79" x14ac:dyDescent="0.15">
      <c r="A129" s="58">
        <v>127</v>
      </c>
      <c r="B129" s="59" t="e">
        <f t="shared" si="31"/>
        <v>#DIV/0!</v>
      </c>
      <c r="C129" s="59" t="e">
        <f t="shared" si="32"/>
        <v>#DIV/0!</v>
      </c>
      <c r="D129" s="59" t="e">
        <f t="shared" si="33"/>
        <v>#DIV/0!</v>
      </c>
      <c r="E129" s="59" t="e">
        <f t="shared" si="34"/>
        <v>#DIV/0!</v>
      </c>
      <c r="F129" s="59" t="e">
        <f t="shared" si="35"/>
        <v>#DIV/0!</v>
      </c>
      <c r="G129" s="59" t="e">
        <f t="shared" si="36"/>
        <v>#DIV/0!</v>
      </c>
      <c r="H129" s="59" t="e">
        <f t="shared" si="37"/>
        <v>#DIV/0!</v>
      </c>
      <c r="I129" s="59" t="e">
        <f t="shared" si="38"/>
        <v>#DIV/0!</v>
      </c>
      <c r="J129" s="59" t="e">
        <f t="shared" si="39"/>
        <v>#DIV/0!</v>
      </c>
      <c r="K129" s="59" t="e">
        <f t="shared" si="40"/>
        <v>#DIV/0!</v>
      </c>
      <c r="L129" s="59" t="e">
        <f t="shared" si="41"/>
        <v>#DIV/0!</v>
      </c>
      <c r="M129" s="59" t="e">
        <f t="shared" si="42"/>
        <v>#DIV/0!</v>
      </c>
      <c r="N129" s="59" t="e">
        <f t="shared" si="43"/>
        <v>#DIV/0!</v>
      </c>
      <c r="O129" s="60" t="e">
        <f>Links!B129</f>
        <v>#DIV/0!</v>
      </c>
      <c r="P129" s="60" t="e">
        <f>Links!C129+'On-Ramps'!AC129</f>
        <v>#DIV/0!</v>
      </c>
      <c r="Q129" s="60" t="e">
        <f>Links!D129</f>
        <v>#DIV/0!</v>
      </c>
      <c r="R129" s="60" t="e">
        <f>Links!E129+'On-Ramps'!AD129</f>
        <v>#DIV/0!</v>
      </c>
      <c r="S129" s="60" t="e">
        <f>Links!F129+'On-Ramps'!AE129</f>
        <v>#DIV/0!</v>
      </c>
      <c r="T129" s="60" t="e">
        <f>Links!G129+'On-Ramps'!AF129</f>
        <v>#DIV/0!</v>
      </c>
      <c r="U129" s="60" t="e">
        <f>Links!H129+'On-Ramps'!AG129</f>
        <v>#DIV/0!</v>
      </c>
      <c r="V129" s="60" t="e">
        <f>Links!J129+'On-Ramps'!AH129</f>
        <v>#DIV/0!</v>
      </c>
      <c r="W129" s="60" t="e">
        <f>Links!K129+'On-Ramps'!AI129</f>
        <v>#DIV/0!</v>
      </c>
      <c r="X129" s="60" t="e">
        <f>Links!L129+'On-Ramps'!AJ129</f>
        <v>#DIV/0!</v>
      </c>
      <c r="Y129" s="60" t="e">
        <f>Links!M129</f>
        <v>#DIV/0!</v>
      </c>
      <c r="Z129" s="60" t="e">
        <f>Links!N129+'On-Ramps'!AK129</f>
        <v>#DIV/0!</v>
      </c>
      <c r="AA129" s="60" t="e">
        <f>Links!O129</f>
        <v>#DIV/0!</v>
      </c>
      <c r="AB129" s="59" t="e">
        <f t="shared" si="44"/>
        <v>#DIV/0!</v>
      </c>
      <c r="AC129" s="65"/>
      <c r="AD129" s="59" t="e">
        <f t="shared" si="45"/>
        <v>#DIV/0!</v>
      </c>
      <c r="AE129" s="65"/>
      <c r="AF129" s="59" t="e">
        <f t="shared" si="46"/>
        <v>#DIV/0!</v>
      </c>
      <c r="AG129" s="59" t="e">
        <f t="shared" si="47"/>
        <v>#DIV/0!</v>
      </c>
      <c r="AH129" s="59" t="e">
        <f t="shared" si="48"/>
        <v>#DIV/0!</v>
      </c>
      <c r="AI129" s="59" t="e">
        <f t="shared" si="49"/>
        <v>#DIV/0!</v>
      </c>
      <c r="AJ129" s="59" t="e">
        <f t="shared" si="50"/>
        <v>#DIV/0!</v>
      </c>
      <c r="AK129" s="59" t="e">
        <f t="shared" si="51"/>
        <v>#DIV/0!</v>
      </c>
      <c r="AL129" s="59" t="e">
        <f t="shared" si="52"/>
        <v>#DIV/0!</v>
      </c>
      <c r="AM129" s="65"/>
      <c r="AN129" s="59" t="e">
        <f t="shared" si="54"/>
        <v>#DIV/0!</v>
      </c>
      <c r="AO129" s="60" t="e">
        <f t="shared" si="57"/>
        <v>#DIV/0!</v>
      </c>
      <c r="AP129" s="65"/>
      <c r="AQ129" s="60" t="e">
        <f t="shared" si="56"/>
        <v>#DIV/0!</v>
      </c>
      <c r="AR129" s="65"/>
      <c r="AS129" s="60" t="e">
        <f t="shared" si="56"/>
        <v>#DIV/0!</v>
      </c>
      <c r="AT129" s="60" t="e">
        <f t="shared" si="56"/>
        <v>#DIV/0!</v>
      </c>
      <c r="AU129" s="60" t="e">
        <f t="shared" si="56"/>
        <v>#DIV/0!</v>
      </c>
      <c r="AV129" s="60" t="e">
        <f t="shared" si="56"/>
        <v>#DIV/0!</v>
      </c>
      <c r="AW129" s="60" t="e">
        <f t="shared" si="56"/>
        <v>#DIV/0!</v>
      </c>
      <c r="AX129" s="60" t="e">
        <f t="shared" si="56"/>
        <v>#DIV/0!</v>
      </c>
      <c r="AY129" s="60" t="e">
        <f t="shared" si="56"/>
        <v>#DIV/0!</v>
      </c>
      <c r="AZ129" s="65"/>
      <c r="BA129" s="60" t="e">
        <f t="shared" si="56"/>
        <v>#DIV/0!</v>
      </c>
      <c r="BB129" s="59" t="e">
        <f>Links!AF129</f>
        <v>#DIV/0!</v>
      </c>
      <c r="BC129" s="59" t="e">
        <f>(Links!AG129*Links!C129+'On-Ramps'!AC129*'On-Ramps'!CE129)/('On-Ramps'!AC129+Links!C129)</f>
        <v>#DIV/0!</v>
      </c>
      <c r="BD129" s="59" t="e">
        <f>Links!AH129</f>
        <v>#DIV/0!</v>
      </c>
      <c r="BE129" s="59" t="e">
        <f>(Links!AI129*Links!E129+'On-Ramps'!AD129*'On-Ramps'!CF128)/('On-Ramps'!AD129+Links!E129)</f>
        <v>#DIV/0!</v>
      </c>
      <c r="BF129" s="59" t="e">
        <f>(Links!F129*Links!AJ129+'On-Ramps'!AE129*'On-Ramps'!CG129)/('On-Ramps'!AE129+Links!F129)</f>
        <v>#DIV/0!</v>
      </c>
      <c r="BG129" s="59" t="e">
        <f>(Links!G129*Links!AK129+'On-Ramps'!AF129*'On-Ramps'!CH129)/('On-Ramps'!AF129+Links!G129)</f>
        <v>#DIV/0!</v>
      </c>
      <c r="BH129" s="59" t="e">
        <f>(Links!H129*Links!AL129+'On-Ramps'!AG129*'On-Ramps'!CI129)/('On-Ramps'!AG129+Links!H129)</f>
        <v>#DIV/0!</v>
      </c>
      <c r="BI129" s="59" t="e">
        <f>(Links!J129*Links!AN129+'On-Ramps'!AH129*'On-Ramps'!CJ129)/('On-Ramps'!AH129+Links!J129)</f>
        <v>#DIV/0!</v>
      </c>
      <c r="BJ129" s="59" t="e">
        <f>(Links!K129*Links!AO129+'On-Ramps'!AI129*'On-Ramps'!CK129)/('On-Ramps'!AI129+Links!K129)</f>
        <v>#DIV/0!</v>
      </c>
      <c r="BK129" s="59" t="e">
        <f>(Links!L129*Links!AP129+'On-Ramps'!AJ129*'On-Ramps'!CL129)/(Links!L129+'On-Ramps'!AJ129)</f>
        <v>#DIV/0!</v>
      </c>
      <c r="BL129" s="59" t="e">
        <f>Links!AQ129</f>
        <v>#DIV/0!</v>
      </c>
      <c r="BM129" s="59" t="e">
        <f>(Links!N129*Links!AR129+'On-Ramps'!AL129*'On-Ramps'!CM129)/(Links!N129+'On-Ramps'!AL129)</f>
        <v>#DIV/0!</v>
      </c>
      <c r="BN129" s="59" t="e">
        <f>Links!AS129</f>
        <v>#DIV/0!</v>
      </c>
      <c r="BO129" s="60" t="e">
        <f>(Links!R129^2+'Off-Ramp'!L129^2)/(Links!R129+'Off-Ramp'!L129)</f>
        <v>#DIV/0!</v>
      </c>
      <c r="BP129" s="60" t="e">
        <f>Links!S129</f>
        <v>#DIV/0!</v>
      </c>
      <c r="BQ129" s="60" t="e">
        <f>(Links!S129^2+'Off-Ramp'!C129^2)/(Links!S129+'Off-Ramp'!C129)</f>
        <v>#DIV/0!</v>
      </c>
      <c r="BR129" s="60" t="e">
        <f>Links!T129</f>
        <v>#DIV/0!</v>
      </c>
      <c r="BS129" s="60" t="e">
        <f>(Links!X129^2+'Off-Ramp'!V129^2+'Off-Ramp'!W129^2+'Off-Ramp'!X129^2)/(Links!X129+'Off-Ramp'!V129+'Off-Ramp'!W129+'Off-Ramp'!X129)</f>
        <v>#DIV/0!</v>
      </c>
      <c r="BT129" s="60" t="e">
        <f>(Links!Y129^2+'Off-Ramp'!Y129^2+'Off-Ramp'!Z129^2+'Off-Ramp'!AA129^2)/(Links!Y129+'Off-Ramp'!Y129+'Off-Ramp'!Z129+'Off-Ramp'!AA129)</f>
        <v>#DIV/0!</v>
      </c>
      <c r="BU129" s="60" t="e">
        <f>(Links!W129^2+'Off-Ramp'!P129^2)/(Links!W129+'Off-Ramp'!P129)</f>
        <v>#DIV/0!</v>
      </c>
      <c r="BV129" s="60" t="e">
        <f>(Links!Y129^2+'Off-Ramp'!Q129^2)/(Links!Y129+'Off-Ramp'!Q129)</f>
        <v>#DIV/0!</v>
      </c>
      <c r="BW129" s="60" t="e">
        <f>(Links!Z129^2+'Off-Ramp'!R129^2)/(Links!Z129+'Off-Ramp'!R129)</f>
        <v>#DIV/0!</v>
      </c>
      <c r="BX129" s="60" t="e">
        <f>(Links!AA129+'Off-Ramp'!S129)/(Links!AA129^2+'Off-Ramp'!S129^2)</f>
        <v>#DIV/0!</v>
      </c>
      <c r="BY129" s="60" t="e">
        <f>(Links!AB129^2+'Off-Ramp'!T129^2)/(Links!AB129+'Off-Ramp'!T129)</f>
        <v>#DIV/0!</v>
      </c>
      <c r="BZ129" s="60" t="e">
        <f>Links!AC129</f>
        <v>#DIV/0!</v>
      </c>
      <c r="CA129" s="60" t="e">
        <f>(Links!AD129^2+'Off-Ramp'!U129^2)/(Links!AD129+'Off-Ramp'!U129)</f>
        <v>#DIV/0!</v>
      </c>
    </row>
    <row r="130" spans="1:79" x14ac:dyDescent="0.15">
      <c r="A130" s="58">
        <v>128</v>
      </c>
      <c r="B130" s="59" t="e">
        <f t="shared" si="31"/>
        <v>#DIV/0!</v>
      </c>
      <c r="C130" s="59" t="e">
        <f t="shared" si="32"/>
        <v>#DIV/0!</v>
      </c>
      <c r="D130" s="59" t="e">
        <f t="shared" si="33"/>
        <v>#DIV/0!</v>
      </c>
      <c r="E130" s="59" t="e">
        <f t="shared" si="34"/>
        <v>#DIV/0!</v>
      </c>
      <c r="F130" s="59" t="e">
        <f t="shared" si="35"/>
        <v>#DIV/0!</v>
      </c>
      <c r="G130" s="59" t="e">
        <f t="shared" si="36"/>
        <v>#DIV/0!</v>
      </c>
      <c r="H130" s="59" t="e">
        <f t="shared" si="37"/>
        <v>#DIV/0!</v>
      </c>
      <c r="I130" s="59" t="e">
        <f t="shared" si="38"/>
        <v>#DIV/0!</v>
      </c>
      <c r="J130" s="59" t="e">
        <f t="shared" si="39"/>
        <v>#DIV/0!</v>
      </c>
      <c r="K130" s="59" t="e">
        <f t="shared" si="40"/>
        <v>#DIV/0!</v>
      </c>
      <c r="L130" s="59" t="e">
        <f t="shared" si="41"/>
        <v>#DIV/0!</v>
      </c>
      <c r="M130" s="59" t="e">
        <f t="shared" si="42"/>
        <v>#DIV/0!</v>
      </c>
      <c r="N130" s="59" t="e">
        <f t="shared" si="43"/>
        <v>#DIV/0!</v>
      </c>
      <c r="O130" s="60" t="e">
        <f>Links!B130</f>
        <v>#DIV/0!</v>
      </c>
      <c r="P130" s="60" t="e">
        <f>Links!C130+'On-Ramps'!AC130</f>
        <v>#DIV/0!</v>
      </c>
      <c r="Q130" s="60" t="e">
        <f>Links!D130</f>
        <v>#DIV/0!</v>
      </c>
      <c r="R130" s="60" t="e">
        <f>Links!E130+'On-Ramps'!AD130</f>
        <v>#DIV/0!</v>
      </c>
      <c r="S130" s="60" t="e">
        <f>Links!F130+'On-Ramps'!AE130</f>
        <v>#DIV/0!</v>
      </c>
      <c r="T130" s="60" t="e">
        <f>Links!G130+'On-Ramps'!AF130</f>
        <v>#DIV/0!</v>
      </c>
      <c r="U130" s="60" t="e">
        <f>Links!H130+'On-Ramps'!AG130</f>
        <v>#DIV/0!</v>
      </c>
      <c r="V130" s="60" t="e">
        <f>Links!J130+'On-Ramps'!AH130</f>
        <v>#DIV/0!</v>
      </c>
      <c r="W130" s="60" t="e">
        <f>Links!K130+'On-Ramps'!AI130</f>
        <v>#DIV/0!</v>
      </c>
      <c r="X130" s="60" t="e">
        <f>Links!L130+'On-Ramps'!AJ130</f>
        <v>#DIV/0!</v>
      </c>
      <c r="Y130" s="60" t="e">
        <f>Links!M130</f>
        <v>#DIV/0!</v>
      </c>
      <c r="Z130" s="60" t="e">
        <f>Links!N130+'On-Ramps'!AK130</f>
        <v>#DIV/0!</v>
      </c>
      <c r="AA130" s="60" t="e">
        <f>Links!O130</f>
        <v>#DIV/0!</v>
      </c>
      <c r="AB130" s="59" t="e">
        <f t="shared" si="44"/>
        <v>#DIV/0!</v>
      </c>
      <c r="AC130" s="65"/>
      <c r="AD130" s="59" t="e">
        <f t="shared" si="45"/>
        <v>#DIV/0!</v>
      </c>
      <c r="AE130" s="65"/>
      <c r="AF130" s="59" t="e">
        <f t="shared" si="46"/>
        <v>#DIV/0!</v>
      </c>
      <c r="AG130" s="59" t="e">
        <f t="shared" si="47"/>
        <v>#DIV/0!</v>
      </c>
      <c r="AH130" s="59" t="e">
        <f t="shared" si="48"/>
        <v>#DIV/0!</v>
      </c>
      <c r="AI130" s="59" t="e">
        <f t="shared" si="49"/>
        <v>#DIV/0!</v>
      </c>
      <c r="AJ130" s="59" t="e">
        <f t="shared" si="50"/>
        <v>#DIV/0!</v>
      </c>
      <c r="AK130" s="59" t="e">
        <f t="shared" si="51"/>
        <v>#DIV/0!</v>
      </c>
      <c r="AL130" s="59" t="e">
        <f t="shared" si="52"/>
        <v>#DIV/0!</v>
      </c>
      <c r="AM130" s="65"/>
      <c r="AN130" s="59" t="e">
        <f t="shared" si="54"/>
        <v>#DIV/0!</v>
      </c>
      <c r="AO130" s="60" t="e">
        <f t="shared" si="57"/>
        <v>#DIV/0!</v>
      </c>
      <c r="AP130" s="65"/>
      <c r="AQ130" s="60" t="e">
        <f t="shared" si="56"/>
        <v>#DIV/0!</v>
      </c>
      <c r="AR130" s="65"/>
      <c r="AS130" s="60" t="e">
        <f t="shared" si="56"/>
        <v>#DIV/0!</v>
      </c>
      <c r="AT130" s="60" t="e">
        <f t="shared" si="56"/>
        <v>#DIV/0!</v>
      </c>
      <c r="AU130" s="60" t="e">
        <f t="shared" si="56"/>
        <v>#DIV/0!</v>
      </c>
      <c r="AV130" s="60" t="e">
        <f t="shared" si="56"/>
        <v>#DIV/0!</v>
      </c>
      <c r="AW130" s="60" t="e">
        <f t="shared" si="56"/>
        <v>#DIV/0!</v>
      </c>
      <c r="AX130" s="60" t="e">
        <f t="shared" si="56"/>
        <v>#DIV/0!</v>
      </c>
      <c r="AY130" s="60" t="e">
        <f t="shared" si="56"/>
        <v>#DIV/0!</v>
      </c>
      <c r="AZ130" s="65"/>
      <c r="BA130" s="60" t="e">
        <f t="shared" si="56"/>
        <v>#DIV/0!</v>
      </c>
      <c r="BB130" s="59" t="e">
        <f>Links!AF130</f>
        <v>#DIV/0!</v>
      </c>
      <c r="BC130" s="59" t="e">
        <f>(Links!AG130*Links!C130+'On-Ramps'!AC130*'On-Ramps'!CE130)/('On-Ramps'!AC130+Links!C130)</f>
        <v>#DIV/0!</v>
      </c>
      <c r="BD130" s="59" t="e">
        <f>Links!AH130</f>
        <v>#DIV/0!</v>
      </c>
      <c r="BE130" s="59" t="e">
        <f>(Links!AI130*Links!E130+'On-Ramps'!AD130*'On-Ramps'!CF129)/('On-Ramps'!AD130+Links!E130)</f>
        <v>#DIV/0!</v>
      </c>
      <c r="BF130" s="59" t="e">
        <f>(Links!F130*Links!AJ130+'On-Ramps'!AE130*'On-Ramps'!CG130)/('On-Ramps'!AE130+Links!F130)</f>
        <v>#DIV/0!</v>
      </c>
      <c r="BG130" s="59" t="e">
        <f>(Links!G130*Links!AK130+'On-Ramps'!AF130*'On-Ramps'!CH130)/('On-Ramps'!AF130+Links!G130)</f>
        <v>#DIV/0!</v>
      </c>
      <c r="BH130" s="59" t="e">
        <f>(Links!H130*Links!AL130+'On-Ramps'!AG130*'On-Ramps'!CI130)/('On-Ramps'!AG130+Links!H130)</f>
        <v>#DIV/0!</v>
      </c>
      <c r="BI130" s="59" t="e">
        <f>(Links!J130*Links!AN130+'On-Ramps'!AH130*'On-Ramps'!CJ130)/('On-Ramps'!AH130+Links!J130)</f>
        <v>#DIV/0!</v>
      </c>
      <c r="BJ130" s="59" t="e">
        <f>(Links!K130*Links!AO130+'On-Ramps'!AI130*'On-Ramps'!CK130)/('On-Ramps'!AI130+Links!K130)</f>
        <v>#DIV/0!</v>
      </c>
      <c r="BK130" s="59" t="e">
        <f>(Links!L130*Links!AP130+'On-Ramps'!AJ130*'On-Ramps'!CL130)/(Links!L130+'On-Ramps'!AJ130)</f>
        <v>#DIV/0!</v>
      </c>
      <c r="BL130" s="59" t="e">
        <f>Links!AQ130</f>
        <v>#DIV/0!</v>
      </c>
      <c r="BM130" s="59" t="e">
        <f>(Links!N130*Links!AR130+'On-Ramps'!AL130*'On-Ramps'!CM130)/(Links!N130+'On-Ramps'!AL130)</f>
        <v>#DIV/0!</v>
      </c>
      <c r="BN130" s="59" t="e">
        <f>Links!AS130</f>
        <v>#DIV/0!</v>
      </c>
      <c r="BO130" s="60" t="e">
        <f>(Links!R130^2+'Off-Ramp'!L130^2)/(Links!R130+'Off-Ramp'!L130)</f>
        <v>#DIV/0!</v>
      </c>
      <c r="BP130" s="60" t="e">
        <f>Links!S130</f>
        <v>#DIV/0!</v>
      </c>
      <c r="BQ130" s="60" t="e">
        <f>(Links!S130^2+'Off-Ramp'!C130^2)/(Links!S130+'Off-Ramp'!C130)</f>
        <v>#DIV/0!</v>
      </c>
      <c r="BR130" s="60" t="e">
        <f>Links!T130</f>
        <v>#DIV/0!</v>
      </c>
      <c r="BS130" s="60" t="e">
        <f>(Links!X130^2+'Off-Ramp'!V130^2+'Off-Ramp'!W130^2+'Off-Ramp'!X130^2)/(Links!X130+'Off-Ramp'!V130+'Off-Ramp'!W130+'Off-Ramp'!X130)</f>
        <v>#DIV/0!</v>
      </c>
      <c r="BT130" s="60" t="e">
        <f>(Links!Y130^2+'Off-Ramp'!Y130^2+'Off-Ramp'!Z130^2+'Off-Ramp'!AA130^2)/(Links!Y130+'Off-Ramp'!Y130+'Off-Ramp'!Z130+'Off-Ramp'!AA130)</f>
        <v>#DIV/0!</v>
      </c>
      <c r="BU130" s="60" t="e">
        <f>(Links!W130^2+'Off-Ramp'!P130^2)/(Links!W130+'Off-Ramp'!P130)</f>
        <v>#DIV/0!</v>
      </c>
      <c r="BV130" s="60" t="e">
        <f>(Links!Y130^2+'Off-Ramp'!Q130^2)/(Links!Y130+'Off-Ramp'!Q130)</f>
        <v>#DIV/0!</v>
      </c>
      <c r="BW130" s="60" t="e">
        <f>(Links!Z130^2+'Off-Ramp'!R130^2)/(Links!Z130+'Off-Ramp'!R130)</f>
        <v>#DIV/0!</v>
      </c>
      <c r="BX130" s="60" t="e">
        <f>(Links!AA130+'Off-Ramp'!S130)/(Links!AA130^2+'Off-Ramp'!S130^2)</f>
        <v>#DIV/0!</v>
      </c>
      <c r="BY130" s="60" t="e">
        <f>(Links!AB130^2+'Off-Ramp'!T130^2)/(Links!AB130+'Off-Ramp'!T130)</f>
        <v>#DIV/0!</v>
      </c>
      <c r="BZ130" s="60" t="e">
        <f>Links!AC130</f>
        <v>#DIV/0!</v>
      </c>
      <c r="CA130" s="60" t="e">
        <f>(Links!AD130^2+'Off-Ramp'!U130^2)/(Links!AD130+'Off-Ramp'!U130)</f>
        <v>#DIV/0!</v>
      </c>
    </row>
    <row r="131" spans="1:79" x14ac:dyDescent="0.15">
      <c r="A131" s="58">
        <v>129</v>
      </c>
      <c r="B131" s="59" t="e">
        <f t="shared" si="31"/>
        <v>#DIV/0!</v>
      </c>
      <c r="C131" s="59" t="e">
        <f t="shared" si="32"/>
        <v>#DIV/0!</v>
      </c>
      <c r="D131" s="59" t="e">
        <f t="shared" si="33"/>
        <v>#DIV/0!</v>
      </c>
      <c r="E131" s="59" t="e">
        <f t="shared" si="34"/>
        <v>#DIV/0!</v>
      </c>
      <c r="F131" s="59" t="e">
        <f t="shared" si="35"/>
        <v>#DIV/0!</v>
      </c>
      <c r="G131" s="59" t="e">
        <f t="shared" si="36"/>
        <v>#DIV/0!</v>
      </c>
      <c r="H131" s="59" t="e">
        <f t="shared" si="37"/>
        <v>#DIV/0!</v>
      </c>
      <c r="I131" s="59" t="e">
        <f t="shared" si="38"/>
        <v>#DIV/0!</v>
      </c>
      <c r="J131" s="59" t="e">
        <f t="shared" si="39"/>
        <v>#DIV/0!</v>
      </c>
      <c r="K131" s="59" t="e">
        <f t="shared" si="40"/>
        <v>#DIV/0!</v>
      </c>
      <c r="L131" s="59" t="e">
        <f t="shared" si="41"/>
        <v>#DIV/0!</v>
      </c>
      <c r="M131" s="59" t="e">
        <f t="shared" si="42"/>
        <v>#DIV/0!</v>
      </c>
      <c r="N131" s="59" t="e">
        <f t="shared" si="43"/>
        <v>#DIV/0!</v>
      </c>
      <c r="O131" s="60" t="e">
        <f>Links!B131</f>
        <v>#DIV/0!</v>
      </c>
      <c r="P131" s="60" t="e">
        <f>Links!C131+'On-Ramps'!AC131</f>
        <v>#DIV/0!</v>
      </c>
      <c r="Q131" s="60" t="e">
        <f>Links!D131</f>
        <v>#DIV/0!</v>
      </c>
      <c r="R131" s="60" t="e">
        <f>Links!E131+'On-Ramps'!AD131</f>
        <v>#DIV/0!</v>
      </c>
      <c r="S131" s="60" t="e">
        <f>Links!F131+'On-Ramps'!AE131</f>
        <v>#DIV/0!</v>
      </c>
      <c r="T131" s="60" t="e">
        <f>Links!G131+'On-Ramps'!AF131</f>
        <v>#DIV/0!</v>
      </c>
      <c r="U131" s="60" t="e">
        <f>Links!H131+'On-Ramps'!AG131</f>
        <v>#DIV/0!</v>
      </c>
      <c r="V131" s="60" t="e">
        <f>Links!J131+'On-Ramps'!AH131</f>
        <v>#DIV/0!</v>
      </c>
      <c r="W131" s="60" t="e">
        <f>Links!K131+'On-Ramps'!AI131</f>
        <v>#DIV/0!</v>
      </c>
      <c r="X131" s="60" t="e">
        <f>Links!L131+'On-Ramps'!AJ131</f>
        <v>#DIV/0!</v>
      </c>
      <c r="Y131" s="60" t="e">
        <f>Links!M131</f>
        <v>#DIV/0!</v>
      </c>
      <c r="Z131" s="60" t="e">
        <f>Links!N131+'On-Ramps'!AK131</f>
        <v>#DIV/0!</v>
      </c>
      <c r="AA131" s="60" t="e">
        <f>Links!O131</f>
        <v>#DIV/0!</v>
      </c>
      <c r="AB131" s="59" t="e">
        <f t="shared" si="44"/>
        <v>#DIV/0!</v>
      </c>
      <c r="AC131" s="65"/>
      <c r="AD131" s="59" t="e">
        <f t="shared" si="45"/>
        <v>#DIV/0!</v>
      </c>
      <c r="AE131" s="65"/>
      <c r="AF131" s="59" t="e">
        <f t="shared" si="46"/>
        <v>#DIV/0!</v>
      </c>
      <c r="AG131" s="59" t="e">
        <f t="shared" si="47"/>
        <v>#DIV/0!</v>
      </c>
      <c r="AH131" s="59" t="e">
        <f t="shared" si="48"/>
        <v>#DIV/0!</v>
      </c>
      <c r="AI131" s="59" t="e">
        <f t="shared" si="49"/>
        <v>#DIV/0!</v>
      </c>
      <c r="AJ131" s="59" t="e">
        <f t="shared" si="50"/>
        <v>#DIV/0!</v>
      </c>
      <c r="AK131" s="59" t="e">
        <f t="shared" si="51"/>
        <v>#DIV/0!</v>
      </c>
      <c r="AL131" s="59" t="e">
        <f t="shared" si="52"/>
        <v>#DIV/0!</v>
      </c>
      <c r="AM131" s="65"/>
      <c r="AN131" s="59" t="e">
        <f t="shared" si="54"/>
        <v>#DIV/0!</v>
      </c>
      <c r="AO131" s="60" t="e">
        <f t="shared" si="57"/>
        <v>#DIV/0!</v>
      </c>
      <c r="AP131" s="65"/>
      <c r="AQ131" s="60" t="e">
        <f t="shared" si="56"/>
        <v>#DIV/0!</v>
      </c>
      <c r="AR131" s="65"/>
      <c r="AS131" s="60" t="e">
        <f t="shared" si="56"/>
        <v>#DIV/0!</v>
      </c>
      <c r="AT131" s="60" t="e">
        <f t="shared" si="56"/>
        <v>#DIV/0!</v>
      </c>
      <c r="AU131" s="60" t="e">
        <f t="shared" si="56"/>
        <v>#DIV/0!</v>
      </c>
      <c r="AV131" s="60" t="e">
        <f t="shared" si="56"/>
        <v>#DIV/0!</v>
      </c>
      <c r="AW131" s="60" t="e">
        <f t="shared" si="56"/>
        <v>#DIV/0!</v>
      </c>
      <c r="AX131" s="60" t="e">
        <f t="shared" si="56"/>
        <v>#DIV/0!</v>
      </c>
      <c r="AY131" s="60" t="e">
        <f t="shared" si="56"/>
        <v>#DIV/0!</v>
      </c>
      <c r="AZ131" s="65"/>
      <c r="BA131" s="60" t="e">
        <f t="shared" si="56"/>
        <v>#DIV/0!</v>
      </c>
      <c r="BB131" s="59" t="e">
        <f>Links!AF131</f>
        <v>#DIV/0!</v>
      </c>
      <c r="BC131" s="59" t="e">
        <f>(Links!AG131*Links!C131+'On-Ramps'!AC131*'On-Ramps'!CE131)/('On-Ramps'!AC131+Links!C131)</f>
        <v>#DIV/0!</v>
      </c>
      <c r="BD131" s="59" t="e">
        <f>Links!AH131</f>
        <v>#DIV/0!</v>
      </c>
      <c r="BE131" s="59" t="e">
        <f>(Links!AI131*Links!E131+'On-Ramps'!AD131*'On-Ramps'!CF130)/('On-Ramps'!AD131+Links!E131)</f>
        <v>#DIV/0!</v>
      </c>
      <c r="BF131" s="59" t="e">
        <f>(Links!F131*Links!AJ131+'On-Ramps'!AE131*'On-Ramps'!CG131)/('On-Ramps'!AE131+Links!F131)</f>
        <v>#DIV/0!</v>
      </c>
      <c r="BG131" s="59" t="e">
        <f>(Links!G131*Links!AK131+'On-Ramps'!AF131*'On-Ramps'!CH131)/('On-Ramps'!AF131+Links!G131)</f>
        <v>#DIV/0!</v>
      </c>
      <c r="BH131" s="59" t="e">
        <f>(Links!H131*Links!AL131+'On-Ramps'!AG131*'On-Ramps'!CI131)/('On-Ramps'!AG131+Links!H131)</f>
        <v>#DIV/0!</v>
      </c>
      <c r="BI131" s="59" t="e">
        <f>(Links!J131*Links!AN131+'On-Ramps'!AH131*'On-Ramps'!CJ131)/('On-Ramps'!AH131+Links!J131)</f>
        <v>#DIV/0!</v>
      </c>
      <c r="BJ131" s="59" t="e">
        <f>(Links!K131*Links!AO131+'On-Ramps'!AI131*'On-Ramps'!CK131)/('On-Ramps'!AI131+Links!K131)</f>
        <v>#DIV/0!</v>
      </c>
      <c r="BK131" s="59" t="e">
        <f>(Links!L131*Links!AP131+'On-Ramps'!AJ131*'On-Ramps'!CL131)/(Links!L131+'On-Ramps'!AJ131)</f>
        <v>#DIV/0!</v>
      </c>
      <c r="BL131" s="59" t="e">
        <f>Links!AQ131</f>
        <v>#DIV/0!</v>
      </c>
      <c r="BM131" s="59" t="e">
        <f>(Links!N131*Links!AR131+'On-Ramps'!AL131*'On-Ramps'!CM131)/(Links!N131+'On-Ramps'!AL131)</f>
        <v>#DIV/0!</v>
      </c>
      <c r="BN131" s="59" t="e">
        <f>Links!AS131</f>
        <v>#DIV/0!</v>
      </c>
      <c r="BO131" s="60" t="e">
        <f>(Links!R131^2+'Off-Ramp'!L131^2)/(Links!R131+'Off-Ramp'!L131)</f>
        <v>#DIV/0!</v>
      </c>
      <c r="BP131" s="60" t="e">
        <f>Links!S131</f>
        <v>#DIV/0!</v>
      </c>
      <c r="BQ131" s="60" t="e">
        <f>(Links!S131^2+'Off-Ramp'!C131^2)/(Links!S131+'Off-Ramp'!C131)</f>
        <v>#DIV/0!</v>
      </c>
      <c r="BR131" s="60" t="e">
        <f>Links!T131</f>
        <v>#DIV/0!</v>
      </c>
      <c r="BS131" s="60" t="e">
        <f>(Links!X131^2+'Off-Ramp'!V131^2+'Off-Ramp'!W131^2+'Off-Ramp'!X131^2)/(Links!X131+'Off-Ramp'!V131+'Off-Ramp'!W131+'Off-Ramp'!X131)</f>
        <v>#DIV/0!</v>
      </c>
      <c r="BT131" s="60" t="e">
        <f>(Links!Y131^2+'Off-Ramp'!Y131^2+'Off-Ramp'!Z131^2+'Off-Ramp'!AA131^2)/(Links!Y131+'Off-Ramp'!Y131+'Off-Ramp'!Z131+'Off-Ramp'!AA131)</f>
        <v>#DIV/0!</v>
      </c>
      <c r="BU131" s="60" t="e">
        <f>(Links!W131^2+'Off-Ramp'!P131^2)/(Links!W131+'Off-Ramp'!P131)</f>
        <v>#DIV/0!</v>
      </c>
      <c r="BV131" s="60" t="e">
        <f>(Links!Y131^2+'Off-Ramp'!Q131^2)/(Links!Y131+'Off-Ramp'!Q131)</f>
        <v>#DIV/0!</v>
      </c>
      <c r="BW131" s="60" t="e">
        <f>(Links!Z131^2+'Off-Ramp'!R131^2)/(Links!Z131+'Off-Ramp'!R131)</f>
        <v>#DIV/0!</v>
      </c>
      <c r="BX131" s="60" t="e">
        <f>(Links!AA131+'Off-Ramp'!S131)/(Links!AA131^2+'Off-Ramp'!S131^2)</f>
        <v>#DIV/0!</v>
      </c>
      <c r="BY131" s="60" t="e">
        <f>(Links!AB131^2+'Off-Ramp'!T131^2)/(Links!AB131+'Off-Ramp'!T131)</f>
        <v>#DIV/0!</v>
      </c>
      <c r="BZ131" s="60" t="e">
        <f>Links!AC131</f>
        <v>#DIV/0!</v>
      </c>
      <c r="CA131" s="60" t="e">
        <f>(Links!AD131^2+'Off-Ramp'!U131^2)/(Links!AD131+'Off-Ramp'!U131)</f>
        <v>#DIV/0!</v>
      </c>
    </row>
    <row r="132" spans="1:79" x14ac:dyDescent="0.15">
      <c r="A132" s="58">
        <v>130</v>
      </c>
      <c r="B132" s="59" t="e">
        <f t="shared" ref="B132:B182" si="58">O132+AB132</f>
        <v>#DIV/0!</v>
      </c>
      <c r="C132" s="59" t="e">
        <f t="shared" ref="C132:C182" si="59">P132+AC132</f>
        <v>#DIV/0!</v>
      </c>
      <c r="D132" s="59" t="e">
        <f t="shared" ref="D132:D182" si="60">Q132+AD132</f>
        <v>#DIV/0!</v>
      </c>
      <c r="E132" s="59" t="e">
        <f t="shared" ref="E132:E182" si="61">R132+AE132</f>
        <v>#DIV/0!</v>
      </c>
      <c r="F132" s="59" t="e">
        <f t="shared" ref="F132:F182" si="62">S132+AF132</f>
        <v>#DIV/0!</v>
      </c>
      <c r="G132" s="59" t="e">
        <f t="shared" ref="G132:G182" si="63">T132+AG132</f>
        <v>#DIV/0!</v>
      </c>
      <c r="H132" s="59" t="e">
        <f t="shared" ref="H132:H182" si="64">U132+AH132</f>
        <v>#DIV/0!</v>
      </c>
      <c r="I132" s="59" t="e">
        <f t="shared" ref="I132:I182" si="65">V132+AI132</f>
        <v>#DIV/0!</v>
      </c>
      <c r="J132" s="59" t="e">
        <f t="shared" ref="J132:J182" si="66">W132+AJ132</f>
        <v>#DIV/0!</v>
      </c>
      <c r="K132" s="59" t="e">
        <f t="shared" ref="K132:K182" si="67">X132+AK132</f>
        <v>#DIV/0!</v>
      </c>
      <c r="L132" s="59" t="e">
        <f t="shared" ref="L132:L182" si="68">Y132+AL132</f>
        <v>#DIV/0!</v>
      </c>
      <c r="M132" s="59" t="e">
        <f t="shared" ref="M132:M182" si="69">Z132+AM132</f>
        <v>#DIV/0!</v>
      </c>
      <c r="N132" s="59" t="e">
        <f t="shared" ref="N132:N182" si="70">AA132+AN132</f>
        <v>#DIV/0!</v>
      </c>
      <c r="O132" s="60" t="e">
        <f>Links!B132</f>
        <v>#DIV/0!</v>
      </c>
      <c r="P132" s="60" t="e">
        <f>Links!C132+'On-Ramps'!AC132</f>
        <v>#DIV/0!</v>
      </c>
      <c r="Q132" s="60" t="e">
        <f>Links!D132</f>
        <v>#DIV/0!</v>
      </c>
      <c r="R132" s="60" t="e">
        <f>Links!E132+'On-Ramps'!AD132</f>
        <v>#DIV/0!</v>
      </c>
      <c r="S132" s="60" t="e">
        <f>Links!F132+'On-Ramps'!AE132</f>
        <v>#DIV/0!</v>
      </c>
      <c r="T132" s="60" t="e">
        <f>Links!G132+'On-Ramps'!AF132</f>
        <v>#DIV/0!</v>
      </c>
      <c r="U132" s="60" t="e">
        <f>Links!H132+'On-Ramps'!AG132</f>
        <v>#DIV/0!</v>
      </c>
      <c r="V132" s="60" t="e">
        <f>Links!J132+'On-Ramps'!AH132</f>
        <v>#DIV/0!</v>
      </c>
      <c r="W132" s="60" t="e">
        <f>Links!K132+'On-Ramps'!AI132</f>
        <v>#DIV/0!</v>
      </c>
      <c r="X132" s="60" t="e">
        <f>Links!L132+'On-Ramps'!AJ132</f>
        <v>#DIV/0!</v>
      </c>
      <c r="Y132" s="60" t="e">
        <f>Links!M132</f>
        <v>#DIV/0!</v>
      </c>
      <c r="Z132" s="60" t="e">
        <f>Links!N132+'On-Ramps'!AK132</f>
        <v>#DIV/0!</v>
      </c>
      <c r="AA132" s="60" t="e">
        <f>Links!O132</f>
        <v>#DIV/0!</v>
      </c>
      <c r="AB132" s="59" t="e">
        <f t="shared" si="44"/>
        <v>#DIV/0!</v>
      </c>
      <c r="AC132" s="65"/>
      <c r="AD132" s="59" t="e">
        <f t="shared" si="45"/>
        <v>#DIV/0!</v>
      </c>
      <c r="AE132" s="65"/>
      <c r="AF132" s="59" t="e">
        <f t="shared" si="46"/>
        <v>#DIV/0!</v>
      </c>
      <c r="AG132" s="59" t="e">
        <f t="shared" si="47"/>
        <v>#DIV/0!</v>
      </c>
      <c r="AH132" s="59" t="e">
        <f t="shared" si="48"/>
        <v>#DIV/0!</v>
      </c>
      <c r="AI132" s="59" t="e">
        <f t="shared" si="49"/>
        <v>#DIV/0!</v>
      </c>
      <c r="AJ132" s="59" t="e">
        <f t="shared" si="50"/>
        <v>#DIV/0!</v>
      </c>
      <c r="AK132" s="59" t="e">
        <f t="shared" si="51"/>
        <v>#DIV/0!</v>
      </c>
      <c r="AL132" s="59" t="e">
        <f t="shared" si="52"/>
        <v>#DIV/0!</v>
      </c>
      <c r="AM132" s="65"/>
      <c r="AN132" s="59" t="e">
        <f t="shared" si="54"/>
        <v>#DIV/0!</v>
      </c>
      <c r="AO132" s="60" t="e">
        <f t="shared" si="57"/>
        <v>#DIV/0!</v>
      </c>
      <c r="AP132" s="65"/>
      <c r="AQ132" s="60" t="e">
        <f t="shared" si="56"/>
        <v>#DIV/0!</v>
      </c>
      <c r="AR132" s="65"/>
      <c r="AS132" s="60" t="e">
        <f t="shared" si="56"/>
        <v>#DIV/0!</v>
      </c>
      <c r="AT132" s="60" t="e">
        <f t="shared" si="56"/>
        <v>#DIV/0!</v>
      </c>
      <c r="AU132" s="60" t="e">
        <f t="shared" si="56"/>
        <v>#DIV/0!</v>
      </c>
      <c r="AV132" s="60" t="e">
        <f t="shared" si="56"/>
        <v>#DIV/0!</v>
      </c>
      <c r="AW132" s="60" t="e">
        <f t="shared" si="56"/>
        <v>#DIV/0!</v>
      </c>
      <c r="AX132" s="60" t="e">
        <f t="shared" si="56"/>
        <v>#DIV/0!</v>
      </c>
      <c r="AY132" s="60" t="e">
        <f t="shared" si="56"/>
        <v>#DIV/0!</v>
      </c>
      <c r="AZ132" s="65"/>
      <c r="BA132" s="60" t="e">
        <f t="shared" si="56"/>
        <v>#DIV/0!</v>
      </c>
      <c r="BB132" s="59" t="e">
        <f>Links!AF132</f>
        <v>#DIV/0!</v>
      </c>
      <c r="BC132" s="59" t="e">
        <f>(Links!AG132*Links!C132+'On-Ramps'!AC132*'On-Ramps'!CE132)/('On-Ramps'!AC132+Links!C132)</f>
        <v>#DIV/0!</v>
      </c>
      <c r="BD132" s="59" t="e">
        <f>Links!AH132</f>
        <v>#DIV/0!</v>
      </c>
      <c r="BE132" s="59" t="e">
        <f>(Links!AI132*Links!E132+'On-Ramps'!AD132*'On-Ramps'!CF131)/('On-Ramps'!AD132+Links!E132)</f>
        <v>#DIV/0!</v>
      </c>
      <c r="BF132" s="59" t="e">
        <f>(Links!F132*Links!AJ132+'On-Ramps'!AE132*'On-Ramps'!CG132)/('On-Ramps'!AE132+Links!F132)</f>
        <v>#DIV/0!</v>
      </c>
      <c r="BG132" s="59" t="e">
        <f>(Links!G132*Links!AK132+'On-Ramps'!AF132*'On-Ramps'!CH132)/('On-Ramps'!AF132+Links!G132)</f>
        <v>#DIV/0!</v>
      </c>
      <c r="BH132" s="59" t="e">
        <f>(Links!H132*Links!AL132+'On-Ramps'!AG132*'On-Ramps'!CI132)/('On-Ramps'!AG132+Links!H132)</f>
        <v>#DIV/0!</v>
      </c>
      <c r="BI132" s="59" t="e">
        <f>(Links!J132*Links!AN132+'On-Ramps'!AH132*'On-Ramps'!CJ132)/('On-Ramps'!AH132+Links!J132)</f>
        <v>#DIV/0!</v>
      </c>
      <c r="BJ132" s="59" t="e">
        <f>(Links!K132*Links!AO132+'On-Ramps'!AI132*'On-Ramps'!CK132)/('On-Ramps'!AI132+Links!K132)</f>
        <v>#DIV/0!</v>
      </c>
      <c r="BK132" s="59" t="e">
        <f>(Links!L132*Links!AP132+'On-Ramps'!AJ132*'On-Ramps'!CL132)/(Links!L132+'On-Ramps'!AJ132)</f>
        <v>#DIV/0!</v>
      </c>
      <c r="BL132" s="59" t="e">
        <f>Links!AQ132</f>
        <v>#DIV/0!</v>
      </c>
      <c r="BM132" s="59" t="e">
        <f>(Links!N132*Links!AR132+'On-Ramps'!AL132*'On-Ramps'!CM132)/(Links!N132+'On-Ramps'!AL132)</f>
        <v>#DIV/0!</v>
      </c>
      <c r="BN132" s="59" t="e">
        <f>Links!AS132</f>
        <v>#DIV/0!</v>
      </c>
      <c r="BO132" s="60" t="e">
        <f>(Links!R132^2+'Off-Ramp'!L132^2)/(Links!R132+'Off-Ramp'!L132)</f>
        <v>#DIV/0!</v>
      </c>
      <c r="BP132" s="60" t="e">
        <f>Links!S132</f>
        <v>#DIV/0!</v>
      </c>
      <c r="BQ132" s="60" t="e">
        <f>(Links!S132^2+'Off-Ramp'!C132^2)/(Links!S132+'Off-Ramp'!C132)</f>
        <v>#DIV/0!</v>
      </c>
      <c r="BR132" s="60" t="e">
        <f>Links!T132</f>
        <v>#DIV/0!</v>
      </c>
      <c r="BS132" s="60" t="e">
        <f>(Links!X132^2+'Off-Ramp'!V132^2+'Off-Ramp'!W132^2+'Off-Ramp'!X132^2)/(Links!X132+'Off-Ramp'!V132+'Off-Ramp'!W132+'Off-Ramp'!X132)</f>
        <v>#DIV/0!</v>
      </c>
      <c r="BT132" s="60" t="e">
        <f>(Links!Y132^2+'Off-Ramp'!Y132^2+'Off-Ramp'!Z132^2+'Off-Ramp'!AA132^2)/(Links!Y132+'Off-Ramp'!Y132+'Off-Ramp'!Z132+'Off-Ramp'!AA132)</f>
        <v>#DIV/0!</v>
      </c>
      <c r="BU132" s="60" t="e">
        <f>(Links!W132^2+'Off-Ramp'!P132^2)/(Links!W132+'Off-Ramp'!P132)</f>
        <v>#DIV/0!</v>
      </c>
      <c r="BV132" s="60" t="e">
        <f>(Links!Y132^2+'Off-Ramp'!Q132^2)/(Links!Y132+'Off-Ramp'!Q132)</f>
        <v>#DIV/0!</v>
      </c>
      <c r="BW132" s="60" t="e">
        <f>(Links!Z132^2+'Off-Ramp'!R132^2)/(Links!Z132+'Off-Ramp'!R132)</f>
        <v>#DIV/0!</v>
      </c>
      <c r="BX132" s="60" t="e">
        <f>(Links!AA132+'Off-Ramp'!S132)/(Links!AA132^2+'Off-Ramp'!S132^2)</f>
        <v>#DIV/0!</v>
      </c>
      <c r="BY132" s="60" t="e">
        <f>(Links!AB132^2+'Off-Ramp'!T132^2)/(Links!AB132+'Off-Ramp'!T132)</f>
        <v>#DIV/0!</v>
      </c>
      <c r="BZ132" s="60" t="e">
        <f>Links!AC132</f>
        <v>#DIV/0!</v>
      </c>
      <c r="CA132" s="60" t="e">
        <f>(Links!AD132^2+'Off-Ramp'!U132^2)/(Links!AD132+'Off-Ramp'!U132)</f>
        <v>#DIV/0!</v>
      </c>
    </row>
    <row r="133" spans="1:79" x14ac:dyDescent="0.15">
      <c r="A133" s="58">
        <v>131</v>
      </c>
      <c r="B133" s="59" t="e">
        <f t="shared" si="58"/>
        <v>#DIV/0!</v>
      </c>
      <c r="C133" s="59" t="e">
        <f t="shared" si="59"/>
        <v>#DIV/0!</v>
      </c>
      <c r="D133" s="59" t="e">
        <f t="shared" si="60"/>
        <v>#DIV/0!</v>
      </c>
      <c r="E133" s="59" t="e">
        <f t="shared" si="61"/>
        <v>#DIV/0!</v>
      </c>
      <c r="F133" s="59" t="e">
        <f t="shared" si="62"/>
        <v>#DIV/0!</v>
      </c>
      <c r="G133" s="59" t="e">
        <f t="shared" si="63"/>
        <v>#DIV/0!</v>
      </c>
      <c r="H133" s="59" t="e">
        <f t="shared" si="64"/>
        <v>#DIV/0!</v>
      </c>
      <c r="I133" s="59" t="e">
        <f t="shared" si="65"/>
        <v>#DIV/0!</v>
      </c>
      <c r="J133" s="59" t="e">
        <f t="shared" si="66"/>
        <v>#DIV/0!</v>
      </c>
      <c r="K133" s="59" t="e">
        <f t="shared" si="67"/>
        <v>#DIV/0!</v>
      </c>
      <c r="L133" s="59" t="e">
        <f t="shared" si="68"/>
        <v>#DIV/0!</v>
      </c>
      <c r="M133" s="59" t="e">
        <f t="shared" si="69"/>
        <v>#DIV/0!</v>
      </c>
      <c r="N133" s="59" t="e">
        <f t="shared" si="70"/>
        <v>#DIV/0!</v>
      </c>
      <c r="O133" s="60" t="e">
        <f>Links!B133</f>
        <v>#DIV/0!</v>
      </c>
      <c r="P133" s="60" t="e">
        <f>Links!C133+'On-Ramps'!AC133</f>
        <v>#DIV/0!</v>
      </c>
      <c r="Q133" s="60" t="e">
        <f>Links!D133</f>
        <v>#DIV/0!</v>
      </c>
      <c r="R133" s="60" t="e">
        <f>Links!E133+'On-Ramps'!AD133</f>
        <v>#DIV/0!</v>
      </c>
      <c r="S133" s="60" t="e">
        <f>Links!F133+'On-Ramps'!AE133</f>
        <v>#DIV/0!</v>
      </c>
      <c r="T133" s="60" t="e">
        <f>Links!G133+'On-Ramps'!AF133</f>
        <v>#DIV/0!</v>
      </c>
      <c r="U133" s="60" t="e">
        <f>Links!H133+'On-Ramps'!AG133</f>
        <v>#DIV/0!</v>
      </c>
      <c r="V133" s="60" t="e">
        <f>Links!J133+'On-Ramps'!AH133</f>
        <v>#DIV/0!</v>
      </c>
      <c r="W133" s="60" t="e">
        <f>Links!K133+'On-Ramps'!AI133</f>
        <v>#DIV/0!</v>
      </c>
      <c r="X133" s="60" t="e">
        <f>Links!L133+'On-Ramps'!AJ133</f>
        <v>#DIV/0!</v>
      </c>
      <c r="Y133" s="60" t="e">
        <f>Links!M133</f>
        <v>#DIV/0!</v>
      </c>
      <c r="Z133" s="60" t="e">
        <f>Links!N133+'On-Ramps'!AK133</f>
        <v>#DIV/0!</v>
      </c>
      <c r="AA133" s="60" t="e">
        <f>Links!O133</f>
        <v>#DIV/0!</v>
      </c>
      <c r="AB133" s="59" t="e">
        <f t="shared" ref="AB133:AB182" si="71">AO133*(1-AO133)*O133</f>
        <v>#DIV/0!</v>
      </c>
      <c r="AC133" s="65"/>
      <c r="AD133" s="59" t="e">
        <f t="shared" ref="AD133:AD182" si="72">AQ133*(1-AQ133)*Q133</f>
        <v>#DIV/0!</v>
      </c>
      <c r="AE133" s="65"/>
      <c r="AF133" s="59" t="e">
        <f t="shared" ref="AF133:AF182" si="73">AS133*(1-AS133)*S133</f>
        <v>#DIV/0!</v>
      </c>
      <c r="AG133" s="59" t="e">
        <f t="shared" ref="AG133:AG182" si="74">AT133*(1-AT133)*T133</f>
        <v>#DIV/0!</v>
      </c>
      <c r="AH133" s="59" t="e">
        <f t="shared" ref="AH133:AH182" si="75">AU133*(1-AU133)*U133</f>
        <v>#DIV/0!</v>
      </c>
      <c r="AI133" s="59" t="e">
        <f t="shared" ref="AI133:AI182" si="76">AV133*(1-AV133)*V133</f>
        <v>#DIV/0!</v>
      </c>
      <c r="AJ133" s="59" t="e">
        <f t="shared" ref="AJ133:AJ182" si="77">AW133*(1-AW133)*W133</f>
        <v>#DIV/0!</v>
      </c>
      <c r="AK133" s="59" t="e">
        <f t="shared" ref="AK133:AK182" si="78">AX133*(1-AX133)*X133</f>
        <v>#DIV/0!</v>
      </c>
      <c r="AL133" s="59" t="e">
        <f t="shared" ref="AL133:AL182" si="79">AY133*(1-AY133)*Y133</f>
        <v>#DIV/0!</v>
      </c>
      <c r="AM133" s="65"/>
      <c r="AN133" s="59" t="e">
        <f t="shared" si="54"/>
        <v>#DIV/0!</v>
      </c>
      <c r="AO133" s="60" t="e">
        <f t="shared" si="57"/>
        <v>#DIV/0!</v>
      </c>
      <c r="AP133" s="65"/>
      <c r="AQ133" s="60" t="e">
        <f t="shared" si="56"/>
        <v>#DIV/0!</v>
      </c>
      <c r="AR133" s="65"/>
      <c r="AS133" s="60" t="e">
        <f t="shared" si="56"/>
        <v>#DIV/0!</v>
      </c>
      <c r="AT133" s="60" t="e">
        <f t="shared" si="56"/>
        <v>#DIV/0!</v>
      </c>
      <c r="AU133" s="60" t="e">
        <f t="shared" si="56"/>
        <v>#DIV/0!</v>
      </c>
      <c r="AV133" s="60" t="e">
        <f t="shared" si="56"/>
        <v>#DIV/0!</v>
      </c>
      <c r="AW133" s="60" t="e">
        <f t="shared" si="56"/>
        <v>#DIV/0!</v>
      </c>
      <c r="AX133" s="60" t="e">
        <f t="shared" si="56"/>
        <v>#DIV/0!</v>
      </c>
      <c r="AY133" s="60" t="e">
        <f t="shared" si="56"/>
        <v>#DIV/0!</v>
      </c>
      <c r="AZ133" s="65"/>
      <c r="BA133" s="60" t="e">
        <f t="shared" si="56"/>
        <v>#DIV/0!</v>
      </c>
      <c r="BB133" s="59" t="e">
        <f>Links!AF133</f>
        <v>#DIV/0!</v>
      </c>
      <c r="BC133" s="59" t="e">
        <f>(Links!AG133*Links!C133+'On-Ramps'!AC133*'On-Ramps'!CE133)/('On-Ramps'!AC133+Links!C133)</f>
        <v>#DIV/0!</v>
      </c>
      <c r="BD133" s="59" t="e">
        <f>Links!AH133</f>
        <v>#DIV/0!</v>
      </c>
      <c r="BE133" s="59" t="e">
        <f>(Links!AI133*Links!E133+'On-Ramps'!AD133*'On-Ramps'!CF132)/('On-Ramps'!AD133+Links!E133)</f>
        <v>#DIV/0!</v>
      </c>
      <c r="BF133" s="59" t="e">
        <f>(Links!F133*Links!AJ133+'On-Ramps'!AE133*'On-Ramps'!CG133)/('On-Ramps'!AE133+Links!F133)</f>
        <v>#DIV/0!</v>
      </c>
      <c r="BG133" s="59" t="e">
        <f>(Links!G133*Links!AK133+'On-Ramps'!AF133*'On-Ramps'!CH133)/('On-Ramps'!AF133+Links!G133)</f>
        <v>#DIV/0!</v>
      </c>
      <c r="BH133" s="59" t="e">
        <f>(Links!H133*Links!AL133+'On-Ramps'!AG133*'On-Ramps'!CI133)/('On-Ramps'!AG133+Links!H133)</f>
        <v>#DIV/0!</v>
      </c>
      <c r="BI133" s="59" t="e">
        <f>(Links!J133*Links!AN133+'On-Ramps'!AH133*'On-Ramps'!CJ133)/('On-Ramps'!AH133+Links!J133)</f>
        <v>#DIV/0!</v>
      </c>
      <c r="BJ133" s="59" t="e">
        <f>(Links!K133*Links!AO133+'On-Ramps'!AI133*'On-Ramps'!CK133)/('On-Ramps'!AI133+Links!K133)</f>
        <v>#DIV/0!</v>
      </c>
      <c r="BK133" s="59" t="e">
        <f>(Links!L133*Links!AP133+'On-Ramps'!AJ133*'On-Ramps'!CL133)/(Links!L133+'On-Ramps'!AJ133)</f>
        <v>#DIV/0!</v>
      </c>
      <c r="BL133" s="59" t="e">
        <f>Links!AQ133</f>
        <v>#DIV/0!</v>
      </c>
      <c r="BM133" s="59" t="e">
        <f>(Links!N133*Links!AR133+'On-Ramps'!AL133*'On-Ramps'!CM133)/(Links!N133+'On-Ramps'!AL133)</f>
        <v>#DIV/0!</v>
      </c>
      <c r="BN133" s="59" t="e">
        <f>Links!AS133</f>
        <v>#DIV/0!</v>
      </c>
      <c r="BO133" s="60" t="e">
        <f>(Links!R133^2+'Off-Ramp'!L133^2)/(Links!R133+'Off-Ramp'!L133)</f>
        <v>#DIV/0!</v>
      </c>
      <c r="BP133" s="60" t="e">
        <f>Links!S133</f>
        <v>#DIV/0!</v>
      </c>
      <c r="BQ133" s="60" t="e">
        <f>(Links!S133^2+'Off-Ramp'!C133^2)/(Links!S133+'Off-Ramp'!C133)</f>
        <v>#DIV/0!</v>
      </c>
      <c r="BR133" s="60" t="e">
        <f>Links!T133</f>
        <v>#DIV/0!</v>
      </c>
      <c r="BS133" s="60" t="e">
        <f>(Links!X133^2+'Off-Ramp'!V133^2+'Off-Ramp'!W133^2+'Off-Ramp'!X133^2)/(Links!X133+'Off-Ramp'!V133+'Off-Ramp'!W133+'Off-Ramp'!X133)</f>
        <v>#DIV/0!</v>
      </c>
      <c r="BT133" s="60" t="e">
        <f>(Links!Y133^2+'Off-Ramp'!Y133^2+'Off-Ramp'!Z133^2+'Off-Ramp'!AA133^2)/(Links!Y133+'Off-Ramp'!Y133+'Off-Ramp'!Z133+'Off-Ramp'!AA133)</f>
        <v>#DIV/0!</v>
      </c>
      <c r="BU133" s="60" t="e">
        <f>(Links!W133^2+'Off-Ramp'!P133^2)/(Links!W133+'Off-Ramp'!P133)</f>
        <v>#DIV/0!</v>
      </c>
      <c r="BV133" s="60" t="e">
        <f>(Links!Y133^2+'Off-Ramp'!Q133^2)/(Links!Y133+'Off-Ramp'!Q133)</f>
        <v>#DIV/0!</v>
      </c>
      <c r="BW133" s="60" t="e">
        <f>(Links!Z133^2+'Off-Ramp'!R133^2)/(Links!Z133+'Off-Ramp'!R133)</f>
        <v>#DIV/0!</v>
      </c>
      <c r="BX133" s="60" t="e">
        <f>(Links!AA133+'Off-Ramp'!S133)/(Links!AA133^2+'Off-Ramp'!S133^2)</f>
        <v>#DIV/0!</v>
      </c>
      <c r="BY133" s="60" t="e">
        <f>(Links!AB133^2+'Off-Ramp'!T133^2)/(Links!AB133+'Off-Ramp'!T133)</f>
        <v>#DIV/0!</v>
      </c>
      <c r="BZ133" s="60" t="e">
        <f>Links!AC133</f>
        <v>#DIV/0!</v>
      </c>
      <c r="CA133" s="60" t="e">
        <f>(Links!AD133^2+'Off-Ramp'!U133^2)/(Links!AD133+'Off-Ramp'!U133)</f>
        <v>#DIV/0!</v>
      </c>
    </row>
    <row r="134" spans="1:79" x14ac:dyDescent="0.15">
      <c r="A134" s="58">
        <v>132</v>
      </c>
      <c r="B134" s="59" t="e">
        <f t="shared" si="58"/>
        <v>#DIV/0!</v>
      </c>
      <c r="C134" s="59" t="e">
        <f t="shared" si="59"/>
        <v>#DIV/0!</v>
      </c>
      <c r="D134" s="59" t="e">
        <f t="shared" si="60"/>
        <v>#DIV/0!</v>
      </c>
      <c r="E134" s="59" t="e">
        <f t="shared" si="61"/>
        <v>#DIV/0!</v>
      </c>
      <c r="F134" s="59" t="e">
        <f t="shared" si="62"/>
        <v>#DIV/0!</v>
      </c>
      <c r="G134" s="59" t="e">
        <f t="shared" si="63"/>
        <v>#DIV/0!</v>
      </c>
      <c r="H134" s="59" t="e">
        <f t="shared" si="64"/>
        <v>#DIV/0!</v>
      </c>
      <c r="I134" s="59" t="e">
        <f t="shared" si="65"/>
        <v>#DIV/0!</v>
      </c>
      <c r="J134" s="59" t="e">
        <f t="shared" si="66"/>
        <v>#DIV/0!</v>
      </c>
      <c r="K134" s="59" t="e">
        <f t="shared" si="67"/>
        <v>#DIV/0!</v>
      </c>
      <c r="L134" s="59" t="e">
        <f t="shared" si="68"/>
        <v>#DIV/0!</v>
      </c>
      <c r="M134" s="59" t="e">
        <f t="shared" si="69"/>
        <v>#DIV/0!</v>
      </c>
      <c r="N134" s="59" t="e">
        <f t="shared" si="70"/>
        <v>#DIV/0!</v>
      </c>
      <c r="O134" s="60" t="e">
        <f>Links!B134</f>
        <v>#DIV/0!</v>
      </c>
      <c r="P134" s="60" t="e">
        <f>Links!C134+'On-Ramps'!AC134</f>
        <v>#DIV/0!</v>
      </c>
      <c r="Q134" s="60" t="e">
        <f>Links!D134</f>
        <v>#DIV/0!</v>
      </c>
      <c r="R134" s="60" t="e">
        <f>Links!E134+'On-Ramps'!AD134</f>
        <v>#DIV/0!</v>
      </c>
      <c r="S134" s="60" t="e">
        <f>Links!F134+'On-Ramps'!AE134</f>
        <v>#DIV/0!</v>
      </c>
      <c r="T134" s="60" t="e">
        <f>Links!G134+'On-Ramps'!AF134</f>
        <v>#DIV/0!</v>
      </c>
      <c r="U134" s="60" t="e">
        <f>Links!H134+'On-Ramps'!AG134</f>
        <v>#DIV/0!</v>
      </c>
      <c r="V134" s="60" t="e">
        <f>Links!J134+'On-Ramps'!AH134</f>
        <v>#DIV/0!</v>
      </c>
      <c r="W134" s="60" t="e">
        <f>Links!K134+'On-Ramps'!AI134</f>
        <v>#DIV/0!</v>
      </c>
      <c r="X134" s="60" t="e">
        <f>Links!L134+'On-Ramps'!AJ134</f>
        <v>#DIV/0!</v>
      </c>
      <c r="Y134" s="60" t="e">
        <f>Links!M134</f>
        <v>#DIV/0!</v>
      </c>
      <c r="Z134" s="60" t="e">
        <f>Links!N134+'On-Ramps'!AK134</f>
        <v>#DIV/0!</v>
      </c>
      <c r="AA134" s="60" t="e">
        <f>Links!O134</f>
        <v>#DIV/0!</v>
      </c>
      <c r="AB134" s="59" t="e">
        <f t="shared" si="71"/>
        <v>#DIV/0!</v>
      </c>
      <c r="AC134" s="65"/>
      <c r="AD134" s="59" t="e">
        <f t="shared" si="72"/>
        <v>#DIV/0!</v>
      </c>
      <c r="AE134" s="65"/>
      <c r="AF134" s="59" t="e">
        <f t="shared" si="73"/>
        <v>#DIV/0!</v>
      </c>
      <c r="AG134" s="59" t="e">
        <f t="shared" si="74"/>
        <v>#DIV/0!</v>
      </c>
      <c r="AH134" s="59" t="e">
        <f t="shared" si="75"/>
        <v>#DIV/0!</v>
      </c>
      <c r="AI134" s="59" t="e">
        <f t="shared" si="76"/>
        <v>#DIV/0!</v>
      </c>
      <c r="AJ134" s="59" t="e">
        <f t="shared" si="77"/>
        <v>#DIV/0!</v>
      </c>
      <c r="AK134" s="59" t="e">
        <f t="shared" si="78"/>
        <v>#DIV/0!</v>
      </c>
      <c r="AL134" s="59" t="e">
        <f t="shared" si="79"/>
        <v>#DIV/0!</v>
      </c>
      <c r="AM134" s="65"/>
      <c r="AN134" s="59" t="e">
        <f t="shared" si="54"/>
        <v>#DIV/0!</v>
      </c>
      <c r="AO134" s="60" t="e">
        <f t="shared" si="57"/>
        <v>#DIV/0!</v>
      </c>
      <c r="AP134" s="65"/>
      <c r="AQ134" s="60" t="e">
        <f t="shared" si="56"/>
        <v>#DIV/0!</v>
      </c>
      <c r="AR134" s="65"/>
      <c r="AS134" s="60" t="e">
        <f t="shared" si="56"/>
        <v>#DIV/0!</v>
      </c>
      <c r="AT134" s="60" t="e">
        <f t="shared" si="56"/>
        <v>#DIV/0!</v>
      </c>
      <c r="AU134" s="60" t="e">
        <f t="shared" si="56"/>
        <v>#DIV/0!</v>
      </c>
      <c r="AV134" s="60" t="e">
        <f t="shared" si="56"/>
        <v>#DIV/0!</v>
      </c>
      <c r="AW134" s="60" t="e">
        <f t="shared" si="56"/>
        <v>#DIV/0!</v>
      </c>
      <c r="AX134" s="60" t="e">
        <f t="shared" si="56"/>
        <v>#DIV/0!</v>
      </c>
      <c r="AY134" s="60" t="e">
        <f t="shared" si="56"/>
        <v>#DIV/0!</v>
      </c>
      <c r="AZ134" s="65"/>
      <c r="BA134" s="60" t="e">
        <f t="shared" si="56"/>
        <v>#DIV/0!</v>
      </c>
      <c r="BB134" s="59" t="e">
        <f>Links!AF134</f>
        <v>#DIV/0!</v>
      </c>
      <c r="BC134" s="59" t="e">
        <f>(Links!AG134*Links!C134+'On-Ramps'!AC134*'On-Ramps'!CE134)/('On-Ramps'!AC134+Links!C134)</f>
        <v>#DIV/0!</v>
      </c>
      <c r="BD134" s="59" t="e">
        <f>Links!AH134</f>
        <v>#DIV/0!</v>
      </c>
      <c r="BE134" s="59" t="e">
        <f>(Links!AI134*Links!E134+'On-Ramps'!AD134*'On-Ramps'!CF133)/('On-Ramps'!AD134+Links!E134)</f>
        <v>#DIV/0!</v>
      </c>
      <c r="BF134" s="59" t="e">
        <f>(Links!F134*Links!AJ134+'On-Ramps'!AE134*'On-Ramps'!CG134)/('On-Ramps'!AE134+Links!F134)</f>
        <v>#DIV/0!</v>
      </c>
      <c r="BG134" s="59" t="e">
        <f>(Links!G134*Links!AK134+'On-Ramps'!AF134*'On-Ramps'!CH134)/('On-Ramps'!AF134+Links!G134)</f>
        <v>#DIV/0!</v>
      </c>
      <c r="BH134" s="59" t="e">
        <f>(Links!H134*Links!AL134+'On-Ramps'!AG134*'On-Ramps'!CI134)/('On-Ramps'!AG134+Links!H134)</f>
        <v>#DIV/0!</v>
      </c>
      <c r="BI134" s="59" t="e">
        <f>(Links!J134*Links!AN134+'On-Ramps'!AH134*'On-Ramps'!CJ134)/('On-Ramps'!AH134+Links!J134)</f>
        <v>#DIV/0!</v>
      </c>
      <c r="BJ134" s="59" t="e">
        <f>(Links!K134*Links!AO134+'On-Ramps'!AI134*'On-Ramps'!CK134)/('On-Ramps'!AI134+Links!K134)</f>
        <v>#DIV/0!</v>
      </c>
      <c r="BK134" s="59" t="e">
        <f>(Links!L134*Links!AP134+'On-Ramps'!AJ134*'On-Ramps'!CL134)/(Links!L134+'On-Ramps'!AJ134)</f>
        <v>#DIV/0!</v>
      </c>
      <c r="BL134" s="59" t="e">
        <f>Links!AQ134</f>
        <v>#DIV/0!</v>
      </c>
      <c r="BM134" s="59" t="e">
        <f>(Links!N134*Links!AR134+'On-Ramps'!AL134*'On-Ramps'!CM134)/(Links!N134+'On-Ramps'!AL134)</f>
        <v>#DIV/0!</v>
      </c>
      <c r="BN134" s="59" t="e">
        <f>Links!AS134</f>
        <v>#DIV/0!</v>
      </c>
      <c r="BO134" s="60" t="e">
        <f>(Links!R134^2+'Off-Ramp'!L134^2)/(Links!R134+'Off-Ramp'!L134)</f>
        <v>#DIV/0!</v>
      </c>
      <c r="BP134" s="60" t="e">
        <f>Links!S134</f>
        <v>#DIV/0!</v>
      </c>
      <c r="BQ134" s="60" t="e">
        <f>(Links!S134^2+'Off-Ramp'!C134^2)/(Links!S134+'Off-Ramp'!C134)</f>
        <v>#DIV/0!</v>
      </c>
      <c r="BR134" s="60" t="e">
        <f>Links!T134</f>
        <v>#DIV/0!</v>
      </c>
      <c r="BS134" s="60" t="e">
        <f>(Links!X134^2+'Off-Ramp'!V134^2+'Off-Ramp'!W134^2+'Off-Ramp'!X134^2)/(Links!X134+'Off-Ramp'!V134+'Off-Ramp'!W134+'Off-Ramp'!X134)</f>
        <v>#DIV/0!</v>
      </c>
      <c r="BT134" s="60" t="e">
        <f>(Links!Y134^2+'Off-Ramp'!Y134^2+'Off-Ramp'!Z134^2+'Off-Ramp'!AA134^2)/(Links!Y134+'Off-Ramp'!Y134+'Off-Ramp'!Z134+'Off-Ramp'!AA134)</f>
        <v>#DIV/0!</v>
      </c>
      <c r="BU134" s="60" t="e">
        <f>(Links!W134^2+'Off-Ramp'!P134^2)/(Links!W134+'Off-Ramp'!P134)</f>
        <v>#DIV/0!</v>
      </c>
      <c r="BV134" s="60" t="e">
        <f>(Links!Y134^2+'Off-Ramp'!Q134^2)/(Links!Y134+'Off-Ramp'!Q134)</f>
        <v>#DIV/0!</v>
      </c>
      <c r="BW134" s="60" t="e">
        <f>(Links!Z134^2+'Off-Ramp'!R134^2)/(Links!Z134+'Off-Ramp'!R134)</f>
        <v>#DIV/0!</v>
      </c>
      <c r="BX134" s="60" t="e">
        <f>(Links!AA134+'Off-Ramp'!S134)/(Links!AA134^2+'Off-Ramp'!S134^2)</f>
        <v>#DIV/0!</v>
      </c>
      <c r="BY134" s="60" t="e">
        <f>(Links!AB134^2+'Off-Ramp'!T134^2)/(Links!AB134+'Off-Ramp'!T134)</f>
        <v>#DIV/0!</v>
      </c>
      <c r="BZ134" s="60" t="e">
        <f>Links!AC134</f>
        <v>#DIV/0!</v>
      </c>
      <c r="CA134" s="60" t="e">
        <f>(Links!AD134^2+'Off-Ramp'!U134^2)/(Links!AD134+'Off-Ramp'!U134)</f>
        <v>#DIV/0!</v>
      </c>
    </row>
    <row r="135" spans="1:79" x14ac:dyDescent="0.15">
      <c r="A135" s="58">
        <v>133</v>
      </c>
      <c r="B135" s="59" t="e">
        <f t="shared" si="58"/>
        <v>#DIV/0!</v>
      </c>
      <c r="C135" s="59" t="e">
        <f t="shared" si="59"/>
        <v>#DIV/0!</v>
      </c>
      <c r="D135" s="59" t="e">
        <f t="shared" si="60"/>
        <v>#DIV/0!</v>
      </c>
      <c r="E135" s="59" t="e">
        <f t="shared" si="61"/>
        <v>#DIV/0!</v>
      </c>
      <c r="F135" s="59" t="e">
        <f t="shared" si="62"/>
        <v>#DIV/0!</v>
      </c>
      <c r="G135" s="59" t="e">
        <f t="shared" si="63"/>
        <v>#DIV/0!</v>
      </c>
      <c r="H135" s="59" t="e">
        <f t="shared" si="64"/>
        <v>#DIV/0!</v>
      </c>
      <c r="I135" s="59" t="e">
        <f t="shared" si="65"/>
        <v>#DIV/0!</v>
      </c>
      <c r="J135" s="59" t="e">
        <f t="shared" si="66"/>
        <v>#DIV/0!</v>
      </c>
      <c r="K135" s="59" t="e">
        <f t="shared" si="67"/>
        <v>#DIV/0!</v>
      </c>
      <c r="L135" s="59" t="e">
        <f t="shared" si="68"/>
        <v>#DIV/0!</v>
      </c>
      <c r="M135" s="59" t="e">
        <f t="shared" si="69"/>
        <v>#DIV/0!</v>
      </c>
      <c r="N135" s="59" t="e">
        <f t="shared" si="70"/>
        <v>#DIV/0!</v>
      </c>
      <c r="O135" s="60" t="e">
        <f>Links!B135</f>
        <v>#DIV/0!</v>
      </c>
      <c r="P135" s="60" t="e">
        <f>Links!C135+'On-Ramps'!AC135</f>
        <v>#DIV/0!</v>
      </c>
      <c r="Q135" s="60" t="e">
        <f>Links!D135</f>
        <v>#DIV/0!</v>
      </c>
      <c r="R135" s="60" t="e">
        <f>Links!E135+'On-Ramps'!AD135</f>
        <v>#DIV/0!</v>
      </c>
      <c r="S135" s="60" t="e">
        <f>Links!F135+'On-Ramps'!AE135</f>
        <v>#DIV/0!</v>
      </c>
      <c r="T135" s="60" t="e">
        <f>Links!G135+'On-Ramps'!AF135</f>
        <v>#DIV/0!</v>
      </c>
      <c r="U135" s="60" t="e">
        <f>Links!H135+'On-Ramps'!AG135</f>
        <v>#DIV/0!</v>
      </c>
      <c r="V135" s="60" t="e">
        <f>Links!J135+'On-Ramps'!AH135</f>
        <v>#DIV/0!</v>
      </c>
      <c r="W135" s="60" t="e">
        <f>Links!K135+'On-Ramps'!AI135</f>
        <v>#DIV/0!</v>
      </c>
      <c r="X135" s="60" t="e">
        <f>Links!L135+'On-Ramps'!AJ135</f>
        <v>#DIV/0!</v>
      </c>
      <c r="Y135" s="60" t="e">
        <f>Links!M135</f>
        <v>#DIV/0!</v>
      </c>
      <c r="Z135" s="60" t="e">
        <f>Links!N135+'On-Ramps'!AK135</f>
        <v>#DIV/0!</v>
      </c>
      <c r="AA135" s="60" t="e">
        <f>Links!O135</f>
        <v>#DIV/0!</v>
      </c>
      <c r="AB135" s="59" t="e">
        <f t="shared" si="71"/>
        <v>#DIV/0!</v>
      </c>
      <c r="AC135" s="65"/>
      <c r="AD135" s="59" t="e">
        <f t="shared" si="72"/>
        <v>#DIV/0!</v>
      </c>
      <c r="AE135" s="65"/>
      <c r="AF135" s="59" t="e">
        <f t="shared" si="73"/>
        <v>#DIV/0!</v>
      </c>
      <c r="AG135" s="59" t="e">
        <f t="shared" si="74"/>
        <v>#DIV/0!</v>
      </c>
      <c r="AH135" s="59" t="e">
        <f t="shared" si="75"/>
        <v>#DIV/0!</v>
      </c>
      <c r="AI135" s="59" t="e">
        <f t="shared" si="76"/>
        <v>#DIV/0!</v>
      </c>
      <c r="AJ135" s="59" t="e">
        <f t="shared" si="77"/>
        <v>#DIV/0!</v>
      </c>
      <c r="AK135" s="59" t="e">
        <f t="shared" si="78"/>
        <v>#DIV/0!</v>
      </c>
      <c r="AL135" s="59" t="e">
        <f t="shared" si="79"/>
        <v>#DIV/0!</v>
      </c>
      <c r="AM135" s="65"/>
      <c r="AN135" s="59" t="e">
        <f t="shared" si="54"/>
        <v>#DIV/0!</v>
      </c>
      <c r="AO135" s="60" t="e">
        <f t="shared" si="57"/>
        <v>#DIV/0!</v>
      </c>
      <c r="AP135" s="65"/>
      <c r="AQ135" s="60" t="e">
        <f t="shared" si="56"/>
        <v>#DIV/0!</v>
      </c>
      <c r="AR135" s="65"/>
      <c r="AS135" s="60" t="e">
        <f t="shared" si="56"/>
        <v>#DIV/0!</v>
      </c>
      <c r="AT135" s="60" t="e">
        <f t="shared" si="56"/>
        <v>#DIV/0!</v>
      </c>
      <c r="AU135" s="60" t="e">
        <f t="shared" si="56"/>
        <v>#DIV/0!</v>
      </c>
      <c r="AV135" s="60" t="e">
        <f t="shared" si="56"/>
        <v>#DIV/0!</v>
      </c>
      <c r="AW135" s="60" t="e">
        <f t="shared" si="56"/>
        <v>#DIV/0!</v>
      </c>
      <c r="AX135" s="60" t="e">
        <f t="shared" si="56"/>
        <v>#DIV/0!</v>
      </c>
      <c r="AY135" s="60" t="e">
        <f t="shared" si="56"/>
        <v>#DIV/0!</v>
      </c>
      <c r="AZ135" s="65"/>
      <c r="BA135" s="60" t="e">
        <f t="shared" si="56"/>
        <v>#DIV/0!</v>
      </c>
      <c r="BB135" s="59" t="e">
        <f>Links!AF135</f>
        <v>#DIV/0!</v>
      </c>
      <c r="BC135" s="59" t="e">
        <f>(Links!AG135*Links!C135+'On-Ramps'!AC135*'On-Ramps'!CE135)/('On-Ramps'!AC135+Links!C135)</f>
        <v>#DIV/0!</v>
      </c>
      <c r="BD135" s="59" t="e">
        <f>Links!AH135</f>
        <v>#DIV/0!</v>
      </c>
      <c r="BE135" s="59" t="e">
        <f>(Links!AI135*Links!E135+'On-Ramps'!AD135*'On-Ramps'!CF134)/('On-Ramps'!AD135+Links!E135)</f>
        <v>#DIV/0!</v>
      </c>
      <c r="BF135" s="59" t="e">
        <f>(Links!F135*Links!AJ135+'On-Ramps'!AE135*'On-Ramps'!CG135)/('On-Ramps'!AE135+Links!F135)</f>
        <v>#DIV/0!</v>
      </c>
      <c r="BG135" s="59" t="e">
        <f>(Links!G135*Links!AK135+'On-Ramps'!AF135*'On-Ramps'!CH135)/('On-Ramps'!AF135+Links!G135)</f>
        <v>#DIV/0!</v>
      </c>
      <c r="BH135" s="59" t="e">
        <f>(Links!H135*Links!AL135+'On-Ramps'!AG135*'On-Ramps'!CI135)/('On-Ramps'!AG135+Links!H135)</f>
        <v>#DIV/0!</v>
      </c>
      <c r="BI135" s="59" t="e">
        <f>(Links!J135*Links!AN135+'On-Ramps'!AH135*'On-Ramps'!CJ135)/('On-Ramps'!AH135+Links!J135)</f>
        <v>#DIV/0!</v>
      </c>
      <c r="BJ135" s="59" t="e">
        <f>(Links!K135*Links!AO135+'On-Ramps'!AI135*'On-Ramps'!CK135)/('On-Ramps'!AI135+Links!K135)</f>
        <v>#DIV/0!</v>
      </c>
      <c r="BK135" s="59" t="e">
        <f>(Links!L135*Links!AP135+'On-Ramps'!AJ135*'On-Ramps'!CL135)/(Links!L135+'On-Ramps'!AJ135)</f>
        <v>#DIV/0!</v>
      </c>
      <c r="BL135" s="59" t="e">
        <f>Links!AQ135</f>
        <v>#DIV/0!</v>
      </c>
      <c r="BM135" s="59" t="e">
        <f>(Links!N135*Links!AR135+'On-Ramps'!AL135*'On-Ramps'!CM135)/(Links!N135+'On-Ramps'!AL135)</f>
        <v>#DIV/0!</v>
      </c>
      <c r="BN135" s="59" t="e">
        <f>Links!AS135</f>
        <v>#DIV/0!</v>
      </c>
      <c r="BO135" s="60" t="e">
        <f>(Links!R135^2+'Off-Ramp'!L135^2)/(Links!R135+'Off-Ramp'!L135)</f>
        <v>#DIV/0!</v>
      </c>
      <c r="BP135" s="60" t="e">
        <f>Links!S135</f>
        <v>#DIV/0!</v>
      </c>
      <c r="BQ135" s="60" t="e">
        <f>(Links!S135^2+'Off-Ramp'!C135^2)/(Links!S135+'Off-Ramp'!C135)</f>
        <v>#DIV/0!</v>
      </c>
      <c r="BR135" s="60" t="e">
        <f>Links!T135</f>
        <v>#DIV/0!</v>
      </c>
      <c r="BS135" s="60" t="e">
        <f>(Links!X135^2+'Off-Ramp'!V135^2+'Off-Ramp'!W135^2+'Off-Ramp'!X135^2)/(Links!X135+'Off-Ramp'!V135+'Off-Ramp'!W135+'Off-Ramp'!X135)</f>
        <v>#DIV/0!</v>
      </c>
      <c r="BT135" s="60" t="e">
        <f>(Links!Y135^2+'Off-Ramp'!Y135^2+'Off-Ramp'!Z135^2+'Off-Ramp'!AA135^2)/(Links!Y135+'Off-Ramp'!Y135+'Off-Ramp'!Z135+'Off-Ramp'!AA135)</f>
        <v>#DIV/0!</v>
      </c>
      <c r="BU135" s="60" t="e">
        <f>(Links!W135^2+'Off-Ramp'!P135^2)/(Links!W135+'Off-Ramp'!P135)</f>
        <v>#DIV/0!</v>
      </c>
      <c r="BV135" s="60" t="e">
        <f>(Links!Y135^2+'Off-Ramp'!Q135^2)/(Links!Y135+'Off-Ramp'!Q135)</f>
        <v>#DIV/0!</v>
      </c>
      <c r="BW135" s="60" t="e">
        <f>(Links!Z135^2+'Off-Ramp'!R135^2)/(Links!Z135+'Off-Ramp'!R135)</f>
        <v>#DIV/0!</v>
      </c>
      <c r="BX135" s="60" t="e">
        <f>(Links!AA135+'Off-Ramp'!S135)/(Links!AA135^2+'Off-Ramp'!S135^2)</f>
        <v>#DIV/0!</v>
      </c>
      <c r="BY135" s="60" t="e">
        <f>(Links!AB135^2+'Off-Ramp'!T135^2)/(Links!AB135+'Off-Ramp'!T135)</f>
        <v>#DIV/0!</v>
      </c>
      <c r="BZ135" s="60" t="e">
        <f>Links!AC135</f>
        <v>#DIV/0!</v>
      </c>
      <c r="CA135" s="60" t="e">
        <f>(Links!AD135^2+'Off-Ramp'!U135^2)/(Links!AD135+'Off-Ramp'!U135)</f>
        <v>#DIV/0!</v>
      </c>
    </row>
    <row r="136" spans="1:79" x14ac:dyDescent="0.15">
      <c r="A136" s="58">
        <v>134</v>
      </c>
      <c r="B136" s="59" t="e">
        <f t="shared" si="58"/>
        <v>#DIV/0!</v>
      </c>
      <c r="C136" s="59" t="e">
        <f t="shared" si="59"/>
        <v>#DIV/0!</v>
      </c>
      <c r="D136" s="59" t="e">
        <f t="shared" si="60"/>
        <v>#DIV/0!</v>
      </c>
      <c r="E136" s="59" t="e">
        <f t="shared" si="61"/>
        <v>#DIV/0!</v>
      </c>
      <c r="F136" s="59" t="e">
        <f t="shared" si="62"/>
        <v>#DIV/0!</v>
      </c>
      <c r="G136" s="59" t="e">
        <f t="shared" si="63"/>
        <v>#DIV/0!</v>
      </c>
      <c r="H136" s="59" t="e">
        <f t="shared" si="64"/>
        <v>#DIV/0!</v>
      </c>
      <c r="I136" s="59" t="e">
        <f t="shared" si="65"/>
        <v>#DIV/0!</v>
      </c>
      <c r="J136" s="59" t="e">
        <f t="shared" si="66"/>
        <v>#DIV/0!</v>
      </c>
      <c r="K136" s="59" t="e">
        <f t="shared" si="67"/>
        <v>#DIV/0!</v>
      </c>
      <c r="L136" s="59" t="e">
        <f t="shared" si="68"/>
        <v>#DIV/0!</v>
      </c>
      <c r="M136" s="59" t="e">
        <f t="shared" si="69"/>
        <v>#DIV/0!</v>
      </c>
      <c r="N136" s="59" t="e">
        <f t="shared" si="70"/>
        <v>#DIV/0!</v>
      </c>
      <c r="O136" s="60" t="e">
        <f>Links!B136</f>
        <v>#DIV/0!</v>
      </c>
      <c r="P136" s="60" t="e">
        <f>Links!C136+'On-Ramps'!AC136</f>
        <v>#DIV/0!</v>
      </c>
      <c r="Q136" s="60" t="e">
        <f>Links!D136</f>
        <v>#DIV/0!</v>
      </c>
      <c r="R136" s="60" t="e">
        <f>Links!E136+'On-Ramps'!AD136</f>
        <v>#DIV/0!</v>
      </c>
      <c r="S136" s="60" t="e">
        <f>Links!F136+'On-Ramps'!AE136</f>
        <v>#DIV/0!</v>
      </c>
      <c r="T136" s="60" t="e">
        <f>Links!G136+'On-Ramps'!AF136</f>
        <v>#DIV/0!</v>
      </c>
      <c r="U136" s="60" t="e">
        <f>Links!H136+'On-Ramps'!AG136</f>
        <v>#DIV/0!</v>
      </c>
      <c r="V136" s="60" t="e">
        <f>Links!J136+'On-Ramps'!AH136</f>
        <v>#DIV/0!</v>
      </c>
      <c r="W136" s="60" t="e">
        <f>Links!K136+'On-Ramps'!AI136</f>
        <v>#DIV/0!</v>
      </c>
      <c r="X136" s="60" t="e">
        <f>Links!L136+'On-Ramps'!AJ136</f>
        <v>#DIV/0!</v>
      </c>
      <c r="Y136" s="60" t="e">
        <f>Links!M136</f>
        <v>#DIV/0!</v>
      </c>
      <c r="Z136" s="60" t="e">
        <f>Links!N136+'On-Ramps'!AK136</f>
        <v>#DIV/0!</v>
      </c>
      <c r="AA136" s="60" t="e">
        <f>Links!O136</f>
        <v>#DIV/0!</v>
      </c>
      <c r="AB136" s="59" t="e">
        <f t="shared" si="71"/>
        <v>#DIV/0!</v>
      </c>
      <c r="AC136" s="65"/>
      <c r="AD136" s="59" t="e">
        <f t="shared" si="72"/>
        <v>#DIV/0!</v>
      </c>
      <c r="AE136" s="65"/>
      <c r="AF136" s="59" t="e">
        <f t="shared" si="73"/>
        <v>#DIV/0!</v>
      </c>
      <c r="AG136" s="59" t="e">
        <f t="shared" si="74"/>
        <v>#DIV/0!</v>
      </c>
      <c r="AH136" s="59" t="e">
        <f t="shared" si="75"/>
        <v>#DIV/0!</v>
      </c>
      <c r="AI136" s="59" t="e">
        <f t="shared" si="76"/>
        <v>#DIV/0!</v>
      </c>
      <c r="AJ136" s="59" t="e">
        <f t="shared" si="77"/>
        <v>#DIV/0!</v>
      </c>
      <c r="AK136" s="59" t="e">
        <f t="shared" si="78"/>
        <v>#DIV/0!</v>
      </c>
      <c r="AL136" s="59" t="e">
        <f t="shared" si="79"/>
        <v>#DIV/0!</v>
      </c>
      <c r="AM136" s="65"/>
      <c r="AN136" s="59" t="e">
        <f t="shared" si="54"/>
        <v>#DIV/0!</v>
      </c>
      <c r="AO136" s="60" t="e">
        <f t="shared" si="57"/>
        <v>#DIV/0!</v>
      </c>
      <c r="AP136" s="65"/>
      <c r="AQ136" s="60" t="e">
        <f t="shared" si="56"/>
        <v>#DIV/0!</v>
      </c>
      <c r="AR136" s="65"/>
      <c r="AS136" s="60" t="e">
        <f t="shared" si="56"/>
        <v>#DIV/0!</v>
      </c>
      <c r="AT136" s="60" t="e">
        <f t="shared" si="56"/>
        <v>#DIV/0!</v>
      </c>
      <c r="AU136" s="60" t="e">
        <f t="shared" si="56"/>
        <v>#DIV/0!</v>
      </c>
      <c r="AV136" s="60" t="e">
        <f t="shared" si="56"/>
        <v>#DIV/0!</v>
      </c>
      <c r="AW136" s="60" t="e">
        <f t="shared" si="56"/>
        <v>#DIV/0!</v>
      </c>
      <c r="AX136" s="60" t="e">
        <f t="shared" si="56"/>
        <v>#DIV/0!</v>
      </c>
      <c r="AY136" s="60" t="e">
        <f t="shared" si="56"/>
        <v>#DIV/0!</v>
      </c>
      <c r="AZ136" s="65"/>
      <c r="BA136" s="60" t="e">
        <f t="shared" si="56"/>
        <v>#DIV/0!</v>
      </c>
      <c r="BB136" s="59" t="e">
        <f>Links!AF136</f>
        <v>#DIV/0!</v>
      </c>
      <c r="BC136" s="59" t="e">
        <f>(Links!AG136*Links!C136+'On-Ramps'!AC136*'On-Ramps'!CE136)/('On-Ramps'!AC136+Links!C136)</f>
        <v>#DIV/0!</v>
      </c>
      <c r="BD136" s="59" t="e">
        <f>Links!AH136</f>
        <v>#DIV/0!</v>
      </c>
      <c r="BE136" s="59" t="e">
        <f>(Links!AI136*Links!E136+'On-Ramps'!AD136*'On-Ramps'!CF135)/('On-Ramps'!AD136+Links!E136)</f>
        <v>#DIV/0!</v>
      </c>
      <c r="BF136" s="59" t="e">
        <f>(Links!F136*Links!AJ136+'On-Ramps'!AE136*'On-Ramps'!CG136)/('On-Ramps'!AE136+Links!F136)</f>
        <v>#DIV/0!</v>
      </c>
      <c r="BG136" s="59" t="e">
        <f>(Links!G136*Links!AK136+'On-Ramps'!AF136*'On-Ramps'!CH136)/('On-Ramps'!AF136+Links!G136)</f>
        <v>#DIV/0!</v>
      </c>
      <c r="BH136" s="59" t="e">
        <f>(Links!H136*Links!AL136+'On-Ramps'!AG136*'On-Ramps'!CI136)/('On-Ramps'!AG136+Links!H136)</f>
        <v>#DIV/0!</v>
      </c>
      <c r="BI136" s="59" t="e">
        <f>(Links!J136*Links!AN136+'On-Ramps'!AH136*'On-Ramps'!CJ136)/('On-Ramps'!AH136+Links!J136)</f>
        <v>#DIV/0!</v>
      </c>
      <c r="BJ136" s="59" t="e">
        <f>(Links!K136*Links!AO136+'On-Ramps'!AI136*'On-Ramps'!CK136)/('On-Ramps'!AI136+Links!K136)</f>
        <v>#DIV/0!</v>
      </c>
      <c r="BK136" s="59" t="e">
        <f>(Links!L136*Links!AP136+'On-Ramps'!AJ136*'On-Ramps'!CL136)/(Links!L136+'On-Ramps'!AJ136)</f>
        <v>#DIV/0!</v>
      </c>
      <c r="BL136" s="59" t="e">
        <f>Links!AQ136</f>
        <v>#DIV/0!</v>
      </c>
      <c r="BM136" s="59" t="e">
        <f>(Links!N136*Links!AR136+'On-Ramps'!AL136*'On-Ramps'!CM136)/(Links!N136+'On-Ramps'!AL136)</f>
        <v>#DIV/0!</v>
      </c>
      <c r="BN136" s="59" t="e">
        <f>Links!AS136</f>
        <v>#DIV/0!</v>
      </c>
      <c r="BO136" s="60" t="e">
        <f>(Links!R136^2+'Off-Ramp'!L136^2)/(Links!R136+'Off-Ramp'!L136)</f>
        <v>#DIV/0!</v>
      </c>
      <c r="BP136" s="60" t="e">
        <f>Links!S136</f>
        <v>#DIV/0!</v>
      </c>
      <c r="BQ136" s="60" t="e">
        <f>(Links!S136^2+'Off-Ramp'!C136^2)/(Links!S136+'Off-Ramp'!C136)</f>
        <v>#DIV/0!</v>
      </c>
      <c r="BR136" s="60" t="e">
        <f>Links!T136</f>
        <v>#DIV/0!</v>
      </c>
      <c r="BS136" s="60" t="e">
        <f>(Links!X136^2+'Off-Ramp'!V136^2+'Off-Ramp'!W136^2+'Off-Ramp'!X136^2)/(Links!X136+'Off-Ramp'!V136+'Off-Ramp'!W136+'Off-Ramp'!X136)</f>
        <v>#DIV/0!</v>
      </c>
      <c r="BT136" s="60" t="e">
        <f>(Links!Y136^2+'Off-Ramp'!Y136^2+'Off-Ramp'!Z136^2+'Off-Ramp'!AA136^2)/(Links!Y136+'Off-Ramp'!Y136+'Off-Ramp'!Z136+'Off-Ramp'!AA136)</f>
        <v>#DIV/0!</v>
      </c>
      <c r="BU136" s="60" t="e">
        <f>(Links!W136^2+'Off-Ramp'!P136^2)/(Links!W136+'Off-Ramp'!P136)</f>
        <v>#DIV/0!</v>
      </c>
      <c r="BV136" s="60" t="e">
        <f>(Links!Y136^2+'Off-Ramp'!Q136^2)/(Links!Y136+'Off-Ramp'!Q136)</f>
        <v>#DIV/0!</v>
      </c>
      <c r="BW136" s="60" t="e">
        <f>(Links!Z136^2+'Off-Ramp'!R136^2)/(Links!Z136+'Off-Ramp'!R136)</f>
        <v>#DIV/0!</v>
      </c>
      <c r="BX136" s="60" t="e">
        <f>(Links!AA136+'Off-Ramp'!S136)/(Links!AA136^2+'Off-Ramp'!S136^2)</f>
        <v>#DIV/0!</v>
      </c>
      <c r="BY136" s="60" t="e">
        <f>(Links!AB136^2+'Off-Ramp'!T136^2)/(Links!AB136+'Off-Ramp'!T136)</f>
        <v>#DIV/0!</v>
      </c>
      <c r="BZ136" s="60" t="e">
        <f>Links!AC136</f>
        <v>#DIV/0!</v>
      </c>
      <c r="CA136" s="60" t="e">
        <f>(Links!AD136^2+'Off-Ramp'!U136^2)/(Links!AD136+'Off-Ramp'!U136)</f>
        <v>#DIV/0!</v>
      </c>
    </row>
    <row r="137" spans="1:79" x14ac:dyDescent="0.15">
      <c r="A137" s="58">
        <v>135</v>
      </c>
      <c r="B137" s="59" t="e">
        <f t="shared" si="58"/>
        <v>#DIV/0!</v>
      </c>
      <c r="C137" s="59" t="e">
        <f t="shared" si="59"/>
        <v>#DIV/0!</v>
      </c>
      <c r="D137" s="59" t="e">
        <f t="shared" si="60"/>
        <v>#DIV/0!</v>
      </c>
      <c r="E137" s="59" t="e">
        <f t="shared" si="61"/>
        <v>#DIV/0!</v>
      </c>
      <c r="F137" s="59" t="e">
        <f t="shared" si="62"/>
        <v>#DIV/0!</v>
      </c>
      <c r="G137" s="59" t="e">
        <f t="shared" si="63"/>
        <v>#DIV/0!</v>
      </c>
      <c r="H137" s="59" t="e">
        <f t="shared" si="64"/>
        <v>#DIV/0!</v>
      </c>
      <c r="I137" s="59" t="e">
        <f t="shared" si="65"/>
        <v>#DIV/0!</v>
      </c>
      <c r="J137" s="59" t="e">
        <f t="shared" si="66"/>
        <v>#DIV/0!</v>
      </c>
      <c r="K137" s="59" t="e">
        <f t="shared" si="67"/>
        <v>#DIV/0!</v>
      </c>
      <c r="L137" s="59" t="e">
        <f t="shared" si="68"/>
        <v>#DIV/0!</v>
      </c>
      <c r="M137" s="59" t="e">
        <f t="shared" si="69"/>
        <v>#DIV/0!</v>
      </c>
      <c r="N137" s="59" t="e">
        <f t="shared" si="70"/>
        <v>#DIV/0!</v>
      </c>
      <c r="O137" s="60" t="e">
        <f>Links!B137</f>
        <v>#DIV/0!</v>
      </c>
      <c r="P137" s="60" t="e">
        <f>Links!C137+'On-Ramps'!AC137</f>
        <v>#DIV/0!</v>
      </c>
      <c r="Q137" s="60" t="e">
        <f>Links!D137</f>
        <v>#DIV/0!</v>
      </c>
      <c r="R137" s="60" t="e">
        <f>Links!E137+'On-Ramps'!AD137</f>
        <v>#DIV/0!</v>
      </c>
      <c r="S137" s="60" t="e">
        <f>Links!F137+'On-Ramps'!AE137</f>
        <v>#DIV/0!</v>
      </c>
      <c r="T137" s="60" t="e">
        <f>Links!G137+'On-Ramps'!AF137</f>
        <v>#DIV/0!</v>
      </c>
      <c r="U137" s="60" t="e">
        <f>Links!H137+'On-Ramps'!AG137</f>
        <v>#DIV/0!</v>
      </c>
      <c r="V137" s="60" t="e">
        <f>Links!J137+'On-Ramps'!AH137</f>
        <v>#DIV/0!</v>
      </c>
      <c r="W137" s="60" t="e">
        <f>Links!K137+'On-Ramps'!AI137</f>
        <v>#DIV/0!</v>
      </c>
      <c r="X137" s="60" t="e">
        <f>Links!L137+'On-Ramps'!AJ137</f>
        <v>#DIV/0!</v>
      </c>
      <c r="Y137" s="60" t="e">
        <f>Links!M137</f>
        <v>#DIV/0!</v>
      </c>
      <c r="Z137" s="60" t="e">
        <f>Links!N137+'On-Ramps'!AK137</f>
        <v>#DIV/0!</v>
      </c>
      <c r="AA137" s="60" t="e">
        <f>Links!O137</f>
        <v>#DIV/0!</v>
      </c>
      <c r="AB137" s="59" t="e">
        <f t="shared" si="71"/>
        <v>#DIV/0!</v>
      </c>
      <c r="AC137" s="65"/>
      <c r="AD137" s="59" t="e">
        <f t="shared" si="72"/>
        <v>#DIV/0!</v>
      </c>
      <c r="AE137" s="65"/>
      <c r="AF137" s="59" t="e">
        <f t="shared" si="73"/>
        <v>#DIV/0!</v>
      </c>
      <c r="AG137" s="59" t="e">
        <f t="shared" si="74"/>
        <v>#DIV/0!</v>
      </c>
      <c r="AH137" s="59" t="e">
        <f t="shared" si="75"/>
        <v>#DIV/0!</v>
      </c>
      <c r="AI137" s="59" t="e">
        <f t="shared" si="76"/>
        <v>#DIV/0!</v>
      </c>
      <c r="AJ137" s="59" t="e">
        <f t="shared" si="77"/>
        <v>#DIV/0!</v>
      </c>
      <c r="AK137" s="59" t="e">
        <f t="shared" si="78"/>
        <v>#DIV/0!</v>
      </c>
      <c r="AL137" s="59" t="e">
        <f t="shared" si="79"/>
        <v>#DIV/0!</v>
      </c>
      <c r="AM137" s="65"/>
      <c r="AN137" s="59" t="e">
        <f t="shared" si="54"/>
        <v>#DIV/0!</v>
      </c>
      <c r="AO137" s="60" t="e">
        <f t="shared" si="57"/>
        <v>#DIV/0!</v>
      </c>
      <c r="AP137" s="65"/>
      <c r="AQ137" s="60" t="e">
        <f t="shared" si="56"/>
        <v>#DIV/0!</v>
      </c>
      <c r="AR137" s="65"/>
      <c r="AS137" s="60" t="e">
        <f t="shared" si="56"/>
        <v>#DIV/0!</v>
      </c>
      <c r="AT137" s="60" t="e">
        <f t="shared" si="56"/>
        <v>#DIV/0!</v>
      </c>
      <c r="AU137" s="60" t="e">
        <f t="shared" si="56"/>
        <v>#DIV/0!</v>
      </c>
      <c r="AV137" s="60" t="e">
        <f t="shared" si="56"/>
        <v>#DIV/0!</v>
      </c>
      <c r="AW137" s="60" t="e">
        <f t="shared" si="56"/>
        <v>#DIV/0!</v>
      </c>
      <c r="AX137" s="60" t="e">
        <f t="shared" si="56"/>
        <v>#DIV/0!</v>
      </c>
      <c r="AY137" s="60" t="e">
        <f t="shared" si="56"/>
        <v>#DIV/0!</v>
      </c>
      <c r="AZ137" s="65"/>
      <c r="BA137" s="60" t="e">
        <f t="shared" si="56"/>
        <v>#DIV/0!</v>
      </c>
      <c r="BB137" s="59" t="e">
        <f>Links!AF137</f>
        <v>#DIV/0!</v>
      </c>
      <c r="BC137" s="59" t="e">
        <f>(Links!AG137*Links!C137+'On-Ramps'!AC137*'On-Ramps'!CE137)/('On-Ramps'!AC137+Links!C137)</f>
        <v>#DIV/0!</v>
      </c>
      <c r="BD137" s="59" t="e">
        <f>Links!AH137</f>
        <v>#DIV/0!</v>
      </c>
      <c r="BE137" s="59" t="e">
        <f>(Links!AI137*Links!E137+'On-Ramps'!AD137*'On-Ramps'!CF136)/('On-Ramps'!AD137+Links!E137)</f>
        <v>#DIV/0!</v>
      </c>
      <c r="BF137" s="59" t="e">
        <f>(Links!F137*Links!AJ137+'On-Ramps'!AE137*'On-Ramps'!CG137)/('On-Ramps'!AE137+Links!F137)</f>
        <v>#DIV/0!</v>
      </c>
      <c r="BG137" s="59" t="e">
        <f>(Links!G137*Links!AK137+'On-Ramps'!AF137*'On-Ramps'!CH137)/('On-Ramps'!AF137+Links!G137)</f>
        <v>#DIV/0!</v>
      </c>
      <c r="BH137" s="59" t="e">
        <f>(Links!H137*Links!AL137+'On-Ramps'!AG137*'On-Ramps'!CI137)/('On-Ramps'!AG137+Links!H137)</f>
        <v>#DIV/0!</v>
      </c>
      <c r="BI137" s="59" t="e">
        <f>(Links!J137*Links!AN137+'On-Ramps'!AH137*'On-Ramps'!CJ137)/('On-Ramps'!AH137+Links!J137)</f>
        <v>#DIV/0!</v>
      </c>
      <c r="BJ137" s="59" t="e">
        <f>(Links!K137*Links!AO137+'On-Ramps'!AI137*'On-Ramps'!CK137)/('On-Ramps'!AI137+Links!K137)</f>
        <v>#DIV/0!</v>
      </c>
      <c r="BK137" s="59" t="e">
        <f>(Links!L137*Links!AP137+'On-Ramps'!AJ137*'On-Ramps'!CL137)/(Links!L137+'On-Ramps'!AJ137)</f>
        <v>#DIV/0!</v>
      </c>
      <c r="BL137" s="59" t="e">
        <f>Links!AQ137</f>
        <v>#DIV/0!</v>
      </c>
      <c r="BM137" s="59" t="e">
        <f>(Links!N137*Links!AR137+'On-Ramps'!AL137*'On-Ramps'!CM137)/(Links!N137+'On-Ramps'!AL137)</f>
        <v>#DIV/0!</v>
      </c>
      <c r="BN137" s="59" t="e">
        <f>Links!AS137</f>
        <v>#DIV/0!</v>
      </c>
      <c r="BO137" s="60" t="e">
        <f>(Links!R137^2+'Off-Ramp'!L137^2)/(Links!R137+'Off-Ramp'!L137)</f>
        <v>#DIV/0!</v>
      </c>
      <c r="BP137" s="60" t="e">
        <f>Links!S137</f>
        <v>#DIV/0!</v>
      </c>
      <c r="BQ137" s="60" t="e">
        <f>(Links!S137^2+'Off-Ramp'!C137^2)/(Links!S137+'Off-Ramp'!C137)</f>
        <v>#DIV/0!</v>
      </c>
      <c r="BR137" s="60" t="e">
        <f>Links!T137</f>
        <v>#DIV/0!</v>
      </c>
      <c r="BS137" s="60" t="e">
        <f>(Links!X137^2+'Off-Ramp'!V137^2+'Off-Ramp'!W137^2+'Off-Ramp'!X137^2)/(Links!X137+'Off-Ramp'!V137+'Off-Ramp'!W137+'Off-Ramp'!X137)</f>
        <v>#DIV/0!</v>
      </c>
      <c r="BT137" s="60" t="e">
        <f>(Links!Y137^2+'Off-Ramp'!Y137^2+'Off-Ramp'!Z137^2+'Off-Ramp'!AA137^2)/(Links!Y137+'Off-Ramp'!Y137+'Off-Ramp'!Z137+'Off-Ramp'!AA137)</f>
        <v>#DIV/0!</v>
      </c>
      <c r="BU137" s="60" t="e">
        <f>(Links!W137^2+'Off-Ramp'!P137^2)/(Links!W137+'Off-Ramp'!P137)</f>
        <v>#DIV/0!</v>
      </c>
      <c r="BV137" s="60" t="e">
        <f>(Links!Y137^2+'Off-Ramp'!Q137^2)/(Links!Y137+'Off-Ramp'!Q137)</f>
        <v>#DIV/0!</v>
      </c>
      <c r="BW137" s="60" t="e">
        <f>(Links!Z137^2+'Off-Ramp'!R137^2)/(Links!Z137+'Off-Ramp'!R137)</f>
        <v>#DIV/0!</v>
      </c>
      <c r="BX137" s="60" t="e">
        <f>(Links!AA137+'Off-Ramp'!S137)/(Links!AA137^2+'Off-Ramp'!S137^2)</f>
        <v>#DIV/0!</v>
      </c>
      <c r="BY137" s="60" t="e">
        <f>(Links!AB137^2+'Off-Ramp'!T137^2)/(Links!AB137+'Off-Ramp'!T137)</f>
        <v>#DIV/0!</v>
      </c>
      <c r="BZ137" s="60" t="e">
        <f>Links!AC137</f>
        <v>#DIV/0!</v>
      </c>
      <c r="CA137" s="60" t="e">
        <f>(Links!AD137^2+'Off-Ramp'!U137^2)/(Links!AD137+'Off-Ramp'!U137)</f>
        <v>#DIV/0!</v>
      </c>
    </row>
    <row r="138" spans="1:79" x14ac:dyDescent="0.15">
      <c r="A138" s="58">
        <v>136</v>
      </c>
      <c r="B138" s="59" t="e">
        <f t="shared" si="58"/>
        <v>#DIV/0!</v>
      </c>
      <c r="C138" s="59" t="e">
        <f t="shared" si="59"/>
        <v>#DIV/0!</v>
      </c>
      <c r="D138" s="59" t="e">
        <f t="shared" si="60"/>
        <v>#DIV/0!</v>
      </c>
      <c r="E138" s="59" t="e">
        <f t="shared" si="61"/>
        <v>#DIV/0!</v>
      </c>
      <c r="F138" s="59" t="e">
        <f t="shared" si="62"/>
        <v>#DIV/0!</v>
      </c>
      <c r="G138" s="59" t="e">
        <f t="shared" si="63"/>
        <v>#DIV/0!</v>
      </c>
      <c r="H138" s="59" t="e">
        <f t="shared" si="64"/>
        <v>#DIV/0!</v>
      </c>
      <c r="I138" s="59" t="e">
        <f t="shared" si="65"/>
        <v>#DIV/0!</v>
      </c>
      <c r="J138" s="59" t="e">
        <f t="shared" si="66"/>
        <v>#DIV/0!</v>
      </c>
      <c r="K138" s="59" t="e">
        <f t="shared" si="67"/>
        <v>#DIV/0!</v>
      </c>
      <c r="L138" s="59" t="e">
        <f t="shared" si="68"/>
        <v>#DIV/0!</v>
      </c>
      <c r="M138" s="59" t="e">
        <f t="shared" si="69"/>
        <v>#DIV/0!</v>
      </c>
      <c r="N138" s="59" t="e">
        <f t="shared" si="70"/>
        <v>#DIV/0!</v>
      </c>
      <c r="O138" s="60" t="e">
        <f>Links!B138</f>
        <v>#DIV/0!</v>
      </c>
      <c r="P138" s="60" t="e">
        <f>Links!C138+'On-Ramps'!AC138</f>
        <v>#DIV/0!</v>
      </c>
      <c r="Q138" s="60" t="e">
        <f>Links!D138</f>
        <v>#DIV/0!</v>
      </c>
      <c r="R138" s="60" t="e">
        <f>Links!E138+'On-Ramps'!AD138</f>
        <v>#DIV/0!</v>
      </c>
      <c r="S138" s="60" t="e">
        <f>Links!F138+'On-Ramps'!AE138</f>
        <v>#DIV/0!</v>
      </c>
      <c r="T138" s="60" t="e">
        <f>Links!G138+'On-Ramps'!AF138</f>
        <v>#DIV/0!</v>
      </c>
      <c r="U138" s="60" t="e">
        <f>Links!H138+'On-Ramps'!AG138</f>
        <v>#DIV/0!</v>
      </c>
      <c r="V138" s="60" t="e">
        <f>Links!J138+'On-Ramps'!AH138</f>
        <v>#DIV/0!</v>
      </c>
      <c r="W138" s="60" t="e">
        <f>Links!K138+'On-Ramps'!AI138</f>
        <v>#DIV/0!</v>
      </c>
      <c r="X138" s="60" t="e">
        <f>Links!L138+'On-Ramps'!AJ138</f>
        <v>#DIV/0!</v>
      </c>
      <c r="Y138" s="60" t="e">
        <f>Links!M138</f>
        <v>#DIV/0!</v>
      </c>
      <c r="Z138" s="60" t="e">
        <f>Links!N138+'On-Ramps'!AK138</f>
        <v>#DIV/0!</v>
      </c>
      <c r="AA138" s="60" t="e">
        <f>Links!O138</f>
        <v>#DIV/0!</v>
      </c>
      <c r="AB138" s="59" t="e">
        <f t="shared" si="71"/>
        <v>#DIV/0!</v>
      </c>
      <c r="AC138" s="65"/>
      <c r="AD138" s="59" t="e">
        <f t="shared" si="72"/>
        <v>#DIV/0!</v>
      </c>
      <c r="AE138" s="65"/>
      <c r="AF138" s="59" t="e">
        <f t="shared" si="73"/>
        <v>#DIV/0!</v>
      </c>
      <c r="AG138" s="59" t="e">
        <f t="shared" si="74"/>
        <v>#DIV/0!</v>
      </c>
      <c r="AH138" s="59" t="e">
        <f t="shared" si="75"/>
        <v>#DIV/0!</v>
      </c>
      <c r="AI138" s="59" t="e">
        <f t="shared" si="76"/>
        <v>#DIV/0!</v>
      </c>
      <c r="AJ138" s="59" t="e">
        <f t="shared" si="77"/>
        <v>#DIV/0!</v>
      </c>
      <c r="AK138" s="59" t="e">
        <f t="shared" si="78"/>
        <v>#DIV/0!</v>
      </c>
      <c r="AL138" s="59" t="e">
        <f t="shared" si="79"/>
        <v>#DIV/0!</v>
      </c>
      <c r="AM138" s="65"/>
      <c r="AN138" s="59" t="e">
        <f t="shared" si="54"/>
        <v>#DIV/0!</v>
      </c>
      <c r="AO138" s="60" t="e">
        <f t="shared" si="57"/>
        <v>#DIV/0!</v>
      </c>
      <c r="AP138" s="65"/>
      <c r="AQ138" s="60" t="e">
        <f t="shared" si="56"/>
        <v>#DIV/0!</v>
      </c>
      <c r="AR138" s="65"/>
      <c r="AS138" s="60" t="e">
        <f t="shared" si="56"/>
        <v>#DIV/0!</v>
      </c>
      <c r="AT138" s="60" t="e">
        <f t="shared" si="56"/>
        <v>#DIV/0!</v>
      </c>
      <c r="AU138" s="60" t="e">
        <f t="shared" si="56"/>
        <v>#DIV/0!</v>
      </c>
      <c r="AV138" s="60" t="e">
        <f t="shared" si="56"/>
        <v>#DIV/0!</v>
      </c>
      <c r="AW138" s="60" t="e">
        <f t="shared" si="56"/>
        <v>#DIV/0!</v>
      </c>
      <c r="AX138" s="60" t="e">
        <f t="shared" si="56"/>
        <v>#DIV/0!</v>
      </c>
      <c r="AY138" s="60" t="e">
        <f t="shared" si="56"/>
        <v>#DIV/0!</v>
      </c>
      <c r="AZ138" s="65"/>
      <c r="BA138" s="60" t="e">
        <f t="shared" si="56"/>
        <v>#DIV/0!</v>
      </c>
      <c r="BB138" s="59" t="e">
        <f>Links!AF138</f>
        <v>#DIV/0!</v>
      </c>
      <c r="BC138" s="59" t="e">
        <f>(Links!AG138*Links!C138+'On-Ramps'!AC138*'On-Ramps'!CE138)/('On-Ramps'!AC138+Links!C138)</f>
        <v>#DIV/0!</v>
      </c>
      <c r="BD138" s="59" t="e">
        <f>Links!AH138</f>
        <v>#DIV/0!</v>
      </c>
      <c r="BE138" s="59" t="e">
        <f>(Links!AI138*Links!E138+'On-Ramps'!AD138*'On-Ramps'!CF137)/('On-Ramps'!AD138+Links!E138)</f>
        <v>#DIV/0!</v>
      </c>
      <c r="BF138" s="59" t="e">
        <f>(Links!F138*Links!AJ138+'On-Ramps'!AE138*'On-Ramps'!CG138)/('On-Ramps'!AE138+Links!F138)</f>
        <v>#DIV/0!</v>
      </c>
      <c r="BG138" s="59" t="e">
        <f>(Links!G138*Links!AK138+'On-Ramps'!AF138*'On-Ramps'!CH138)/('On-Ramps'!AF138+Links!G138)</f>
        <v>#DIV/0!</v>
      </c>
      <c r="BH138" s="59" t="e">
        <f>(Links!H138*Links!AL138+'On-Ramps'!AG138*'On-Ramps'!CI138)/('On-Ramps'!AG138+Links!H138)</f>
        <v>#DIV/0!</v>
      </c>
      <c r="BI138" s="59" t="e">
        <f>(Links!J138*Links!AN138+'On-Ramps'!AH138*'On-Ramps'!CJ138)/('On-Ramps'!AH138+Links!J138)</f>
        <v>#DIV/0!</v>
      </c>
      <c r="BJ138" s="59" t="e">
        <f>(Links!K138*Links!AO138+'On-Ramps'!AI138*'On-Ramps'!CK138)/('On-Ramps'!AI138+Links!K138)</f>
        <v>#DIV/0!</v>
      </c>
      <c r="BK138" s="59" t="e">
        <f>(Links!L138*Links!AP138+'On-Ramps'!AJ138*'On-Ramps'!CL138)/(Links!L138+'On-Ramps'!AJ138)</f>
        <v>#DIV/0!</v>
      </c>
      <c r="BL138" s="59" t="e">
        <f>Links!AQ138</f>
        <v>#DIV/0!</v>
      </c>
      <c r="BM138" s="59" t="e">
        <f>(Links!N138*Links!AR138+'On-Ramps'!AL138*'On-Ramps'!CM138)/(Links!N138+'On-Ramps'!AL138)</f>
        <v>#DIV/0!</v>
      </c>
      <c r="BN138" s="59" t="e">
        <f>Links!AS138</f>
        <v>#DIV/0!</v>
      </c>
      <c r="BO138" s="60" t="e">
        <f>(Links!R138^2+'Off-Ramp'!L138^2)/(Links!R138+'Off-Ramp'!L138)</f>
        <v>#DIV/0!</v>
      </c>
      <c r="BP138" s="60" t="e">
        <f>Links!S138</f>
        <v>#DIV/0!</v>
      </c>
      <c r="BQ138" s="60" t="e">
        <f>(Links!S138^2+'Off-Ramp'!C138^2)/(Links!S138+'Off-Ramp'!C138)</f>
        <v>#DIV/0!</v>
      </c>
      <c r="BR138" s="60" t="e">
        <f>Links!T138</f>
        <v>#DIV/0!</v>
      </c>
      <c r="BS138" s="60" t="e">
        <f>(Links!X138^2+'Off-Ramp'!V138^2+'Off-Ramp'!W138^2+'Off-Ramp'!X138^2)/(Links!X138+'Off-Ramp'!V138+'Off-Ramp'!W138+'Off-Ramp'!X138)</f>
        <v>#DIV/0!</v>
      </c>
      <c r="BT138" s="60" t="e">
        <f>(Links!Y138^2+'Off-Ramp'!Y138^2+'Off-Ramp'!Z138^2+'Off-Ramp'!AA138^2)/(Links!Y138+'Off-Ramp'!Y138+'Off-Ramp'!Z138+'Off-Ramp'!AA138)</f>
        <v>#DIV/0!</v>
      </c>
      <c r="BU138" s="60" t="e">
        <f>(Links!W138^2+'Off-Ramp'!P138^2)/(Links!W138+'Off-Ramp'!P138)</f>
        <v>#DIV/0!</v>
      </c>
      <c r="BV138" s="60" t="e">
        <f>(Links!Y138^2+'Off-Ramp'!Q138^2)/(Links!Y138+'Off-Ramp'!Q138)</f>
        <v>#DIV/0!</v>
      </c>
      <c r="BW138" s="60" t="e">
        <f>(Links!Z138^2+'Off-Ramp'!R138^2)/(Links!Z138+'Off-Ramp'!R138)</f>
        <v>#DIV/0!</v>
      </c>
      <c r="BX138" s="60" t="e">
        <f>(Links!AA138+'Off-Ramp'!S138)/(Links!AA138^2+'Off-Ramp'!S138^2)</f>
        <v>#DIV/0!</v>
      </c>
      <c r="BY138" s="60" t="e">
        <f>(Links!AB138^2+'Off-Ramp'!T138^2)/(Links!AB138+'Off-Ramp'!T138)</f>
        <v>#DIV/0!</v>
      </c>
      <c r="BZ138" s="60" t="e">
        <f>Links!AC138</f>
        <v>#DIV/0!</v>
      </c>
      <c r="CA138" s="60" t="e">
        <f>(Links!AD138^2+'Off-Ramp'!U138^2)/(Links!AD138+'Off-Ramp'!U138)</f>
        <v>#DIV/0!</v>
      </c>
    </row>
    <row r="139" spans="1:79" x14ac:dyDescent="0.15">
      <c r="A139" s="58">
        <v>137</v>
      </c>
      <c r="B139" s="59" t="e">
        <f t="shared" si="58"/>
        <v>#DIV/0!</v>
      </c>
      <c r="C139" s="59" t="e">
        <f t="shared" si="59"/>
        <v>#DIV/0!</v>
      </c>
      <c r="D139" s="59" t="e">
        <f t="shared" si="60"/>
        <v>#DIV/0!</v>
      </c>
      <c r="E139" s="59" t="e">
        <f t="shared" si="61"/>
        <v>#DIV/0!</v>
      </c>
      <c r="F139" s="59" t="e">
        <f t="shared" si="62"/>
        <v>#DIV/0!</v>
      </c>
      <c r="G139" s="59" t="e">
        <f t="shared" si="63"/>
        <v>#DIV/0!</v>
      </c>
      <c r="H139" s="59" t="e">
        <f t="shared" si="64"/>
        <v>#DIV/0!</v>
      </c>
      <c r="I139" s="59" t="e">
        <f t="shared" si="65"/>
        <v>#DIV/0!</v>
      </c>
      <c r="J139" s="59" t="e">
        <f t="shared" si="66"/>
        <v>#DIV/0!</v>
      </c>
      <c r="K139" s="59" t="e">
        <f t="shared" si="67"/>
        <v>#DIV/0!</v>
      </c>
      <c r="L139" s="59" t="e">
        <f t="shared" si="68"/>
        <v>#DIV/0!</v>
      </c>
      <c r="M139" s="59" t="e">
        <f t="shared" si="69"/>
        <v>#DIV/0!</v>
      </c>
      <c r="N139" s="59" t="e">
        <f t="shared" si="70"/>
        <v>#DIV/0!</v>
      </c>
      <c r="O139" s="60" t="e">
        <f>Links!B139</f>
        <v>#DIV/0!</v>
      </c>
      <c r="P139" s="60" t="e">
        <f>Links!C139+'On-Ramps'!AC139</f>
        <v>#DIV/0!</v>
      </c>
      <c r="Q139" s="60" t="e">
        <f>Links!D139</f>
        <v>#DIV/0!</v>
      </c>
      <c r="R139" s="60" t="e">
        <f>Links!E139+'On-Ramps'!AD139</f>
        <v>#DIV/0!</v>
      </c>
      <c r="S139" s="60" t="e">
        <f>Links!F139+'On-Ramps'!AE139</f>
        <v>#DIV/0!</v>
      </c>
      <c r="T139" s="60" t="e">
        <f>Links!G139+'On-Ramps'!AF139</f>
        <v>#DIV/0!</v>
      </c>
      <c r="U139" s="60" t="e">
        <f>Links!H139+'On-Ramps'!AG139</f>
        <v>#DIV/0!</v>
      </c>
      <c r="V139" s="60" t="e">
        <f>Links!J139+'On-Ramps'!AH139</f>
        <v>#DIV/0!</v>
      </c>
      <c r="W139" s="60" t="e">
        <f>Links!K139+'On-Ramps'!AI139</f>
        <v>#DIV/0!</v>
      </c>
      <c r="X139" s="60" t="e">
        <f>Links!L139+'On-Ramps'!AJ139</f>
        <v>#DIV/0!</v>
      </c>
      <c r="Y139" s="60" t="e">
        <f>Links!M139</f>
        <v>#DIV/0!</v>
      </c>
      <c r="Z139" s="60" t="e">
        <f>Links!N139+'On-Ramps'!AK139</f>
        <v>#DIV/0!</v>
      </c>
      <c r="AA139" s="60" t="e">
        <f>Links!O139</f>
        <v>#DIV/0!</v>
      </c>
      <c r="AB139" s="59" t="e">
        <f t="shared" si="71"/>
        <v>#DIV/0!</v>
      </c>
      <c r="AC139" s="65"/>
      <c r="AD139" s="59" t="e">
        <f t="shared" si="72"/>
        <v>#DIV/0!</v>
      </c>
      <c r="AE139" s="65"/>
      <c r="AF139" s="59" t="e">
        <f t="shared" si="73"/>
        <v>#DIV/0!</v>
      </c>
      <c r="AG139" s="59" t="e">
        <f t="shared" si="74"/>
        <v>#DIV/0!</v>
      </c>
      <c r="AH139" s="59" t="e">
        <f t="shared" si="75"/>
        <v>#DIV/0!</v>
      </c>
      <c r="AI139" s="59" t="e">
        <f t="shared" si="76"/>
        <v>#DIV/0!</v>
      </c>
      <c r="AJ139" s="59" t="e">
        <f t="shared" si="77"/>
        <v>#DIV/0!</v>
      </c>
      <c r="AK139" s="59" t="e">
        <f t="shared" si="78"/>
        <v>#DIV/0!</v>
      </c>
      <c r="AL139" s="59" t="e">
        <f t="shared" si="79"/>
        <v>#DIV/0!</v>
      </c>
      <c r="AM139" s="65"/>
      <c r="AN139" s="59" t="e">
        <f t="shared" si="54"/>
        <v>#DIV/0!</v>
      </c>
      <c r="AO139" s="60" t="e">
        <f t="shared" si="57"/>
        <v>#DIV/0!</v>
      </c>
      <c r="AP139" s="65"/>
      <c r="AQ139" s="60" t="e">
        <f t="shared" si="56"/>
        <v>#DIV/0!</v>
      </c>
      <c r="AR139" s="65"/>
      <c r="AS139" s="60" t="e">
        <f t="shared" si="56"/>
        <v>#DIV/0!</v>
      </c>
      <c r="AT139" s="60" t="e">
        <f t="shared" si="56"/>
        <v>#DIV/0!</v>
      </c>
      <c r="AU139" s="60" t="e">
        <f t="shared" si="56"/>
        <v>#DIV/0!</v>
      </c>
      <c r="AV139" s="60" t="e">
        <f t="shared" si="56"/>
        <v>#DIV/0!</v>
      </c>
      <c r="AW139" s="60" t="e">
        <f t="shared" si="56"/>
        <v>#DIV/0!</v>
      </c>
      <c r="AX139" s="60" t="e">
        <f t="shared" si="56"/>
        <v>#DIV/0!</v>
      </c>
      <c r="AY139" s="60" t="e">
        <f t="shared" si="56"/>
        <v>#DIV/0!</v>
      </c>
      <c r="AZ139" s="65"/>
      <c r="BA139" s="60" t="e">
        <f t="shared" si="56"/>
        <v>#DIV/0!</v>
      </c>
      <c r="BB139" s="59" t="e">
        <f>Links!AF139</f>
        <v>#DIV/0!</v>
      </c>
      <c r="BC139" s="59" t="e">
        <f>(Links!AG139*Links!C139+'On-Ramps'!AC139*'On-Ramps'!CE139)/('On-Ramps'!AC139+Links!C139)</f>
        <v>#DIV/0!</v>
      </c>
      <c r="BD139" s="59" t="e">
        <f>Links!AH139</f>
        <v>#DIV/0!</v>
      </c>
      <c r="BE139" s="59" t="e">
        <f>(Links!AI139*Links!E139+'On-Ramps'!AD139*'On-Ramps'!CF138)/('On-Ramps'!AD139+Links!E139)</f>
        <v>#DIV/0!</v>
      </c>
      <c r="BF139" s="59" t="e">
        <f>(Links!F139*Links!AJ139+'On-Ramps'!AE139*'On-Ramps'!CG139)/('On-Ramps'!AE139+Links!F139)</f>
        <v>#DIV/0!</v>
      </c>
      <c r="BG139" s="59" t="e">
        <f>(Links!G139*Links!AK139+'On-Ramps'!AF139*'On-Ramps'!CH139)/('On-Ramps'!AF139+Links!G139)</f>
        <v>#DIV/0!</v>
      </c>
      <c r="BH139" s="59" t="e">
        <f>(Links!H139*Links!AL139+'On-Ramps'!AG139*'On-Ramps'!CI139)/('On-Ramps'!AG139+Links!H139)</f>
        <v>#DIV/0!</v>
      </c>
      <c r="BI139" s="59" t="e">
        <f>(Links!J139*Links!AN139+'On-Ramps'!AH139*'On-Ramps'!CJ139)/('On-Ramps'!AH139+Links!J139)</f>
        <v>#DIV/0!</v>
      </c>
      <c r="BJ139" s="59" t="e">
        <f>(Links!K139*Links!AO139+'On-Ramps'!AI139*'On-Ramps'!CK139)/('On-Ramps'!AI139+Links!K139)</f>
        <v>#DIV/0!</v>
      </c>
      <c r="BK139" s="59" t="e">
        <f>(Links!L139*Links!AP139+'On-Ramps'!AJ139*'On-Ramps'!CL139)/(Links!L139+'On-Ramps'!AJ139)</f>
        <v>#DIV/0!</v>
      </c>
      <c r="BL139" s="59" t="e">
        <f>Links!AQ139</f>
        <v>#DIV/0!</v>
      </c>
      <c r="BM139" s="59" t="e">
        <f>(Links!N139*Links!AR139+'On-Ramps'!AL139*'On-Ramps'!CM139)/(Links!N139+'On-Ramps'!AL139)</f>
        <v>#DIV/0!</v>
      </c>
      <c r="BN139" s="59" t="e">
        <f>Links!AS139</f>
        <v>#DIV/0!</v>
      </c>
      <c r="BO139" s="60" t="e">
        <f>(Links!R139^2+'Off-Ramp'!L139^2)/(Links!R139+'Off-Ramp'!L139)</f>
        <v>#DIV/0!</v>
      </c>
      <c r="BP139" s="60" t="e">
        <f>Links!S139</f>
        <v>#DIV/0!</v>
      </c>
      <c r="BQ139" s="60" t="e">
        <f>(Links!S139^2+'Off-Ramp'!C139^2)/(Links!S139+'Off-Ramp'!C139)</f>
        <v>#DIV/0!</v>
      </c>
      <c r="BR139" s="60" t="e">
        <f>Links!T139</f>
        <v>#DIV/0!</v>
      </c>
      <c r="BS139" s="60" t="e">
        <f>(Links!X139^2+'Off-Ramp'!V139^2+'Off-Ramp'!W139^2+'Off-Ramp'!X139^2)/(Links!X139+'Off-Ramp'!V139+'Off-Ramp'!W139+'Off-Ramp'!X139)</f>
        <v>#DIV/0!</v>
      </c>
      <c r="BT139" s="60" t="e">
        <f>(Links!Y139^2+'Off-Ramp'!Y139^2+'Off-Ramp'!Z139^2+'Off-Ramp'!AA139^2)/(Links!Y139+'Off-Ramp'!Y139+'Off-Ramp'!Z139+'Off-Ramp'!AA139)</f>
        <v>#DIV/0!</v>
      </c>
      <c r="BU139" s="60" t="e">
        <f>(Links!W139^2+'Off-Ramp'!P139^2)/(Links!W139+'Off-Ramp'!P139)</f>
        <v>#DIV/0!</v>
      </c>
      <c r="BV139" s="60" t="e">
        <f>(Links!Y139^2+'Off-Ramp'!Q139^2)/(Links!Y139+'Off-Ramp'!Q139)</f>
        <v>#DIV/0!</v>
      </c>
      <c r="BW139" s="60" t="e">
        <f>(Links!Z139^2+'Off-Ramp'!R139^2)/(Links!Z139+'Off-Ramp'!R139)</f>
        <v>#DIV/0!</v>
      </c>
      <c r="BX139" s="60" t="e">
        <f>(Links!AA139+'Off-Ramp'!S139)/(Links!AA139^2+'Off-Ramp'!S139^2)</f>
        <v>#DIV/0!</v>
      </c>
      <c r="BY139" s="60" t="e">
        <f>(Links!AB139^2+'Off-Ramp'!T139^2)/(Links!AB139+'Off-Ramp'!T139)</f>
        <v>#DIV/0!</v>
      </c>
      <c r="BZ139" s="60" t="e">
        <f>Links!AC139</f>
        <v>#DIV/0!</v>
      </c>
      <c r="CA139" s="60" t="e">
        <f>(Links!AD139^2+'Off-Ramp'!U139^2)/(Links!AD139+'Off-Ramp'!U139)</f>
        <v>#DIV/0!</v>
      </c>
    </row>
    <row r="140" spans="1:79" x14ac:dyDescent="0.15">
      <c r="A140" s="58">
        <v>138</v>
      </c>
      <c r="B140" s="59" t="e">
        <f t="shared" si="58"/>
        <v>#DIV/0!</v>
      </c>
      <c r="C140" s="59" t="e">
        <f t="shared" si="59"/>
        <v>#DIV/0!</v>
      </c>
      <c r="D140" s="59" t="e">
        <f t="shared" si="60"/>
        <v>#DIV/0!</v>
      </c>
      <c r="E140" s="59" t="e">
        <f t="shared" si="61"/>
        <v>#DIV/0!</v>
      </c>
      <c r="F140" s="59" t="e">
        <f t="shared" si="62"/>
        <v>#DIV/0!</v>
      </c>
      <c r="G140" s="59" t="e">
        <f t="shared" si="63"/>
        <v>#DIV/0!</v>
      </c>
      <c r="H140" s="59" t="e">
        <f t="shared" si="64"/>
        <v>#DIV/0!</v>
      </c>
      <c r="I140" s="59" t="e">
        <f t="shared" si="65"/>
        <v>#DIV/0!</v>
      </c>
      <c r="J140" s="59" t="e">
        <f t="shared" si="66"/>
        <v>#DIV/0!</v>
      </c>
      <c r="K140" s="59" t="e">
        <f t="shared" si="67"/>
        <v>#DIV/0!</v>
      </c>
      <c r="L140" s="59" t="e">
        <f t="shared" si="68"/>
        <v>#DIV/0!</v>
      </c>
      <c r="M140" s="59" t="e">
        <f t="shared" si="69"/>
        <v>#DIV/0!</v>
      </c>
      <c r="N140" s="59" t="e">
        <f t="shared" si="70"/>
        <v>#DIV/0!</v>
      </c>
      <c r="O140" s="60" t="e">
        <f>Links!B140</f>
        <v>#DIV/0!</v>
      </c>
      <c r="P140" s="60" t="e">
        <f>Links!C140+'On-Ramps'!AC140</f>
        <v>#DIV/0!</v>
      </c>
      <c r="Q140" s="60" t="e">
        <f>Links!D140</f>
        <v>#DIV/0!</v>
      </c>
      <c r="R140" s="60" t="e">
        <f>Links!E140+'On-Ramps'!AD140</f>
        <v>#DIV/0!</v>
      </c>
      <c r="S140" s="60" t="e">
        <f>Links!F140+'On-Ramps'!AE140</f>
        <v>#DIV/0!</v>
      </c>
      <c r="T140" s="60" t="e">
        <f>Links!G140+'On-Ramps'!AF140</f>
        <v>#DIV/0!</v>
      </c>
      <c r="U140" s="60" t="e">
        <f>Links!H140+'On-Ramps'!AG140</f>
        <v>#DIV/0!</v>
      </c>
      <c r="V140" s="60" t="e">
        <f>Links!J140+'On-Ramps'!AH140</f>
        <v>#DIV/0!</v>
      </c>
      <c r="W140" s="60" t="e">
        <f>Links!K140+'On-Ramps'!AI140</f>
        <v>#DIV/0!</v>
      </c>
      <c r="X140" s="60" t="e">
        <f>Links!L140+'On-Ramps'!AJ140</f>
        <v>#DIV/0!</v>
      </c>
      <c r="Y140" s="60" t="e">
        <f>Links!M140</f>
        <v>#DIV/0!</v>
      </c>
      <c r="Z140" s="60" t="e">
        <f>Links!N140+'On-Ramps'!AK140</f>
        <v>#DIV/0!</v>
      </c>
      <c r="AA140" s="60" t="e">
        <f>Links!O140</f>
        <v>#DIV/0!</v>
      </c>
      <c r="AB140" s="59" t="e">
        <f t="shared" si="71"/>
        <v>#DIV/0!</v>
      </c>
      <c r="AC140" s="65"/>
      <c r="AD140" s="59" t="e">
        <f t="shared" si="72"/>
        <v>#DIV/0!</v>
      </c>
      <c r="AE140" s="65"/>
      <c r="AF140" s="59" t="e">
        <f t="shared" si="73"/>
        <v>#DIV/0!</v>
      </c>
      <c r="AG140" s="59" t="e">
        <f t="shared" si="74"/>
        <v>#DIV/0!</v>
      </c>
      <c r="AH140" s="59" t="e">
        <f t="shared" si="75"/>
        <v>#DIV/0!</v>
      </c>
      <c r="AI140" s="59" t="e">
        <f t="shared" si="76"/>
        <v>#DIV/0!</v>
      </c>
      <c r="AJ140" s="59" t="e">
        <f t="shared" si="77"/>
        <v>#DIV/0!</v>
      </c>
      <c r="AK140" s="59" t="e">
        <f t="shared" si="78"/>
        <v>#DIV/0!</v>
      </c>
      <c r="AL140" s="59" t="e">
        <f t="shared" si="79"/>
        <v>#DIV/0!</v>
      </c>
      <c r="AM140" s="65"/>
      <c r="AN140" s="59" t="e">
        <f t="shared" si="54"/>
        <v>#DIV/0!</v>
      </c>
      <c r="AO140" s="60" t="e">
        <f t="shared" si="57"/>
        <v>#DIV/0!</v>
      </c>
      <c r="AP140" s="65"/>
      <c r="AQ140" s="60" t="e">
        <f t="shared" si="56"/>
        <v>#DIV/0!</v>
      </c>
      <c r="AR140" s="65"/>
      <c r="AS140" s="60" t="e">
        <f t="shared" si="56"/>
        <v>#DIV/0!</v>
      </c>
      <c r="AT140" s="60" t="e">
        <f t="shared" si="56"/>
        <v>#DIV/0!</v>
      </c>
      <c r="AU140" s="60" t="e">
        <f t="shared" si="56"/>
        <v>#DIV/0!</v>
      </c>
      <c r="AV140" s="60" t="e">
        <f t="shared" si="56"/>
        <v>#DIV/0!</v>
      </c>
      <c r="AW140" s="60" t="e">
        <f t="shared" si="56"/>
        <v>#DIV/0!</v>
      </c>
      <c r="AX140" s="60" t="e">
        <f t="shared" si="56"/>
        <v>#DIV/0!</v>
      </c>
      <c r="AY140" s="60" t="e">
        <f t="shared" si="56"/>
        <v>#DIV/0!</v>
      </c>
      <c r="AZ140" s="65"/>
      <c r="BA140" s="60" t="e">
        <f t="shared" si="56"/>
        <v>#DIV/0!</v>
      </c>
      <c r="BB140" s="59" t="e">
        <f>Links!AF140</f>
        <v>#DIV/0!</v>
      </c>
      <c r="BC140" s="59" t="e">
        <f>(Links!AG140*Links!C140+'On-Ramps'!AC140*'On-Ramps'!CE140)/('On-Ramps'!AC140+Links!C140)</f>
        <v>#DIV/0!</v>
      </c>
      <c r="BD140" s="59" t="e">
        <f>Links!AH140</f>
        <v>#DIV/0!</v>
      </c>
      <c r="BE140" s="59" t="e">
        <f>(Links!AI140*Links!E140+'On-Ramps'!AD140*'On-Ramps'!CF139)/('On-Ramps'!AD140+Links!E140)</f>
        <v>#DIV/0!</v>
      </c>
      <c r="BF140" s="59" t="e">
        <f>(Links!F140*Links!AJ140+'On-Ramps'!AE140*'On-Ramps'!CG140)/('On-Ramps'!AE140+Links!F140)</f>
        <v>#DIV/0!</v>
      </c>
      <c r="BG140" s="59" t="e">
        <f>(Links!G140*Links!AK140+'On-Ramps'!AF140*'On-Ramps'!CH140)/('On-Ramps'!AF140+Links!G140)</f>
        <v>#DIV/0!</v>
      </c>
      <c r="BH140" s="59" t="e">
        <f>(Links!H140*Links!AL140+'On-Ramps'!AG140*'On-Ramps'!CI140)/('On-Ramps'!AG140+Links!H140)</f>
        <v>#DIV/0!</v>
      </c>
      <c r="BI140" s="59" t="e">
        <f>(Links!J140*Links!AN140+'On-Ramps'!AH140*'On-Ramps'!CJ140)/('On-Ramps'!AH140+Links!J140)</f>
        <v>#DIV/0!</v>
      </c>
      <c r="BJ140" s="59" t="e">
        <f>(Links!K140*Links!AO140+'On-Ramps'!AI140*'On-Ramps'!CK140)/('On-Ramps'!AI140+Links!K140)</f>
        <v>#DIV/0!</v>
      </c>
      <c r="BK140" s="59" t="e">
        <f>(Links!L140*Links!AP140+'On-Ramps'!AJ140*'On-Ramps'!CL140)/(Links!L140+'On-Ramps'!AJ140)</f>
        <v>#DIV/0!</v>
      </c>
      <c r="BL140" s="59" t="e">
        <f>Links!AQ140</f>
        <v>#DIV/0!</v>
      </c>
      <c r="BM140" s="59" t="e">
        <f>(Links!N140*Links!AR140+'On-Ramps'!AL140*'On-Ramps'!CM140)/(Links!N140+'On-Ramps'!AL140)</f>
        <v>#DIV/0!</v>
      </c>
      <c r="BN140" s="59" t="e">
        <f>Links!AS140</f>
        <v>#DIV/0!</v>
      </c>
      <c r="BO140" s="60" t="e">
        <f>(Links!R140^2+'Off-Ramp'!L140^2)/(Links!R140+'Off-Ramp'!L140)</f>
        <v>#DIV/0!</v>
      </c>
      <c r="BP140" s="60" t="e">
        <f>Links!S140</f>
        <v>#DIV/0!</v>
      </c>
      <c r="BQ140" s="60" t="e">
        <f>(Links!S140^2+'Off-Ramp'!C140^2)/(Links!S140+'Off-Ramp'!C140)</f>
        <v>#DIV/0!</v>
      </c>
      <c r="BR140" s="60" t="e">
        <f>Links!T140</f>
        <v>#DIV/0!</v>
      </c>
      <c r="BS140" s="60" t="e">
        <f>(Links!X140^2+'Off-Ramp'!V140^2+'Off-Ramp'!W140^2+'Off-Ramp'!X140^2)/(Links!X140+'Off-Ramp'!V140+'Off-Ramp'!W140+'Off-Ramp'!X140)</f>
        <v>#DIV/0!</v>
      </c>
      <c r="BT140" s="60" t="e">
        <f>(Links!Y140^2+'Off-Ramp'!Y140^2+'Off-Ramp'!Z140^2+'Off-Ramp'!AA140^2)/(Links!Y140+'Off-Ramp'!Y140+'Off-Ramp'!Z140+'Off-Ramp'!AA140)</f>
        <v>#DIV/0!</v>
      </c>
      <c r="BU140" s="60" t="e">
        <f>(Links!W140^2+'Off-Ramp'!P140^2)/(Links!W140+'Off-Ramp'!P140)</f>
        <v>#DIV/0!</v>
      </c>
      <c r="BV140" s="60" t="e">
        <f>(Links!Y140^2+'Off-Ramp'!Q140^2)/(Links!Y140+'Off-Ramp'!Q140)</f>
        <v>#DIV/0!</v>
      </c>
      <c r="BW140" s="60" t="e">
        <f>(Links!Z140^2+'Off-Ramp'!R140^2)/(Links!Z140+'Off-Ramp'!R140)</f>
        <v>#DIV/0!</v>
      </c>
      <c r="BX140" s="60" t="e">
        <f>(Links!AA140+'Off-Ramp'!S140)/(Links!AA140^2+'Off-Ramp'!S140^2)</f>
        <v>#DIV/0!</v>
      </c>
      <c r="BY140" s="60" t="e">
        <f>(Links!AB140^2+'Off-Ramp'!T140^2)/(Links!AB140+'Off-Ramp'!T140)</f>
        <v>#DIV/0!</v>
      </c>
      <c r="BZ140" s="60" t="e">
        <f>Links!AC140</f>
        <v>#DIV/0!</v>
      </c>
      <c r="CA140" s="60" t="e">
        <f>(Links!AD140^2+'Off-Ramp'!U140^2)/(Links!AD140+'Off-Ramp'!U140)</f>
        <v>#DIV/0!</v>
      </c>
    </row>
    <row r="141" spans="1:79" x14ac:dyDescent="0.15">
      <c r="A141" s="58">
        <v>139</v>
      </c>
      <c r="B141" s="59" t="e">
        <f t="shared" si="58"/>
        <v>#DIV/0!</v>
      </c>
      <c r="C141" s="59" t="e">
        <f t="shared" si="59"/>
        <v>#DIV/0!</v>
      </c>
      <c r="D141" s="59" t="e">
        <f t="shared" si="60"/>
        <v>#DIV/0!</v>
      </c>
      <c r="E141" s="59" t="e">
        <f t="shared" si="61"/>
        <v>#DIV/0!</v>
      </c>
      <c r="F141" s="59" t="e">
        <f t="shared" si="62"/>
        <v>#DIV/0!</v>
      </c>
      <c r="G141" s="59" t="e">
        <f t="shared" si="63"/>
        <v>#DIV/0!</v>
      </c>
      <c r="H141" s="59" t="e">
        <f t="shared" si="64"/>
        <v>#DIV/0!</v>
      </c>
      <c r="I141" s="59" t="e">
        <f t="shared" si="65"/>
        <v>#DIV/0!</v>
      </c>
      <c r="J141" s="59" t="e">
        <f t="shared" si="66"/>
        <v>#DIV/0!</v>
      </c>
      <c r="K141" s="59" t="e">
        <f t="shared" si="67"/>
        <v>#DIV/0!</v>
      </c>
      <c r="L141" s="59" t="e">
        <f t="shared" si="68"/>
        <v>#DIV/0!</v>
      </c>
      <c r="M141" s="59" t="e">
        <f t="shared" si="69"/>
        <v>#DIV/0!</v>
      </c>
      <c r="N141" s="59" t="e">
        <f t="shared" si="70"/>
        <v>#DIV/0!</v>
      </c>
      <c r="O141" s="60" t="e">
        <f>Links!B141</f>
        <v>#DIV/0!</v>
      </c>
      <c r="P141" s="60" t="e">
        <f>Links!C141+'On-Ramps'!AC141</f>
        <v>#DIV/0!</v>
      </c>
      <c r="Q141" s="60" t="e">
        <f>Links!D141</f>
        <v>#DIV/0!</v>
      </c>
      <c r="R141" s="60" t="e">
        <f>Links!E141+'On-Ramps'!AD141</f>
        <v>#DIV/0!</v>
      </c>
      <c r="S141" s="60" t="e">
        <f>Links!F141+'On-Ramps'!AE141</f>
        <v>#DIV/0!</v>
      </c>
      <c r="T141" s="60" t="e">
        <f>Links!G141+'On-Ramps'!AF141</f>
        <v>#DIV/0!</v>
      </c>
      <c r="U141" s="60" t="e">
        <f>Links!H141+'On-Ramps'!AG141</f>
        <v>#DIV/0!</v>
      </c>
      <c r="V141" s="60" t="e">
        <f>Links!J141+'On-Ramps'!AH141</f>
        <v>#DIV/0!</v>
      </c>
      <c r="W141" s="60" t="e">
        <f>Links!K141+'On-Ramps'!AI141</f>
        <v>#DIV/0!</v>
      </c>
      <c r="X141" s="60" t="e">
        <f>Links!L141+'On-Ramps'!AJ141</f>
        <v>#DIV/0!</v>
      </c>
      <c r="Y141" s="60" t="e">
        <f>Links!M141</f>
        <v>#DIV/0!</v>
      </c>
      <c r="Z141" s="60" t="e">
        <f>Links!N141+'On-Ramps'!AK141</f>
        <v>#DIV/0!</v>
      </c>
      <c r="AA141" s="60" t="e">
        <f>Links!O141</f>
        <v>#DIV/0!</v>
      </c>
      <c r="AB141" s="59" t="e">
        <f t="shared" si="71"/>
        <v>#DIV/0!</v>
      </c>
      <c r="AC141" s="65"/>
      <c r="AD141" s="59" t="e">
        <f t="shared" si="72"/>
        <v>#DIV/0!</v>
      </c>
      <c r="AE141" s="65"/>
      <c r="AF141" s="59" t="e">
        <f t="shared" si="73"/>
        <v>#DIV/0!</v>
      </c>
      <c r="AG141" s="59" t="e">
        <f t="shared" si="74"/>
        <v>#DIV/0!</v>
      </c>
      <c r="AH141" s="59" t="e">
        <f t="shared" si="75"/>
        <v>#DIV/0!</v>
      </c>
      <c r="AI141" s="59" t="e">
        <f t="shared" si="76"/>
        <v>#DIV/0!</v>
      </c>
      <c r="AJ141" s="59" t="e">
        <f t="shared" si="77"/>
        <v>#DIV/0!</v>
      </c>
      <c r="AK141" s="59" t="e">
        <f t="shared" si="78"/>
        <v>#DIV/0!</v>
      </c>
      <c r="AL141" s="59" t="e">
        <f t="shared" si="79"/>
        <v>#DIV/0!</v>
      </c>
      <c r="AM141" s="65"/>
      <c r="AN141" s="59" t="e">
        <f t="shared" si="54"/>
        <v>#DIV/0!</v>
      </c>
      <c r="AO141" s="60" t="e">
        <f t="shared" si="57"/>
        <v>#DIV/0!</v>
      </c>
      <c r="AP141" s="65"/>
      <c r="AQ141" s="60" t="e">
        <f t="shared" si="56"/>
        <v>#DIV/0!</v>
      </c>
      <c r="AR141" s="65"/>
      <c r="AS141" s="60" t="e">
        <f t="shared" si="56"/>
        <v>#DIV/0!</v>
      </c>
      <c r="AT141" s="60" t="e">
        <f t="shared" si="56"/>
        <v>#DIV/0!</v>
      </c>
      <c r="AU141" s="60" t="e">
        <f t="shared" si="56"/>
        <v>#DIV/0!</v>
      </c>
      <c r="AV141" s="60" t="e">
        <f t="shared" si="56"/>
        <v>#DIV/0!</v>
      </c>
      <c r="AW141" s="60" t="e">
        <f t="shared" ref="AQ141:BA162" si="80">AW$3</f>
        <v>#DIV/0!</v>
      </c>
      <c r="AX141" s="60" t="e">
        <f t="shared" si="80"/>
        <v>#DIV/0!</v>
      </c>
      <c r="AY141" s="60" t="e">
        <f t="shared" si="80"/>
        <v>#DIV/0!</v>
      </c>
      <c r="AZ141" s="65"/>
      <c r="BA141" s="60" t="e">
        <f t="shared" si="80"/>
        <v>#DIV/0!</v>
      </c>
      <c r="BB141" s="59" t="e">
        <f>Links!AF141</f>
        <v>#DIV/0!</v>
      </c>
      <c r="BC141" s="59" t="e">
        <f>(Links!AG141*Links!C141+'On-Ramps'!AC141*'On-Ramps'!CE141)/('On-Ramps'!AC141+Links!C141)</f>
        <v>#DIV/0!</v>
      </c>
      <c r="BD141" s="59" t="e">
        <f>Links!AH141</f>
        <v>#DIV/0!</v>
      </c>
      <c r="BE141" s="59" t="e">
        <f>(Links!AI141*Links!E141+'On-Ramps'!AD141*'On-Ramps'!CF140)/('On-Ramps'!AD141+Links!E141)</f>
        <v>#DIV/0!</v>
      </c>
      <c r="BF141" s="59" t="e">
        <f>(Links!F141*Links!AJ141+'On-Ramps'!AE141*'On-Ramps'!CG141)/('On-Ramps'!AE141+Links!F141)</f>
        <v>#DIV/0!</v>
      </c>
      <c r="BG141" s="59" t="e">
        <f>(Links!G141*Links!AK141+'On-Ramps'!AF141*'On-Ramps'!CH141)/('On-Ramps'!AF141+Links!G141)</f>
        <v>#DIV/0!</v>
      </c>
      <c r="BH141" s="59" t="e">
        <f>(Links!H141*Links!AL141+'On-Ramps'!AG141*'On-Ramps'!CI141)/('On-Ramps'!AG141+Links!H141)</f>
        <v>#DIV/0!</v>
      </c>
      <c r="BI141" s="59" t="e">
        <f>(Links!J141*Links!AN141+'On-Ramps'!AH141*'On-Ramps'!CJ141)/('On-Ramps'!AH141+Links!J141)</f>
        <v>#DIV/0!</v>
      </c>
      <c r="BJ141" s="59" t="e">
        <f>(Links!K141*Links!AO141+'On-Ramps'!AI141*'On-Ramps'!CK141)/('On-Ramps'!AI141+Links!K141)</f>
        <v>#DIV/0!</v>
      </c>
      <c r="BK141" s="59" t="e">
        <f>(Links!L141*Links!AP141+'On-Ramps'!AJ141*'On-Ramps'!CL141)/(Links!L141+'On-Ramps'!AJ141)</f>
        <v>#DIV/0!</v>
      </c>
      <c r="BL141" s="59" t="e">
        <f>Links!AQ141</f>
        <v>#DIV/0!</v>
      </c>
      <c r="BM141" s="59" t="e">
        <f>(Links!N141*Links!AR141+'On-Ramps'!AL141*'On-Ramps'!CM141)/(Links!N141+'On-Ramps'!AL141)</f>
        <v>#DIV/0!</v>
      </c>
      <c r="BN141" s="59" t="e">
        <f>Links!AS141</f>
        <v>#DIV/0!</v>
      </c>
      <c r="BO141" s="60" t="e">
        <f>(Links!R141^2+'Off-Ramp'!L141^2)/(Links!R141+'Off-Ramp'!L141)</f>
        <v>#DIV/0!</v>
      </c>
      <c r="BP141" s="60" t="e">
        <f>Links!S141</f>
        <v>#DIV/0!</v>
      </c>
      <c r="BQ141" s="60" t="e">
        <f>(Links!S141^2+'Off-Ramp'!C141^2)/(Links!S141+'Off-Ramp'!C141)</f>
        <v>#DIV/0!</v>
      </c>
      <c r="BR141" s="60" t="e">
        <f>Links!T141</f>
        <v>#DIV/0!</v>
      </c>
      <c r="BS141" s="60" t="e">
        <f>(Links!X141^2+'Off-Ramp'!V141^2+'Off-Ramp'!W141^2+'Off-Ramp'!X141^2)/(Links!X141+'Off-Ramp'!V141+'Off-Ramp'!W141+'Off-Ramp'!X141)</f>
        <v>#DIV/0!</v>
      </c>
      <c r="BT141" s="60" t="e">
        <f>(Links!Y141^2+'Off-Ramp'!Y141^2+'Off-Ramp'!Z141^2+'Off-Ramp'!AA141^2)/(Links!Y141+'Off-Ramp'!Y141+'Off-Ramp'!Z141+'Off-Ramp'!AA141)</f>
        <v>#DIV/0!</v>
      </c>
      <c r="BU141" s="60" t="e">
        <f>(Links!W141^2+'Off-Ramp'!P141^2)/(Links!W141+'Off-Ramp'!P141)</f>
        <v>#DIV/0!</v>
      </c>
      <c r="BV141" s="60" t="e">
        <f>(Links!Y141^2+'Off-Ramp'!Q141^2)/(Links!Y141+'Off-Ramp'!Q141)</f>
        <v>#DIV/0!</v>
      </c>
      <c r="BW141" s="60" t="e">
        <f>(Links!Z141^2+'Off-Ramp'!R141^2)/(Links!Z141+'Off-Ramp'!R141)</f>
        <v>#DIV/0!</v>
      </c>
      <c r="BX141" s="60" t="e">
        <f>(Links!AA141+'Off-Ramp'!S141)/(Links!AA141^2+'Off-Ramp'!S141^2)</f>
        <v>#DIV/0!</v>
      </c>
      <c r="BY141" s="60" t="e">
        <f>(Links!AB141^2+'Off-Ramp'!T141^2)/(Links!AB141+'Off-Ramp'!T141)</f>
        <v>#DIV/0!</v>
      </c>
      <c r="BZ141" s="60" t="e">
        <f>Links!AC141</f>
        <v>#DIV/0!</v>
      </c>
      <c r="CA141" s="60" t="e">
        <f>(Links!AD141^2+'Off-Ramp'!U141^2)/(Links!AD141+'Off-Ramp'!U141)</f>
        <v>#DIV/0!</v>
      </c>
    </row>
    <row r="142" spans="1:79" x14ac:dyDescent="0.15">
      <c r="A142" s="58">
        <v>140</v>
      </c>
      <c r="B142" s="59" t="e">
        <f t="shared" si="58"/>
        <v>#DIV/0!</v>
      </c>
      <c r="C142" s="59" t="e">
        <f t="shared" si="59"/>
        <v>#DIV/0!</v>
      </c>
      <c r="D142" s="59" t="e">
        <f t="shared" si="60"/>
        <v>#DIV/0!</v>
      </c>
      <c r="E142" s="59" t="e">
        <f t="shared" si="61"/>
        <v>#DIV/0!</v>
      </c>
      <c r="F142" s="59" t="e">
        <f t="shared" si="62"/>
        <v>#DIV/0!</v>
      </c>
      <c r="G142" s="59" t="e">
        <f t="shared" si="63"/>
        <v>#DIV/0!</v>
      </c>
      <c r="H142" s="59" t="e">
        <f t="shared" si="64"/>
        <v>#DIV/0!</v>
      </c>
      <c r="I142" s="59" t="e">
        <f t="shared" si="65"/>
        <v>#DIV/0!</v>
      </c>
      <c r="J142" s="59" t="e">
        <f t="shared" si="66"/>
        <v>#DIV/0!</v>
      </c>
      <c r="K142" s="59" t="e">
        <f t="shared" si="67"/>
        <v>#DIV/0!</v>
      </c>
      <c r="L142" s="59" t="e">
        <f t="shared" si="68"/>
        <v>#DIV/0!</v>
      </c>
      <c r="M142" s="59" t="e">
        <f t="shared" si="69"/>
        <v>#DIV/0!</v>
      </c>
      <c r="N142" s="59" t="e">
        <f t="shared" si="70"/>
        <v>#DIV/0!</v>
      </c>
      <c r="O142" s="60" t="e">
        <f>Links!B142</f>
        <v>#DIV/0!</v>
      </c>
      <c r="P142" s="60" t="e">
        <f>Links!C142+'On-Ramps'!AC142</f>
        <v>#DIV/0!</v>
      </c>
      <c r="Q142" s="60" t="e">
        <f>Links!D142</f>
        <v>#DIV/0!</v>
      </c>
      <c r="R142" s="60" t="e">
        <f>Links!E142+'On-Ramps'!AD142</f>
        <v>#DIV/0!</v>
      </c>
      <c r="S142" s="60" t="e">
        <f>Links!F142+'On-Ramps'!AE142</f>
        <v>#DIV/0!</v>
      </c>
      <c r="T142" s="60" t="e">
        <f>Links!G142+'On-Ramps'!AF142</f>
        <v>#DIV/0!</v>
      </c>
      <c r="U142" s="60" t="e">
        <f>Links!H142+'On-Ramps'!AG142</f>
        <v>#DIV/0!</v>
      </c>
      <c r="V142" s="60" t="e">
        <f>Links!J142+'On-Ramps'!AH142</f>
        <v>#DIV/0!</v>
      </c>
      <c r="W142" s="60" t="e">
        <f>Links!K142+'On-Ramps'!AI142</f>
        <v>#DIV/0!</v>
      </c>
      <c r="X142" s="60" t="e">
        <f>Links!L142+'On-Ramps'!AJ142</f>
        <v>#DIV/0!</v>
      </c>
      <c r="Y142" s="60" t="e">
        <f>Links!M142</f>
        <v>#DIV/0!</v>
      </c>
      <c r="Z142" s="60" t="e">
        <f>Links!N142+'On-Ramps'!AK142</f>
        <v>#DIV/0!</v>
      </c>
      <c r="AA142" s="60" t="e">
        <f>Links!O142</f>
        <v>#DIV/0!</v>
      </c>
      <c r="AB142" s="59" t="e">
        <f t="shared" si="71"/>
        <v>#DIV/0!</v>
      </c>
      <c r="AC142" s="65"/>
      <c r="AD142" s="59" t="e">
        <f t="shared" si="72"/>
        <v>#DIV/0!</v>
      </c>
      <c r="AE142" s="65"/>
      <c r="AF142" s="59" t="e">
        <f t="shared" si="73"/>
        <v>#DIV/0!</v>
      </c>
      <c r="AG142" s="59" t="e">
        <f t="shared" si="74"/>
        <v>#DIV/0!</v>
      </c>
      <c r="AH142" s="59" t="e">
        <f t="shared" si="75"/>
        <v>#DIV/0!</v>
      </c>
      <c r="AI142" s="59" t="e">
        <f t="shared" si="76"/>
        <v>#DIV/0!</v>
      </c>
      <c r="AJ142" s="59" t="e">
        <f t="shared" si="77"/>
        <v>#DIV/0!</v>
      </c>
      <c r="AK142" s="59" t="e">
        <f t="shared" si="78"/>
        <v>#DIV/0!</v>
      </c>
      <c r="AL142" s="59" t="e">
        <f t="shared" si="79"/>
        <v>#DIV/0!</v>
      </c>
      <c r="AM142" s="65"/>
      <c r="AN142" s="59" t="e">
        <f t="shared" si="54"/>
        <v>#DIV/0!</v>
      </c>
      <c r="AO142" s="60" t="e">
        <f t="shared" si="57"/>
        <v>#DIV/0!</v>
      </c>
      <c r="AP142" s="65"/>
      <c r="AQ142" s="60" t="e">
        <f t="shared" si="80"/>
        <v>#DIV/0!</v>
      </c>
      <c r="AR142" s="65"/>
      <c r="AS142" s="60" t="e">
        <f t="shared" si="80"/>
        <v>#DIV/0!</v>
      </c>
      <c r="AT142" s="60" t="e">
        <f t="shared" si="80"/>
        <v>#DIV/0!</v>
      </c>
      <c r="AU142" s="60" t="e">
        <f t="shared" si="80"/>
        <v>#DIV/0!</v>
      </c>
      <c r="AV142" s="60" t="e">
        <f t="shared" si="80"/>
        <v>#DIV/0!</v>
      </c>
      <c r="AW142" s="60" t="e">
        <f t="shared" si="80"/>
        <v>#DIV/0!</v>
      </c>
      <c r="AX142" s="60" t="e">
        <f t="shared" si="80"/>
        <v>#DIV/0!</v>
      </c>
      <c r="AY142" s="60" t="e">
        <f t="shared" si="80"/>
        <v>#DIV/0!</v>
      </c>
      <c r="AZ142" s="65"/>
      <c r="BA142" s="60" t="e">
        <f t="shared" si="80"/>
        <v>#DIV/0!</v>
      </c>
      <c r="BB142" s="59" t="e">
        <f>Links!AF142</f>
        <v>#DIV/0!</v>
      </c>
      <c r="BC142" s="59" t="e">
        <f>(Links!AG142*Links!C142+'On-Ramps'!AC142*'On-Ramps'!CE142)/('On-Ramps'!AC142+Links!C142)</f>
        <v>#DIV/0!</v>
      </c>
      <c r="BD142" s="59" t="e">
        <f>Links!AH142</f>
        <v>#DIV/0!</v>
      </c>
      <c r="BE142" s="59" t="e">
        <f>(Links!AI142*Links!E142+'On-Ramps'!AD142*'On-Ramps'!CF141)/('On-Ramps'!AD142+Links!E142)</f>
        <v>#DIV/0!</v>
      </c>
      <c r="BF142" s="59" t="e">
        <f>(Links!F142*Links!AJ142+'On-Ramps'!AE142*'On-Ramps'!CG142)/('On-Ramps'!AE142+Links!F142)</f>
        <v>#DIV/0!</v>
      </c>
      <c r="BG142" s="59" t="e">
        <f>(Links!G142*Links!AK142+'On-Ramps'!AF142*'On-Ramps'!CH142)/('On-Ramps'!AF142+Links!G142)</f>
        <v>#DIV/0!</v>
      </c>
      <c r="BH142" s="59" t="e">
        <f>(Links!H142*Links!AL142+'On-Ramps'!AG142*'On-Ramps'!CI142)/('On-Ramps'!AG142+Links!H142)</f>
        <v>#DIV/0!</v>
      </c>
      <c r="BI142" s="59" t="e">
        <f>(Links!J142*Links!AN142+'On-Ramps'!AH142*'On-Ramps'!CJ142)/('On-Ramps'!AH142+Links!J142)</f>
        <v>#DIV/0!</v>
      </c>
      <c r="BJ142" s="59" t="e">
        <f>(Links!K142*Links!AO142+'On-Ramps'!AI142*'On-Ramps'!CK142)/('On-Ramps'!AI142+Links!K142)</f>
        <v>#DIV/0!</v>
      </c>
      <c r="BK142" s="59" t="e">
        <f>(Links!L142*Links!AP142+'On-Ramps'!AJ142*'On-Ramps'!CL142)/(Links!L142+'On-Ramps'!AJ142)</f>
        <v>#DIV/0!</v>
      </c>
      <c r="BL142" s="59" t="e">
        <f>Links!AQ142</f>
        <v>#DIV/0!</v>
      </c>
      <c r="BM142" s="59" t="e">
        <f>(Links!N142*Links!AR142+'On-Ramps'!AL142*'On-Ramps'!CM142)/(Links!N142+'On-Ramps'!AL142)</f>
        <v>#DIV/0!</v>
      </c>
      <c r="BN142" s="59" t="e">
        <f>Links!AS142</f>
        <v>#DIV/0!</v>
      </c>
      <c r="BO142" s="60" t="e">
        <f>(Links!R142^2+'Off-Ramp'!L142^2)/(Links!R142+'Off-Ramp'!L142)</f>
        <v>#DIV/0!</v>
      </c>
      <c r="BP142" s="60" t="e">
        <f>Links!S142</f>
        <v>#DIV/0!</v>
      </c>
      <c r="BQ142" s="60" t="e">
        <f>(Links!S142^2+'Off-Ramp'!C142^2)/(Links!S142+'Off-Ramp'!C142)</f>
        <v>#DIV/0!</v>
      </c>
      <c r="BR142" s="60" t="e">
        <f>Links!T142</f>
        <v>#DIV/0!</v>
      </c>
      <c r="BS142" s="60" t="e">
        <f>(Links!X142^2+'Off-Ramp'!V142^2+'Off-Ramp'!W142^2+'Off-Ramp'!X142^2)/(Links!X142+'Off-Ramp'!V142+'Off-Ramp'!W142+'Off-Ramp'!X142)</f>
        <v>#DIV/0!</v>
      </c>
      <c r="BT142" s="60" t="e">
        <f>(Links!Y142^2+'Off-Ramp'!Y142^2+'Off-Ramp'!Z142^2+'Off-Ramp'!AA142^2)/(Links!Y142+'Off-Ramp'!Y142+'Off-Ramp'!Z142+'Off-Ramp'!AA142)</f>
        <v>#DIV/0!</v>
      </c>
      <c r="BU142" s="60" t="e">
        <f>(Links!W142^2+'Off-Ramp'!P142^2)/(Links!W142+'Off-Ramp'!P142)</f>
        <v>#DIV/0!</v>
      </c>
      <c r="BV142" s="60" t="e">
        <f>(Links!Y142^2+'Off-Ramp'!Q142^2)/(Links!Y142+'Off-Ramp'!Q142)</f>
        <v>#DIV/0!</v>
      </c>
      <c r="BW142" s="60" t="e">
        <f>(Links!Z142^2+'Off-Ramp'!R142^2)/(Links!Z142+'Off-Ramp'!R142)</f>
        <v>#DIV/0!</v>
      </c>
      <c r="BX142" s="60" t="e">
        <f>(Links!AA142+'Off-Ramp'!S142)/(Links!AA142^2+'Off-Ramp'!S142^2)</f>
        <v>#DIV/0!</v>
      </c>
      <c r="BY142" s="60" t="e">
        <f>(Links!AB142^2+'Off-Ramp'!T142^2)/(Links!AB142+'Off-Ramp'!T142)</f>
        <v>#DIV/0!</v>
      </c>
      <c r="BZ142" s="60" t="e">
        <f>Links!AC142</f>
        <v>#DIV/0!</v>
      </c>
      <c r="CA142" s="60" t="e">
        <f>(Links!AD142^2+'Off-Ramp'!U142^2)/(Links!AD142+'Off-Ramp'!U142)</f>
        <v>#DIV/0!</v>
      </c>
    </row>
    <row r="143" spans="1:79" x14ac:dyDescent="0.15">
      <c r="A143" s="58">
        <v>141</v>
      </c>
      <c r="B143" s="59" t="e">
        <f t="shared" si="58"/>
        <v>#DIV/0!</v>
      </c>
      <c r="C143" s="59" t="e">
        <f t="shared" si="59"/>
        <v>#DIV/0!</v>
      </c>
      <c r="D143" s="59" t="e">
        <f t="shared" si="60"/>
        <v>#DIV/0!</v>
      </c>
      <c r="E143" s="59" t="e">
        <f t="shared" si="61"/>
        <v>#DIV/0!</v>
      </c>
      <c r="F143" s="59" t="e">
        <f t="shared" si="62"/>
        <v>#DIV/0!</v>
      </c>
      <c r="G143" s="59" t="e">
        <f t="shared" si="63"/>
        <v>#DIV/0!</v>
      </c>
      <c r="H143" s="59" t="e">
        <f t="shared" si="64"/>
        <v>#DIV/0!</v>
      </c>
      <c r="I143" s="59" t="e">
        <f t="shared" si="65"/>
        <v>#DIV/0!</v>
      </c>
      <c r="J143" s="59" t="e">
        <f t="shared" si="66"/>
        <v>#DIV/0!</v>
      </c>
      <c r="K143" s="59" t="e">
        <f t="shared" si="67"/>
        <v>#DIV/0!</v>
      </c>
      <c r="L143" s="59" t="e">
        <f t="shared" si="68"/>
        <v>#DIV/0!</v>
      </c>
      <c r="M143" s="59" t="e">
        <f t="shared" si="69"/>
        <v>#DIV/0!</v>
      </c>
      <c r="N143" s="59" t="e">
        <f t="shared" si="70"/>
        <v>#DIV/0!</v>
      </c>
      <c r="O143" s="60" t="e">
        <f>Links!B143</f>
        <v>#DIV/0!</v>
      </c>
      <c r="P143" s="60" t="e">
        <f>Links!C143+'On-Ramps'!AC143</f>
        <v>#DIV/0!</v>
      </c>
      <c r="Q143" s="60" t="e">
        <f>Links!D143</f>
        <v>#DIV/0!</v>
      </c>
      <c r="R143" s="60" t="e">
        <f>Links!E143+'On-Ramps'!AD143</f>
        <v>#DIV/0!</v>
      </c>
      <c r="S143" s="60" t="e">
        <f>Links!F143+'On-Ramps'!AE143</f>
        <v>#DIV/0!</v>
      </c>
      <c r="T143" s="60" t="e">
        <f>Links!G143+'On-Ramps'!AF143</f>
        <v>#DIV/0!</v>
      </c>
      <c r="U143" s="60" t="e">
        <f>Links!H143+'On-Ramps'!AG143</f>
        <v>#DIV/0!</v>
      </c>
      <c r="V143" s="60" t="e">
        <f>Links!J143+'On-Ramps'!AH143</f>
        <v>#DIV/0!</v>
      </c>
      <c r="W143" s="60" t="e">
        <f>Links!K143+'On-Ramps'!AI143</f>
        <v>#DIV/0!</v>
      </c>
      <c r="X143" s="60" t="e">
        <f>Links!L143+'On-Ramps'!AJ143</f>
        <v>#DIV/0!</v>
      </c>
      <c r="Y143" s="60" t="e">
        <f>Links!M143</f>
        <v>#DIV/0!</v>
      </c>
      <c r="Z143" s="60" t="e">
        <f>Links!N143+'On-Ramps'!AK143</f>
        <v>#DIV/0!</v>
      </c>
      <c r="AA143" s="60" t="e">
        <f>Links!O143</f>
        <v>#DIV/0!</v>
      </c>
      <c r="AB143" s="59" t="e">
        <f t="shared" si="71"/>
        <v>#DIV/0!</v>
      </c>
      <c r="AC143" s="65"/>
      <c r="AD143" s="59" t="e">
        <f t="shared" si="72"/>
        <v>#DIV/0!</v>
      </c>
      <c r="AE143" s="65"/>
      <c r="AF143" s="59" t="e">
        <f t="shared" si="73"/>
        <v>#DIV/0!</v>
      </c>
      <c r="AG143" s="59" t="e">
        <f t="shared" si="74"/>
        <v>#DIV/0!</v>
      </c>
      <c r="AH143" s="59" t="e">
        <f t="shared" si="75"/>
        <v>#DIV/0!</v>
      </c>
      <c r="AI143" s="59" t="e">
        <f t="shared" si="76"/>
        <v>#DIV/0!</v>
      </c>
      <c r="AJ143" s="59" t="e">
        <f t="shared" si="77"/>
        <v>#DIV/0!</v>
      </c>
      <c r="AK143" s="59" t="e">
        <f t="shared" si="78"/>
        <v>#DIV/0!</v>
      </c>
      <c r="AL143" s="59" t="e">
        <f t="shared" si="79"/>
        <v>#DIV/0!</v>
      </c>
      <c r="AM143" s="65"/>
      <c r="AN143" s="59" t="e">
        <f t="shared" si="54"/>
        <v>#DIV/0!</v>
      </c>
      <c r="AO143" s="60" t="e">
        <f t="shared" si="57"/>
        <v>#DIV/0!</v>
      </c>
      <c r="AP143" s="65"/>
      <c r="AQ143" s="60" t="e">
        <f t="shared" si="80"/>
        <v>#DIV/0!</v>
      </c>
      <c r="AR143" s="65"/>
      <c r="AS143" s="60" t="e">
        <f t="shared" si="80"/>
        <v>#DIV/0!</v>
      </c>
      <c r="AT143" s="60" t="e">
        <f t="shared" si="80"/>
        <v>#DIV/0!</v>
      </c>
      <c r="AU143" s="60" t="e">
        <f t="shared" si="80"/>
        <v>#DIV/0!</v>
      </c>
      <c r="AV143" s="60" t="e">
        <f t="shared" si="80"/>
        <v>#DIV/0!</v>
      </c>
      <c r="AW143" s="60" t="e">
        <f t="shared" si="80"/>
        <v>#DIV/0!</v>
      </c>
      <c r="AX143" s="60" t="e">
        <f t="shared" si="80"/>
        <v>#DIV/0!</v>
      </c>
      <c r="AY143" s="60" t="e">
        <f t="shared" si="80"/>
        <v>#DIV/0!</v>
      </c>
      <c r="AZ143" s="65"/>
      <c r="BA143" s="60" t="e">
        <f t="shared" si="80"/>
        <v>#DIV/0!</v>
      </c>
      <c r="BB143" s="59" t="e">
        <f>Links!AF143</f>
        <v>#DIV/0!</v>
      </c>
      <c r="BC143" s="59" t="e">
        <f>(Links!AG143*Links!C143+'On-Ramps'!AC143*'On-Ramps'!CE143)/('On-Ramps'!AC143+Links!C143)</f>
        <v>#DIV/0!</v>
      </c>
      <c r="BD143" s="59" t="e">
        <f>Links!AH143</f>
        <v>#DIV/0!</v>
      </c>
      <c r="BE143" s="59" t="e">
        <f>(Links!AI143*Links!E143+'On-Ramps'!AD143*'On-Ramps'!CF142)/('On-Ramps'!AD143+Links!E143)</f>
        <v>#DIV/0!</v>
      </c>
      <c r="BF143" s="59" t="e">
        <f>(Links!F143*Links!AJ143+'On-Ramps'!AE143*'On-Ramps'!CG143)/('On-Ramps'!AE143+Links!F143)</f>
        <v>#DIV/0!</v>
      </c>
      <c r="BG143" s="59" t="e">
        <f>(Links!G143*Links!AK143+'On-Ramps'!AF143*'On-Ramps'!CH143)/('On-Ramps'!AF143+Links!G143)</f>
        <v>#DIV/0!</v>
      </c>
      <c r="BH143" s="59" t="e">
        <f>(Links!H143*Links!AL143+'On-Ramps'!AG143*'On-Ramps'!CI143)/('On-Ramps'!AG143+Links!H143)</f>
        <v>#DIV/0!</v>
      </c>
      <c r="BI143" s="59" t="e">
        <f>(Links!J143*Links!AN143+'On-Ramps'!AH143*'On-Ramps'!CJ143)/('On-Ramps'!AH143+Links!J143)</f>
        <v>#DIV/0!</v>
      </c>
      <c r="BJ143" s="59" t="e">
        <f>(Links!K143*Links!AO143+'On-Ramps'!AI143*'On-Ramps'!CK143)/('On-Ramps'!AI143+Links!K143)</f>
        <v>#DIV/0!</v>
      </c>
      <c r="BK143" s="59" t="e">
        <f>(Links!L143*Links!AP143+'On-Ramps'!AJ143*'On-Ramps'!CL143)/(Links!L143+'On-Ramps'!AJ143)</f>
        <v>#DIV/0!</v>
      </c>
      <c r="BL143" s="59" t="e">
        <f>Links!AQ143</f>
        <v>#DIV/0!</v>
      </c>
      <c r="BM143" s="59" t="e">
        <f>(Links!N143*Links!AR143+'On-Ramps'!AL143*'On-Ramps'!CM143)/(Links!N143+'On-Ramps'!AL143)</f>
        <v>#DIV/0!</v>
      </c>
      <c r="BN143" s="59" t="e">
        <f>Links!AS143</f>
        <v>#DIV/0!</v>
      </c>
      <c r="BO143" s="60" t="e">
        <f>(Links!R143^2+'Off-Ramp'!L143^2)/(Links!R143+'Off-Ramp'!L143)</f>
        <v>#DIV/0!</v>
      </c>
      <c r="BP143" s="60" t="e">
        <f>Links!S143</f>
        <v>#DIV/0!</v>
      </c>
      <c r="BQ143" s="60" t="e">
        <f>(Links!S143^2+'Off-Ramp'!C143^2)/(Links!S143+'Off-Ramp'!C143)</f>
        <v>#DIV/0!</v>
      </c>
      <c r="BR143" s="60" t="e">
        <f>Links!T143</f>
        <v>#DIV/0!</v>
      </c>
      <c r="BS143" s="60" t="e">
        <f>(Links!X143^2+'Off-Ramp'!V143^2+'Off-Ramp'!W143^2+'Off-Ramp'!X143^2)/(Links!X143+'Off-Ramp'!V143+'Off-Ramp'!W143+'Off-Ramp'!X143)</f>
        <v>#DIV/0!</v>
      </c>
      <c r="BT143" s="60" t="e">
        <f>(Links!Y143^2+'Off-Ramp'!Y143^2+'Off-Ramp'!Z143^2+'Off-Ramp'!AA143^2)/(Links!Y143+'Off-Ramp'!Y143+'Off-Ramp'!Z143+'Off-Ramp'!AA143)</f>
        <v>#DIV/0!</v>
      </c>
      <c r="BU143" s="60" t="e">
        <f>(Links!W143^2+'Off-Ramp'!P143^2)/(Links!W143+'Off-Ramp'!P143)</f>
        <v>#DIV/0!</v>
      </c>
      <c r="BV143" s="60" t="e">
        <f>(Links!Y143^2+'Off-Ramp'!Q143^2)/(Links!Y143+'Off-Ramp'!Q143)</f>
        <v>#DIV/0!</v>
      </c>
      <c r="BW143" s="60" t="e">
        <f>(Links!Z143^2+'Off-Ramp'!R143^2)/(Links!Z143+'Off-Ramp'!R143)</f>
        <v>#DIV/0!</v>
      </c>
      <c r="BX143" s="60" t="e">
        <f>(Links!AA143+'Off-Ramp'!S143)/(Links!AA143^2+'Off-Ramp'!S143^2)</f>
        <v>#DIV/0!</v>
      </c>
      <c r="BY143" s="60" t="e">
        <f>(Links!AB143^2+'Off-Ramp'!T143^2)/(Links!AB143+'Off-Ramp'!T143)</f>
        <v>#DIV/0!</v>
      </c>
      <c r="BZ143" s="60" t="e">
        <f>Links!AC143</f>
        <v>#DIV/0!</v>
      </c>
      <c r="CA143" s="60" t="e">
        <f>(Links!AD143^2+'Off-Ramp'!U143^2)/(Links!AD143+'Off-Ramp'!U143)</f>
        <v>#DIV/0!</v>
      </c>
    </row>
    <row r="144" spans="1:79" x14ac:dyDescent="0.15">
      <c r="A144" s="58">
        <v>142</v>
      </c>
      <c r="B144" s="59" t="e">
        <f t="shared" si="58"/>
        <v>#DIV/0!</v>
      </c>
      <c r="C144" s="59" t="e">
        <f t="shared" si="59"/>
        <v>#DIV/0!</v>
      </c>
      <c r="D144" s="59" t="e">
        <f t="shared" si="60"/>
        <v>#DIV/0!</v>
      </c>
      <c r="E144" s="59" t="e">
        <f t="shared" si="61"/>
        <v>#DIV/0!</v>
      </c>
      <c r="F144" s="59" t="e">
        <f t="shared" si="62"/>
        <v>#DIV/0!</v>
      </c>
      <c r="G144" s="59" t="e">
        <f t="shared" si="63"/>
        <v>#DIV/0!</v>
      </c>
      <c r="H144" s="59" t="e">
        <f t="shared" si="64"/>
        <v>#DIV/0!</v>
      </c>
      <c r="I144" s="59" t="e">
        <f t="shared" si="65"/>
        <v>#DIV/0!</v>
      </c>
      <c r="J144" s="59" t="e">
        <f t="shared" si="66"/>
        <v>#DIV/0!</v>
      </c>
      <c r="K144" s="59" t="e">
        <f t="shared" si="67"/>
        <v>#DIV/0!</v>
      </c>
      <c r="L144" s="59" t="e">
        <f t="shared" si="68"/>
        <v>#DIV/0!</v>
      </c>
      <c r="M144" s="59" t="e">
        <f t="shared" si="69"/>
        <v>#DIV/0!</v>
      </c>
      <c r="N144" s="59" t="e">
        <f t="shared" si="70"/>
        <v>#DIV/0!</v>
      </c>
      <c r="O144" s="60" t="e">
        <f>Links!B144</f>
        <v>#DIV/0!</v>
      </c>
      <c r="P144" s="60" t="e">
        <f>Links!C144+'On-Ramps'!AC144</f>
        <v>#DIV/0!</v>
      </c>
      <c r="Q144" s="60" t="e">
        <f>Links!D144</f>
        <v>#DIV/0!</v>
      </c>
      <c r="R144" s="60" t="e">
        <f>Links!E144+'On-Ramps'!AD144</f>
        <v>#DIV/0!</v>
      </c>
      <c r="S144" s="60" t="e">
        <f>Links!F144+'On-Ramps'!AE144</f>
        <v>#DIV/0!</v>
      </c>
      <c r="T144" s="60" t="e">
        <f>Links!G144+'On-Ramps'!AF144</f>
        <v>#DIV/0!</v>
      </c>
      <c r="U144" s="60" t="e">
        <f>Links!H144+'On-Ramps'!AG144</f>
        <v>#DIV/0!</v>
      </c>
      <c r="V144" s="60" t="e">
        <f>Links!J144+'On-Ramps'!AH144</f>
        <v>#DIV/0!</v>
      </c>
      <c r="W144" s="60" t="e">
        <f>Links!K144+'On-Ramps'!AI144</f>
        <v>#DIV/0!</v>
      </c>
      <c r="X144" s="60" t="e">
        <f>Links!L144+'On-Ramps'!AJ144</f>
        <v>#DIV/0!</v>
      </c>
      <c r="Y144" s="60" t="e">
        <f>Links!M144</f>
        <v>#DIV/0!</v>
      </c>
      <c r="Z144" s="60" t="e">
        <f>Links!N144+'On-Ramps'!AK144</f>
        <v>#DIV/0!</v>
      </c>
      <c r="AA144" s="60" t="e">
        <f>Links!O144</f>
        <v>#DIV/0!</v>
      </c>
      <c r="AB144" s="59" t="e">
        <f t="shared" si="71"/>
        <v>#DIV/0!</v>
      </c>
      <c r="AC144" s="65"/>
      <c r="AD144" s="59" t="e">
        <f t="shared" si="72"/>
        <v>#DIV/0!</v>
      </c>
      <c r="AE144" s="65"/>
      <c r="AF144" s="59" t="e">
        <f t="shared" si="73"/>
        <v>#DIV/0!</v>
      </c>
      <c r="AG144" s="59" t="e">
        <f t="shared" si="74"/>
        <v>#DIV/0!</v>
      </c>
      <c r="AH144" s="59" t="e">
        <f t="shared" si="75"/>
        <v>#DIV/0!</v>
      </c>
      <c r="AI144" s="59" t="e">
        <f t="shared" si="76"/>
        <v>#DIV/0!</v>
      </c>
      <c r="AJ144" s="59" t="e">
        <f t="shared" si="77"/>
        <v>#DIV/0!</v>
      </c>
      <c r="AK144" s="59" t="e">
        <f t="shared" si="78"/>
        <v>#DIV/0!</v>
      </c>
      <c r="AL144" s="59" t="e">
        <f t="shared" si="79"/>
        <v>#DIV/0!</v>
      </c>
      <c r="AM144" s="65"/>
      <c r="AN144" s="59" t="e">
        <f t="shared" si="54"/>
        <v>#DIV/0!</v>
      </c>
      <c r="AO144" s="60" t="e">
        <f t="shared" si="57"/>
        <v>#DIV/0!</v>
      </c>
      <c r="AP144" s="65"/>
      <c r="AQ144" s="60" t="e">
        <f t="shared" si="80"/>
        <v>#DIV/0!</v>
      </c>
      <c r="AR144" s="65"/>
      <c r="AS144" s="60" t="e">
        <f t="shared" si="80"/>
        <v>#DIV/0!</v>
      </c>
      <c r="AT144" s="60" t="e">
        <f t="shared" si="80"/>
        <v>#DIV/0!</v>
      </c>
      <c r="AU144" s="60" t="e">
        <f t="shared" si="80"/>
        <v>#DIV/0!</v>
      </c>
      <c r="AV144" s="60" t="e">
        <f t="shared" si="80"/>
        <v>#DIV/0!</v>
      </c>
      <c r="AW144" s="60" t="e">
        <f t="shared" si="80"/>
        <v>#DIV/0!</v>
      </c>
      <c r="AX144" s="60" t="e">
        <f t="shared" si="80"/>
        <v>#DIV/0!</v>
      </c>
      <c r="AY144" s="60" t="e">
        <f t="shared" si="80"/>
        <v>#DIV/0!</v>
      </c>
      <c r="AZ144" s="65"/>
      <c r="BA144" s="60" t="e">
        <f t="shared" si="80"/>
        <v>#DIV/0!</v>
      </c>
      <c r="BB144" s="59" t="e">
        <f>Links!AF144</f>
        <v>#DIV/0!</v>
      </c>
      <c r="BC144" s="59" t="e">
        <f>(Links!AG144*Links!C144+'On-Ramps'!AC144*'On-Ramps'!CE144)/('On-Ramps'!AC144+Links!C144)</f>
        <v>#DIV/0!</v>
      </c>
      <c r="BD144" s="59" t="e">
        <f>Links!AH144</f>
        <v>#DIV/0!</v>
      </c>
      <c r="BE144" s="59" t="e">
        <f>(Links!AI144*Links!E144+'On-Ramps'!AD144*'On-Ramps'!CF143)/('On-Ramps'!AD144+Links!E144)</f>
        <v>#DIV/0!</v>
      </c>
      <c r="BF144" s="59" t="e">
        <f>(Links!F144*Links!AJ144+'On-Ramps'!AE144*'On-Ramps'!CG144)/('On-Ramps'!AE144+Links!F144)</f>
        <v>#DIV/0!</v>
      </c>
      <c r="BG144" s="59" t="e">
        <f>(Links!G144*Links!AK144+'On-Ramps'!AF144*'On-Ramps'!CH144)/('On-Ramps'!AF144+Links!G144)</f>
        <v>#DIV/0!</v>
      </c>
      <c r="BH144" s="59" t="e">
        <f>(Links!H144*Links!AL144+'On-Ramps'!AG144*'On-Ramps'!CI144)/('On-Ramps'!AG144+Links!H144)</f>
        <v>#DIV/0!</v>
      </c>
      <c r="BI144" s="59" t="e">
        <f>(Links!J144*Links!AN144+'On-Ramps'!AH144*'On-Ramps'!CJ144)/('On-Ramps'!AH144+Links!J144)</f>
        <v>#DIV/0!</v>
      </c>
      <c r="BJ144" s="59" t="e">
        <f>(Links!K144*Links!AO144+'On-Ramps'!AI144*'On-Ramps'!CK144)/('On-Ramps'!AI144+Links!K144)</f>
        <v>#DIV/0!</v>
      </c>
      <c r="BK144" s="59" t="e">
        <f>(Links!L144*Links!AP144+'On-Ramps'!AJ144*'On-Ramps'!CL144)/(Links!L144+'On-Ramps'!AJ144)</f>
        <v>#DIV/0!</v>
      </c>
      <c r="BL144" s="59" t="e">
        <f>Links!AQ144</f>
        <v>#DIV/0!</v>
      </c>
      <c r="BM144" s="59" t="e">
        <f>(Links!N144*Links!AR144+'On-Ramps'!AL144*'On-Ramps'!CM144)/(Links!N144+'On-Ramps'!AL144)</f>
        <v>#DIV/0!</v>
      </c>
      <c r="BN144" s="59" t="e">
        <f>Links!AS144</f>
        <v>#DIV/0!</v>
      </c>
      <c r="BO144" s="60" t="e">
        <f>(Links!R144^2+'Off-Ramp'!L144^2)/(Links!R144+'Off-Ramp'!L144)</f>
        <v>#DIV/0!</v>
      </c>
      <c r="BP144" s="60" t="e">
        <f>Links!S144</f>
        <v>#DIV/0!</v>
      </c>
      <c r="BQ144" s="60" t="e">
        <f>(Links!S144^2+'Off-Ramp'!C144^2)/(Links!S144+'Off-Ramp'!C144)</f>
        <v>#DIV/0!</v>
      </c>
      <c r="BR144" s="60" t="e">
        <f>Links!T144</f>
        <v>#DIV/0!</v>
      </c>
      <c r="BS144" s="60" t="e">
        <f>(Links!X144^2+'Off-Ramp'!V144^2+'Off-Ramp'!W144^2+'Off-Ramp'!X144^2)/(Links!X144+'Off-Ramp'!V144+'Off-Ramp'!W144+'Off-Ramp'!X144)</f>
        <v>#DIV/0!</v>
      </c>
      <c r="BT144" s="60" t="e">
        <f>(Links!Y144^2+'Off-Ramp'!Y144^2+'Off-Ramp'!Z144^2+'Off-Ramp'!AA144^2)/(Links!Y144+'Off-Ramp'!Y144+'Off-Ramp'!Z144+'Off-Ramp'!AA144)</f>
        <v>#DIV/0!</v>
      </c>
      <c r="BU144" s="60" t="e">
        <f>(Links!W144^2+'Off-Ramp'!P144^2)/(Links!W144+'Off-Ramp'!P144)</f>
        <v>#DIV/0!</v>
      </c>
      <c r="BV144" s="60" t="e">
        <f>(Links!Y144^2+'Off-Ramp'!Q144^2)/(Links!Y144+'Off-Ramp'!Q144)</f>
        <v>#DIV/0!</v>
      </c>
      <c r="BW144" s="60" t="e">
        <f>(Links!Z144^2+'Off-Ramp'!R144^2)/(Links!Z144+'Off-Ramp'!R144)</f>
        <v>#DIV/0!</v>
      </c>
      <c r="BX144" s="60" t="e">
        <f>(Links!AA144+'Off-Ramp'!S144)/(Links!AA144^2+'Off-Ramp'!S144^2)</f>
        <v>#DIV/0!</v>
      </c>
      <c r="BY144" s="60" t="e">
        <f>(Links!AB144^2+'Off-Ramp'!T144^2)/(Links!AB144+'Off-Ramp'!T144)</f>
        <v>#DIV/0!</v>
      </c>
      <c r="BZ144" s="60" t="e">
        <f>Links!AC144</f>
        <v>#DIV/0!</v>
      </c>
      <c r="CA144" s="60" t="e">
        <f>(Links!AD144^2+'Off-Ramp'!U144^2)/(Links!AD144+'Off-Ramp'!U144)</f>
        <v>#DIV/0!</v>
      </c>
    </row>
    <row r="145" spans="1:79" x14ac:dyDescent="0.15">
      <c r="A145" s="58">
        <v>143</v>
      </c>
      <c r="B145" s="59" t="e">
        <f t="shared" si="58"/>
        <v>#DIV/0!</v>
      </c>
      <c r="C145" s="59" t="e">
        <f t="shared" si="59"/>
        <v>#DIV/0!</v>
      </c>
      <c r="D145" s="59" t="e">
        <f t="shared" si="60"/>
        <v>#DIV/0!</v>
      </c>
      <c r="E145" s="59" t="e">
        <f t="shared" si="61"/>
        <v>#DIV/0!</v>
      </c>
      <c r="F145" s="59" t="e">
        <f t="shared" si="62"/>
        <v>#DIV/0!</v>
      </c>
      <c r="G145" s="59" t="e">
        <f t="shared" si="63"/>
        <v>#DIV/0!</v>
      </c>
      <c r="H145" s="59" t="e">
        <f t="shared" si="64"/>
        <v>#DIV/0!</v>
      </c>
      <c r="I145" s="59" t="e">
        <f t="shared" si="65"/>
        <v>#DIV/0!</v>
      </c>
      <c r="J145" s="59" t="e">
        <f t="shared" si="66"/>
        <v>#DIV/0!</v>
      </c>
      <c r="K145" s="59" t="e">
        <f t="shared" si="67"/>
        <v>#DIV/0!</v>
      </c>
      <c r="L145" s="59" t="e">
        <f t="shared" si="68"/>
        <v>#DIV/0!</v>
      </c>
      <c r="M145" s="59" t="e">
        <f t="shared" si="69"/>
        <v>#DIV/0!</v>
      </c>
      <c r="N145" s="59" t="e">
        <f t="shared" si="70"/>
        <v>#DIV/0!</v>
      </c>
      <c r="O145" s="60" t="e">
        <f>Links!B145</f>
        <v>#DIV/0!</v>
      </c>
      <c r="P145" s="60" t="e">
        <f>Links!C145+'On-Ramps'!AC145</f>
        <v>#DIV/0!</v>
      </c>
      <c r="Q145" s="60" t="e">
        <f>Links!D145</f>
        <v>#DIV/0!</v>
      </c>
      <c r="R145" s="60" t="e">
        <f>Links!E145+'On-Ramps'!AD145</f>
        <v>#DIV/0!</v>
      </c>
      <c r="S145" s="60" t="e">
        <f>Links!F145+'On-Ramps'!AE145</f>
        <v>#DIV/0!</v>
      </c>
      <c r="T145" s="60" t="e">
        <f>Links!G145+'On-Ramps'!AF145</f>
        <v>#DIV/0!</v>
      </c>
      <c r="U145" s="60" t="e">
        <f>Links!H145+'On-Ramps'!AG145</f>
        <v>#DIV/0!</v>
      </c>
      <c r="V145" s="60" t="e">
        <f>Links!J145+'On-Ramps'!AH145</f>
        <v>#DIV/0!</v>
      </c>
      <c r="W145" s="60" t="e">
        <f>Links!K145+'On-Ramps'!AI145</f>
        <v>#DIV/0!</v>
      </c>
      <c r="X145" s="60" t="e">
        <f>Links!L145+'On-Ramps'!AJ145</f>
        <v>#DIV/0!</v>
      </c>
      <c r="Y145" s="60" t="e">
        <f>Links!M145</f>
        <v>#DIV/0!</v>
      </c>
      <c r="Z145" s="60" t="e">
        <f>Links!N145+'On-Ramps'!AK145</f>
        <v>#DIV/0!</v>
      </c>
      <c r="AA145" s="60" t="e">
        <f>Links!O145</f>
        <v>#DIV/0!</v>
      </c>
      <c r="AB145" s="59" t="e">
        <f t="shared" si="71"/>
        <v>#DIV/0!</v>
      </c>
      <c r="AC145" s="65"/>
      <c r="AD145" s="59" t="e">
        <f t="shared" si="72"/>
        <v>#DIV/0!</v>
      </c>
      <c r="AE145" s="65"/>
      <c r="AF145" s="59" t="e">
        <f t="shared" si="73"/>
        <v>#DIV/0!</v>
      </c>
      <c r="AG145" s="59" t="e">
        <f t="shared" si="74"/>
        <v>#DIV/0!</v>
      </c>
      <c r="AH145" s="59" t="e">
        <f t="shared" si="75"/>
        <v>#DIV/0!</v>
      </c>
      <c r="AI145" s="59" t="e">
        <f t="shared" si="76"/>
        <v>#DIV/0!</v>
      </c>
      <c r="AJ145" s="59" t="e">
        <f t="shared" si="77"/>
        <v>#DIV/0!</v>
      </c>
      <c r="AK145" s="59" t="e">
        <f t="shared" si="78"/>
        <v>#DIV/0!</v>
      </c>
      <c r="AL145" s="59" t="e">
        <f t="shared" si="79"/>
        <v>#DIV/0!</v>
      </c>
      <c r="AM145" s="65"/>
      <c r="AN145" s="59" t="e">
        <f t="shared" si="54"/>
        <v>#DIV/0!</v>
      </c>
      <c r="AO145" s="60" t="e">
        <f t="shared" si="57"/>
        <v>#DIV/0!</v>
      </c>
      <c r="AP145" s="65"/>
      <c r="AQ145" s="60" t="e">
        <f t="shared" si="80"/>
        <v>#DIV/0!</v>
      </c>
      <c r="AR145" s="65"/>
      <c r="AS145" s="60" t="e">
        <f t="shared" si="80"/>
        <v>#DIV/0!</v>
      </c>
      <c r="AT145" s="60" t="e">
        <f t="shared" si="80"/>
        <v>#DIV/0!</v>
      </c>
      <c r="AU145" s="60" t="e">
        <f t="shared" si="80"/>
        <v>#DIV/0!</v>
      </c>
      <c r="AV145" s="60" t="e">
        <f t="shared" si="80"/>
        <v>#DIV/0!</v>
      </c>
      <c r="AW145" s="60" t="e">
        <f t="shared" si="80"/>
        <v>#DIV/0!</v>
      </c>
      <c r="AX145" s="60" t="e">
        <f t="shared" si="80"/>
        <v>#DIV/0!</v>
      </c>
      <c r="AY145" s="60" t="e">
        <f t="shared" si="80"/>
        <v>#DIV/0!</v>
      </c>
      <c r="AZ145" s="65"/>
      <c r="BA145" s="60" t="e">
        <f t="shared" si="80"/>
        <v>#DIV/0!</v>
      </c>
      <c r="BB145" s="59" t="e">
        <f>Links!AF145</f>
        <v>#DIV/0!</v>
      </c>
      <c r="BC145" s="59" t="e">
        <f>(Links!AG145*Links!C145+'On-Ramps'!AC145*'On-Ramps'!CE145)/('On-Ramps'!AC145+Links!C145)</f>
        <v>#DIV/0!</v>
      </c>
      <c r="BD145" s="59" t="e">
        <f>Links!AH145</f>
        <v>#DIV/0!</v>
      </c>
      <c r="BE145" s="59" t="e">
        <f>(Links!AI145*Links!E145+'On-Ramps'!AD145*'On-Ramps'!CF144)/('On-Ramps'!AD145+Links!E145)</f>
        <v>#DIV/0!</v>
      </c>
      <c r="BF145" s="59" t="e">
        <f>(Links!F145*Links!AJ145+'On-Ramps'!AE145*'On-Ramps'!CG145)/('On-Ramps'!AE145+Links!F145)</f>
        <v>#DIV/0!</v>
      </c>
      <c r="BG145" s="59" t="e">
        <f>(Links!G145*Links!AK145+'On-Ramps'!AF145*'On-Ramps'!CH145)/('On-Ramps'!AF145+Links!G145)</f>
        <v>#DIV/0!</v>
      </c>
      <c r="BH145" s="59" t="e">
        <f>(Links!H145*Links!AL145+'On-Ramps'!AG145*'On-Ramps'!CI145)/('On-Ramps'!AG145+Links!H145)</f>
        <v>#DIV/0!</v>
      </c>
      <c r="BI145" s="59" t="e">
        <f>(Links!J145*Links!AN145+'On-Ramps'!AH145*'On-Ramps'!CJ145)/('On-Ramps'!AH145+Links!J145)</f>
        <v>#DIV/0!</v>
      </c>
      <c r="BJ145" s="59" t="e">
        <f>(Links!K145*Links!AO145+'On-Ramps'!AI145*'On-Ramps'!CK145)/('On-Ramps'!AI145+Links!K145)</f>
        <v>#DIV/0!</v>
      </c>
      <c r="BK145" s="59" t="e">
        <f>(Links!L145*Links!AP145+'On-Ramps'!AJ145*'On-Ramps'!CL145)/(Links!L145+'On-Ramps'!AJ145)</f>
        <v>#DIV/0!</v>
      </c>
      <c r="BL145" s="59" t="e">
        <f>Links!AQ145</f>
        <v>#DIV/0!</v>
      </c>
      <c r="BM145" s="59" t="e">
        <f>(Links!N145*Links!AR145+'On-Ramps'!AL145*'On-Ramps'!CM145)/(Links!N145+'On-Ramps'!AL145)</f>
        <v>#DIV/0!</v>
      </c>
      <c r="BN145" s="59" t="e">
        <f>Links!AS145</f>
        <v>#DIV/0!</v>
      </c>
      <c r="BO145" s="60" t="e">
        <f>(Links!R145^2+'Off-Ramp'!L145^2)/(Links!R145+'Off-Ramp'!L145)</f>
        <v>#DIV/0!</v>
      </c>
      <c r="BP145" s="60" t="e">
        <f>Links!S145</f>
        <v>#DIV/0!</v>
      </c>
      <c r="BQ145" s="60" t="e">
        <f>(Links!S145^2+'Off-Ramp'!C145^2)/(Links!S145+'Off-Ramp'!C145)</f>
        <v>#DIV/0!</v>
      </c>
      <c r="BR145" s="60" t="e">
        <f>Links!T145</f>
        <v>#DIV/0!</v>
      </c>
      <c r="BS145" s="60" t="e">
        <f>(Links!X145^2+'Off-Ramp'!V145^2+'Off-Ramp'!W145^2+'Off-Ramp'!X145^2)/(Links!X145+'Off-Ramp'!V145+'Off-Ramp'!W145+'Off-Ramp'!X145)</f>
        <v>#DIV/0!</v>
      </c>
      <c r="BT145" s="60" t="e">
        <f>(Links!Y145^2+'Off-Ramp'!Y145^2+'Off-Ramp'!Z145^2+'Off-Ramp'!AA145^2)/(Links!Y145+'Off-Ramp'!Y145+'Off-Ramp'!Z145+'Off-Ramp'!AA145)</f>
        <v>#DIV/0!</v>
      </c>
      <c r="BU145" s="60" t="e">
        <f>(Links!W145^2+'Off-Ramp'!P145^2)/(Links!W145+'Off-Ramp'!P145)</f>
        <v>#DIV/0!</v>
      </c>
      <c r="BV145" s="60" t="e">
        <f>(Links!Y145^2+'Off-Ramp'!Q145^2)/(Links!Y145+'Off-Ramp'!Q145)</f>
        <v>#DIV/0!</v>
      </c>
      <c r="BW145" s="60" t="e">
        <f>(Links!Z145^2+'Off-Ramp'!R145^2)/(Links!Z145+'Off-Ramp'!R145)</f>
        <v>#DIV/0!</v>
      </c>
      <c r="BX145" s="60" t="e">
        <f>(Links!AA145+'Off-Ramp'!S145)/(Links!AA145^2+'Off-Ramp'!S145^2)</f>
        <v>#DIV/0!</v>
      </c>
      <c r="BY145" s="60" t="e">
        <f>(Links!AB145^2+'Off-Ramp'!T145^2)/(Links!AB145+'Off-Ramp'!T145)</f>
        <v>#DIV/0!</v>
      </c>
      <c r="BZ145" s="60" t="e">
        <f>Links!AC145</f>
        <v>#DIV/0!</v>
      </c>
      <c r="CA145" s="60" t="e">
        <f>(Links!AD145^2+'Off-Ramp'!U145^2)/(Links!AD145+'Off-Ramp'!U145)</f>
        <v>#DIV/0!</v>
      </c>
    </row>
    <row r="146" spans="1:79" x14ac:dyDescent="0.15">
      <c r="A146" s="58">
        <v>144</v>
      </c>
      <c r="B146" s="59" t="e">
        <f t="shared" si="58"/>
        <v>#DIV/0!</v>
      </c>
      <c r="C146" s="59" t="e">
        <f t="shared" si="59"/>
        <v>#DIV/0!</v>
      </c>
      <c r="D146" s="59" t="e">
        <f t="shared" si="60"/>
        <v>#DIV/0!</v>
      </c>
      <c r="E146" s="59" t="e">
        <f t="shared" si="61"/>
        <v>#DIV/0!</v>
      </c>
      <c r="F146" s="59" t="e">
        <f t="shared" si="62"/>
        <v>#DIV/0!</v>
      </c>
      <c r="G146" s="59" t="e">
        <f t="shared" si="63"/>
        <v>#DIV/0!</v>
      </c>
      <c r="H146" s="59" t="e">
        <f t="shared" si="64"/>
        <v>#DIV/0!</v>
      </c>
      <c r="I146" s="59" t="e">
        <f t="shared" si="65"/>
        <v>#DIV/0!</v>
      </c>
      <c r="J146" s="59" t="e">
        <f t="shared" si="66"/>
        <v>#DIV/0!</v>
      </c>
      <c r="K146" s="59" t="e">
        <f t="shared" si="67"/>
        <v>#DIV/0!</v>
      </c>
      <c r="L146" s="59" t="e">
        <f t="shared" si="68"/>
        <v>#DIV/0!</v>
      </c>
      <c r="M146" s="59" t="e">
        <f t="shared" si="69"/>
        <v>#DIV/0!</v>
      </c>
      <c r="N146" s="59" t="e">
        <f t="shared" si="70"/>
        <v>#DIV/0!</v>
      </c>
      <c r="O146" s="60" t="e">
        <f>Links!B146</f>
        <v>#DIV/0!</v>
      </c>
      <c r="P146" s="60" t="e">
        <f>Links!C146+'On-Ramps'!AC146</f>
        <v>#DIV/0!</v>
      </c>
      <c r="Q146" s="60" t="e">
        <f>Links!D146</f>
        <v>#DIV/0!</v>
      </c>
      <c r="R146" s="60" t="e">
        <f>Links!E146+'On-Ramps'!AD146</f>
        <v>#DIV/0!</v>
      </c>
      <c r="S146" s="60" t="e">
        <f>Links!F146+'On-Ramps'!AE146</f>
        <v>#DIV/0!</v>
      </c>
      <c r="T146" s="60" t="e">
        <f>Links!G146+'On-Ramps'!AF146</f>
        <v>#DIV/0!</v>
      </c>
      <c r="U146" s="60" t="e">
        <f>Links!H146+'On-Ramps'!AG146</f>
        <v>#DIV/0!</v>
      </c>
      <c r="V146" s="60" t="e">
        <f>Links!J146+'On-Ramps'!AH146</f>
        <v>#DIV/0!</v>
      </c>
      <c r="W146" s="60" t="e">
        <f>Links!K146+'On-Ramps'!AI146</f>
        <v>#DIV/0!</v>
      </c>
      <c r="X146" s="60" t="e">
        <f>Links!L146+'On-Ramps'!AJ146</f>
        <v>#DIV/0!</v>
      </c>
      <c r="Y146" s="60" t="e">
        <f>Links!M146</f>
        <v>#DIV/0!</v>
      </c>
      <c r="Z146" s="60" t="e">
        <f>Links!N146+'On-Ramps'!AK146</f>
        <v>#DIV/0!</v>
      </c>
      <c r="AA146" s="60" t="e">
        <f>Links!O146</f>
        <v>#DIV/0!</v>
      </c>
      <c r="AB146" s="59" t="e">
        <f t="shared" si="71"/>
        <v>#DIV/0!</v>
      </c>
      <c r="AC146" s="65"/>
      <c r="AD146" s="59" t="e">
        <f t="shared" si="72"/>
        <v>#DIV/0!</v>
      </c>
      <c r="AE146" s="65"/>
      <c r="AF146" s="59" t="e">
        <f t="shared" si="73"/>
        <v>#DIV/0!</v>
      </c>
      <c r="AG146" s="59" t="e">
        <f t="shared" si="74"/>
        <v>#DIV/0!</v>
      </c>
      <c r="AH146" s="59" t="e">
        <f t="shared" si="75"/>
        <v>#DIV/0!</v>
      </c>
      <c r="AI146" s="59" t="e">
        <f t="shared" si="76"/>
        <v>#DIV/0!</v>
      </c>
      <c r="AJ146" s="59" t="e">
        <f t="shared" si="77"/>
        <v>#DIV/0!</v>
      </c>
      <c r="AK146" s="59" t="e">
        <f t="shared" si="78"/>
        <v>#DIV/0!</v>
      </c>
      <c r="AL146" s="59" t="e">
        <f t="shared" si="79"/>
        <v>#DIV/0!</v>
      </c>
      <c r="AM146" s="65"/>
      <c r="AN146" s="59" t="e">
        <f t="shared" si="54"/>
        <v>#DIV/0!</v>
      </c>
      <c r="AO146" s="60" t="e">
        <f t="shared" si="57"/>
        <v>#DIV/0!</v>
      </c>
      <c r="AP146" s="65"/>
      <c r="AQ146" s="60" t="e">
        <f t="shared" si="80"/>
        <v>#DIV/0!</v>
      </c>
      <c r="AR146" s="65"/>
      <c r="AS146" s="60" t="e">
        <f t="shared" si="80"/>
        <v>#DIV/0!</v>
      </c>
      <c r="AT146" s="60" t="e">
        <f t="shared" si="80"/>
        <v>#DIV/0!</v>
      </c>
      <c r="AU146" s="60" t="e">
        <f t="shared" si="80"/>
        <v>#DIV/0!</v>
      </c>
      <c r="AV146" s="60" t="e">
        <f t="shared" si="80"/>
        <v>#DIV/0!</v>
      </c>
      <c r="AW146" s="60" t="e">
        <f t="shared" si="80"/>
        <v>#DIV/0!</v>
      </c>
      <c r="AX146" s="60" t="e">
        <f t="shared" si="80"/>
        <v>#DIV/0!</v>
      </c>
      <c r="AY146" s="60" t="e">
        <f t="shared" si="80"/>
        <v>#DIV/0!</v>
      </c>
      <c r="AZ146" s="65"/>
      <c r="BA146" s="60" t="e">
        <f t="shared" si="80"/>
        <v>#DIV/0!</v>
      </c>
      <c r="BB146" s="59" t="e">
        <f>Links!AF146</f>
        <v>#DIV/0!</v>
      </c>
      <c r="BC146" s="59" t="e">
        <f>(Links!AG146*Links!C146+'On-Ramps'!AC146*'On-Ramps'!CE146)/('On-Ramps'!AC146+Links!C146)</f>
        <v>#DIV/0!</v>
      </c>
      <c r="BD146" s="59" t="e">
        <f>Links!AH146</f>
        <v>#DIV/0!</v>
      </c>
      <c r="BE146" s="59" t="e">
        <f>(Links!AI146*Links!E146+'On-Ramps'!AD146*'On-Ramps'!CF145)/('On-Ramps'!AD146+Links!E146)</f>
        <v>#DIV/0!</v>
      </c>
      <c r="BF146" s="59" t="e">
        <f>(Links!F146*Links!AJ146+'On-Ramps'!AE146*'On-Ramps'!CG146)/('On-Ramps'!AE146+Links!F146)</f>
        <v>#DIV/0!</v>
      </c>
      <c r="BG146" s="59" t="e">
        <f>(Links!G146*Links!AK146+'On-Ramps'!AF146*'On-Ramps'!CH146)/('On-Ramps'!AF146+Links!G146)</f>
        <v>#DIV/0!</v>
      </c>
      <c r="BH146" s="59" t="e">
        <f>(Links!H146*Links!AL146+'On-Ramps'!AG146*'On-Ramps'!CI146)/('On-Ramps'!AG146+Links!H146)</f>
        <v>#DIV/0!</v>
      </c>
      <c r="BI146" s="59" t="e">
        <f>(Links!J146*Links!AN146+'On-Ramps'!AH146*'On-Ramps'!CJ146)/('On-Ramps'!AH146+Links!J146)</f>
        <v>#DIV/0!</v>
      </c>
      <c r="BJ146" s="59" t="e">
        <f>(Links!K146*Links!AO146+'On-Ramps'!AI146*'On-Ramps'!CK146)/('On-Ramps'!AI146+Links!K146)</f>
        <v>#DIV/0!</v>
      </c>
      <c r="BK146" s="59" t="e">
        <f>(Links!L146*Links!AP146+'On-Ramps'!AJ146*'On-Ramps'!CL146)/(Links!L146+'On-Ramps'!AJ146)</f>
        <v>#DIV/0!</v>
      </c>
      <c r="BL146" s="59" t="e">
        <f>Links!AQ146</f>
        <v>#DIV/0!</v>
      </c>
      <c r="BM146" s="59" t="e">
        <f>(Links!N146*Links!AR146+'On-Ramps'!AL146*'On-Ramps'!CM146)/(Links!N146+'On-Ramps'!AL146)</f>
        <v>#DIV/0!</v>
      </c>
      <c r="BN146" s="59" t="e">
        <f>Links!AS146</f>
        <v>#DIV/0!</v>
      </c>
      <c r="BO146" s="60" t="e">
        <f>(Links!R146^2+'Off-Ramp'!L146^2)/(Links!R146+'Off-Ramp'!L146)</f>
        <v>#DIV/0!</v>
      </c>
      <c r="BP146" s="60" t="e">
        <f>Links!S146</f>
        <v>#DIV/0!</v>
      </c>
      <c r="BQ146" s="60" t="e">
        <f>(Links!S146^2+'Off-Ramp'!C146^2)/(Links!S146+'Off-Ramp'!C146)</f>
        <v>#DIV/0!</v>
      </c>
      <c r="BR146" s="60" t="e">
        <f>Links!T146</f>
        <v>#DIV/0!</v>
      </c>
      <c r="BS146" s="60" t="e">
        <f>(Links!X146^2+'Off-Ramp'!V146^2+'Off-Ramp'!W146^2+'Off-Ramp'!X146^2)/(Links!X146+'Off-Ramp'!V146+'Off-Ramp'!W146+'Off-Ramp'!X146)</f>
        <v>#DIV/0!</v>
      </c>
      <c r="BT146" s="60" t="e">
        <f>(Links!Y146^2+'Off-Ramp'!Y146^2+'Off-Ramp'!Z146^2+'Off-Ramp'!AA146^2)/(Links!Y146+'Off-Ramp'!Y146+'Off-Ramp'!Z146+'Off-Ramp'!AA146)</f>
        <v>#DIV/0!</v>
      </c>
      <c r="BU146" s="60" t="e">
        <f>(Links!W146^2+'Off-Ramp'!P146^2)/(Links!W146+'Off-Ramp'!P146)</f>
        <v>#DIV/0!</v>
      </c>
      <c r="BV146" s="60" t="e">
        <f>(Links!Y146^2+'Off-Ramp'!Q146^2)/(Links!Y146+'Off-Ramp'!Q146)</f>
        <v>#DIV/0!</v>
      </c>
      <c r="BW146" s="60" t="e">
        <f>(Links!Z146^2+'Off-Ramp'!R146^2)/(Links!Z146+'Off-Ramp'!R146)</f>
        <v>#DIV/0!</v>
      </c>
      <c r="BX146" s="60" t="e">
        <f>(Links!AA146+'Off-Ramp'!S146)/(Links!AA146^2+'Off-Ramp'!S146^2)</f>
        <v>#DIV/0!</v>
      </c>
      <c r="BY146" s="60" t="e">
        <f>(Links!AB146^2+'Off-Ramp'!T146^2)/(Links!AB146+'Off-Ramp'!T146)</f>
        <v>#DIV/0!</v>
      </c>
      <c r="BZ146" s="60" t="e">
        <f>Links!AC146</f>
        <v>#DIV/0!</v>
      </c>
      <c r="CA146" s="60" t="e">
        <f>(Links!AD146^2+'Off-Ramp'!U146^2)/(Links!AD146+'Off-Ramp'!U146)</f>
        <v>#DIV/0!</v>
      </c>
    </row>
    <row r="147" spans="1:79" x14ac:dyDescent="0.15">
      <c r="A147" s="58">
        <v>145</v>
      </c>
      <c r="B147" s="59" t="e">
        <f t="shared" si="58"/>
        <v>#DIV/0!</v>
      </c>
      <c r="C147" s="59" t="e">
        <f t="shared" si="59"/>
        <v>#DIV/0!</v>
      </c>
      <c r="D147" s="59" t="e">
        <f t="shared" si="60"/>
        <v>#DIV/0!</v>
      </c>
      <c r="E147" s="59" t="e">
        <f t="shared" si="61"/>
        <v>#DIV/0!</v>
      </c>
      <c r="F147" s="59" t="e">
        <f t="shared" si="62"/>
        <v>#DIV/0!</v>
      </c>
      <c r="G147" s="59" t="e">
        <f t="shared" si="63"/>
        <v>#DIV/0!</v>
      </c>
      <c r="H147" s="59" t="e">
        <f t="shared" si="64"/>
        <v>#DIV/0!</v>
      </c>
      <c r="I147" s="59" t="e">
        <f t="shared" si="65"/>
        <v>#DIV/0!</v>
      </c>
      <c r="J147" s="59" t="e">
        <f t="shared" si="66"/>
        <v>#DIV/0!</v>
      </c>
      <c r="K147" s="59" t="e">
        <f t="shared" si="67"/>
        <v>#DIV/0!</v>
      </c>
      <c r="L147" s="59" t="e">
        <f t="shared" si="68"/>
        <v>#DIV/0!</v>
      </c>
      <c r="M147" s="59" t="e">
        <f t="shared" si="69"/>
        <v>#DIV/0!</v>
      </c>
      <c r="N147" s="59" t="e">
        <f t="shared" si="70"/>
        <v>#DIV/0!</v>
      </c>
      <c r="O147" s="60" t="e">
        <f>Links!B147</f>
        <v>#DIV/0!</v>
      </c>
      <c r="P147" s="60" t="e">
        <f>Links!C147+'On-Ramps'!AC147</f>
        <v>#DIV/0!</v>
      </c>
      <c r="Q147" s="60" t="e">
        <f>Links!D147</f>
        <v>#DIV/0!</v>
      </c>
      <c r="R147" s="60" t="e">
        <f>Links!E147+'On-Ramps'!AD147</f>
        <v>#DIV/0!</v>
      </c>
      <c r="S147" s="60" t="e">
        <f>Links!F147+'On-Ramps'!AE147</f>
        <v>#DIV/0!</v>
      </c>
      <c r="T147" s="60" t="e">
        <f>Links!G147+'On-Ramps'!AF147</f>
        <v>#DIV/0!</v>
      </c>
      <c r="U147" s="60" t="e">
        <f>Links!H147+'On-Ramps'!AG147</f>
        <v>#DIV/0!</v>
      </c>
      <c r="V147" s="60" t="e">
        <f>Links!J147+'On-Ramps'!AH147</f>
        <v>#DIV/0!</v>
      </c>
      <c r="W147" s="60" t="e">
        <f>Links!K147+'On-Ramps'!AI147</f>
        <v>#DIV/0!</v>
      </c>
      <c r="X147" s="60" t="e">
        <f>Links!L147+'On-Ramps'!AJ147</f>
        <v>#DIV/0!</v>
      </c>
      <c r="Y147" s="60" t="e">
        <f>Links!M147</f>
        <v>#DIV/0!</v>
      </c>
      <c r="Z147" s="60" t="e">
        <f>Links!N147+'On-Ramps'!AK147</f>
        <v>#DIV/0!</v>
      </c>
      <c r="AA147" s="60" t="e">
        <f>Links!O147</f>
        <v>#DIV/0!</v>
      </c>
      <c r="AB147" s="59" t="e">
        <f t="shared" si="71"/>
        <v>#DIV/0!</v>
      </c>
      <c r="AC147" s="65"/>
      <c r="AD147" s="59" t="e">
        <f t="shared" si="72"/>
        <v>#DIV/0!</v>
      </c>
      <c r="AE147" s="65"/>
      <c r="AF147" s="59" t="e">
        <f t="shared" si="73"/>
        <v>#DIV/0!</v>
      </c>
      <c r="AG147" s="59" t="e">
        <f t="shared" si="74"/>
        <v>#DIV/0!</v>
      </c>
      <c r="AH147" s="59" t="e">
        <f t="shared" si="75"/>
        <v>#DIV/0!</v>
      </c>
      <c r="AI147" s="59" t="e">
        <f t="shared" si="76"/>
        <v>#DIV/0!</v>
      </c>
      <c r="AJ147" s="59" t="e">
        <f t="shared" si="77"/>
        <v>#DIV/0!</v>
      </c>
      <c r="AK147" s="59" t="e">
        <f t="shared" si="78"/>
        <v>#DIV/0!</v>
      </c>
      <c r="AL147" s="59" t="e">
        <f t="shared" si="79"/>
        <v>#DIV/0!</v>
      </c>
      <c r="AM147" s="65"/>
      <c r="AN147" s="59" t="e">
        <f t="shared" si="54"/>
        <v>#DIV/0!</v>
      </c>
      <c r="AO147" s="60" t="e">
        <f t="shared" si="57"/>
        <v>#DIV/0!</v>
      </c>
      <c r="AP147" s="65"/>
      <c r="AQ147" s="60" t="e">
        <f t="shared" si="80"/>
        <v>#DIV/0!</v>
      </c>
      <c r="AR147" s="65"/>
      <c r="AS147" s="60" t="e">
        <f t="shared" si="80"/>
        <v>#DIV/0!</v>
      </c>
      <c r="AT147" s="60" t="e">
        <f t="shared" si="80"/>
        <v>#DIV/0!</v>
      </c>
      <c r="AU147" s="60" t="e">
        <f t="shared" si="80"/>
        <v>#DIV/0!</v>
      </c>
      <c r="AV147" s="60" t="e">
        <f t="shared" si="80"/>
        <v>#DIV/0!</v>
      </c>
      <c r="AW147" s="60" t="e">
        <f t="shared" si="80"/>
        <v>#DIV/0!</v>
      </c>
      <c r="AX147" s="60" t="e">
        <f t="shared" si="80"/>
        <v>#DIV/0!</v>
      </c>
      <c r="AY147" s="60" t="e">
        <f t="shared" si="80"/>
        <v>#DIV/0!</v>
      </c>
      <c r="AZ147" s="65"/>
      <c r="BA147" s="60" t="e">
        <f t="shared" si="80"/>
        <v>#DIV/0!</v>
      </c>
      <c r="BB147" s="59" t="e">
        <f>Links!AF147</f>
        <v>#DIV/0!</v>
      </c>
      <c r="BC147" s="59" t="e">
        <f>(Links!AG147*Links!C147+'On-Ramps'!AC147*'On-Ramps'!CE147)/('On-Ramps'!AC147+Links!C147)</f>
        <v>#DIV/0!</v>
      </c>
      <c r="BD147" s="59" t="e">
        <f>Links!AH147</f>
        <v>#DIV/0!</v>
      </c>
      <c r="BE147" s="59" t="e">
        <f>(Links!AI147*Links!E147+'On-Ramps'!AD147*'On-Ramps'!CF146)/('On-Ramps'!AD147+Links!E147)</f>
        <v>#DIV/0!</v>
      </c>
      <c r="BF147" s="59" t="e">
        <f>(Links!F147*Links!AJ147+'On-Ramps'!AE147*'On-Ramps'!CG147)/('On-Ramps'!AE147+Links!F147)</f>
        <v>#DIV/0!</v>
      </c>
      <c r="BG147" s="59" t="e">
        <f>(Links!G147*Links!AK147+'On-Ramps'!AF147*'On-Ramps'!CH147)/('On-Ramps'!AF147+Links!G147)</f>
        <v>#DIV/0!</v>
      </c>
      <c r="BH147" s="59" t="e">
        <f>(Links!H147*Links!AL147+'On-Ramps'!AG147*'On-Ramps'!CI147)/('On-Ramps'!AG147+Links!H147)</f>
        <v>#DIV/0!</v>
      </c>
      <c r="BI147" s="59" t="e">
        <f>(Links!J147*Links!AN147+'On-Ramps'!AH147*'On-Ramps'!CJ147)/('On-Ramps'!AH147+Links!J147)</f>
        <v>#DIV/0!</v>
      </c>
      <c r="BJ147" s="59" t="e">
        <f>(Links!K147*Links!AO147+'On-Ramps'!AI147*'On-Ramps'!CK147)/('On-Ramps'!AI147+Links!K147)</f>
        <v>#DIV/0!</v>
      </c>
      <c r="BK147" s="59" t="e">
        <f>(Links!L147*Links!AP147+'On-Ramps'!AJ147*'On-Ramps'!CL147)/(Links!L147+'On-Ramps'!AJ147)</f>
        <v>#DIV/0!</v>
      </c>
      <c r="BL147" s="59" t="e">
        <f>Links!AQ147</f>
        <v>#DIV/0!</v>
      </c>
      <c r="BM147" s="59" t="e">
        <f>(Links!N147*Links!AR147+'On-Ramps'!AL147*'On-Ramps'!CM147)/(Links!N147+'On-Ramps'!AL147)</f>
        <v>#DIV/0!</v>
      </c>
      <c r="BN147" s="59" t="e">
        <f>Links!AS147</f>
        <v>#DIV/0!</v>
      </c>
      <c r="BO147" s="60" t="e">
        <f>(Links!R147^2+'Off-Ramp'!L147^2)/(Links!R147+'Off-Ramp'!L147)</f>
        <v>#DIV/0!</v>
      </c>
      <c r="BP147" s="60" t="e">
        <f>Links!S147</f>
        <v>#DIV/0!</v>
      </c>
      <c r="BQ147" s="60" t="e">
        <f>(Links!S147^2+'Off-Ramp'!C147^2)/(Links!S147+'Off-Ramp'!C147)</f>
        <v>#DIV/0!</v>
      </c>
      <c r="BR147" s="60" t="e">
        <f>Links!T147</f>
        <v>#DIV/0!</v>
      </c>
      <c r="BS147" s="60" t="e">
        <f>(Links!X147^2+'Off-Ramp'!V147^2+'Off-Ramp'!W147^2+'Off-Ramp'!X147^2)/(Links!X147+'Off-Ramp'!V147+'Off-Ramp'!W147+'Off-Ramp'!X147)</f>
        <v>#DIV/0!</v>
      </c>
      <c r="BT147" s="60" t="e">
        <f>(Links!Y147^2+'Off-Ramp'!Y147^2+'Off-Ramp'!Z147^2+'Off-Ramp'!AA147^2)/(Links!Y147+'Off-Ramp'!Y147+'Off-Ramp'!Z147+'Off-Ramp'!AA147)</f>
        <v>#DIV/0!</v>
      </c>
      <c r="BU147" s="60" t="e">
        <f>(Links!W147^2+'Off-Ramp'!P147^2)/(Links!W147+'Off-Ramp'!P147)</f>
        <v>#DIV/0!</v>
      </c>
      <c r="BV147" s="60" t="e">
        <f>(Links!Y147^2+'Off-Ramp'!Q147^2)/(Links!Y147+'Off-Ramp'!Q147)</f>
        <v>#DIV/0!</v>
      </c>
      <c r="BW147" s="60" t="e">
        <f>(Links!Z147^2+'Off-Ramp'!R147^2)/(Links!Z147+'Off-Ramp'!R147)</f>
        <v>#DIV/0!</v>
      </c>
      <c r="BX147" s="60" t="e">
        <f>(Links!AA147+'Off-Ramp'!S147)/(Links!AA147^2+'Off-Ramp'!S147^2)</f>
        <v>#DIV/0!</v>
      </c>
      <c r="BY147" s="60" t="e">
        <f>(Links!AB147^2+'Off-Ramp'!T147^2)/(Links!AB147+'Off-Ramp'!T147)</f>
        <v>#DIV/0!</v>
      </c>
      <c r="BZ147" s="60" t="e">
        <f>Links!AC147</f>
        <v>#DIV/0!</v>
      </c>
      <c r="CA147" s="60" t="e">
        <f>(Links!AD147^2+'Off-Ramp'!U147^2)/(Links!AD147+'Off-Ramp'!U147)</f>
        <v>#DIV/0!</v>
      </c>
    </row>
    <row r="148" spans="1:79" x14ac:dyDescent="0.15">
      <c r="A148" s="58">
        <v>146</v>
      </c>
      <c r="B148" s="59" t="e">
        <f t="shared" si="58"/>
        <v>#DIV/0!</v>
      </c>
      <c r="C148" s="59" t="e">
        <f t="shared" si="59"/>
        <v>#DIV/0!</v>
      </c>
      <c r="D148" s="59" t="e">
        <f t="shared" si="60"/>
        <v>#DIV/0!</v>
      </c>
      <c r="E148" s="59" t="e">
        <f t="shared" si="61"/>
        <v>#DIV/0!</v>
      </c>
      <c r="F148" s="59" t="e">
        <f t="shared" si="62"/>
        <v>#DIV/0!</v>
      </c>
      <c r="G148" s="59" t="e">
        <f t="shared" si="63"/>
        <v>#DIV/0!</v>
      </c>
      <c r="H148" s="59" t="e">
        <f t="shared" si="64"/>
        <v>#DIV/0!</v>
      </c>
      <c r="I148" s="59" t="e">
        <f t="shared" si="65"/>
        <v>#DIV/0!</v>
      </c>
      <c r="J148" s="59" t="e">
        <f t="shared" si="66"/>
        <v>#DIV/0!</v>
      </c>
      <c r="K148" s="59" t="e">
        <f t="shared" si="67"/>
        <v>#DIV/0!</v>
      </c>
      <c r="L148" s="59" t="e">
        <f t="shared" si="68"/>
        <v>#DIV/0!</v>
      </c>
      <c r="M148" s="59" t="e">
        <f t="shared" si="69"/>
        <v>#DIV/0!</v>
      </c>
      <c r="N148" s="59" t="e">
        <f t="shared" si="70"/>
        <v>#DIV/0!</v>
      </c>
      <c r="O148" s="60" t="e">
        <f>Links!B148</f>
        <v>#DIV/0!</v>
      </c>
      <c r="P148" s="60" t="e">
        <f>Links!C148+'On-Ramps'!AC148</f>
        <v>#DIV/0!</v>
      </c>
      <c r="Q148" s="60" t="e">
        <f>Links!D148</f>
        <v>#DIV/0!</v>
      </c>
      <c r="R148" s="60" t="e">
        <f>Links!E148+'On-Ramps'!AD148</f>
        <v>#DIV/0!</v>
      </c>
      <c r="S148" s="60" t="e">
        <f>Links!F148+'On-Ramps'!AE148</f>
        <v>#DIV/0!</v>
      </c>
      <c r="T148" s="60" t="e">
        <f>Links!G148+'On-Ramps'!AF148</f>
        <v>#DIV/0!</v>
      </c>
      <c r="U148" s="60" t="e">
        <f>Links!H148+'On-Ramps'!AG148</f>
        <v>#DIV/0!</v>
      </c>
      <c r="V148" s="60" t="e">
        <f>Links!J148+'On-Ramps'!AH148</f>
        <v>#DIV/0!</v>
      </c>
      <c r="W148" s="60" t="e">
        <f>Links!K148+'On-Ramps'!AI148</f>
        <v>#DIV/0!</v>
      </c>
      <c r="X148" s="60" t="e">
        <f>Links!L148+'On-Ramps'!AJ148</f>
        <v>#DIV/0!</v>
      </c>
      <c r="Y148" s="60" t="e">
        <f>Links!M148</f>
        <v>#DIV/0!</v>
      </c>
      <c r="Z148" s="60" t="e">
        <f>Links!N148+'On-Ramps'!AK148</f>
        <v>#DIV/0!</v>
      </c>
      <c r="AA148" s="60" t="e">
        <f>Links!O148</f>
        <v>#DIV/0!</v>
      </c>
      <c r="AB148" s="59" t="e">
        <f t="shared" si="71"/>
        <v>#DIV/0!</v>
      </c>
      <c r="AC148" s="65"/>
      <c r="AD148" s="59" t="e">
        <f t="shared" si="72"/>
        <v>#DIV/0!</v>
      </c>
      <c r="AE148" s="65"/>
      <c r="AF148" s="59" t="e">
        <f t="shared" si="73"/>
        <v>#DIV/0!</v>
      </c>
      <c r="AG148" s="59" t="e">
        <f t="shared" si="74"/>
        <v>#DIV/0!</v>
      </c>
      <c r="AH148" s="59" t="e">
        <f t="shared" si="75"/>
        <v>#DIV/0!</v>
      </c>
      <c r="AI148" s="59" t="e">
        <f t="shared" si="76"/>
        <v>#DIV/0!</v>
      </c>
      <c r="AJ148" s="59" t="e">
        <f t="shared" si="77"/>
        <v>#DIV/0!</v>
      </c>
      <c r="AK148" s="59" t="e">
        <f t="shared" si="78"/>
        <v>#DIV/0!</v>
      </c>
      <c r="AL148" s="59" t="e">
        <f t="shared" si="79"/>
        <v>#DIV/0!</v>
      </c>
      <c r="AM148" s="65"/>
      <c r="AN148" s="59" t="e">
        <f t="shared" ref="AN148:AN182" si="81">BA148*(1-BA148)*AA148</f>
        <v>#DIV/0!</v>
      </c>
      <c r="AO148" s="60" t="e">
        <f t="shared" si="57"/>
        <v>#DIV/0!</v>
      </c>
      <c r="AP148" s="65"/>
      <c r="AQ148" s="60" t="e">
        <f t="shared" si="80"/>
        <v>#DIV/0!</v>
      </c>
      <c r="AR148" s="65"/>
      <c r="AS148" s="60" t="e">
        <f t="shared" si="80"/>
        <v>#DIV/0!</v>
      </c>
      <c r="AT148" s="60" t="e">
        <f t="shared" si="80"/>
        <v>#DIV/0!</v>
      </c>
      <c r="AU148" s="60" t="e">
        <f t="shared" si="80"/>
        <v>#DIV/0!</v>
      </c>
      <c r="AV148" s="60" t="e">
        <f t="shared" si="80"/>
        <v>#DIV/0!</v>
      </c>
      <c r="AW148" s="60" t="e">
        <f t="shared" si="80"/>
        <v>#DIV/0!</v>
      </c>
      <c r="AX148" s="60" t="e">
        <f t="shared" si="80"/>
        <v>#DIV/0!</v>
      </c>
      <c r="AY148" s="60" t="e">
        <f t="shared" si="80"/>
        <v>#DIV/0!</v>
      </c>
      <c r="AZ148" s="65"/>
      <c r="BA148" s="60" t="e">
        <f t="shared" si="80"/>
        <v>#DIV/0!</v>
      </c>
      <c r="BB148" s="59" t="e">
        <f>Links!AF148</f>
        <v>#DIV/0!</v>
      </c>
      <c r="BC148" s="59" t="e">
        <f>(Links!AG148*Links!C148+'On-Ramps'!AC148*'On-Ramps'!CE148)/('On-Ramps'!AC148+Links!C148)</f>
        <v>#DIV/0!</v>
      </c>
      <c r="BD148" s="59" t="e">
        <f>Links!AH148</f>
        <v>#DIV/0!</v>
      </c>
      <c r="BE148" s="59" t="e">
        <f>(Links!AI148*Links!E148+'On-Ramps'!AD148*'On-Ramps'!CF147)/('On-Ramps'!AD148+Links!E148)</f>
        <v>#DIV/0!</v>
      </c>
      <c r="BF148" s="59" t="e">
        <f>(Links!F148*Links!AJ148+'On-Ramps'!AE148*'On-Ramps'!CG148)/('On-Ramps'!AE148+Links!F148)</f>
        <v>#DIV/0!</v>
      </c>
      <c r="BG148" s="59" t="e">
        <f>(Links!G148*Links!AK148+'On-Ramps'!AF148*'On-Ramps'!CH148)/('On-Ramps'!AF148+Links!G148)</f>
        <v>#DIV/0!</v>
      </c>
      <c r="BH148" s="59" t="e">
        <f>(Links!H148*Links!AL148+'On-Ramps'!AG148*'On-Ramps'!CI148)/('On-Ramps'!AG148+Links!H148)</f>
        <v>#DIV/0!</v>
      </c>
      <c r="BI148" s="59" t="e">
        <f>(Links!J148*Links!AN148+'On-Ramps'!AH148*'On-Ramps'!CJ148)/('On-Ramps'!AH148+Links!J148)</f>
        <v>#DIV/0!</v>
      </c>
      <c r="BJ148" s="59" t="e">
        <f>(Links!K148*Links!AO148+'On-Ramps'!AI148*'On-Ramps'!CK148)/('On-Ramps'!AI148+Links!K148)</f>
        <v>#DIV/0!</v>
      </c>
      <c r="BK148" s="59" t="e">
        <f>(Links!L148*Links!AP148+'On-Ramps'!AJ148*'On-Ramps'!CL148)/(Links!L148+'On-Ramps'!AJ148)</f>
        <v>#DIV/0!</v>
      </c>
      <c r="BL148" s="59" t="e">
        <f>Links!AQ148</f>
        <v>#DIV/0!</v>
      </c>
      <c r="BM148" s="59" t="e">
        <f>(Links!N148*Links!AR148+'On-Ramps'!AL148*'On-Ramps'!CM148)/(Links!N148+'On-Ramps'!AL148)</f>
        <v>#DIV/0!</v>
      </c>
      <c r="BN148" s="59" t="e">
        <f>Links!AS148</f>
        <v>#DIV/0!</v>
      </c>
      <c r="BO148" s="60" t="e">
        <f>(Links!R148^2+'Off-Ramp'!L148^2)/(Links!R148+'Off-Ramp'!L148)</f>
        <v>#DIV/0!</v>
      </c>
      <c r="BP148" s="60" t="e">
        <f>Links!S148</f>
        <v>#DIV/0!</v>
      </c>
      <c r="BQ148" s="60" t="e">
        <f>(Links!S148^2+'Off-Ramp'!C148^2)/(Links!S148+'Off-Ramp'!C148)</f>
        <v>#DIV/0!</v>
      </c>
      <c r="BR148" s="60" t="e">
        <f>Links!T148</f>
        <v>#DIV/0!</v>
      </c>
      <c r="BS148" s="60" t="e">
        <f>(Links!X148^2+'Off-Ramp'!V148^2+'Off-Ramp'!W148^2+'Off-Ramp'!X148^2)/(Links!X148+'Off-Ramp'!V148+'Off-Ramp'!W148+'Off-Ramp'!X148)</f>
        <v>#DIV/0!</v>
      </c>
      <c r="BT148" s="60" t="e">
        <f>(Links!Y148^2+'Off-Ramp'!Y148^2+'Off-Ramp'!Z148^2+'Off-Ramp'!AA148^2)/(Links!Y148+'Off-Ramp'!Y148+'Off-Ramp'!Z148+'Off-Ramp'!AA148)</f>
        <v>#DIV/0!</v>
      </c>
      <c r="BU148" s="60" t="e">
        <f>(Links!W148^2+'Off-Ramp'!P148^2)/(Links!W148+'Off-Ramp'!P148)</f>
        <v>#DIV/0!</v>
      </c>
      <c r="BV148" s="60" t="e">
        <f>(Links!Y148^2+'Off-Ramp'!Q148^2)/(Links!Y148+'Off-Ramp'!Q148)</f>
        <v>#DIV/0!</v>
      </c>
      <c r="BW148" s="60" t="e">
        <f>(Links!Z148^2+'Off-Ramp'!R148^2)/(Links!Z148+'Off-Ramp'!R148)</f>
        <v>#DIV/0!</v>
      </c>
      <c r="BX148" s="60" t="e">
        <f>(Links!AA148+'Off-Ramp'!S148)/(Links!AA148^2+'Off-Ramp'!S148^2)</f>
        <v>#DIV/0!</v>
      </c>
      <c r="BY148" s="60" t="e">
        <f>(Links!AB148^2+'Off-Ramp'!T148^2)/(Links!AB148+'Off-Ramp'!T148)</f>
        <v>#DIV/0!</v>
      </c>
      <c r="BZ148" s="60" t="e">
        <f>Links!AC148</f>
        <v>#DIV/0!</v>
      </c>
      <c r="CA148" s="60" t="e">
        <f>(Links!AD148^2+'Off-Ramp'!U148^2)/(Links!AD148+'Off-Ramp'!U148)</f>
        <v>#DIV/0!</v>
      </c>
    </row>
    <row r="149" spans="1:79" x14ac:dyDescent="0.15">
      <c r="A149" s="58">
        <v>147</v>
      </c>
      <c r="B149" s="59" t="e">
        <f t="shared" si="58"/>
        <v>#DIV/0!</v>
      </c>
      <c r="C149" s="59" t="e">
        <f t="shared" si="59"/>
        <v>#DIV/0!</v>
      </c>
      <c r="D149" s="59" t="e">
        <f t="shared" si="60"/>
        <v>#DIV/0!</v>
      </c>
      <c r="E149" s="59" t="e">
        <f t="shared" si="61"/>
        <v>#DIV/0!</v>
      </c>
      <c r="F149" s="59" t="e">
        <f t="shared" si="62"/>
        <v>#DIV/0!</v>
      </c>
      <c r="G149" s="59" t="e">
        <f t="shared" si="63"/>
        <v>#DIV/0!</v>
      </c>
      <c r="H149" s="59" t="e">
        <f t="shared" si="64"/>
        <v>#DIV/0!</v>
      </c>
      <c r="I149" s="59" t="e">
        <f t="shared" si="65"/>
        <v>#DIV/0!</v>
      </c>
      <c r="J149" s="59" t="e">
        <f t="shared" si="66"/>
        <v>#DIV/0!</v>
      </c>
      <c r="K149" s="59" t="e">
        <f t="shared" si="67"/>
        <v>#DIV/0!</v>
      </c>
      <c r="L149" s="59" t="e">
        <f t="shared" si="68"/>
        <v>#DIV/0!</v>
      </c>
      <c r="M149" s="59" t="e">
        <f t="shared" si="69"/>
        <v>#DIV/0!</v>
      </c>
      <c r="N149" s="59" t="e">
        <f t="shared" si="70"/>
        <v>#DIV/0!</v>
      </c>
      <c r="O149" s="60" t="e">
        <f>Links!B149</f>
        <v>#DIV/0!</v>
      </c>
      <c r="P149" s="60" t="e">
        <f>Links!C149+'On-Ramps'!AC149</f>
        <v>#DIV/0!</v>
      </c>
      <c r="Q149" s="60" t="e">
        <f>Links!D149</f>
        <v>#DIV/0!</v>
      </c>
      <c r="R149" s="60" t="e">
        <f>Links!E149+'On-Ramps'!AD149</f>
        <v>#DIV/0!</v>
      </c>
      <c r="S149" s="60" t="e">
        <f>Links!F149+'On-Ramps'!AE149</f>
        <v>#DIV/0!</v>
      </c>
      <c r="T149" s="60" t="e">
        <f>Links!G149+'On-Ramps'!AF149</f>
        <v>#DIV/0!</v>
      </c>
      <c r="U149" s="60" t="e">
        <f>Links!H149+'On-Ramps'!AG149</f>
        <v>#DIV/0!</v>
      </c>
      <c r="V149" s="60" t="e">
        <f>Links!J149+'On-Ramps'!AH149</f>
        <v>#DIV/0!</v>
      </c>
      <c r="W149" s="60" t="e">
        <f>Links!K149+'On-Ramps'!AI149</f>
        <v>#DIV/0!</v>
      </c>
      <c r="X149" s="60" t="e">
        <f>Links!L149+'On-Ramps'!AJ149</f>
        <v>#DIV/0!</v>
      </c>
      <c r="Y149" s="60" t="e">
        <f>Links!M149</f>
        <v>#DIV/0!</v>
      </c>
      <c r="Z149" s="60" t="e">
        <f>Links!N149+'On-Ramps'!AK149</f>
        <v>#DIV/0!</v>
      </c>
      <c r="AA149" s="60" t="e">
        <f>Links!O149</f>
        <v>#DIV/0!</v>
      </c>
      <c r="AB149" s="59" t="e">
        <f t="shared" si="71"/>
        <v>#DIV/0!</v>
      </c>
      <c r="AC149" s="65"/>
      <c r="AD149" s="59" t="e">
        <f t="shared" si="72"/>
        <v>#DIV/0!</v>
      </c>
      <c r="AE149" s="65"/>
      <c r="AF149" s="59" t="e">
        <f t="shared" si="73"/>
        <v>#DIV/0!</v>
      </c>
      <c r="AG149" s="59" t="e">
        <f t="shared" si="74"/>
        <v>#DIV/0!</v>
      </c>
      <c r="AH149" s="59" t="e">
        <f t="shared" si="75"/>
        <v>#DIV/0!</v>
      </c>
      <c r="AI149" s="59" t="e">
        <f t="shared" si="76"/>
        <v>#DIV/0!</v>
      </c>
      <c r="AJ149" s="59" t="e">
        <f t="shared" si="77"/>
        <v>#DIV/0!</v>
      </c>
      <c r="AK149" s="59" t="e">
        <f t="shared" si="78"/>
        <v>#DIV/0!</v>
      </c>
      <c r="AL149" s="59" t="e">
        <f t="shared" si="79"/>
        <v>#DIV/0!</v>
      </c>
      <c r="AM149" s="65"/>
      <c r="AN149" s="59" t="e">
        <f t="shared" si="81"/>
        <v>#DIV/0!</v>
      </c>
      <c r="AO149" s="60" t="e">
        <f t="shared" si="57"/>
        <v>#DIV/0!</v>
      </c>
      <c r="AP149" s="65"/>
      <c r="AQ149" s="60" t="e">
        <f t="shared" si="80"/>
        <v>#DIV/0!</v>
      </c>
      <c r="AR149" s="65"/>
      <c r="AS149" s="60" t="e">
        <f t="shared" si="80"/>
        <v>#DIV/0!</v>
      </c>
      <c r="AT149" s="60" t="e">
        <f t="shared" si="80"/>
        <v>#DIV/0!</v>
      </c>
      <c r="AU149" s="60" t="e">
        <f t="shared" si="80"/>
        <v>#DIV/0!</v>
      </c>
      <c r="AV149" s="60" t="e">
        <f t="shared" si="80"/>
        <v>#DIV/0!</v>
      </c>
      <c r="AW149" s="60" t="e">
        <f t="shared" si="80"/>
        <v>#DIV/0!</v>
      </c>
      <c r="AX149" s="60" t="e">
        <f t="shared" si="80"/>
        <v>#DIV/0!</v>
      </c>
      <c r="AY149" s="60" t="e">
        <f t="shared" si="80"/>
        <v>#DIV/0!</v>
      </c>
      <c r="AZ149" s="65"/>
      <c r="BA149" s="60" t="e">
        <f t="shared" si="80"/>
        <v>#DIV/0!</v>
      </c>
      <c r="BB149" s="59" t="e">
        <f>Links!AF149</f>
        <v>#DIV/0!</v>
      </c>
      <c r="BC149" s="59" t="e">
        <f>(Links!AG149*Links!C149+'On-Ramps'!AC149*'On-Ramps'!CE149)/('On-Ramps'!AC149+Links!C149)</f>
        <v>#DIV/0!</v>
      </c>
      <c r="BD149" s="59" t="e">
        <f>Links!AH149</f>
        <v>#DIV/0!</v>
      </c>
      <c r="BE149" s="59" t="e">
        <f>(Links!AI149*Links!E149+'On-Ramps'!AD149*'On-Ramps'!CF148)/('On-Ramps'!AD149+Links!E149)</f>
        <v>#DIV/0!</v>
      </c>
      <c r="BF149" s="59" t="e">
        <f>(Links!F149*Links!AJ149+'On-Ramps'!AE149*'On-Ramps'!CG149)/('On-Ramps'!AE149+Links!F149)</f>
        <v>#DIV/0!</v>
      </c>
      <c r="BG149" s="59" t="e">
        <f>(Links!G149*Links!AK149+'On-Ramps'!AF149*'On-Ramps'!CH149)/('On-Ramps'!AF149+Links!G149)</f>
        <v>#DIV/0!</v>
      </c>
      <c r="BH149" s="59" t="e">
        <f>(Links!H149*Links!AL149+'On-Ramps'!AG149*'On-Ramps'!CI149)/('On-Ramps'!AG149+Links!H149)</f>
        <v>#DIV/0!</v>
      </c>
      <c r="BI149" s="59" t="e">
        <f>(Links!J149*Links!AN149+'On-Ramps'!AH149*'On-Ramps'!CJ149)/('On-Ramps'!AH149+Links!J149)</f>
        <v>#DIV/0!</v>
      </c>
      <c r="BJ149" s="59" t="e">
        <f>(Links!K149*Links!AO149+'On-Ramps'!AI149*'On-Ramps'!CK149)/('On-Ramps'!AI149+Links!K149)</f>
        <v>#DIV/0!</v>
      </c>
      <c r="BK149" s="59" t="e">
        <f>(Links!L149*Links!AP149+'On-Ramps'!AJ149*'On-Ramps'!CL149)/(Links!L149+'On-Ramps'!AJ149)</f>
        <v>#DIV/0!</v>
      </c>
      <c r="BL149" s="59" t="e">
        <f>Links!AQ149</f>
        <v>#DIV/0!</v>
      </c>
      <c r="BM149" s="59" t="e">
        <f>(Links!N149*Links!AR149+'On-Ramps'!AL149*'On-Ramps'!CM149)/(Links!N149+'On-Ramps'!AL149)</f>
        <v>#DIV/0!</v>
      </c>
      <c r="BN149" s="59" t="e">
        <f>Links!AS149</f>
        <v>#DIV/0!</v>
      </c>
      <c r="BO149" s="60" t="e">
        <f>(Links!R149^2+'Off-Ramp'!L149^2)/(Links!R149+'Off-Ramp'!L149)</f>
        <v>#DIV/0!</v>
      </c>
      <c r="BP149" s="60" t="e">
        <f>Links!S149</f>
        <v>#DIV/0!</v>
      </c>
      <c r="BQ149" s="60" t="e">
        <f>(Links!S149^2+'Off-Ramp'!C149^2)/(Links!S149+'Off-Ramp'!C149)</f>
        <v>#DIV/0!</v>
      </c>
      <c r="BR149" s="60" t="e">
        <f>Links!T149</f>
        <v>#DIV/0!</v>
      </c>
      <c r="BS149" s="60" t="e">
        <f>(Links!X149^2+'Off-Ramp'!V149^2+'Off-Ramp'!W149^2+'Off-Ramp'!X149^2)/(Links!X149+'Off-Ramp'!V149+'Off-Ramp'!W149+'Off-Ramp'!X149)</f>
        <v>#DIV/0!</v>
      </c>
      <c r="BT149" s="60" t="e">
        <f>(Links!Y149^2+'Off-Ramp'!Y149^2+'Off-Ramp'!Z149^2+'Off-Ramp'!AA149^2)/(Links!Y149+'Off-Ramp'!Y149+'Off-Ramp'!Z149+'Off-Ramp'!AA149)</f>
        <v>#DIV/0!</v>
      </c>
      <c r="BU149" s="60" t="e">
        <f>(Links!W149^2+'Off-Ramp'!P149^2)/(Links!W149+'Off-Ramp'!P149)</f>
        <v>#DIV/0!</v>
      </c>
      <c r="BV149" s="60" t="e">
        <f>(Links!Y149^2+'Off-Ramp'!Q149^2)/(Links!Y149+'Off-Ramp'!Q149)</f>
        <v>#DIV/0!</v>
      </c>
      <c r="BW149" s="60" t="e">
        <f>(Links!Z149^2+'Off-Ramp'!R149^2)/(Links!Z149+'Off-Ramp'!R149)</f>
        <v>#DIV/0!</v>
      </c>
      <c r="BX149" s="60" t="e">
        <f>(Links!AA149+'Off-Ramp'!S149)/(Links!AA149^2+'Off-Ramp'!S149^2)</f>
        <v>#DIV/0!</v>
      </c>
      <c r="BY149" s="60" t="e">
        <f>(Links!AB149^2+'Off-Ramp'!T149^2)/(Links!AB149+'Off-Ramp'!T149)</f>
        <v>#DIV/0!</v>
      </c>
      <c r="BZ149" s="60" t="e">
        <f>Links!AC149</f>
        <v>#DIV/0!</v>
      </c>
      <c r="CA149" s="60" t="e">
        <f>(Links!AD149^2+'Off-Ramp'!U149^2)/(Links!AD149+'Off-Ramp'!U149)</f>
        <v>#DIV/0!</v>
      </c>
    </row>
    <row r="150" spans="1:79" x14ac:dyDescent="0.15">
      <c r="A150" s="58">
        <v>148</v>
      </c>
      <c r="B150" s="59" t="e">
        <f t="shared" si="58"/>
        <v>#DIV/0!</v>
      </c>
      <c r="C150" s="59" t="e">
        <f t="shared" si="59"/>
        <v>#DIV/0!</v>
      </c>
      <c r="D150" s="59" t="e">
        <f t="shared" si="60"/>
        <v>#DIV/0!</v>
      </c>
      <c r="E150" s="59" t="e">
        <f t="shared" si="61"/>
        <v>#DIV/0!</v>
      </c>
      <c r="F150" s="59" t="e">
        <f t="shared" si="62"/>
        <v>#DIV/0!</v>
      </c>
      <c r="G150" s="59" t="e">
        <f t="shared" si="63"/>
        <v>#DIV/0!</v>
      </c>
      <c r="H150" s="59" t="e">
        <f t="shared" si="64"/>
        <v>#DIV/0!</v>
      </c>
      <c r="I150" s="59" t="e">
        <f t="shared" si="65"/>
        <v>#DIV/0!</v>
      </c>
      <c r="J150" s="59" t="e">
        <f t="shared" si="66"/>
        <v>#DIV/0!</v>
      </c>
      <c r="K150" s="59" t="e">
        <f t="shared" si="67"/>
        <v>#DIV/0!</v>
      </c>
      <c r="L150" s="59" t="e">
        <f t="shared" si="68"/>
        <v>#DIV/0!</v>
      </c>
      <c r="M150" s="59" t="e">
        <f t="shared" si="69"/>
        <v>#DIV/0!</v>
      </c>
      <c r="N150" s="59" t="e">
        <f t="shared" si="70"/>
        <v>#DIV/0!</v>
      </c>
      <c r="O150" s="60" t="e">
        <f>Links!B150</f>
        <v>#DIV/0!</v>
      </c>
      <c r="P150" s="60" t="e">
        <f>Links!C150+'On-Ramps'!AC150</f>
        <v>#DIV/0!</v>
      </c>
      <c r="Q150" s="60" t="e">
        <f>Links!D150</f>
        <v>#DIV/0!</v>
      </c>
      <c r="R150" s="60" t="e">
        <f>Links!E150+'On-Ramps'!AD150</f>
        <v>#DIV/0!</v>
      </c>
      <c r="S150" s="60" t="e">
        <f>Links!F150+'On-Ramps'!AE150</f>
        <v>#DIV/0!</v>
      </c>
      <c r="T150" s="60" t="e">
        <f>Links!G150+'On-Ramps'!AF150</f>
        <v>#DIV/0!</v>
      </c>
      <c r="U150" s="60" t="e">
        <f>Links!H150+'On-Ramps'!AG150</f>
        <v>#DIV/0!</v>
      </c>
      <c r="V150" s="60" t="e">
        <f>Links!J150+'On-Ramps'!AH150</f>
        <v>#DIV/0!</v>
      </c>
      <c r="W150" s="60" t="e">
        <f>Links!K150+'On-Ramps'!AI150</f>
        <v>#DIV/0!</v>
      </c>
      <c r="X150" s="60" t="e">
        <f>Links!L150+'On-Ramps'!AJ150</f>
        <v>#DIV/0!</v>
      </c>
      <c r="Y150" s="60" t="e">
        <f>Links!M150</f>
        <v>#DIV/0!</v>
      </c>
      <c r="Z150" s="60" t="e">
        <f>Links!N150+'On-Ramps'!AK150</f>
        <v>#DIV/0!</v>
      </c>
      <c r="AA150" s="60" t="e">
        <f>Links!O150</f>
        <v>#DIV/0!</v>
      </c>
      <c r="AB150" s="59" t="e">
        <f t="shared" si="71"/>
        <v>#DIV/0!</v>
      </c>
      <c r="AC150" s="65"/>
      <c r="AD150" s="59" t="e">
        <f t="shared" si="72"/>
        <v>#DIV/0!</v>
      </c>
      <c r="AE150" s="65"/>
      <c r="AF150" s="59" t="e">
        <f t="shared" si="73"/>
        <v>#DIV/0!</v>
      </c>
      <c r="AG150" s="59" t="e">
        <f t="shared" si="74"/>
        <v>#DIV/0!</v>
      </c>
      <c r="AH150" s="59" t="e">
        <f t="shared" si="75"/>
        <v>#DIV/0!</v>
      </c>
      <c r="AI150" s="59" t="e">
        <f t="shared" si="76"/>
        <v>#DIV/0!</v>
      </c>
      <c r="AJ150" s="59" t="e">
        <f t="shared" si="77"/>
        <v>#DIV/0!</v>
      </c>
      <c r="AK150" s="59" t="e">
        <f t="shared" si="78"/>
        <v>#DIV/0!</v>
      </c>
      <c r="AL150" s="59" t="e">
        <f t="shared" si="79"/>
        <v>#DIV/0!</v>
      </c>
      <c r="AM150" s="65"/>
      <c r="AN150" s="59" t="e">
        <f t="shared" si="81"/>
        <v>#DIV/0!</v>
      </c>
      <c r="AO150" s="60" t="e">
        <f t="shared" si="57"/>
        <v>#DIV/0!</v>
      </c>
      <c r="AP150" s="65"/>
      <c r="AQ150" s="60" t="e">
        <f t="shared" si="80"/>
        <v>#DIV/0!</v>
      </c>
      <c r="AR150" s="65"/>
      <c r="AS150" s="60" t="e">
        <f t="shared" si="80"/>
        <v>#DIV/0!</v>
      </c>
      <c r="AT150" s="60" t="e">
        <f t="shared" si="80"/>
        <v>#DIV/0!</v>
      </c>
      <c r="AU150" s="60" t="e">
        <f t="shared" si="80"/>
        <v>#DIV/0!</v>
      </c>
      <c r="AV150" s="60" t="e">
        <f t="shared" si="80"/>
        <v>#DIV/0!</v>
      </c>
      <c r="AW150" s="60" t="e">
        <f t="shared" si="80"/>
        <v>#DIV/0!</v>
      </c>
      <c r="AX150" s="60" t="e">
        <f t="shared" si="80"/>
        <v>#DIV/0!</v>
      </c>
      <c r="AY150" s="60" t="e">
        <f t="shared" si="80"/>
        <v>#DIV/0!</v>
      </c>
      <c r="AZ150" s="65"/>
      <c r="BA150" s="60" t="e">
        <f t="shared" si="80"/>
        <v>#DIV/0!</v>
      </c>
      <c r="BB150" s="59" t="e">
        <f>Links!AF150</f>
        <v>#DIV/0!</v>
      </c>
      <c r="BC150" s="59" t="e">
        <f>(Links!AG150*Links!C150+'On-Ramps'!AC150*'On-Ramps'!CE150)/('On-Ramps'!AC150+Links!C150)</f>
        <v>#DIV/0!</v>
      </c>
      <c r="BD150" s="59" t="e">
        <f>Links!AH150</f>
        <v>#DIV/0!</v>
      </c>
      <c r="BE150" s="59" t="e">
        <f>(Links!AI150*Links!E150+'On-Ramps'!AD150*'On-Ramps'!CF149)/('On-Ramps'!AD150+Links!E150)</f>
        <v>#DIV/0!</v>
      </c>
      <c r="BF150" s="59" t="e">
        <f>(Links!F150*Links!AJ150+'On-Ramps'!AE150*'On-Ramps'!CG150)/('On-Ramps'!AE150+Links!F150)</f>
        <v>#DIV/0!</v>
      </c>
      <c r="BG150" s="59" t="e">
        <f>(Links!G150*Links!AK150+'On-Ramps'!AF150*'On-Ramps'!CH150)/('On-Ramps'!AF150+Links!G150)</f>
        <v>#DIV/0!</v>
      </c>
      <c r="BH150" s="59" t="e">
        <f>(Links!H150*Links!AL150+'On-Ramps'!AG150*'On-Ramps'!CI150)/('On-Ramps'!AG150+Links!H150)</f>
        <v>#DIV/0!</v>
      </c>
      <c r="BI150" s="59" t="e">
        <f>(Links!J150*Links!AN150+'On-Ramps'!AH150*'On-Ramps'!CJ150)/('On-Ramps'!AH150+Links!J150)</f>
        <v>#DIV/0!</v>
      </c>
      <c r="BJ150" s="59" t="e">
        <f>(Links!K150*Links!AO150+'On-Ramps'!AI150*'On-Ramps'!CK150)/('On-Ramps'!AI150+Links!K150)</f>
        <v>#DIV/0!</v>
      </c>
      <c r="BK150" s="59" t="e">
        <f>(Links!L150*Links!AP150+'On-Ramps'!AJ150*'On-Ramps'!CL150)/(Links!L150+'On-Ramps'!AJ150)</f>
        <v>#DIV/0!</v>
      </c>
      <c r="BL150" s="59" t="e">
        <f>Links!AQ150</f>
        <v>#DIV/0!</v>
      </c>
      <c r="BM150" s="59" t="e">
        <f>(Links!N150*Links!AR150+'On-Ramps'!AL150*'On-Ramps'!CM150)/(Links!N150+'On-Ramps'!AL150)</f>
        <v>#DIV/0!</v>
      </c>
      <c r="BN150" s="59" t="e">
        <f>Links!AS150</f>
        <v>#DIV/0!</v>
      </c>
      <c r="BO150" s="60" t="e">
        <f>(Links!R150^2+'Off-Ramp'!L150^2)/(Links!R150+'Off-Ramp'!L150)</f>
        <v>#DIV/0!</v>
      </c>
      <c r="BP150" s="60" t="e">
        <f>Links!S150</f>
        <v>#DIV/0!</v>
      </c>
      <c r="BQ150" s="60" t="e">
        <f>(Links!S150^2+'Off-Ramp'!C150^2)/(Links!S150+'Off-Ramp'!C150)</f>
        <v>#DIV/0!</v>
      </c>
      <c r="BR150" s="60" t="e">
        <f>Links!T150</f>
        <v>#DIV/0!</v>
      </c>
      <c r="BS150" s="60" t="e">
        <f>(Links!X150^2+'Off-Ramp'!V150^2+'Off-Ramp'!W150^2+'Off-Ramp'!X150^2)/(Links!X150+'Off-Ramp'!V150+'Off-Ramp'!W150+'Off-Ramp'!X150)</f>
        <v>#DIV/0!</v>
      </c>
      <c r="BT150" s="60" t="e">
        <f>(Links!Y150^2+'Off-Ramp'!Y150^2+'Off-Ramp'!Z150^2+'Off-Ramp'!AA150^2)/(Links!Y150+'Off-Ramp'!Y150+'Off-Ramp'!Z150+'Off-Ramp'!AA150)</f>
        <v>#DIV/0!</v>
      </c>
      <c r="BU150" s="60" t="e">
        <f>(Links!W150^2+'Off-Ramp'!P150^2)/(Links!W150+'Off-Ramp'!P150)</f>
        <v>#DIV/0!</v>
      </c>
      <c r="BV150" s="60" t="e">
        <f>(Links!Y150^2+'Off-Ramp'!Q150^2)/(Links!Y150+'Off-Ramp'!Q150)</f>
        <v>#DIV/0!</v>
      </c>
      <c r="BW150" s="60" t="e">
        <f>(Links!Z150^2+'Off-Ramp'!R150^2)/(Links!Z150+'Off-Ramp'!R150)</f>
        <v>#DIV/0!</v>
      </c>
      <c r="BX150" s="60" t="e">
        <f>(Links!AA150+'Off-Ramp'!S150)/(Links!AA150^2+'Off-Ramp'!S150^2)</f>
        <v>#DIV/0!</v>
      </c>
      <c r="BY150" s="60" t="e">
        <f>(Links!AB150^2+'Off-Ramp'!T150^2)/(Links!AB150+'Off-Ramp'!T150)</f>
        <v>#DIV/0!</v>
      </c>
      <c r="BZ150" s="60" t="e">
        <f>Links!AC150</f>
        <v>#DIV/0!</v>
      </c>
      <c r="CA150" s="60" t="e">
        <f>(Links!AD150^2+'Off-Ramp'!U150^2)/(Links!AD150+'Off-Ramp'!U150)</f>
        <v>#DIV/0!</v>
      </c>
    </row>
    <row r="151" spans="1:79" x14ac:dyDescent="0.15">
      <c r="A151" s="58">
        <v>149</v>
      </c>
      <c r="B151" s="59" t="e">
        <f t="shared" si="58"/>
        <v>#DIV/0!</v>
      </c>
      <c r="C151" s="59" t="e">
        <f t="shared" si="59"/>
        <v>#DIV/0!</v>
      </c>
      <c r="D151" s="59" t="e">
        <f t="shared" si="60"/>
        <v>#DIV/0!</v>
      </c>
      <c r="E151" s="59" t="e">
        <f t="shared" si="61"/>
        <v>#DIV/0!</v>
      </c>
      <c r="F151" s="59" t="e">
        <f t="shared" si="62"/>
        <v>#DIV/0!</v>
      </c>
      <c r="G151" s="59" t="e">
        <f t="shared" si="63"/>
        <v>#DIV/0!</v>
      </c>
      <c r="H151" s="59" t="e">
        <f t="shared" si="64"/>
        <v>#DIV/0!</v>
      </c>
      <c r="I151" s="59" t="e">
        <f t="shared" si="65"/>
        <v>#DIV/0!</v>
      </c>
      <c r="J151" s="59" t="e">
        <f t="shared" si="66"/>
        <v>#DIV/0!</v>
      </c>
      <c r="K151" s="59" t="e">
        <f t="shared" si="67"/>
        <v>#DIV/0!</v>
      </c>
      <c r="L151" s="59" t="e">
        <f t="shared" si="68"/>
        <v>#DIV/0!</v>
      </c>
      <c r="M151" s="59" t="e">
        <f t="shared" si="69"/>
        <v>#DIV/0!</v>
      </c>
      <c r="N151" s="59" t="e">
        <f t="shared" si="70"/>
        <v>#DIV/0!</v>
      </c>
      <c r="O151" s="60" t="e">
        <f>Links!B151</f>
        <v>#DIV/0!</v>
      </c>
      <c r="P151" s="60" t="e">
        <f>Links!C151+'On-Ramps'!AC151</f>
        <v>#DIV/0!</v>
      </c>
      <c r="Q151" s="60" t="e">
        <f>Links!D151</f>
        <v>#DIV/0!</v>
      </c>
      <c r="R151" s="60" t="e">
        <f>Links!E151+'On-Ramps'!AD151</f>
        <v>#DIV/0!</v>
      </c>
      <c r="S151" s="60" t="e">
        <f>Links!F151+'On-Ramps'!AE151</f>
        <v>#DIV/0!</v>
      </c>
      <c r="T151" s="60" t="e">
        <f>Links!G151+'On-Ramps'!AF151</f>
        <v>#DIV/0!</v>
      </c>
      <c r="U151" s="60" t="e">
        <f>Links!H151+'On-Ramps'!AG151</f>
        <v>#DIV/0!</v>
      </c>
      <c r="V151" s="60" t="e">
        <f>Links!J151+'On-Ramps'!AH151</f>
        <v>#DIV/0!</v>
      </c>
      <c r="W151" s="60" t="e">
        <f>Links!K151+'On-Ramps'!AI151</f>
        <v>#DIV/0!</v>
      </c>
      <c r="X151" s="60" t="e">
        <f>Links!L151+'On-Ramps'!AJ151</f>
        <v>#DIV/0!</v>
      </c>
      <c r="Y151" s="60" t="e">
        <f>Links!M151</f>
        <v>#DIV/0!</v>
      </c>
      <c r="Z151" s="60" t="e">
        <f>Links!N151+'On-Ramps'!AK151</f>
        <v>#DIV/0!</v>
      </c>
      <c r="AA151" s="60" t="e">
        <f>Links!O151</f>
        <v>#DIV/0!</v>
      </c>
      <c r="AB151" s="59" t="e">
        <f t="shared" si="71"/>
        <v>#DIV/0!</v>
      </c>
      <c r="AC151" s="65"/>
      <c r="AD151" s="59" t="e">
        <f t="shared" si="72"/>
        <v>#DIV/0!</v>
      </c>
      <c r="AE151" s="65"/>
      <c r="AF151" s="59" t="e">
        <f t="shared" si="73"/>
        <v>#DIV/0!</v>
      </c>
      <c r="AG151" s="59" t="e">
        <f t="shared" si="74"/>
        <v>#DIV/0!</v>
      </c>
      <c r="AH151" s="59" t="e">
        <f t="shared" si="75"/>
        <v>#DIV/0!</v>
      </c>
      <c r="AI151" s="59" t="e">
        <f t="shared" si="76"/>
        <v>#DIV/0!</v>
      </c>
      <c r="AJ151" s="59" t="e">
        <f t="shared" si="77"/>
        <v>#DIV/0!</v>
      </c>
      <c r="AK151" s="59" t="e">
        <f t="shared" si="78"/>
        <v>#DIV/0!</v>
      </c>
      <c r="AL151" s="59" t="e">
        <f t="shared" si="79"/>
        <v>#DIV/0!</v>
      </c>
      <c r="AM151" s="65"/>
      <c r="AN151" s="59" t="e">
        <f t="shared" si="81"/>
        <v>#DIV/0!</v>
      </c>
      <c r="AO151" s="60" t="e">
        <f t="shared" si="57"/>
        <v>#DIV/0!</v>
      </c>
      <c r="AP151" s="65"/>
      <c r="AQ151" s="60" t="e">
        <f t="shared" si="80"/>
        <v>#DIV/0!</v>
      </c>
      <c r="AR151" s="65"/>
      <c r="AS151" s="60" t="e">
        <f t="shared" si="80"/>
        <v>#DIV/0!</v>
      </c>
      <c r="AT151" s="60" t="e">
        <f t="shared" si="80"/>
        <v>#DIV/0!</v>
      </c>
      <c r="AU151" s="60" t="e">
        <f t="shared" si="80"/>
        <v>#DIV/0!</v>
      </c>
      <c r="AV151" s="60" t="e">
        <f t="shared" si="80"/>
        <v>#DIV/0!</v>
      </c>
      <c r="AW151" s="60" t="e">
        <f t="shared" si="80"/>
        <v>#DIV/0!</v>
      </c>
      <c r="AX151" s="60" t="e">
        <f t="shared" si="80"/>
        <v>#DIV/0!</v>
      </c>
      <c r="AY151" s="60" t="e">
        <f t="shared" si="80"/>
        <v>#DIV/0!</v>
      </c>
      <c r="AZ151" s="65"/>
      <c r="BA151" s="60" t="e">
        <f t="shared" si="80"/>
        <v>#DIV/0!</v>
      </c>
      <c r="BB151" s="59" t="e">
        <f>Links!AF151</f>
        <v>#DIV/0!</v>
      </c>
      <c r="BC151" s="59" t="e">
        <f>(Links!AG151*Links!C151+'On-Ramps'!AC151*'On-Ramps'!CE151)/('On-Ramps'!AC151+Links!C151)</f>
        <v>#DIV/0!</v>
      </c>
      <c r="BD151" s="59" t="e">
        <f>Links!AH151</f>
        <v>#DIV/0!</v>
      </c>
      <c r="BE151" s="59" t="e">
        <f>(Links!AI151*Links!E151+'On-Ramps'!AD151*'On-Ramps'!CF150)/('On-Ramps'!AD151+Links!E151)</f>
        <v>#DIV/0!</v>
      </c>
      <c r="BF151" s="59" t="e">
        <f>(Links!F151*Links!AJ151+'On-Ramps'!AE151*'On-Ramps'!CG151)/('On-Ramps'!AE151+Links!F151)</f>
        <v>#DIV/0!</v>
      </c>
      <c r="BG151" s="59" t="e">
        <f>(Links!G151*Links!AK151+'On-Ramps'!AF151*'On-Ramps'!CH151)/('On-Ramps'!AF151+Links!G151)</f>
        <v>#DIV/0!</v>
      </c>
      <c r="BH151" s="59" t="e">
        <f>(Links!H151*Links!AL151+'On-Ramps'!AG151*'On-Ramps'!CI151)/('On-Ramps'!AG151+Links!H151)</f>
        <v>#DIV/0!</v>
      </c>
      <c r="BI151" s="59" t="e">
        <f>(Links!J151*Links!AN151+'On-Ramps'!AH151*'On-Ramps'!CJ151)/('On-Ramps'!AH151+Links!J151)</f>
        <v>#DIV/0!</v>
      </c>
      <c r="BJ151" s="59" t="e">
        <f>(Links!K151*Links!AO151+'On-Ramps'!AI151*'On-Ramps'!CK151)/('On-Ramps'!AI151+Links!K151)</f>
        <v>#DIV/0!</v>
      </c>
      <c r="BK151" s="59" t="e">
        <f>(Links!L151*Links!AP151+'On-Ramps'!AJ151*'On-Ramps'!CL151)/(Links!L151+'On-Ramps'!AJ151)</f>
        <v>#DIV/0!</v>
      </c>
      <c r="BL151" s="59" t="e">
        <f>Links!AQ151</f>
        <v>#DIV/0!</v>
      </c>
      <c r="BM151" s="59" t="e">
        <f>(Links!N151*Links!AR151+'On-Ramps'!AL151*'On-Ramps'!CM151)/(Links!N151+'On-Ramps'!AL151)</f>
        <v>#DIV/0!</v>
      </c>
      <c r="BN151" s="59" t="e">
        <f>Links!AS151</f>
        <v>#DIV/0!</v>
      </c>
      <c r="BO151" s="60" t="e">
        <f>(Links!R151^2+'Off-Ramp'!L151^2)/(Links!R151+'Off-Ramp'!L151)</f>
        <v>#DIV/0!</v>
      </c>
      <c r="BP151" s="60" t="e">
        <f>Links!S151</f>
        <v>#DIV/0!</v>
      </c>
      <c r="BQ151" s="60" t="e">
        <f>(Links!S151^2+'Off-Ramp'!C151^2)/(Links!S151+'Off-Ramp'!C151)</f>
        <v>#DIV/0!</v>
      </c>
      <c r="BR151" s="60" t="e">
        <f>Links!T151</f>
        <v>#DIV/0!</v>
      </c>
      <c r="BS151" s="60" t="e">
        <f>(Links!X151^2+'Off-Ramp'!V151^2+'Off-Ramp'!W151^2+'Off-Ramp'!X151^2)/(Links!X151+'Off-Ramp'!V151+'Off-Ramp'!W151+'Off-Ramp'!X151)</f>
        <v>#DIV/0!</v>
      </c>
      <c r="BT151" s="60" t="e">
        <f>(Links!Y151^2+'Off-Ramp'!Y151^2+'Off-Ramp'!Z151^2+'Off-Ramp'!AA151^2)/(Links!Y151+'Off-Ramp'!Y151+'Off-Ramp'!Z151+'Off-Ramp'!AA151)</f>
        <v>#DIV/0!</v>
      </c>
      <c r="BU151" s="60" t="e">
        <f>(Links!W151^2+'Off-Ramp'!P151^2)/(Links!W151+'Off-Ramp'!P151)</f>
        <v>#DIV/0!</v>
      </c>
      <c r="BV151" s="60" t="e">
        <f>(Links!Y151^2+'Off-Ramp'!Q151^2)/(Links!Y151+'Off-Ramp'!Q151)</f>
        <v>#DIV/0!</v>
      </c>
      <c r="BW151" s="60" t="e">
        <f>(Links!Z151^2+'Off-Ramp'!R151^2)/(Links!Z151+'Off-Ramp'!R151)</f>
        <v>#DIV/0!</v>
      </c>
      <c r="BX151" s="60" t="e">
        <f>(Links!AA151+'Off-Ramp'!S151)/(Links!AA151^2+'Off-Ramp'!S151^2)</f>
        <v>#DIV/0!</v>
      </c>
      <c r="BY151" s="60" t="e">
        <f>(Links!AB151^2+'Off-Ramp'!T151^2)/(Links!AB151+'Off-Ramp'!T151)</f>
        <v>#DIV/0!</v>
      </c>
      <c r="BZ151" s="60" t="e">
        <f>Links!AC151</f>
        <v>#DIV/0!</v>
      </c>
      <c r="CA151" s="60" t="e">
        <f>(Links!AD151^2+'Off-Ramp'!U151^2)/(Links!AD151+'Off-Ramp'!U151)</f>
        <v>#DIV/0!</v>
      </c>
    </row>
    <row r="152" spans="1:79" x14ac:dyDescent="0.15">
      <c r="A152" s="58">
        <v>150</v>
      </c>
      <c r="B152" s="59" t="e">
        <f t="shared" si="58"/>
        <v>#DIV/0!</v>
      </c>
      <c r="C152" s="59" t="e">
        <f t="shared" si="59"/>
        <v>#DIV/0!</v>
      </c>
      <c r="D152" s="59" t="e">
        <f t="shared" si="60"/>
        <v>#DIV/0!</v>
      </c>
      <c r="E152" s="59" t="e">
        <f t="shared" si="61"/>
        <v>#DIV/0!</v>
      </c>
      <c r="F152" s="59" t="e">
        <f t="shared" si="62"/>
        <v>#DIV/0!</v>
      </c>
      <c r="G152" s="59" t="e">
        <f t="shared" si="63"/>
        <v>#DIV/0!</v>
      </c>
      <c r="H152" s="59" t="e">
        <f t="shared" si="64"/>
        <v>#DIV/0!</v>
      </c>
      <c r="I152" s="59" t="e">
        <f t="shared" si="65"/>
        <v>#DIV/0!</v>
      </c>
      <c r="J152" s="59" t="e">
        <f t="shared" si="66"/>
        <v>#DIV/0!</v>
      </c>
      <c r="K152" s="59" t="e">
        <f t="shared" si="67"/>
        <v>#DIV/0!</v>
      </c>
      <c r="L152" s="59" t="e">
        <f t="shared" si="68"/>
        <v>#DIV/0!</v>
      </c>
      <c r="M152" s="59" t="e">
        <f t="shared" si="69"/>
        <v>#DIV/0!</v>
      </c>
      <c r="N152" s="59" t="e">
        <f t="shared" si="70"/>
        <v>#DIV/0!</v>
      </c>
      <c r="O152" s="60" t="e">
        <f>Links!B152</f>
        <v>#DIV/0!</v>
      </c>
      <c r="P152" s="60" t="e">
        <f>Links!C152+'On-Ramps'!AC152</f>
        <v>#DIV/0!</v>
      </c>
      <c r="Q152" s="60" t="e">
        <f>Links!D152</f>
        <v>#DIV/0!</v>
      </c>
      <c r="R152" s="60" t="e">
        <f>Links!E152+'On-Ramps'!AD152</f>
        <v>#DIV/0!</v>
      </c>
      <c r="S152" s="60" t="e">
        <f>Links!F152+'On-Ramps'!AE152</f>
        <v>#DIV/0!</v>
      </c>
      <c r="T152" s="60" t="e">
        <f>Links!G152+'On-Ramps'!AF152</f>
        <v>#DIV/0!</v>
      </c>
      <c r="U152" s="60" t="e">
        <f>Links!H152+'On-Ramps'!AG152</f>
        <v>#DIV/0!</v>
      </c>
      <c r="V152" s="60" t="e">
        <f>Links!J152+'On-Ramps'!AH152</f>
        <v>#DIV/0!</v>
      </c>
      <c r="W152" s="60" t="e">
        <f>Links!K152+'On-Ramps'!AI152</f>
        <v>#DIV/0!</v>
      </c>
      <c r="X152" s="60" t="e">
        <f>Links!L152+'On-Ramps'!AJ152</f>
        <v>#DIV/0!</v>
      </c>
      <c r="Y152" s="60" t="e">
        <f>Links!M152</f>
        <v>#DIV/0!</v>
      </c>
      <c r="Z152" s="60" t="e">
        <f>Links!N152+'On-Ramps'!AK152</f>
        <v>#DIV/0!</v>
      </c>
      <c r="AA152" s="60" t="e">
        <f>Links!O152</f>
        <v>#DIV/0!</v>
      </c>
      <c r="AB152" s="59" t="e">
        <f t="shared" si="71"/>
        <v>#DIV/0!</v>
      </c>
      <c r="AC152" s="65"/>
      <c r="AD152" s="59" t="e">
        <f t="shared" si="72"/>
        <v>#DIV/0!</v>
      </c>
      <c r="AE152" s="65"/>
      <c r="AF152" s="59" t="e">
        <f t="shared" si="73"/>
        <v>#DIV/0!</v>
      </c>
      <c r="AG152" s="59" t="e">
        <f t="shared" si="74"/>
        <v>#DIV/0!</v>
      </c>
      <c r="AH152" s="59" t="e">
        <f t="shared" si="75"/>
        <v>#DIV/0!</v>
      </c>
      <c r="AI152" s="59" t="e">
        <f t="shared" si="76"/>
        <v>#DIV/0!</v>
      </c>
      <c r="AJ152" s="59" t="e">
        <f t="shared" si="77"/>
        <v>#DIV/0!</v>
      </c>
      <c r="AK152" s="59" t="e">
        <f t="shared" si="78"/>
        <v>#DIV/0!</v>
      </c>
      <c r="AL152" s="59" t="e">
        <f t="shared" si="79"/>
        <v>#DIV/0!</v>
      </c>
      <c r="AM152" s="65"/>
      <c r="AN152" s="59" t="e">
        <f t="shared" si="81"/>
        <v>#DIV/0!</v>
      </c>
      <c r="AO152" s="60" t="e">
        <f t="shared" si="57"/>
        <v>#DIV/0!</v>
      </c>
      <c r="AP152" s="65"/>
      <c r="AQ152" s="60" t="e">
        <f t="shared" si="80"/>
        <v>#DIV/0!</v>
      </c>
      <c r="AR152" s="65"/>
      <c r="AS152" s="60" t="e">
        <f t="shared" si="80"/>
        <v>#DIV/0!</v>
      </c>
      <c r="AT152" s="60" t="e">
        <f t="shared" si="80"/>
        <v>#DIV/0!</v>
      </c>
      <c r="AU152" s="60" t="e">
        <f t="shared" si="80"/>
        <v>#DIV/0!</v>
      </c>
      <c r="AV152" s="60" t="e">
        <f t="shared" si="80"/>
        <v>#DIV/0!</v>
      </c>
      <c r="AW152" s="60" t="e">
        <f t="shared" si="80"/>
        <v>#DIV/0!</v>
      </c>
      <c r="AX152" s="60" t="e">
        <f t="shared" si="80"/>
        <v>#DIV/0!</v>
      </c>
      <c r="AY152" s="60" t="e">
        <f t="shared" si="80"/>
        <v>#DIV/0!</v>
      </c>
      <c r="AZ152" s="65"/>
      <c r="BA152" s="60" t="e">
        <f t="shared" si="80"/>
        <v>#DIV/0!</v>
      </c>
      <c r="BB152" s="59" t="e">
        <f>Links!AF152</f>
        <v>#DIV/0!</v>
      </c>
      <c r="BC152" s="59" t="e">
        <f>(Links!AG152*Links!C152+'On-Ramps'!AC152*'On-Ramps'!CE152)/('On-Ramps'!AC152+Links!C152)</f>
        <v>#DIV/0!</v>
      </c>
      <c r="BD152" s="59" t="e">
        <f>Links!AH152</f>
        <v>#DIV/0!</v>
      </c>
      <c r="BE152" s="59" t="e">
        <f>(Links!AI152*Links!E152+'On-Ramps'!AD152*'On-Ramps'!CF151)/('On-Ramps'!AD152+Links!E152)</f>
        <v>#DIV/0!</v>
      </c>
      <c r="BF152" s="59" t="e">
        <f>(Links!F152*Links!AJ152+'On-Ramps'!AE152*'On-Ramps'!CG152)/('On-Ramps'!AE152+Links!F152)</f>
        <v>#DIV/0!</v>
      </c>
      <c r="BG152" s="59" t="e">
        <f>(Links!G152*Links!AK152+'On-Ramps'!AF152*'On-Ramps'!CH152)/('On-Ramps'!AF152+Links!G152)</f>
        <v>#DIV/0!</v>
      </c>
      <c r="BH152" s="59" t="e">
        <f>(Links!H152*Links!AL152+'On-Ramps'!AG152*'On-Ramps'!CI152)/('On-Ramps'!AG152+Links!H152)</f>
        <v>#DIV/0!</v>
      </c>
      <c r="BI152" s="59" t="e">
        <f>(Links!J152*Links!AN152+'On-Ramps'!AH152*'On-Ramps'!CJ152)/('On-Ramps'!AH152+Links!J152)</f>
        <v>#DIV/0!</v>
      </c>
      <c r="BJ152" s="59" t="e">
        <f>(Links!K152*Links!AO152+'On-Ramps'!AI152*'On-Ramps'!CK152)/('On-Ramps'!AI152+Links!K152)</f>
        <v>#DIV/0!</v>
      </c>
      <c r="BK152" s="59" t="e">
        <f>(Links!L152*Links!AP152+'On-Ramps'!AJ152*'On-Ramps'!CL152)/(Links!L152+'On-Ramps'!AJ152)</f>
        <v>#DIV/0!</v>
      </c>
      <c r="BL152" s="59" t="e">
        <f>Links!AQ152</f>
        <v>#DIV/0!</v>
      </c>
      <c r="BM152" s="59" t="e">
        <f>(Links!N152*Links!AR152+'On-Ramps'!AL152*'On-Ramps'!CM152)/(Links!N152+'On-Ramps'!AL152)</f>
        <v>#DIV/0!</v>
      </c>
      <c r="BN152" s="59" t="e">
        <f>Links!AS152</f>
        <v>#DIV/0!</v>
      </c>
      <c r="BO152" s="60" t="e">
        <f>(Links!R152^2+'Off-Ramp'!L152^2)/(Links!R152+'Off-Ramp'!L152)</f>
        <v>#DIV/0!</v>
      </c>
      <c r="BP152" s="60" t="e">
        <f>Links!S152</f>
        <v>#DIV/0!</v>
      </c>
      <c r="BQ152" s="60" t="e">
        <f>(Links!S152^2+'Off-Ramp'!C152^2)/(Links!S152+'Off-Ramp'!C152)</f>
        <v>#DIV/0!</v>
      </c>
      <c r="BR152" s="60" t="e">
        <f>Links!T152</f>
        <v>#DIV/0!</v>
      </c>
      <c r="BS152" s="60" t="e">
        <f>(Links!X152^2+'Off-Ramp'!V152^2+'Off-Ramp'!W152^2+'Off-Ramp'!X152^2)/(Links!X152+'Off-Ramp'!V152+'Off-Ramp'!W152+'Off-Ramp'!X152)</f>
        <v>#DIV/0!</v>
      </c>
      <c r="BT152" s="60" t="e">
        <f>(Links!Y152^2+'Off-Ramp'!Y152^2+'Off-Ramp'!Z152^2+'Off-Ramp'!AA152^2)/(Links!Y152+'Off-Ramp'!Y152+'Off-Ramp'!Z152+'Off-Ramp'!AA152)</f>
        <v>#DIV/0!</v>
      </c>
      <c r="BU152" s="60" t="e">
        <f>(Links!W152^2+'Off-Ramp'!P152^2)/(Links!W152+'Off-Ramp'!P152)</f>
        <v>#DIV/0!</v>
      </c>
      <c r="BV152" s="60" t="e">
        <f>(Links!Y152^2+'Off-Ramp'!Q152^2)/(Links!Y152+'Off-Ramp'!Q152)</f>
        <v>#DIV/0!</v>
      </c>
      <c r="BW152" s="60" t="e">
        <f>(Links!Z152^2+'Off-Ramp'!R152^2)/(Links!Z152+'Off-Ramp'!R152)</f>
        <v>#DIV/0!</v>
      </c>
      <c r="BX152" s="60" t="e">
        <f>(Links!AA152+'Off-Ramp'!S152)/(Links!AA152^2+'Off-Ramp'!S152^2)</f>
        <v>#DIV/0!</v>
      </c>
      <c r="BY152" s="60" t="e">
        <f>(Links!AB152^2+'Off-Ramp'!T152^2)/(Links!AB152+'Off-Ramp'!T152)</f>
        <v>#DIV/0!</v>
      </c>
      <c r="BZ152" s="60" t="e">
        <f>Links!AC152</f>
        <v>#DIV/0!</v>
      </c>
      <c r="CA152" s="60" t="e">
        <f>(Links!AD152^2+'Off-Ramp'!U152^2)/(Links!AD152+'Off-Ramp'!U152)</f>
        <v>#DIV/0!</v>
      </c>
    </row>
    <row r="153" spans="1:79" x14ac:dyDescent="0.15">
      <c r="A153" s="58">
        <v>151</v>
      </c>
      <c r="B153" s="59" t="e">
        <f t="shared" si="58"/>
        <v>#DIV/0!</v>
      </c>
      <c r="C153" s="59" t="e">
        <f t="shared" si="59"/>
        <v>#DIV/0!</v>
      </c>
      <c r="D153" s="59" t="e">
        <f t="shared" si="60"/>
        <v>#DIV/0!</v>
      </c>
      <c r="E153" s="59" t="e">
        <f t="shared" si="61"/>
        <v>#DIV/0!</v>
      </c>
      <c r="F153" s="59" t="e">
        <f t="shared" si="62"/>
        <v>#DIV/0!</v>
      </c>
      <c r="G153" s="59" t="e">
        <f t="shared" si="63"/>
        <v>#DIV/0!</v>
      </c>
      <c r="H153" s="59" t="e">
        <f t="shared" si="64"/>
        <v>#DIV/0!</v>
      </c>
      <c r="I153" s="59" t="e">
        <f t="shared" si="65"/>
        <v>#DIV/0!</v>
      </c>
      <c r="J153" s="59" t="e">
        <f t="shared" si="66"/>
        <v>#DIV/0!</v>
      </c>
      <c r="K153" s="59" t="e">
        <f t="shared" si="67"/>
        <v>#DIV/0!</v>
      </c>
      <c r="L153" s="59" t="e">
        <f t="shared" si="68"/>
        <v>#DIV/0!</v>
      </c>
      <c r="M153" s="59" t="e">
        <f t="shared" si="69"/>
        <v>#DIV/0!</v>
      </c>
      <c r="N153" s="59" t="e">
        <f t="shared" si="70"/>
        <v>#DIV/0!</v>
      </c>
      <c r="O153" s="60" t="e">
        <f>Links!B153</f>
        <v>#DIV/0!</v>
      </c>
      <c r="P153" s="60" t="e">
        <f>Links!C153+'On-Ramps'!AC153</f>
        <v>#DIV/0!</v>
      </c>
      <c r="Q153" s="60" t="e">
        <f>Links!D153</f>
        <v>#DIV/0!</v>
      </c>
      <c r="R153" s="60" t="e">
        <f>Links!E153+'On-Ramps'!AD153</f>
        <v>#DIV/0!</v>
      </c>
      <c r="S153" s="60" t="e">
        <f>Links!F153+'On-Ramps'!AE153</f>
        <v>#DIV/0!</v>
      </c>
      <c r="T153" s="60" t="e">
        <f>Links!G153+'On-Ramps'!AF153</f>
        <v>#DIV/0!</v>
      </c>
      <c r="U153" s="60" t="e">
        <f>Links!H153+'On-Ramps'!AG153</f>
        <v>#DIV/0!</v>
      </c>
      <c r="V153" s="60" t="e">
        <f>Links!J153+'On-Ramps'!AH153</f>
        <v>#DIV/0!</v>
      </c>
      <c r="W153" s="60" t="e">
        <f>Links!K153+'On-Ramps'!AI153</f>
        <v>#DIV/0!</v>
      </c>
      <c r="X153" s="60" t="e">
        <f>Links!L153+'On-Ramps'!AJ153</f>
        <v>#DIV/0!</v>
      </c>
      <c r="Y153" s="60" t="e">
        <f>Links!M153</f>
        <v>#DIV/0!</v>
      </c>
      <c r="Z153" s="60" t="e">
        <f>Links!N153+'On-Ramps'!AK153</f>
        <v>#DIV/0!</v>
      </c>
      <c r="AA153" s="60" t="e">
        <f>Links!O153</f>
        <v>#DIV/0!</v>
      </c>
      <c r="AB153" s="59" t="e">
        <f t="shared" si="71"/>
        <v>#DIV/0!</v>
      </c>
      <c r="AC153" s="65"/>
      <c r="AD153" s="59" t="e">
        <f t="shared" si="72"/>
        <v>#DIV/0!</v>
      </c>
      <c r="AE153" s="65"/>
      <c r="AF153" s="59" t="e">
        <f t="shared" si="73"/>
        <v>#DIV/0!</v>
      </c>
      <c r="AG153" s="59" t="e">
        <f t="shared" si="74"/>
        <v>#DIV/0!</v>
      </c>
      <c r="AH153" s="59" t="e">
        <f t="shared" si="75"/>
        <v>#DIV/0!</v>
      </c>
      <c r="AI153" s="59" t="e">
        <f t="shared" si="76"/>
        <v>#DIV/0!</v>
      </c>
      <c r="AJ153" s="59" t="e">
        <f t="shared" si="77"/>
        <v>#DIV/0!</v>
      </c>
      <c r="AK153" s="59" t="e">
        <f t="shared" si="78"/>
        <v>#DIV/0!</v>
      </c>
      <c r="AL153" s="59" t="e">
        <f t="shared" si="79"/>
        <v>#DIV/0!</v>
      </c>
      <c r="AM153" s="65"/>
      <c r="AN153" s="59" t="e">
        <f t="shared" si="81"/>
        <v>#DIV/0!</v>
      </c>
      <c r="AO153" s="60" t="e">
        <f t="shared" si="57"/>
        <v>#DIV/0!</v>
      </c>
      <c r="AP153" s="65"/>
      <c r="AQ153" s="60" t="e">
        <f t="shared" si="80"/>
        <v>#DIV/0!</v>
      </c>
      <c r="AR153" s="65"/>
      <c r="AS153" s="60" t="e">
        <f t="shared" si="80"/>
        <v>#DIV/0!</v>
      </c>
      <c r="AT153" s="60" t="e">
        <f t="shared" si="80"/>
        <v>#DIV/0!</v>
      </c>
      <c r="AU153" s="60" t="e">
        <f t="shared" si="80"/>
        <v>#DIV/0!</v>
      </c>
      <c r="AV153" s="60" t="e">
        <f t="shared" si="80"/>
        <v>#DIV/0!</v>
      </c>
      <c r="AW153" s="60" t="e">
        <f t="shared" si="80"/>
        <v>#DIV/0!</v>
      </c>
      <c r="AX153" s="60" t="e">
        <f t="shared" si="80"/>
        <v>#DIV/0!</v>
      </c>
      <c r="AY153" s="60" t="e">
        <f t="shared" si="80"/>
        <v>#DIV/0!</v>
      </c>
      <c r="AZ153" s="65"/>
      <c r="BA153" s="60" t="e">
        <f t="shared" si="80"/>
        <v>#DIV/0!</v>
      </c>
      <c r="BB153" s="59" t="e">
        <f>Links!AF153</f>
        <v>#DIV/0!</v>
      </c>
      <c r="BC153" s="59" t="e">
        <f>(Links!AG153*Links!C153+'On-Ramps'!AC153*'On-Ramps'!CE153)/('On-Ramps'!AC153+Links!C153)</f>
        <v>#DIV/0!</v>
      </c>
      <c r="BD153" s="59" t="e">
        <f>Links!AH153</f>
        <v>#DIV/0!</v>
      </c>
      <c r="BE153" s="59" t="e">
        <f>(Links!AI153*Links!E153+'On-Ramps'!AD153*'On-Ramps'!CF152)/('On-Ramps'!AD153+Links!E153)</f>
        <v>#DIV/0!</v>
      </c>
      <c r="BF153" s="59" t="e">
        <f>(Links!F153*Links!AJ153+'On-Ramps'!AE153*'On-Ramps'!CG153)/('On-Ramps'!AE153+Links!F153)</f>
        <v>#DIV/0!</v>
      </c>
      <c r="BG153" s="59" t="e">
        <f>(Links!G153*Links!AK153+'On-Ramps'!AF153*'On-Ramps'!CH153)/('On-Ramps'!AF153+Links!G153)</f>
        <v>#DIV/0!</v>
      </c>
      <c r="BH153" s="59" t="e">
        <f>(Links!H153*Links!AL153+'On-Ramps'!AG153*'On-Ramps'!CI153)/('On-Ramps'!AG153+Links!H153)</f>
        <v>#DIV/0!</v>
      </c>
      <c r="BI153" s="59" t="e">
        <f>(Links!J153*Links!AN153+'On-Ramps'!AH153*'On-Ramps'!CJ153)/('On-Ramps'!AH153+Links!J153)</f>
        <v>#DIV/0!</v>
      </c>
      <c r="BJ153" s="59" t="e">
        <f>(Links!K153*Links!AO153+'On-Ramps'!AI153*'On-Ramps'!CK153)/('On-Ramps'!AI153+Links!K153)</f>
        <v>#DIV/0!</v>
      </c>
      <c r="BK153" s="59" t="e">
        <f>(Links!L153*Links!AP153+'On-Ramps'!AJ153*'On-Ramps'!CL153)/(Links!L153+'On-Ramps'!AJ153)</f>
        <v>#DIV/0!</v>
      </c>
      <c r="BL153" s="59" t="e">
        <f>Links!AQ153</f>
        <v>#DIV/0!</v>
      </c>
      <c r="BM153" s="59" t="e">
        <f>(Links!N153*Links!AR153+'On-Ramps'!AL153*'On-Ramps'!CM153)/(Links!N153+'On-Ramps'!AL153)</f>
        <v>#DIV/0!</v>
      </c>
      <c r="BN153" s="59" t="e">
        <f>Links!AS153</f>
        <v>#DIV/0!</v>
      </c>
      <c r="BO153" s="60" t="e">
        <f>(Links!R153^2+'Off-Ramp'!L153^2)/(Links!R153+'Off-Ramp'!L153)</f>
        <v>#DIV/0!</v>
      </c>
      <c r="BP153" s="60" t="e">
        <f>Links!S153</f>
        <v>#DIV/0!</v>
      </c>
      <c r="BQ153" s="60" t="e">
        <f>(Links!S153^2+'Off-Ramp'!C153^2)/(Links!S153+'Off-Ramp'!C153)</f>
        <v>#DIV/0!</v>
      </c>
      <c r="BR153" s="60" t="e">
        <f>Links!T153</f>
        <v>#DIV/0!</v>
      </c>
      <c r="BS153" s="60" t="e">
        <f>(Links!X153^2+'Off-Ramp'!V153^2+'Off-Ramp'!W153^2+'Off-Ramp'!X153^2)/(Links!X153+'Off-Ramp'!V153+'Off-Ramp'!W153+'Off-Ramp'!X153)</f>
        <v>#DIV/0!</v>
      </c>
      <c r="BT153" s="60" t="e">
        <f>(Links!Y153^2+'Off-Ramp'!Y153^2+'Off-Ramp'!Z153^2+'Off-Ramp'!AA153^2)/(Links!Y153+'Off-Ramp'!Y153+'Off-Ramp'!Z153+'Off-Ramp'!AA153)</f>
        <v>#DIV/0!</v>
      </c>
      <c r="BU153" s="60" t="e">
        <f>(Links!W153^2+'Off-Ramp'!P153^2)/(Links!W153+'Off-Ramp'!P153)</f>
        <v>#DIV/0!</v>
      </c>
      <c r="BV153" s="60" t="e">
        <f>(Links!Y153^2+'Off-Ramp'!Q153^2)/(Links!Y153+'Off-Ramp'!Q153)</f>
        <v>#DIV/0!</v>
      </c>
      <c r="BW153" s="60" t="e">
        <f>(Links!Z153^2+'Off-Ramp'!R153^2)/(Links!Z153+'Off-Ramp'!R153)</f>
        <v>#DIV/0!</v>
      </c>
      <c r="BX153" s="60" t="e">
        <f>(Links!AA153+'Off-Ramp'!S153)/(Links!AA153^2+'Off-Ramp'!S153^2)</f>
        <v>#DIV/0!</v>
      </c>
      <c r="BY153" s="60" t="e">
        <f>(Links!AB153^2+'Off-Ramp'!T153^2)/(Links!AB153+'Off-Ramp'!T153)</f>
        <v>#DIV/0!</v>
      </c>
      <c r="BZ153" s="60" t="e">
        <f>Links!AC153</f>
        <v>#DIV/0!</v>
      </c>
      <c r="CA153" s="60" t="e">
        <f>(Links!AD153^2+'Off-Ramp'!U153^2)/(Links!AD153+'Off-Ramp'!U153)</f>
        <v>#DIV/0!</v>
      </c>
    </row>
    <row r="154" spans="1:79" x14ac:dyDescent="0.15">
      <c r="A154" s="58">
        <v>152</v>
      </c>
      <c r="B154" s="59" t="e">
        <f t="shared" si="58"/>
        <v>#DIV/0!</v>
      </c>
      <c r="C154" s="59" t="e">
        <f t="shared" si="59"/>
        <v>#DIV/0!</v>
      </c>
      <c r="D154" s="59" t="e">
        <f t="shared" si="60"/>
        <v>#DIV/0!</v>
      </c>
      <c r="E154" s="59" t="e">
        <f t="shared" si="61"/>
        <v>#DIV/0!</v>
      </c>
      <c r="F154" s="59" t="e">
        <f t="shared" si="62"/>
        <v>#DIV/0!</v>
      </c>
      <c r="G154" s="59" t="e">
        <f t="shared" si="63"/>
        <v>#DIV/0!</v>
      </c>
      <c r="H154" s="59" t="e">
        <f t="shared" si="64"/>
        <v>#DIV/0!</v>
      </c>
      <c r="I154" s="59" t="e">
        <f t="shared" si="65"/>
        <v>#DIV/0!</v>
      </c>
      <c r="J154" s="59" t="e">
        <f t="shared" si="66"/>
        <v>#DIV/0!</v>
      </c>
      <c r="K154" s="59" t="e">
        <f t="shared" si="67"/>
        <v>#DIV/0!</v>
      </c>
      <c r="L154" s="59" t="e">
        <f t="shared" si="68"/>
        <v>#DIV/0!</v>
      </c>
      <c r="M154" s="59" t="e">
        <f t="shared" si="69"/>
        <v>#DIV/0!</v>
      </c>
      <c r="N154" s="59" t="e">
        <f t="shared" si="70"/>
        <v>#DIV/0!</v>
      </c>
      <c r="O154" s="60" t="e">
        <f>Links!B154</f>
        <v>#DIV/0!</v>
      </c>
      <c r="P154" s="60" t="e">
        <f>Links!C154+'On-Ramps'!AC154</f>
        <v>#DIV/0!</v>
      </c>
      <c r="Q154" s="60" t="e">
        <f>Links!D154</f>
        <v>#DIV/0!</v>
      </c>
      <c r="R154" s="60" t="e">
        <f>Links!E154+'On-Ramps'!AD154</f>
        <v>#DIV/0!</v>
      </c>
      <c r="S154" s="60" t="e">
        <f>Links!F154+'On-Ramps'!AE154</f>
        <v>#DIV/0!</v>
      </c>
      <c r="T154" s="60" t="e">
        <f>Links!G154+'On-Ramps'!AF154</f>
        <v>#DIV/0!</v>
      </c>
      <c r="U154" s="60" t="e">
        <f>Links!H154+'On-Ramps'!AG154</f>
        <v>#DIV/0!</v>
      </c>
      <c r="V154" s="60" t="e">
        <f>Links!J154+'On-Ramps'!AH154</f>
        <v>#DIV/0!</v>
      </c>
      <c r="W154" s="60" t="e">
        <f>Links!K154+'On-Ramps'!AI154</f>
        <v>#DIV/0!</v>
      </c>
      <c r="X154" s="60" t="e">
        <f>Links!L154+'On-Ramps'!AJ154</f>
        <v>#DIV/0!</v>
      </c>
      <c r="Y154" s="60" t="e">
        <f>Links!M154</f>
        <v>#DIV/0!</v>
      </c>
      <c r="Z154" s="60" t="e">
        <f>Links!N154+'On-Ramps'!AK154</f>
        <v>#DIV/0!</v>
      </c>
      <c r="AA154" s="60" t="e">
        <f>Links!O154</f>
        <v>#DIV/0!</v>
      </c>
      <c r="AB154" s="59" t="e">
        <f t="shared" si="71"/>
        <v>#DIV/0!</v>
      </c>
      <c r="AC154" s="65"/>
      <c r="AD154" s="59" t="e">
        <f t="shared" si="72"/>
        <v>#DIV/0!</v>
      </c>
      <c r="AE154" s="65"/>
      <c r="AF154" s="59" t="e">
        <f t="shared" si="73"/>
        <v>#DIV/0!</v>
      </c>
      <c r="AG154" s="59" t="e">
        <f t="shared" si="74"/>
        <v>#DIV/0!</v>
      </c>
      <c r="AH154" s="59" t="e">
        <f t="shared" si="75"/>
        <v>#DIV/0!</v>
      </c>
      <c r="AI154" s="59" t="e">
        <f t="shared" si="76"/>
        <v>#DIV/0!</v>
      </c>
      <c r="AJ154" s="59" t="e">
        <f t="shared" si="77"/>
        <v>#DIV/0!</v>
      </c>
      <c r="AK154" s="59" t="e">
        <f t="shared" si="78"/>
        <v>#DIV/0!</v>
      </c>
      <c r="AL154" s="59" t="e">
        <f t="shared" si="79"/>
        <v>#DIV/0!</v>
      </c>
      <c r="AM154" s="65"/>
      <c r="AN154" s="59" t="e">
        <f t="shared" si="81"/>
        <v>#DIV/0!</v>
      </c>
      <c r="AO154" s="60" t="e">
        <f t="shared" si="57"/>
        <v>#DIV/0!</v>
      </c>
      <c r="AP154" s="65"/>
      <c r="AQ154" s="60" t="e">
        <f t="shared" si="80"/>
        <v>#DIV/0!</v>
      </c>
      <c r="AR154" s="65"/>
      <c r="AS154" s="60" t="e">
        <f t="shared" si="80"/>
        <v>#DIV/0!</v>
      </c>
      <c r="AT154" s="60" t="e">
        <f t="shared" si="80"/>
        <v>#DIV/0!</v>
      </c>
      <c r="AU154" s="60" t="e">
        <f t="shared" si="80"/>
        <v>#DIV/0!</v>
      </c>
      <c r="AV154" s="60" t="e">
        <f t="shared" si="80"/>
        <v>#DIV/0!</v>
      </c>
      <c r="AW154" s="60" t="e">
        <f t="shared" si="80"/>
        <v>#DIV/0!</v>
      </c>
      <c r="AX154" s="60" t="e">
        <f t="shared" si="80"/>
        <v>#DIV/0!</v>
      </c>
      <c r="AY154" s="60" t="e">
        <f t="shared" si="80"/>
        <v>#DIV/0!</v>
      </c>
      <c r="AZ154" s="65"/>
      <c r="BA154" s="60" t="e">
        <f t="shared" si="80"/>
        <v>#DIV/0!</v>
      </c>
      <c r="BB154" s="59" t="e">
        <f>Links!AF154</f>
        <v>#DIV/0!</v>
      </c>
      <c r="BC154" s="59" t="e">
        <f>(Links!AG154*Links!C154+'On-Ramps'!AC154*'On-Ramps'!CE154)/('On-Ramps'!AC154+Links!C154)</f>
        <v>#DIV/0!</v>
      </c>
      <c r="BD154" s="59" t="e">
        <f>Links!AH154</f>
        <v>#DIV/0!</v>
      </c>
      <c r="BE154" s="59" t="e">
        <f>(Links!AI154*Links!E154+'On-Ramps'!AD154*'On-Ramps'!CF153)/('On-Ramps'!AD154+Links!E154)</f>
        <v>#DIV/0!</v>
      </c>
      <c r="BF154" s="59" t="e">
        <f>(Links!F154*Links!AJ154+'On-Ramps'!AE154*'On-Ramps'!CG154)/('On-Ramps'!AE154+Links!F154)</f>
        <v>#DIV/0!</v>
      </c>
      <c r="BG154" s="59" t="e">
        <f>(Links!G154*Links!AK154+'On-Ramps'!AF154*'On-Ramps'!CH154)/('On-Ramps'!AF154+Links!G154)</f>
        <v>#DIV/0!</v>
      </c>
      <c r="BH154" s="59" t="e">
        <f>(Links!H154*Links!AL154+'On-Ramps'!AG154*'On-Ramps'!CI154)/('On-Ramps'!AG154+Links!H154)</f>
        <v>#DIV/0!</v>
      </c>
      <c r="BI154" s="59" t="e">
        <f>(Links!J154*Links!AN154+'On-Ramps'!AH154*'On-Ramps'!CJ154)/('On-Ramps'!AH154+Links!J154)</f>
        <v>#DIV/0!</v>
      </c>
      <c r="BJ154" s="59" t="e">
        <f>(Links!K154*Links!AO154+'On-Ramps'!AI154*'On-Ramps'!CK154)/('On-Ramps'!AI154+Links!K154)</f>
        <v>#DIV/0!</v>
      </c>
      <c r="BK154" s="59" t="e">
        <f>(Links!L154*Links!AP154+'On-Ramps'!AJ154*'On-Ramps'!CL154)/(Links!L154+'On-Ramps'!AJ154)</f>
        <v>#DIV/0!</v>
      </c>
      <c r="BL154" s="59" t="e">
        <f>Links!AQ154</f>
        <v>#DIV/0!</v>
      </c>
      <c r="BM154" s="59" t="e">
        <f>(Links!N154*Links!AR154+'On-Ramps'!AL154*'On-Ramps'!CM154)/(Links!N154+'On-Ramps'!AL154)</f>
        <v>#DIV/0!</v>
      </c>
      <c r="BN154" s="59" t="e">
        <f>Links!AS154</f>
        <v>#DIV/0!</v>
      </c>
      <c r="BO154" s="60" t="e">
        <f>(Links!R154^2+'Off-Ramp'!L154^2)/(Links!R154+'Off-Ramp'!L154)</f>
        <v>#DIV/0!</v>
      </c>
      <c r="BP154" s="60" t="e">
        <f>Links!S154</f>
        <v>#DIV/0!</v>
      </c>
      <c r="BQ154" s="60" t="e">
        <f>(Links!S154^2+'Off-Ramp'!C154^2)/(Links!S154+'Off-Ramp'!C154)</f>
        <v>#DIV/0!</v>
      </c>
      <c r="BR154" s="60" t="e">
        <f>Links!T154</f>
        <v>#DIV/0!</v>
      </c>
      <c r="BS154" s="60" t="e">
        <f>(Links!X154^2+'Off-Ramp'!V154^2+'Off-Ramp'!W154^2+'Off-Ramp'!X154^2)/(Links!X154+'Off-Ramp'!V154+'Off-Ramp'!W154+'Off-Ramp'!X154)</f>
        <v>#DIV/0!</v>
      </c>
      <c r="BT154" s="60" t="e">
        <f>(Links!Y154^2+'Off-Ramp'!Y154^2+'Off-Ramp'!Z154^2+'Off-Ramp'!AA154^2)/(Links!Y154+'Off-Ramp'!Y154+'Off-Ramp'!Z154+'Off-Ramp'!AA154)</f>
        <v>#DIV/0!</v>
      </c>
      <c r="BU154" s="60" t="e">
        <f>(Links!W154^2+'Off-Ramp'!P154^2)/(Links!W154+'Off-Ramp'!P154)</f>
        <v>#DIV/0!</v>
      </c>
      <c r="BV154" s="60" t="e">
        <f>(Links!Y154^2+'Off-Ramp'!Q154^2)/(Links!Y154+'Off-Ramp'!Q154)</f>
        <v>#DIV/0!</v>
      </c>
      <c r="BW154" s="60" t="e">
        <f>(Links!Z154^2+'Off-Ramp'!R154^2)/(Links!Z154+'Off-Ramp'!R154)</f>
        <v>#DIV/0!</v>
      </c>
      <c r="BX154" s="60" t="e">
        <f>(Links!AA154+'Off-Ramp'!S154)/(Links!AA154^2+'Off-Ramp'!S154^2)</f>
        <v>#DIV/0!</v>
      </c>
      <c r="BY154" s="60" t="e">
        <f>(Links!AB154^2+'Off-Ramp'!T154^2)/(Links!AB154+'Off-Ramp'!T154)</f>
        <v>#DIV/0!</v>
      </c>
      <c r="BZ154" s="60" t="e">
        <f>Links!AC154</f>
        <v>#DIV/0!</v>
      </c>
      <c r="CA154" s="60" t="e">
        <f>(Links!AD154^2+'Off-Ramp'!U154^2)/(Links!AD154+'Off-Ramp'!U154)</f>
        <v>#DIV/0!</v>
      </c>
    </row>
    <row r="155" spans="1:79" x14ac:dyDescent="0.15">
      <c r="A155" s="58">
        <v>153</v>
      </c>
      <c r="B155" s="59" t="e">
        <f t="shared" si="58"/>
        <v>#DIV/0!</v>
      </c>
      <c r="C155" s="59" t="e">
        <f t="shared" si="59"/>
        <v>#DIV/0!</v>
      </c>
      <c r="D155" s="59" t="e">
        <f t="shared" si="60"/>
        <v>#DIV/0!</v>
      </c>
      <c r="E155" s="59" t="e">
        <f t="shared" si="61"/>
        <v>#DIV/0!</v>
      </c>
      <c r="F155" s="59" t="e">
        <f t="shared" si="62"/>
        <v>#DIV/0!</v>
      </c>
      <c r="G155" s="59" t="e">
        <f t="shared" si="63"/>
        <v>#DIV/0!</v>
      </c>
      <c r="H155" s="59" t="e">
        <f t="shared" si="64"/>
        <v>#DIV/0!</v>
      </c>
      <c r="I155" s="59" t="e">
        <f t="shared" si="65"/>
        <v>#DIV/0!</v>
      </c>
      <c r="J155" s="59" t="e">
        <f t="shared" si="66"/>
        <v>#DIV/0!</v>
      </c>
      <c r="K155" s="59" t="e">
        <f t="shared" si="67"/>
        <v>#DIV/0!</v>
      </c>
      <c r="L155" s="59" t="e">
        <f t="shared" si="68"/>
        <v>#DIV/0!</v>
      </c>
      <c r="M155" s="59" t="e">
        <f t="shared" si="69"/>
        <v>#DIV/0!</v>
      </c>
      <c r="N155" s="59" t="e">
        <f t="shared" si="70"/>
        <v>#DIV/0!</v>
      </c>
      <c r="O155" s="60" t="e">
        <f>Links!B155</f>
        <v>#DIV/0!</v>
      </c>
      <c r="P155" s="60" t="e">
        <f>Links!C155+'On-Ramps'!AC155</f>
        <v>#DIV/0!</v>
      </c>
      <c r="Q155" s="60" t="e">
        <f>Links!D155</f>
        <v>#DIV/0!</v>
      </c>
      <c r="R155" s="60" t="e">
        <f>Links!E155+'On-Ramps'!AD155</f>
        <v>#DIV/0!</v>
      </c>
      <c r="S155" s="60" t="e">
        <f>Links!F155+'On-Ramps'!AE155</f>
        <v>#DIV/0!</v>
      </c>
      <c r="T155" s="60" t="e">
        <f>Links!G155+'On-Ramps'!AF155</f>
        <v>#DIV/0!</v>
      </c>
      <c r="U155" s="60" t="e">
        <f>Links!H155+'On-Ramps'!AG155</f>
        <v>#DIV/0!</v>
      </c>
      <c r="V155" s="60" t="e">
        <f>Links!J155+'On-Ramps'!AH155</f>
        <v>#DIV/0!</v>
      </c>
      <c r="W155" s="60" t="e">
        <f>Links!K155+'On-Ramps'!AI155</f>
        <v>#DIV/0!</v>
      </c>
      <c r="X155" s="60" t="e">
        <f>Links!L155+'On-Ramps'!AJ155</f>
        <v>#DIV/0!</v>
      </c>
      <c r="Y155" s="60" t="e">
        <f>Links!M155</f>
        <v>#DIV/0!</v>
      </c>
      <c r="Z155" s="60" t="e">
        <f>Links!N155+'On-Ramps'!AK155</f>
        <v>#DIV/0!</v>
      </c>
      <c r="AA155" s="60" t="e">
        <f>Links!O155</f>
        <v>#DIV/0!</v>
      </c>
      <c r="AB155" s="59" t="e">
        <f t="shared" si="71"/>
        <v>#DIV/0!</v>
      </c>
      <c r="AC155" s="65"/>
      <c r="AD155" s="59" t="e">
        <f t="shared" si="72"/>
        <v>#DIV/0!</v>
      </c>
      <c r="AE155" s="65"/>
      <c r="AF155" s="59" t="e">
        <f t="shared" si="73"/>
        <v>#DIV/0!</v>
      </c>
      <c r="AG155" s="59" t="e">
        <f t="shared" si="74"/>
        <v>#DIV/0!</v>
      </c>
      <c r="AH155" s="59" t="e">
        <f t="shared" si="75"/>
        <v>#DIV/0!</v>
      </c>
      <c r="AI155" s="59" t="e">
        <f t="shared" si="76"/>
        <v>#DIV/0!</v>
      </c>
      <c r="AJ155" s="59" t="e">
        <f t="shared" si="77"/>
        <v>#DIV/0!</v>
      </c>
      <c r="AK155" s="59" t="e">
        <f t="shared" si="78"/>
        <v>#DIV/0!</v>
      </c>
      <c r="AL155" s="59" t="e">
        <f t="shared" si="79"/>
        <v>#DIV/0!</v>
      </c>
      <c r="AM155" s="65"/>
      <c r="AN155" s="59" t="e">
        <f t="shared" si="81"/>
        <v>#DIV/0!</v>
      </c>
      <c r="AO155" s="60" t="e">
        <f t="shared" si="57"/>
        <v>#DIV/0!</v>
      </c>
      <c r="AP155" s="65"/>
      <c r="AQ155" s="60" t="e">
        <f t="shared" si="80"/>
        <v>#DIV/0!</v>
      </c>
      <c r="AR155" s="65"/>
      <c r="AS155" s="60" t="e">
        <f t="shared" si="80"/>
        <v>#DIV/0!</v>
      </c>
      <c r="AT155" s="60" t="e">
        <f t="shared" si="80"/>
        <v>#DIV/0!</v>
      </c>
      <c r="AU155" s="60" t="e">
        <f t="shared" si="80"/>
        <v>#DIV/0!</v>
      </c>
      <c r="AV155" s="60" t="e">
        <f t="shared" si="80"/>
        <v>#DIV/0!</v>
      </c>
      <c r="AW155" s="60" t="e">
        <f t="shared" si="80"/>
        <v>#DIV/0!</v>
      </c>
      <c r="AX155" s="60" t="e">
        <f t="shared" si="80"/>
        <v>#DIV/0!</v>
      </c>
      <c r="AY155" s="60" t="e">
        <f t="shared" si="80"/>
        <v>#DIV/0!</v>
      </c>
      <c r="AZ155" s="65"/>
      <c r="BA155" s="60" t="e">
        <f t="shared" si="80"/>
        <v>#DIV/0!</v>
      </c>
      <c r="BB155" s="59" t="e">
        <f>Links!AF155</f>
        <v>#DIV/0!</v>
      </c>
      <c r="BC155" s="59" t="e">
        <f>(Links!AG155*Links!C155+'On-Ramps'!AC155*'On-Ramps'!CE155)/('On-Ramps'!AC155+Links!C155)</f>
        <v>#DIV/0!</v>
      </c>
      <c r="BD155" s="59" t="e">
        <f>Links!AH155</f>
        <v>#DIV/0!</v>
      </c>
      <c r="BE155" s="59" t="e">
        <f>(Links!AI155*Links!E155+'On-Ramps'!AD155*'On-Ramps'!CF154)/('On-Ramps'!AD155+Links!E155)</f>
        <v>#DIV/0!</v>
      </c>
      <c r="BF155" s="59" t="e">
        <f>(Links!F155*Links!AJ155+'On-Ramps'!AE155*'On-Ramps'!CG155)/('On-Ramps'!AE155+Links!F155)</f>
        <v>#DIV/0!</v>
      </c>
      <c r="BG155" s="59" t="e">
        <f>(Links!G155*Links!AK155+'On-Ramps'!AF155*'On-Ramps'!CH155)/('On-Ramps'!AF155+Links!G155)</f>
        <v>#DIV/0!</v>
      </c>
      <c r="BH155" s="59" t="e">
        <f>(Links!H155*Links!AL155+'On-Ramps'!AG155*'On-Ramps'!CI155)/('On-Ramps'!AG155+Links!H155)</f>
        <v>#DIV/0!</v>
      </c>
      <c r="BI155" s="59" t="e">
        <f>(Links!J155*Links!AN155+'On-Ramps'!AH155*'On-Ramps'!CJ155)/('On-Ramps'!AH155+Links!J155)</f>
        <v>#DIV/0!</v>
      </c>
      <c r="BJ155" s="59" t="e">
        <f>(Links!K155*Links!AO155+'On-Ramps'!AI155*'On-Ramps'!CK155)/('On-Ramps'!AI155+Links!K155)</f>
        <v>#DIV/0!</v>
      </c>
      <c r="BK155" s="59" t="e">
        <f>(Links!L155*Links!AP155+'On-Ramps'!AJ155*'On-Ramps'!CL155)/(Links!L155+'On-Ramps'!AJ155)</f>
        <v>#DIV/0!</v>
      </c>
      <c r="BL155" s="59" t="e">
        <f>Links!AQ155</f>
        <v>#DIV/0!</v>
      </c>
      <c r="BM155" s="59" t="e">
        <f>(Links!N155*Links!AR155+'On-Ramps'!AL155*'On-Ramps'!CM155)/(Links!N155+'On-Ramps'!AL155)</f>
        <v>#DIV/0!</v>
      </c>
      <c r="BN155" s="59" t="e">
        <f>Links!AS155</f>
        <v>#DIV/0!</v>
      </c>
      <c r="BO155" s="60" t="e">
        <f>(Links!R155^2+'Off-Ramp'!L155^2)/(Links!R155+'Off-Ramp'!L155)</f>
        <v>#DIV/0!</v>
      </c>
      <c r="BP155" s="60" t="e">
        <f>Links!S155</f>
        <v>#DIV/0!</v>
      </c>
      <c r="BQ155" s="60" t="e">
        <f>(Links!S155^2+'Off-Ramp'!C155^2)/(Links!S155+'Off-Ramp'!C155)</f>
        <v>#DIV/0!</v>
      </c>
      <c r="BR155" s="60" t="e">
        <f>Links!T155</f>
        <v>#DIV/0!</v>
      </c>
      <c r="BS155" s="60" t="e">
        <f>(Links!X155^2+'Off-Ramp'!V155^2+'Off-Ramp'!W155^2+'Off-Ramp'!X155^2)/(Links!X155+'Off-Ramp'!V155+'Off-Ramp'!W155+'Off-Ramp'!X155)</f>
        <v>#DIV/0!</v>
      </c>
      <c r="BT155" s="60" t="e">
        <f>(Links!Y155^2+'Off-Ramp'!Y155^2+'Off-Ramp'!Z155^2+'Off-Ramp'!AA155^2)/(Links!Y155+'Off-Ramp'!Y155+'Off-Ramp'!Z155+'Off-Ramp'!AA155)</f>
        <v>#DIV/0!</v>
      </c>
      <c r="BU155" s="60" t="e">
        <f>(Links!W155^2+'Off-Ramp'!P155^2)/(Links!W155+'Off-Ramp'!P155)</f>
        <v>#DIV/0!</v>
      </c>
      <c r="BV155" s="60" t="e">
        <f>(Links!Y155^2+'Off-Ramp'!Q155^2)/(Links!Y155+'Off-Ramp'!Q155)</f>
        <v>#DIV/0!</v>
      </c>
      <c r="BW155" s="60" t="e">
        <f>(Links!Z155^2+'Off-Ramp'!R155^2)/(Links!Z155+'Off-Ramp'!R155)</f>
        <v>#DIV/0!</v>
      </c>
      <c r="BX155" s="60" t="e">
        <f>(Links!AA155+'Off-Ramp'!S155)/(Links!AA155^2+'Off-Ramp'!S155^2)</f>
        <v>#DIV/0!</v>
      </c>
      <c r="BY155" s="60" t="e">
        <f>(Links!AB155^2+'Off-Ramp'!T155^2)/(Links!AB155+'Off-Ramp'!T155)</f>
        <v>#DIV/0!</v>
      </c>
      <c r="BZ155" s="60" t="e">
        <f>Links!AC155</f>
        <v>#DIV/0!</v>
      </c>
      <c r="CA155" s="60" t="e">
        <f>(Links!AD155^2+'Off-Ramp'!U155^2)/(Links!AD155+'Off-Ramp'!U155)</f>
        <v>#DIV/0!</v>
      </c>
    </row>
    <row r="156" spans="1:79" x14ac:dyDescent="0.15">
      <c r="A156" s="58">
        <v>154</v>
      </c>
      <c r="B156" s="59" t="e">
        <f t="shared" si="58"/>
        <v>#DIV/0!</v>
      </c>
      <c r="C156" s="59" t="e">
        <f t="shared" si="59"/>
        <v>#DIV/0!</v>
      </c>
      <c r="D156" s="59" t="e">
        <f t="shared" si="60"/>
        <v>#DIV/0!</v>
      </c>
      <c r="E156" s="59" t="e">
        <f t="shared" si="61"/>
        <v>#DIV/0!</v>
      </c>
      <c r="F156" s="59" t="e">
        <f t="shared" si="62"/>
        <v>#DIV/0!</v>
      </c>
      <c r="G156" s="59" t="e">
        <f t="shared" si="63"/>
        <v>#DIV/0!</v>
      </c>
      <c r="H156" s="59" t="e">
        <f t="shared" si="64"/>
        <v>#DIV/0!</v>
      </c>
      <c r="I156" s="59" t="e">
        <f t="shared" si="65"/>
        <v>#DIV/0!</v>
      </c>
      <c r="J156" s="59" t="e">
        <f t="shared" si="66"/>
        <v>#DIV/0!</v>
      </c>
      <c r="K156" s="59" t="e">
        <f t="shared" si="67"/>
        <v>#DIV/0!</v>
      </c>
      <c r="L156" s="59" t="e">
        <f t="shared" si="68"/>
        <v>#DIV/0!</v>
      </c>
      <c r="M156" s="59" t="e">
        <f t="shared" si="69"/>
        <v>#DIV/0!</v>
      </c>
      <c r="N156" s="59" t="e">
        <f t="shared" si="70"/>
        <v>#DIV/0!</v>
      </c>
      <c r="O156" s="60" t="e">
        <f>Links!B156</f>
        <v>#DIV/0!</v>
      </c>
      <c r="P156" s="60" t="e">
        <f>Links!C156+'On-Ramps'!AC156</f>
        <v>#DIV/0!</v>
      </c>
      <c r="Q156" s="60" t="e">
        <f>Links!D156</f>
        <v>#DIV/0!</v>
      </c>
      <c r="R156" s="60" t="e">
        <f>Links!E156+'On-Ramps'!AD156</f>
        <v>#DIV/0!</v>
      </c>
      <c r="S156" s="60" t="e">
        <f>Links!F156+'On-Ramps'!AE156</f>
        <v>#DIV/0!</v>
      </c>
      <c r="T156" s="60" t="e">
        <f>Links!G156+'On-Ramps'!AF156</f>
        <v>#DIV/0!</v>
      </c>
      <c r="U156" s="60" t="e">
        <f>Links!H156+'On-Ramps'!AG156</f>
        <v>#DIV/0!</v>
      </c>
      <c r="V156" s="60" t="e">
        <f>Links!J156+'On-Ramps'!AH156</f>
        <v>#DIV/0!</v>
      </c>
      <c r="W156" s="60" t="e">
        <f>Links!K156+'On-Ramps'!AI156</f>
        <v>#DIV/0!</v>
      </c>
      <c r="X156" s="60" t="e">
        <f>Links!L156+'On-Ramps'!AJ156</f>
        <v>#DIV/0!</v>
      </c>
      <c r="Y156" s="60" t="e">
        <f>Links!M156</f>
        <v>#DIV/0!</v>
      </c>
      <c r="Z156" s="60" t="e">
        <f>Links!N156+'On-Ramps'!AK156</f>
        <v>#DIV/0!</v>
      </c>
      <c r="AA156" s="60" t="e">
        <f>Links!O156</f>
        <v>#DIV/0!</v>
      </c>
      <c r="AB156" s="59" t="e">
        <f t="shared" si="71"/>
        <v>#DIV/0!</v>
      </c>
      <c r="AC156" s="65"/>
      <c r="AD156" s="59" t="e">
        <f t="shared" si="72"/>
        <v>#DIV/0!</v>
      </c>
      <c r="AE156" s="65"/>
      <c r="AF156" s="59" t="e">
        <f t="shared" si="73"/>
        <v>#DIV/0!</v>
      </c>
      <c r="AG156" s="59" t="e">
        <f t="shared" si="74"/>
        <v>#DIV/0!</v>
      </c>
      <c r="AH156" s="59" t="e">
        <f t="shared" si="75"/>
        <v>#DIV/0!</v>
      </c>
      <c r="AI156" s="59" t="e">
        <f t="shared" si="76"/>
        <v>#DIV/0!</v>
      </c>
      <c r="AJ156" s="59" t="e">
        <f t="shared" si="77"/>
        <v>#DIV/0!</v>
      </c>
      <c r="AK156" s="59" t="e">
        <f t="shared" si="78"/>
        <v>#DIV/0!</v>
      </c>
      <c r="AL156" s="59" t="e">
        <f t="shared" si="79"/>
        <v>#DIV/0!</v>
      </c>
      <c r="AM156" s="65"/>
      <c r="AN156" s="59" t="e">
        <f t="shared" si="81"/>
        <v>#DIV/0!</v>
      </c>
      <c r="AO156" s="60" t="e">
        <f t="shared" si="57"/>
        <v>#DIV/0!</v>
      </c>
      <c r="AP156" s="65"/>
      <c r="AQ156" s="60" t="e">
        <f t="shared" si="80"/>
        <v>#DIV/0!</v>
      </c>
      <c r="AR156" s="65"/>
      <c r="AS156" s="60" t="e">
        <f t="shared" si="80"/>
        <v>#DIV/0!</v>
      </c>
      <c r="AT156" s="60" t="e">
        <f t="shared" si="80"/>
        <v>#DIV/0!</v>
      </c>
      <c r="AU156" s="60" t="e">
        <f t="shared" si="80"/>
        <v>#DIV/0!</v>
      </c>
      <c r="AV156" s="60" t="e">
        <f t="shared" si="80"/>
        <v>#DIV/0!</v>
      </c>
      <c r="AW156" s="60" t="e">
        <f t="shared" si="80"/>
        <v>#DIV/0!</v>
      </c>
      <c r="AX156" s="60" t="e">
        <f t="shared" si="80"/>
        <v>#DIV/0!</v>
      </c>
      <c r="AY156" s="60" t="e">
        <f t="shared" si="80"/>
        <v>#DIV/0!</v>
      </c>
      <c r="AZ156" s="65"/>
      <c r="BA156" s="60" t="e">
        <f t="shared" si="80"/>
        <v>#DIV/0!</v>
      </c>
      <c r="BB156" s="59" t="e">
        <f>Links!AF156</f>
        <v>#DIV/0!</v>
      </c>
      <c r="BC156" s="59" t="e">
        <f>(Links!AG156*Links!C156+'On-Ramps'!AC156*'On-Ramps'!CE156)/('On-Ramps'!AC156+Links!C156)</f>
        <v>#DIV/0!</v>
      </c>
      <c r="BD156" s="59" t="e">
        <f>Links!AH156</f>
        <v>#DIV/0!</v>
      </c>
      <c r="BE156" s="59" t="e">
        <f>(Links!AI156*Links!E156+'On-Ramps'!AD156*'On-Ramps'!CF155)/('On-Ramps'!AD156+Links!E156)</f>
        <v>#DIV/0!</v>
      </c>
      <c r="BF156" s="59" t="e">
        <f>(Links!F156*Links!AJ156+'On-Ramps'!AE156*'On-Ramps'!CG156)/('On-Ramps'!AE156+Links!F156)</f>
        <v>#DIV/0!</v>
      </c>
      <c r="BG156" s="59" t="e">
        <f>(Links!G156*Links!AK156+'On-Ramps'!AF156*'On-Ramps'!CH156)/('On-Ramps'!AF156+Links!G156)</f>
        <v>#DIV/0!</v>
      </c>
      <c r="BH156" s="59" t="e">
        <f>(Links!H156*Links!AL156+'On-Ramps'!AG156*'On-Ramps'!CI156)/('On-Ramps'!AG156+Links!H156)</f>
        <v>#DIV/0!</v>
      </c>
      <c r="BI156" s="59" t="e">
        <f>(Links!J156*Links!AN156+'On-Ramps'!AH156*'On-Ramps'!CJ156)/('On-Ramps'!AH156+Links!J156)</f>
        <v>#DIV/0!</v>
      </c>
      <c r="BJ156" s="59" t="e">
        <f>(Links!K156*Links!AO156+'On-Ramps'!AI156*'On-Ramps'!CK156)/('On-Ramps'!AI156+Links!K156)</f>
        <v>#DIV/0!</v>
      </c>
      <c r="BK156" s="59" t="e">
        <f>(Links!L156*Links!AP156+'On-Ramps'!AJ156*'On-Ramps'!CL156)/(Links!L156+'On-Ramps'!AJ156)</f>
        <v>#DIV/0!</v>
      </c>
      <c r="BL156" s="59" t="e">
        <f>Links!AQ156</f>
        <v>#DIV/0!</v>
      </c>
      <c r="BM156" s="59" t="e">
        <f>(Links!N156*Links!AR156+'On-Ramps'!AL156*'On-Ramps'!CM156)/(Links!N156+'On-Ramps'!AL156)</f>
        <v>#DIV/0!</v>
      </c>
      <c r="BN156" s="59" t="e">
        <f>Links!AS156</f>
        <v>#DIV/0!</v>
      </c>
      <c r="BO156" s="60" t="e">
        <f>(Links!R156^2+'Off-Ramp'!L156^2)/(Links!R156+'Off-Ramp'!L156)</f>
        <v>#DIV/0!</v>
      </c>
      <c r="BP156" s="60" t="e">
        <f>Links!S156</f>
        <v>#DIV/0!</v>
      </c>
      <c r="BQ156" s="60" t="e">
        <f>(Links!S156^2+'Off-Ramp'!C156^2)/(Links!S156+'Off-Ramp'!C156)</f>
        <v>#DIV/0!</v>
      </c>
      <c r="BR156" s="60" t="e">
        <f>Links!T156</f>
        <v>#DIV/0!</v>
      </c>
      <c r="BS156" s="60" t="e">
        <f>(Links!X156^2+'Off-Ramp'!V156^2+'Off-Ramp'!W156^2+'Off-Ramp'!X156^2)/(Links!X156+'Off-Ramp'!V156+'Off-Ramp'!W156+'Off-Ramp'!X156)</f>
        <v>#DIV/0!</v>
      </c>
      <c r="BT156" s="60" t="e">
        <f>(Links!Y156^2+'Off-Ramp'!Y156^2+'Off-Ramp'!Z156^2+'Off-Ramp'!AA156^2)/(Links!Y156+'Off-Ramp'!Y156+'Off-Ramp'!Z156+'Off-Ramp'!AA156)</f>
        <v>#DIV/0!</v>
      </c>
      <c r="BU156" s="60" t="e">
        <f>(Links!W156^2+'Off-Ramp'!P156^2)/(Links!W156+'Off-Ramp'!P156)</f>
        <v>#DIV/0!</v>
      </c>
      <c r="BV156" s="60" t="e">
        <f>(Links!Y156^2+'Off-Ramp'!Q156^2)/(Links!Y156+'Off-Ramp'!Q156)</f>
        <v>#DIV/0!</v>
      </c>
      <c r="BW156" s="60" t="e">
        <f>(Links!Z156^2+'Off-Ramp'!R156^2)/(Links!Z156+'Off-Ramp'!R156)</f>
        <v>#DIV/0!</v>
      </c>
      <c r="BX156" s="60" t="e">
        <f>(Links!AA156+'Off-Ramp'!S156)/(Links!AA156^2+'Off-Ramp'!S156^2)</f>
        <v>#DIV/0!</v>
      </c>
      <c r="BY156" s="60" t="e">
        <f>(Links!AB156^2+'Off-Ramp'!T156^2)/(Links!AB156+'Off-Ramp'!T156)</f>
        <v>#DIV/0!</v>
      </c>
      <c r="BZ156" s="60" t="e">
        <f>Links!AC156</f>
        <v>#DIV/0!</v>
      </c>
      <c r="CA156" s="60" t="e">
        <f>(Links!AD156^2+'Off-Ramp'!U156^2)/(Links!AD156+'Off-Ramp'!U156)</f>
        <v>#DIV/0!</v>
      </c>
    </row>
    <row r="157" spans="1:79" x14ac:dyDescent="0.15">
      <c r="A157" s="58">
        <v>155</v>
      </c>
      <c r="B157" s="59" t="e">
        <f t="shared" si="58"/>
        <v>#DIV/0!</v>
      </c>
      <c r="C157" s="59" t="e">
        <f t="shared" si="59"/>
        <v>#DIV/0!</v>
      </c>
      <c r="D157" s="59" t="e">
        <f t="shared" si="60"/>
        <v>#DIV/0!</v>
      </c>
      <c r="E157" s="59" t="e">
        <f t="shared" si="61"/>
        <v>#DIV/0!</v>
      </c>
      <c r="F157" s="59" t="e">
        <f t="shared" si="62"/>
        <v>#DIV/0!</v>
      </c>
      <c r="G157" s="59" t="e">
        <f t="shared" si="63"/>
        <v>#DIV/0!</v>
      </c>
      <c r="H157" s="59" t="e">
        <f t="shared" si="64"/>
        <v>#DIV/0!</v>
      </c>
      <c r="I157" s="59" t="e">
        <f t="shared" si="65"/>
        <v>#DIV/0!</v>
      </c>
      <c r="J157" s="59" t="e">
        <f t="shared" si="66"/>
        <v>#DIV/0!</v>
      </c>
      <c r="K157" s="59" t="e">
        <f t="shared" si="67"/>
        <v>#DIV/0!</v>
      </c>
      <c r="L157" s="59" t="e">
        <f t="shared" si="68"/>
        <v>#DIV/0!</v>
      </c>
      <c r="M157" s="59" t="e">
        <f t="shared" si="69"/>
        <v>#DIV/0!</v>
      </c>
      <c r="N157" s="59" t="e">
        <f t="shared" si="70"/>
        <v>#DIV/0!</v>
      </c>
      <c r="O157" s="60" t="e">
        <f>Links!B157</f>
        <v>#DIV/0!</v>
      </c>
      <c r="P157" s="60" t="e">
        <f>Links!C157+'On-Ramps'!AC157</f>
        <v>#DIV/0!</v>
      </c>
      <c r="Q157" s="60" t="e">
        <f>Links!D157</f>
        <v>#DIV/0!</v>
      </c>
      <c r="R157" s="60" t="e">
        <f>Links!E157+'On-Ramps'!AD157</f>
        <v>#DIV/0!</v>
      </c>
      <c r="S157" s="60" t="e">
        <f>Links!F157+'On-Ramps'!AE157</f>
        <v>#DIV/0!</v>
      </c>
      <c r="T157" s="60" t="e">
        <f>Links!G157+'On-Ramps'!AF157</f>
        <v>#DIV/0!</v>
      </c>
      <c r="U157" s="60" t="e">
        <f>Links!H157+'On-Ramps'!AG157</f>
        <v>#DIV/0!</v>
      </c>
      <c r="V157" s="60" t="e">
        <f>Links!J157+'On-Ramps'!AH157</f>
        <v>#DIV/0!</v>
      </c>
      <c r="W157" s="60" t="e">
        <f>Links!K157+'On-Ramps'!AI157</f>
        <v>#DIV/0!</v>
      </c>
      <c r="X157" s="60" t="e">
        <f>Links!L157+'On-Ramps'!AJ157</f>
        <v>#DIV/0!</v>
      </c>
      <c r="Y157" s="60" t="e">
        <f>Links!M157</f>
        <v>#DIV/0!</v>
      </c>
      <c r="Z157" s="60" t="e">
        <f>Links!N157+'On-Ramps'!AK157</f>
        <v>#DIV/0!</v>
      </c>
      <c r="AA157" s="60" t="e">
        <f>Links!O157</f>
        <v>#DIV/0!</v>
      </c>
      <c r="AB157" s="59" t="e">
        <f t="shared" si="71"/>
        <v>#DIV/0!</v>
      </c>
      <c r="AC157" s="65"/>
      <c r="AD157" s="59" t="e">
        <f t="shared" si="72"/>
        <v>#DIV/0!</v>
      </c>
      <c r="AE157" s="65"/>
      <c r="AF157" s="59" t="e">
        <f t="shared" si="73"/>
        <v>#DIV/0!</v>
      </c>
      <c r="AG157" s="59" t="e">
        <f t="shared" si="74"/>
        <v>#DIV/0!</v>
      </c>
      <c r="AH157" s="59" t="e">
        <f t="shared" si="75"/>
        <v>#DIV/0!</v>
      </c>
      <c r="AI157" s="59" t="e">
        <f t="shared" si="76"/>
        <v>#DIV/0!</v>
      </c>
      <c r="AJ157" s="59" t="e">
        <f t="shared" si="77"/>
        <v>#DIV/0!</v>
      </c>
      <c r="AK157" s="59" t="e">
        <f t="shared" si="78"/>
        <v>#DIV/0!</v>
      </c>
      <c r="AL157" s="59" t="e">
        <f t="shared" si="79"/>
        <v>#DIV/0!</v>
      </c>
      <c r="AM157" s="65"/>
      <c r="AN157" s="59" t="e">
        <f t="shared" si="81"/>
        <v>#DIV/0!</v>
      </c>
      <c r="AO157" s="60" t="e">
        <f t="shared" si="57"/>
        <v>#DIV/0!</v>
      </c>
      <c r="AP157" s="65"/>
      <c r="AQ157" s="60" t="e">
        <f t="shared" si="80"/>
        <v>#DIV/0!</v>
      </c>
      <c r="AR157" s="65"/>
      <c r="AS157" s="60" t="e">
        <f t="shared" si="80"/>
        <v>#DIV/0!</v>
      </c>
      <c r="AT157" s="60" t="e">
        <f t="shared" si="80"/>
        <v>#DIV/0!</v>
      </c>
      <c r="AU157" s="60" t="e">
        <f t="shared" si="80"/>
        <v>#DIV/0!</v>
      </c>
      <c r="AV157" s="60" t="e">
        <f t="shared" si="80"/>
        <v>#DIV/0!</v>
      </c>
      <c r="AW157" s="60" t="e">
        <f t="shared" si="80"/>
        <v>#DIV/0!</v>
      </c>
      <c r="AX157" s="60" t="e">
        <f t="shared" si="80"/>
        <v>#DIV/0!</v>
      </c>
      <c r="AY157" s="60" t="e">
        <f t="shared" si="80"/>
        <v>#DIV/0!</v>
      </c>
      <c r="AZ157" s="65"/>
      <c r="BA157" s="60" t="e">
        <f t="shared" si="80"/>
        <v>#DIV/0!</v>
      </c>
      <c r="BB157" s="59" t="e">
        <f>Links!AF157</f>
        <v>#DIV/0!</v>
      </c>
      <c r="BC157" s="59" t="e">
        <f>(Links!AG157*Links!C157+'On-Ramps'!AC157*'On-Ramps'!CE157)/('On-Ramps'!AC157+Links!C157)</f>
        <v>#DIV/0!</v>
      </c>
      <c r="BD157" s="59" t="e">
        <f>Links!AH157</f>
        <v>#DIV/0!</v>
      </c>
      <c r="BE157" s="59" t="e">
        <f>(Links!AI157*Links!E157+'On-Ramps'!AD157*'On-Ramps'!CF156)/('On-Ramps'!AD157+Links!E157)</f>
        <v>#DIV/0!</v>
      </c>
      <c r="BF157" s="59" t="e">
        <f>(Links!F157*Links!AJ157+'On-Ramps'!AE157*'On-Ramps'!CG157)/('On-Ramps'!AE157+Links!F157)</f>
        <v>#DIV/0!</v>
      </c>
      <c r="BG157" s="59" t="e">
        <f>(Links!G157*Links!AK157+'On-Ramps'!AF157*'On-Ramps'!CH157)/('On-Ramps'!AF157+Links!G157)</f>
        <v>#DIV/0!</v>
      </c>
      <c r="BH157" s="59" t="e">
        <f>(Links!H157*Links!AL157+'On-Ramps'!AG157*'On-Ramps'!CI157)/('On-Ramps'!AG157+Links!H157)</f>
        <v>#DIV/0!</v>
      </c>
      <c r="BI157" s="59" t="e">
        <f>(Links!J157*Links!AN157+'On-Ramps'!AH157*'On-Ramps'!CJ157)/('On-Ramps'!AH157+Links!J157)</f>
        <v>#DIV/0!</v>
      </c>
      <c r="BJ157" s="59" t="e">
        <f>(Links!K157*Links!AO157+'On-Ramps'!AI157*'On-Ramps'!CK157)/('On-Ramps'!AI157+Links!K157)</f>
        <v>#DIV/0!</v>
      </c>
      <c r="BK157" s="59" t="e">
        <f>(Links!L157*Links!AP157+'On-Ramps'!AJ157*'On-Ramps'!CL157)/(Links!L157+'On-Ramps'!AJ157)</f>
        <v>#DIV/0!</v>
      </c>
      <c r="BL157" s="59" t="e">
        <f>Links!AQ157</f>
        <v>#DIV/0!</v>
      </c>
      <c r="BM157" s="59" t="e">
        <f>(Links!N157*Links!AR157+'On-Ramps'!AL157*'On-Ramps'!CM157)/(Links!N157+'On-Ramps'!AL157)</f>
        <v>#DIV/0!</v>
      </c>
      <c r="BN157" s="59" t="e">
        <f>Links!AS157</f>
        <v>#DIV/0!</v>
      </c>
      <c r="BO157" s="60" t="e">
        <f>(Links!R157^2+'Off-Ramp'!L157^2)/(Links!R157+'Off-Ramp'!L157)</f>
        <v>#DIV/0!</v>
      </c>
      <c r="BP157" s="60" t="e">
        <f>Links!S157</f>
        <v>#DIV/0!</v>
      </c>
      <c r="BQ157" s="60" t="e">
        <f>(Links!S157^2+'Off-Ramp'!C157^2)/(Links!S157+'Off-Ramp'!C157)</f>
        <v>#DIV/0!</v>
      </c>
      <c r="BR157" s="60" t="e">
        <f>Links!T157</f>
        <v>#DIV/0!</v>
      </c>
      <c r="BS157" s="60" t="e">
        <f>(Links!X157^2+'Off-Ramp'!V157^2+'Off-Ramp'!W157^2+'Off-Ramp'!X157^2)/(Links!X157+'Off-Ramp'!V157+'Off-Ramp'!W157+'Off-Ramp'!X157)</f>
        <v>#DIV/0!</v>
      </c>
      <c r="BT157" s="60" t="e">
        <f>(Links!Y157^2+'Off-Ramp'!Y157^2+'Off-Ramp'!Z157^2+'Off-Ramp'!AA157^2)/(Links!Y157+'Off-Ramp'!Y157+'Off-Ramp'!Z157+'Off-Ramp'!AA157)</f>
        <v>#DIV/0!</v>
      </c>
      <c r="BU157" s="60" t="e">
        <f>(Links!W157^2+'Off-Ramp'!P157^2)/(Links!W157+'Off-Ramp'!P157)</f>
        <v>#DIV/0!</v>
      </c>
      <c r="BV157" s="60" t="e">
        <f>(Links!Y157^2+'Off-Ramp'!Q157^2)/(Links!Y157+'Off-Ramp'!Q157)</f>
        <v>#DIV/0!</v>
      </c>
      <c r="BW157" s="60" t="e">
        <f>(Links!Z157^2+'Off-Ramp'!R157^2)/(Links!Z157+'Off-Ramp'!R157)</f>
        <v>#DIV/0!</v>
      </c>
      <c r="BX157" s="60" t="e">
        <f>(Links!AA157+'Off-Ramp'!S157)/(Links!AA157^2+'Off-Ramp'!S157^2)</f>
        <v>#DIV/0!</v>
      </c>
      <c r="BY157" s="60" t="e">
        <f>(Links!AB157^2+'Off-Ramp'!T157^2)/(Links!AB157+'Off-Ramp'!T157)</f>
        <v>#DIV/0!</v>
      </c>
      <c r="BZ157" s="60" t="e">
        <f>Links!AC157</f>
        <v>#DIV/0!</v>
      </c>
      <c r="CA157" s="60" t="e">
        <f>(Links!AD157^2+'Off-Ramp'!U157^2)/(Links!AD157+'Off-Ramp'!U157)</f>
        <v>#DIV/0!</v>
      </c>
    </row>
    <row r="158" spans="1:79" x14ac:dyDescent="0.15">
      <c r="A158" s="58">
        <v>156</v>
      </c>
      <c r="B158" s="59" t="e">
        <f t="shared" si="58"/>
        <v>#DIV/0!</v>
      </c>
      <c r="C158" s="59" t="e">
        <f t="shared" si="59"/>
        <v>#DIV/0!</v>
      </c>
      <c r="D158" s="59" t="e">
        <f t="shared" si="60"/>
        <v>#DIV/0!</v>
      </c>
      <c r="E158" s="59" t="e">
        <f t="shared" si="61"/>
        <v>#DIV/0!</v>
      </c>
      <c r="F158" s="59" t="e">
        <f t="shared" si="62"/>
        <v>#DIV/0!</v>
      </c>
      <c r="G158" s="59" t="e">
        <f t="shared" si="63"/>
        <v>#DIV/0!</v>
      </c>
      <c r="H158" s="59" t="e">
        <f t="shared" si="64"/>
        <v>#DIV/0!</v>
      </c>
      <c r="I158" s="59" t="e">
        <f t="shared" si="65"/>
        <v>#DIV/0!</v>
      </c>
      <c r="J158" s="59" t="e">
        <f t="shared" si="66"/>
        <v>#DIV/0!</v>
      </c>
      <c r="K158" s="59" t="e">
        <f t="shared" si="67"/>
        <v>#DIV/0!</v>
      </c>
      <c r="L158" s="59" t="e">
        <f t="shared" si="68"/>
        <v>#DIV/0!</v>
      </c>
      <c r="M158" s="59" t="e">
        <f t="shared" si="69"/>
        <v>#DIV/0!</v>
      </c>
      <c r="N158" s="59" t="e">
        <f t="shared" si="70"/>
        <v>#DIV/0!</v>
      </c>
      <c r="O158" s="60" t="e">
        <f>Links!B158</f>
        <v>#DIV/0!</v>
      </c>
      <c r="P158" s="60" t="e">
        <f>Links!C158+'On-Ramps'!AC158</f>
        <v>#DIV/0!</v>
      </c>
      <c r="Q158" s="60" t="e">
        <f>Links!D158</f>
        <v>#DIV/0!</v>
      </c>
      <c r="R158" s="60" t="e">
        <f>Links!E158+'On-Ramps'!AD158</f>
        <v>#DIV/0!</v>
      </c>
      <c r="S158" s="60" t="e">
        <f>Links!F158+'On-Ramps'!AE158</f>
        <v>#DIV/0!</v>
      </c>
      <c r="T158" s="60" t="e">
        <f>Links!G158+'On-Ramps'!AF158</f>
        <v>#DIV/0!</v>
      </c>
      <c r="U158" s="60" t="e">
        <f>Links!H158+'On-Ramps'!AG158</f>
        <v>#DIV/0!</v>
      </c>
      <c r="V158" s="60" t="e">
        <f>Links!J158+'On-Ramps'!AH158</f>
        <v>#DIV/0!</v>
      </c>
      <c r="W158" s="60" t="e">
        <f>Links!K158+'On-Ramps'!AI158</f>
        <v>#DIV/0!</v>
      </c>
      <c r="X158" s="60" t="e">
        <f>Links!L158+'On-Ramps'!AJ158</f>
        <v>#DIV/0!</v>
      </c>
      <c r="Y158" s="60" t="e">
        <f>Links!M158</f>
        <v>#DIV/0!</v>
      </c>
      <c r="Z158" s="60" t="e">
        <f>Links!N158+'On-Ramps'!AK158</f>
        <v>#DIV/0!</v>
      </c>
      <c r="AA158" s="60" t="e">
        <f>Links!O158</f>
        <v>#DIV/0!</v>
      </c>
      <c r="AB158" s="59" t="e">
        <f t="shared" si="71"/>
        <v>#DIV/0!</v>
      </c>
      <c r="AC158" s="65"/>
      <c r="AD158" s="59" t="e">
        <f t="shared" si="72"/>
        <v>#DIV/0!</v>
      </c>
      <c r="AE158" s="65"/>
      <c r="AF158" s="59" t="e">
        <f t="shared" si="73"/>
        <v>#DIV/0!</v>
      </c>
      <c r="AG158" s="59" t="e">
        <f t="shared" si="74"/>
        <v>#DIV/0!</v>
      </c>
      <c r="AH158" s="59" t="e">
        <f t="shared" si="75"/>
        <v>#DIV/0!</v>
      </c>
      <c r="AI158" s="59" t="e">
        <f t="shared" si="76"/>
        <v>#DIV/0!</v>
      </c>
      <c r="AJ158" s="59" t="e">
        <f t="shared" si="77"/>
        <v>#DIV/0!</v>
      </c>
      <c r="AK158" s="59" t="e">
        <f t="shared" si="78"/>
        <v>#DIV/0!</v>
      </c>
      <c r="AL158" s="59" t="e">
        <f t="shared" si="79"/>
        <v>#DIV/0!</v>
      </c>
      <c r="AM158" s="65"/>
      <c r="AN158" s="59" t="e">
        <f t="shared" si="81"/>
        <v>#DIV/0!</v>
      </c>
      <c r="AO158" s="60" t="e">
        <f t="shared" si="57"/>
        <v>#DIV/0!</v>
      </c>
      <c r="AP158" s="65"/>
      <c r="AQ158" s="60" t="e">
        <f t="shared" si="80"/>
        <v>#DIV/0!</v>
      </c>
      <c r="AR158" s="65"/>
      <c r="AS158" s="60" t="e">
        <f t="shared" si="80"/>
        <v>#DIV/0!</v>
      </c>
      <c r="AT158" s="60" t="e">
        <f t="shared" si="80"/>
        <v>#DIV/0!</v>
      </c>
      <c r="AU158" s="60" t="e">
        <f t="shared" si="80"/>
        <v>#DIV/0!</v>
      </c>
      <c r="AV158" s="60" t="e">
        <f t="shared" si="80"/>
        <v>#DIV/0!</v>
      </c>
      <c r="AW158" s="60" t="e">
        <f t="shared" si="80"/>
        <v>#DIV/0!</v>
      </c>
      <c r="AX158" s="60" t="e">
        <f t="shared" si="80"/>
        <v>#DIV/0!</v>
      </c>
      <c r="AY158" s="60" t="e">
        <f t="shared" si="80"/>
        <v>#DIV/0!</v>
      </c>
      <c r="AZ158" s="65"/>
      <c r="BA158" s="60" t="e">
        <f t="shared" si="80"/>
        <v>#DIV/0!</v>
      </c>
      <c r="BB158" s="59" t="e">
        <f>Links!AF158</f>
        <v>#DIV/0!</v>
      </c>
      <c r="BC158" s="59" t="e">
        <f>(Links!AG158*Links!C158+'On-Ramps'!AC158*'On-Ramps'!CE158)/('On-Ramps'!AC158+Links!C158)</f>
        <v>#DIV/0!</v>
      </c>
      <c r="BD158" s="59" t="e">
        <f>Links!AH158</f>
        <v>#DIV/0!</v>
      </c>
      <c r="BE158" s="59" t="e">
        <f>(Links!AI158*Links!E158+'On-Ramps'!AD158*'On-Ramps'!CF157)/('On-Ramps'!AD158+Links!E158)</f>
        <v>#DIV/0!</v>
      </c>
      <c r="BF158" s="59" t="e">
        <f>(Links!F158*Links!AJ158+'On-Ramps'!AE158*'On-Ramps'!CG158)/('On-Ramps'!AE158+Links!F158)</f>
        <v>#DIV/0!</v>
      </c>
      <c r="BG158" s="59" t="e">
        <f>(Links!G158*Links!AK158+'On-Ramps'!AF158*'On-Ramps'!CH158)/('On-Ramps'!AF158+Links!G158)</f>
        <v>#DIV/0!</v>
      </c>
      <c r="BH158" s="59" t="e">
        <f>(Links!H158*Links!AL158+'On-Ramps'!AG158*'On-Ramps'!CI158)/('On-Ramps'!AG158+Links!H158)</f>
        <v>#DIV/0!</v>
      </c>
      <c r="BI158" s="59" t="e">
        <f>(Links!J158*Links!AN158+'On-Ramps'!AH158*'On-Ramps'!CJ158)/('On-Ramps'!AH158+Links!J158)</f>
        <v>#DIV/0!</v>
      </c>
      <c r="BJ158" s="59" t="e">
        <f>(Links!K158*Links!AO158+'On-Ramps'!AI158*'On-Ramps'!CK158)/('On-Ramps'!AI158+Links!K158)</f>
        <v>#DIV/0!</v>
      </c>
      <c r="BK158" s="59" t="e">
        <f>(Links!L158*Links!AP158+'On-Ramps'!AJ158*'On-Ramps'!CL158)/(Links!L158+'On-Ramps'!AJ158)</f>
        <v>#DIV/0!</v>
      </c>
      <c r="BL158" s="59" t="e">
        <f>Links!AQ158</f>
        <v>#DIV/0!</v>
      </c>
      <c r="BM158" s="59" t="e">
        <f>(Links!N158*Links!AR158+'On-Ramps'!AL158*'On-Ramps'!CM158)/(Links!N158+'On-Ramps'!AL158)</f>
        <v>#DIV/0!</v>
      </c>
      <c r="BN158" s="59" t="e">
        <f>Links!AS158</f>
        <v>#DIV/0!</v>
      </c>
      <c r="BO158" s="60" t="e">
        <f>(Links!R158^2+'Off-Ramp'!L158^2)/(Links!R158+'Off-Ramp'!L158)</f>
        <v>#DIV/0!</v>
      </c>
      <c r="BP158" s="60" t="e">
        <f>Links!S158</f>
        <v>#DIV/0!</v>
      </c>
      <c r="BQ158" s="60" t="e">
        <f>(Links!S158^2+'Off-Ramp'!C158^2)/(Links!S158+'Off-Ramp'!C158)</f>
        <v>#DIV/0!</v>
      </c>
      <c r="BR158" s="60" t="e">
        <f>Links!T158</f>
        <v>#DIV/0!</v>
      </c>
      <c r="BS158" s="60" t="e">
        <f>(Links!X158^2+'Off-Ramp'!V158^2+'Off-Ramp'!W158^2+'Off-Ramp'!X158^2)/(Links!X158+'Off-Ramp'!V158+'Off-Ramp'!W158+'Off-Ramp'!X158)</f>
        <v>#DIV/0!</v>
      </c>
      <c r="BT158" s="60" t="e">
        <f>(Links!Y158^2+'Off-Ramp'!Y158^2+'Off-Ramp'!Z158^2+'Off-Ramp'!AA158^2)/(Links!Y158+'Off-Ramp'!Y158+'Off-Ramp'!Z158+'Off-Ramp'!AA158)</f>
        <v>#DIV/0!</v>
      </c>
      <c r="BU158" s="60" t="e">
        <f>(Links!W158^2+'Off-Ramp'!P158^2)/(Links!W158+'Off-Ramp'!P158)</f>
        <v>#DIV/0!</v>
      </c>
      <c r="BV158" s="60" t="e">
        <f>(Links!Y158^2+'Off-Ramp'!Q158^2)/(Links!Y158+'Off-Ramp'!Q158)</f>
        <v>#DIV/0!</v>
      </c>
      <c r="BW158" s="60" t="e">
        <f>(Links!Z158^2+'Off-Ramp'!R158^2)/(Links!Z158+'Off-Ramp'!R158)</f>
        <v>#DIV/0!</v>
      </c>
      <c r="BX158" s="60" t="e">
        <f>(Links!AA158+'Off-Ramp'!S158)/(Links!AA158^2+'Off-Ramp'!S158^2)</f>
        <v>#DIV/0!</v>
      </c>
      <c r="BY158" s="60" t="e">
        <f>(Links!AB158^2+'Off-Ramp'!T158^2)/(Links!AB158+'Off-Ramp'!T158)</f>
        <v>#DIV/0!</v>
      </c>
      <c r="BZ158" s="60" t="e">
        <f>Links!AC158</f>
        <v>#DIV/0!</v>
      </c>
      <c r="CA158" s="60" t="e">
        <f>(Links!AD158^2+'Off-Ramp'!U158^2)/(Links!AD158+'Off-Ramp'!U158)</f>
        <v>#DIV/0!</v>
      </c>
    </row>
    <row r="159" spans="1:79" x14ac:dyDescent="0.15">
      <c r="A159" s="58">
        <v>157</v>
      </c>
      <c r="B159" s="59" t="e">
        <f t="shared" si="58"/>
        <v>#DIV/0!</v>
      </c>
      <c r="C159" s="59" t="e">
        <f t="shared" si="59"/>
        <v>#DIV/0!</v>
      </c>
      <c r="D159" s="59" t="e">
        <f t="shared" si="60"/>
        <v>#DIV/0!</v>
      </c>
      <c r="E159" s="59" t="e">
        <f t="shared" si="61"/>
        <v>#DIV/0!</v>
      </c>
      <c r="F159" s="59" t="e">
        <f t="shared" si="62"/>
        <v>#DIV/0!</v>
      </c>
      <c r="G159" s="59" t="e">
        <f t="shared" si="63"/>
        <v>#DIV/0!</v>
      </c>
      <c r="H159" s="59" t="e">
        <f t="shared" si="64"/>
        <v>#DIV/0!</v>
      </c>
      <c r="I159" s="59" t="e">
        <f t="shared" si="65"/>
        <v>#DIV/0!</v>
      </c>
      <c r="J159" s="59" t="e">
        <f t="shared" si="66"/>
        <v>#DIV/0!</v>
      </c>
      <c r="K159" s="59" t="e">
        <f t="shared" si="67"/>
        <v>#DIV/0!</v>
      </c>
      <c r="L159" s="59" t="e">
        <f t="shared" si="68"/>
        <v>#DIV/0!</v>
      </c>
      <c r="M159" s="59" t="e">
        <f t="shared" si="69"/>
        <v>#DIV/0!</v>
      </c>
      <c r="N159" s="59" t="e">
        <f t="shared" si="70"/>
        <v>#DIV/0!</v>
      </c>
      <c r="O159" s="60" t="e">
        <f>Links!B159</f>
        <v>#DIV/0!</v>
      </c>
      <c r="P159" s="60" t="e">
        <f>Links!C159+'On-Ramps'!AC159</f>
        <v>#DIV/0!</v>
      </c>
      <c r="Q159" s="60" t="e">
        <f>Links!D159</f>
        <v>#DIV/0!</v>
      </c>
      <c r="R159" s="60" t="e">
        <f>Links!E159+'On-Ramps'!AD159</f>
        <v>#DIV/0!</v>
      </c>
      <c r="S159" s="60" t="e">
        <f>Links!F159+'On-Ramps'!AE159</f>
        <v>#DIV/0!</v>
      </c>
      <c r="T159" s="60" t="e">
        <f>Links!G159+'On-Ramps'!AF159</f>
        <v>#DIV/0!</v>
      </c>
      <c r="U159" s="60" t="e">
        <f>Links!H159+'On-Ramps'!AG159</f>
        <v>#DIV/0!</v>
      </c>
      <c r="V159" s="60" t="e">
        <f>Links!J159+'On-Ramps'!AH159</f>
        <v>#DIV/0!</v>
      </c>
      <c r="W159" s="60" t="e">
        <f>Links!K159+'On-Ramps'!AI159</f>
        <v>#DIV/0!</v>
      </c>
      <c r="X159" s="60" t="e">
        <f>Links!L159+'On-Ramps'!AJ159</f>
        <v>#DIV/0!</v>
      </c>
      <c r="Y159" s="60" t="e">
        <f>Links!M159</f>
        <v>#DIV/0!</v>
      </c>
      <c r="Z159" s="60" t="e">
        <f>Links!N159+'On-Ramps'!AK159</f>
        <v>#DIV/0!</v>
      </c>
      <c r="AA159" s="60" t="e">
        <f>Links!O159</f>
        <v>#DIV/0!</v>
      </c>
      <c r="AB159" s="59" t="e">
        <f t="shared" si="71"/>
        <v>#DIV/0!</v>
      </c>
      <c r="AC159" s="65"/>
      <c r="AD159" s="59" t="e">
        <f t="shared" si="72"/>
        <v>#DIV/0!</v>
      </c>
      <c r="AE159" s="65"/>
      <c r="AF159" s="59" t="e">
        <f t="shared" si="73"/>
        <v>#DIV/0!</v>
      </c>
      <c r="AG159" s="59" t="e">
        <f t="shared" si="74"/>
        <v>#DIV/0!</v>
      </c>
      <c r="AH159" s="59" t="e">
        <f t="shared" si="75"/>
        <v>#DIV/0!</v>
      </c>
      <c r="AI159" s="59" t="e">
        <f t="shared" si="76"/>
        <v>#DIV/0!</v>
      </c>
      <c r="AJ159" s="59" t="e">
        <f t="shared" si="77"/>
        <v>#DIV/0!</v>
      </c>
      <c r="AK159" s="59" t="e">
        <f t="shared" si="78"/>
        <v>#DIV/0!</v>
      </c>
      <c r="AL159" s="59" t="e">
        <f t="shared" si="79"/>
        <v>#DIV/0!</v>
      </c>
      <c r="AM159" s="65"/>
      <c r="AN159" s="59" t="e">
        <f t="shared" si="81"/>
        <v>#DIV/0!</v>
      </c>
      <c r="AO159" s="60" t="e">
        <f t="shared" si="57"/>
        <v>#DIV/0!</v>
      </c>
      <c r="AP159" s="65"/>
      <c r="AQ159" s="60" t="e">
        <f t="shared" si="80"/>
        <v>#DIV/0!</v>
      </c>
      <c r="AR159" s="65"/>
      <c r="AS159" s="60" t="e">
        <f t="shared" si="80"/>
        <v>#DIV/0!</v>
      </c>
      <c r="AT159" s="60" t="e">
        <f t="shared" si="80"/>
        <v>#DIV/0!</v>
      </c>
      <c r="AU159" s="60" t="e">
        <f t="shared" si="80"/>
        <v>#DIV/0!</v>
      </c>
      <c r="AV159" s="60" t="e">
        <f t="shared" si="80"/>
        <v>#DIV/0!</v>
      </c>
      <c r="AW159" s="60" t="e">
        <f t="shared" si="80"/>
        <v>#DIV/0!</v>
      </c>
      <c r="AX159" s="60" t="e">
        <f t="shared" si="80"/>
        <v>#DIV/0!</v>
      </c>
      <c r="AY159" s="60" t="e">
        <f t="shared" si="80"/>
        <v>#DIV/0!</v>
      </c>
      <c r="AZ159" s="65"/>
      <c r="BA159" s="60" t="e">
        <f t="shared" si="80"/>
        <v>#DIV/0!</v>
      </c>
      <c r="BB159" s="59" t="e">
        <f>Links!AF159</f>
        <v>#DIV/0!</v>
      </c>
      <c r="BC159" s="59" t="e">
        <f>(Links!AG159*Links!C159+'On-Ramps'!AC159*'On-Ramps'!CE159)/('On-Ramps'!AC159+Links!C159)</f>
        <v>#DIV/0!</v>
      </c>
      <c r="BD159" s="59" t="e">
        <f>Links!AH159</f>
        <v>#DIV/0!</v>
      </c>
      <c r="BE159" s="59" t="e">
        <f>(Links!AI159*Links!E159+'On-Ramps'!AD159*'On-Ramps'!CF158)/('On-Ramps'!AD159+Links!E159)</f>
        <v>#DIV/0!</v>
      </c>
      <c r="BF159" s="59" t="e">
        <f>(Links!F159*Links!AJ159+'On-Ramps'!AE159*'On-Ramps'!CG159)/('On-Ramps'!AE159+Links!F159)</f>
        <v>#DIV/0!</v>
      </c>
      <c r="BG159" s="59" t="e">
        <f>(Links!G159*Links!AK159+'On-Ramps'!AF159*'On-Ramps'!CH159)/('On-Ramps'!AF159+Links!G159)</f>
        <v>#DIV/0!</v>
      </c>
      <c r="BH159" s="59" t="e">
        <f>(Links!H159*Links!AL159+'On-Ramps'!AG159*'On-Ramps'!CI159)/('On-Ramps'!AG159+Links!H159)</f>
        <v>#DIV/0!</v>
      </c>
      <c r="BI159" s="59" t="e">
        <f>(Links!J159*Links!AN159+'On-Ramps'!AH159*'On-Ramps'!CJ159)/('On-Ramps'!AH159+Links!J159)</f>
        <v>#DIV/0!</v>
      </c>
      <c r="BJ159" s="59" t="e">
        <f>(Links!K159*Links!AO159+'On-Ramps'!AI159*'On-Ramps'!CK159)/('On-Ramps'!AI159+Links!K159)</f>
        <v>#DIV/0!</v>
      </c>
      <c r="BK159" s="59" t="e">
        <f>(Links!L159*Links!AP159+'On-Ramps'!AJ159*'On-Ramps'!CL159)/(Links!L159+'On-Ramps'!AJ159)</f>
        <v>#DIV/0!</v>
      </c>
      <c r="BL159" s="59" t="e">
        <f>Links!AQ159</f>
        <v>#DIV/0!</v>
      </c>
      <c r="BM159" s="59" t="e">
        <f>(Links!N159*Links!AR159+'On-Ramps'!AL159*'On-Ramps'!CM159)/(Links!N159+'On-Ramps'!AL159)</f>
        <v>#DIV/0!</v>
      </c>
      <c r="BN159" s="59" t="e">
        <f>Links!AS159</f>
        <v>#DIV/0!</v>
      </c>
      <c r="BO159" s="60" t="e">
        <f>(Links!R159^2+'Off-Ramp'!L159^2)/(Links!R159+'Off-Ramp'!L159)</f>
        <v>#DIV/0!</v>
      </c>
      <c r="BP159" s="60" t="e">
        <f>Links!S159</f>
        <v>#DIV/0!</v>
      </c>
      <c r="BQ159" s="60" t="e">
        <f>(Links!S159^2+'Off-Ramp'!C159^2)/(Links!S159+'Off-Ramp'!C159)</f>
        <v>#DIV/0!</v>
      </c>
      <c r="BR159" s="60" t="e">
        <f>Links!T159</f>
        <v>#DIV/0!</v>
      </c>
      <c r="BS159" s="60" t="e">
        <f>(Links!X159^2+'Off-Ramp'!V159^2+'Off-Ramp'!W159^2+'Off-Ramp'!X159^2)/(Links!X159+'Off-Ramp'!V159+'Off-Ramp'!W159+'Off-Ramp'!X159)</f>
        <v>#DIV/0!</v>
      </c>
      <c r="BT159" s="60" t="e">
        <f>(Links!Y159^2+'Off-Ramp'!Y159^2+'Off-Ramp'!Z159^2+'Off-Ramp'!AA159^2)/(Links!Y159+'Off-Ramp'!Y159+'Off-Ramp'!Z159+'Off-Ramp'!AA159)</f>
        <v>#DIV/0!</v>
      </c>
      <c r="BU159" s="60" t="e">
        <f>(Links!W159^2+'Off-Ramp'!P159^2)/(Links!W159+'Off-Ramp'!P159)</f>
        <v>#DIV/0!</v>
      </c>
      <c r="BV159" s="60" t="e">
        <f>(Links!Y159^2+'Off-Ramp'!Q159^2)/(Links!Y159+'Off-Ramp'!Q159)</f>
        <v>#DIV/0!</v>
      </c>
      <c r="BW159" s="60" t="e">
        <f>(Links!Z159^2+'Off-Ramp'!R159^2)/(Links!Z159+'Off-Ramp'!R159)</f>
        <v>#DIV/0!</v>
      </c>
      <c r="BX159" s="60" t="e">
        <f>(Links!AA159+'Off-Ramp'!S159)/(Links!AA159^2+'Off-Ramp'!S159^2)</f>
        <v>#DIV/0!</v>
      </c>
      <c r="BY159" s="60" t="e">
        <f>(Links!AB159^2+'Off-Ramp'!T159^2)/(Links!AB159+'Off-Ramp'!T159)</f>
        <v>#DIV/0!</v>
      </c>
      <c r="BZ159" s="60" t="e">
        <f>Links!AC159</f>
        <v>#DIV/0!</v>
      </c>
      <c r="CA159" s="60" t="e">
        <f>(Links!AD159^2+'Off-Ramp'!U159^2)/(Links!AD159+'Off-Ramp'!U159)</f>
        <v>#DIV/0!</v>
      </c>
    </row>
    <row r="160" spans="1:79" x14ac:dyDescent="0.15">
      <c r="A160" s="58">
        <v>158</v>
      </c>
      <c r="B160" s="59" t="e">
        <f t="shared" si="58"/>
        <v>#DIV/0!</v>
      </c>
      <c r="C160" s="59" t="e">
        <f t="shared" si="59"/>
        <v>#DIV/0!</v>
      </c>
      <c r="D160" s="59" t="e">
        <f t="shared" si="60"/>
        <v>#DIV/0!</v>
      </c>
      <c r="E160" s="59" t="e">
        <f t="shared" si="61"/>
        <v>#DIV/0!</v>
      </c>
      <c r="F160" s="59" t="e">
        <f t="shared" si="62"/>
        <v>#DIV/0!</v>
      </c>
      <c r="G160" s="59" t="e">
        <f t="shared" si="63"/>
        <v>#DIV/0!</v>
      </c>
      <c r="H160" s="59" t="e">
        <f t="shared" si="64"/>
        <v>#DIV/0!</v>
      </c>
      <c r="I160" s="59" t="e">
        <f t="shared" si="65"/>
        <v>#DIV/0!</v>
      </c>
      <c r="J160" s="59" t="e">
        <f t="shared" si="66"/>
        <v>#DIV/0!</v>
      </c>
      <c r="K160" s="59" t="e">
        <f t="shared" si="67"/>
        <v>#DIV/0!</v>
      </c>
      <c r="L160" s="59" t="e">
        <f t="shared" si="68"/>
        <v>#DIV/0!</v>
      </c>
      <c r="M160" s="59" t="e">
        <f t="shared" si="69"/>
        <v>#DIV/0!</v>
      </c>
      <c r="N160" s="59" t="e">
        <f t="shared" si="70"/>
        <v>#DIV/0!</v>
      </c>
      <c r="O160" s="60" t="e">
        <f>Links!B160</f>
        <v>#DIV/0!</v>
      </c>
      <c r="P160" s="60" t="e">
        <f>Links!C160+'On-Ramps'!AC160</f>
        <v>#DIV/0!</v>
      </c>
      <c r="Q160" s="60" t="e">
        <f>Links!D160</f>
        <v>#DIV/0!</v>
      </c>
      <c r="R160" s="60" t="e">
        <f>Links!E160+'On-Ramps'!AD160</f>
        <v>#DIV/0!</v>
      </c>
      <c r="S160" s="60" t="e">
        <f>Links!F160+'On-Ramps'!AE160</f>
        <v>#DIV/0!</v>
      </c>
      <c r="T160" s="60" t="e">
        <f>Links!G160+'On-Ramps'!AF160</f>
        <v>#DIV/0!</v>
      </c>
      <c r="U160" s="60" t="e">
        <f>Links!H160+'On-Ramps'!AG160</f>
        <v>#DIV/0!</v>
      </c>
      <c r="V160" s="60" t="e">
        <f>Links!J160+'On-Ramps'!AH160</f>
        <v>#DIV/0!</v>
      </c>
      <c r="W160" s="60" t="e">
        <f>Links!K160+'On-Ramps'!AI160</f>
        <v>#DIV/0!</v>
      </c>
      <c r="X160" s="60" t="e">
        <f>Links!L160+'On-Ramps'!AJ160</f>
        <v>#DIV/0!</v>
      </c>
      <c r="Y160" s="60" t="e">
        <f>Links!M160</f>
        <v>#DIV/0!</v>
      </c>
      <c r="Z160" s="60" t="e">
        <f>Links!N160+'On-Ramps'!AK160</f>
        <v>#DIV/0!</v>
      </c>
      <c r="AA160" s="60" t="e">
        <f>Links!O160</f>
        <v>#DIV/0!</v>
      </c>
      <c r="AB160" s="59" t="e">
        <f t="shared" si="71"/>
        <v>#DIV/0!</v>
      </c>
      <c r="AC160" s="65"/>
      <c r="AD160" s="59" t="e">
        <f t="shared" si="72"/>
        <v>#DIV/0!</v>
      </c>
      <c r="AE160" s="65"/>
      <c r="AF160" s="59" t="e">
        <f t="shared" si="73"/>
        <v>#DIV/0!</v>
      </c>
      <c r="AG160" s="59" t="e">
        <f t="shared" si="74"/>
        <v>#DIV/0!</v>
      </c>
      <c r="AH160" s="59" t="e">
        <f t="shared" si="75"/>
        <v>#DIV/0!</v>
      </c>
      <c r="AI160" s="59" t="e">
        <f t="shared" si="76"/>
        <v>#DIV/0!</v>
      </c>
      <c r="AJ160" s="59" t="e">
        <f t="shared" si="77"/>
        <v>#DIV/0!</v>
      </c>
      <c r="AK160" s="59" t="e">
        <f t="shared" si="78"/>
        <v>#DIV/0!</v>
      </c>
      <c r="AL160" s="59" t="e">
        <f t="shared" si="79"/>
        <v>#DIV/0!</v>
      </c>
      <c r="AM160" s="65"/>
      <c r="AN160" s="59" t="e">
        <f t="shared" si="81"/>
        <v>#DIV/0!</v>
      </c>
      <c r="AO160" s="60" t="e">
        <f t="shared" si="57"/>
        <v>#DIV/0!</v>
      </c>
      <c r="AP160" s="65"/>
      <c r="AQ160" s="60" t="e">
        <f t="shared" si="80"/>
        <v>#DIV/0!</v>
      </c>
      <c r="AR160" s="65"/>
      <c r="AS160" s="60" t="e">
        <f t="shared" si="80"/>
        <v>#DIV/0!</v>
      </c>
      <c r="AT160" s="60" t="e">
        <f t="shared" si="80"/>
        <v>#DIV/0!</v>
      </c>
      <c r="AU160" s="60" t="e">
        <f t="shared" si="80"/>
        <v>#DIV/0!</v>
      </c>
      <c r="AV160" s="60" t="e">
        <f t="shared" si="80"/>
        <v>#DIV/0!</v>
      </c>
      <c r="AW160" s="60" t="e">
        <f t="shared" si="80"/>
        <v>#DIV/0!</v>
      </c>
      <c r="AX160" s="60" t="e">
        <f t="shared" si="80"/>
        <v>#DIV/0!</v>
      </c>
      <c r="AY160" s="60" t="e">
        <f t="shared" si="80"/>
        <v>#DIV/0!</v>
      </c>
      <c r="AZ160" s="65"/>
      <c r="BA160" s="60" t="e">
        <f t="shared" si="80"/>
        <v>#DIV/0!</v>
      </c>
      <c r="BB160" s="59" t="e">
        <f>Links!AF160</f>
        <v>#DIV/0!</v>
      </c>
      <c r="BC160" s="59" t="e">
        <f>(Links!AG160*Links!C160+'On-Ramps'!AC160*'On-Ramps'!CE160)/('On-Ramps'!AC160+Links!C160)</f>
        <v>#DIV/0!</v>
      </c>
      <c r="BD160" s="59" t="e">
        <f>Links!AH160</f>
        <v>#DIV/0!</v>
      </c>
      <c r="BE160" s="59" t="e">
        <f>(Links!AI160*Links!E160+'On-Ramps'!AD160*'On-Ramps'!CF159)/('On-Ramps'!AD160+Links!E160)</f>
        <v>#DIV/0!</v>
      </c>
      <c r="BF160" s="59" t="e">
        <f>(Links!F160*Links!AJ160+'On-Ramps'!AE160*'On-Ramps'!CG160)/('On-Ramps'!AE160+Links!F160)</f>
        <v>#DIV/0!</v>
      </c>
      <c r="BG160" s="59" t="e">
        <f>(Links!G160*Links!AK160+'On-Ramps'!AF160*'On-Ramps'!CH160)/('On-Ramps'!AF160+Links!G160)</f>
        <v>#DIV/0!</v>
      </c>
      <c r="BH160" s="59" t="e">
        <f>(Links!H160*Links!AL160+'On-Ramps'!AG160*'On-Ramps'!CI160)/('On-Ramps'!AG160+Links!H160)</f>
        <v>#DIV/0!</v>
      </c>
      <c r="BI160" s="59" t="e">
        <f>(Links!J160*Links!AN160+'On-Ramps'!AH160*'On-Ramps'!CJ160)/('On-Ramps'!AH160+Links!J160)</f>
        <v>#DIV/0!</v>
      </c>
      <c r="BJ160" s="59" t="e">
        <f>(Links!K160*Links!AO160+'On-Ramps'!AI160*'On-Ramps'!CK160)/('On-Ramps'!AI160+Links!K160)</f>
        <v>#DIV/0!</v>
      </c>
      <c r="BK160" s="59" t="e">
        <f>(Links!L160*Links!AP160+'On-Ramps'!AJ160*'On-Ramps'!CL160)/(Links!L160+'On-Ramps'!AJ160)</f>
        <v>#DIV/0!</v>
      </c>
      <c r="BL160" s="59" t="e">
        <f>Links!AQ160</f>
        <v>#DIV/0!</v>
      </c>
      <c r="BM160" s="59" t="e">
        <f>(Links!N160*Links!AR160+'On-Ramps'!AL160*'On-Ramps'!CM160)/(Links!N160+'On-Ramps'!AL160)</f>
        <v>#DIV/0!</v>
      </c>
      <c r="BN160" s="59" t="e">
        <f>Links!AS160</f>
        <v>#DIV/0!</v>
      </c>
      <c r="BO160" s="60" t="e">
        <f>(Links!R160^2+'Off-Ramp'!L160^2)/(Links!R160+'Off-Ramp'!L160)</f>
        <v>#DIV/0!</v>
      </c>
      <c r="BP160" s="60" t="e">
        <f>Links!S160</f>
        <v>#DIV/0!</v>
      </c>
      <c r="BQ160" s="60" t="e">
        <f>(Links!S160^2+'Off-Ramp'!C160^2)/(Links!S160+'Off-Ramp'!C160)</f>
        <v>#DIV/0!</v>
      </c>
      <c r="BR160" s="60" t="e">
        <f>Links!T160</f>
        <v>#DIV/0!</v>
      </c>
      <c r="BS160" s="60" t="e">
        <f>(Links!X160^2+'Off-Ramp'!V160^2+'Off-Ramp'!W160^2+'Off-Ramp'!X160^2)/(Links!X160+'Off-Ramp'!V160+'Off-Ramp'!W160+'Off-Ramp'!X160)</f>
        <v>#DIV/0!</v>
      </c>
      <c r="BT160" s="60" t="e">
        <f>(Links!Y160^2+'Off-Ramp'!Y160^2+'Off-Ramp'!Z160^2+'Off-Ramp'!AA160^2)/(Links!Y160+'Off-Ramp'!Y160+'Off-Ramp'!Z160+'Off-Ramp'!AA160)</f>
        <v>#DIV/0!</v>
      </c>
      <c r="BU160" s="60" t="e">
        <f>(Links!W160^2+'Off-Ramp'!P160^2)/(Links!W160+'Off-Ramp'!P160)</f>
        <v>#DIV/0!</v>
      </c>
      <c r="BV160" s="60" t="e">
        <f>(Links!Y160^2+'Off-Ramp'!Q160^2)/(Links!Y160+'Off-Ramp'!Q160)</f>
        <v>#DIV/0!</v>
      </c>
      <c r="BW160" s="60" t="e">
        <f>(Links!Z160^2+'Off-Ramp'!R160^2)/(Links!Z160+'Off-Ramp'!R160)</f>
        <v>#DIV/0!</v>
      </c>
      <c r="BX160" s="60" t="e">
        <f>(Links!AA160+'Off-Ramp'!S160)/(Links!AA160^2+'Off-Ramp'!S160^2)</f>
        <v>#DIV/0!</v>
      </c>
      <c r="BY160" s="60" t="e">
        <f>(Links!AB160^2+'Off-Ramp'!T160^2)/(Links!AB160+'Off-Ramp'!T160)</f>
        <v>#DIV/0!</v>
      </c>
      <c r="BZ160" s="60" t="e">
        <f>Links!AC160</f>
        <v>#DIV/0!</v>
      </c>
      <c r="CA160" s="60" t="e">
        <f>(Links!AD160^2+'Off-Ramp'!U160^2)/(Links!AD160+'Off-Ramp'!U160)</f>
        <v>#DIV/0!</v>
      </c>
    </row>
    <row r="161" spans="1:79" x14ac:dyDescent="0.15">
      <c r="A161" s="58">
        <v>159</v>
      </c>
      <c r="B161" s="59" t="e">
        <f t="shared" si="58"/>
        <v>#DIV/0!</v>
      </c>
      <c r="C161" s="59" t="e">
        <f t="shared" si="59"/>
        <v>#DIV/0!</v>
      </c>
      <c r="D161" s="59" t="e">
        <f t="shared" si="60"/>
        <v>#DIV/0!</v>
      </c>
      <c r="E161" s="59" t="e">
        <f t="shared" si="61"/>
        <v>#DIV/0!</v>
      </c>
      <c r="F161" s="59" t="e">
        <f t="shared" si="62"/>
        <v>#DIV/0!</v>
      </c>
      <c r="G161" s="59" t="e">
        <f t="shared" si="63"/>
        <v>#DIV/0!</v>
      </c>
      <c r="H161" s="59" t="e">
        <f t="shared" si="64"/>
        <v>#DIV/0!</v>
      </c>
      <c r="I161" s="59" t="e">
        <f t="shared" si="65"/>
        <v>#DIV/0!</v>
      </c>
      <c r="J161" s="59" t="e">
        <f t="shared" si="66"/>
        <v>#DIV/0!</v>
      </c>
      <c r="K161" s="59" t="e">
        <f t="shared" si="67"/>
        <v>#DIV/0!</v>
      </c>
      <c r="L161" s="59" t="e">
        <f t="shared" si="68"/>
        <v>#DIV/0!</v>
      </c>
      <c r="M161" s="59" t="e">
        <f t="shared" si="69"/>
        <v>#DIV/0!</v>
      </c>
      <c r="N161" s="59" t="e">
        <f t="shared" si="70"/>
        <v>#DIV/0!</v>
      </c>
      <c r="O161" s="60" t="e">
        <f>Links!B161</f>
        <v>#DIV/0!</v>
      </c>
      <c r="P161" s="60" t="e">
        <f>Links!C161+'On-Ramps'!AC161</f>
        <v>#DIV/0!</v>
      </c>
      <c r="Q161" s="60" t="e">
        <f>Links!D161</f>
        <v>#DIV/0!</v>
      </c>
      <c r="R161" s="60" t="e">
        <f>Links!E161+'On-Ramps'!AD161</f>
        <v>#DIV/0!</v>
      </c>
      <c r="S161" s="60" t="e">
        <f>Links!F161+'On-Ramps'!AE161</f>
        <v>#DIV/0!</v>
      </c>
      <c r="T161" s="60" t="e">
        <f>Links!G161+'On-Ramps'!AF161</f>
        <v>#DIV/0!</v>
      </c>
      <c r="U161" s="60" t="e">
        <f>Links!H161+'On-Ramps'!AG161</f>
        <v>#DIV/0!</v>
      </c>
      <c r="V161" s="60" t="e">
        <f>Links!J161+'On-Ramps'!AH161</f>
        <v>#DIV/0!</v>
      </c>
      <c r="W161" s="60" t="e">
        <f>Links!K161+'On-Ramps'!AI161</f>
        <v>#DIV/0!</v>
      </c>
      <c r="X161" s="60" t="e">
        <f>Links!L161+'On-Ramps'!AJ161</f>
        <v>#DIV/0!</v>
      </c>
      <c r="Y161" s="60" t="e">
        <f>Links!M161</f>
        <v>#DIV/0!</v>
      </c>
      <c r="Z161" s="60" t="e">
        <f>Links!N161+'On-Ramps'!AK161</f>
        <v>#DIV/0!</v>
      </c>
      <c r="AA161" s="60" t="e">
        <f>Links!O161</f>
        <v>#DIV/0!</v>
      </c>
      <c r="AB161" s="59" t="e">
        <f t="shared" si="71"/>
        <v>#DIV/0!</v>
      </c>
      <c r="AC161" s="65"/>
      <c r="AD161" s="59" t="e">
        <f t="shared" si="72"/>
        <v>#DIV/0!</v>
      </c>
      <c r="AE161" s="65"/>
      <c r="AF161" s="59" t="e">
        <f t="shared" si="73"/>
        <v>#DIV/0!</v>
      </c>
      <c r="AG161" s="59" t="e">
        <f t="shared" si="74"/>
        <v>#DIV/0!</v>
      </c>
      <c r="AH161" s="59" t="e">
        <f t="shared" si="75"/>
        <v>#DIV/0!</v>
      </c>
      <c r="AI161" s="59" t="e">
        <f t="shared" si="76"/>
        <v>#DIV/0!</v>
      </c>
      <c r="AJ161" s="59" t="e">
        <f t="shared" si="77"/>
        <v>#DIV/0!</v>
      </c>
      <c r="AK161" s="59" t="e">
        <f t="shared" si="78"/>
        <v>#DIV/0!</v>
      </c>
      <c r="AL161" s="59" t="e">
        <f t="shared" si="79"/>
        <v>#DIV/0!</v>
      </c>
      <c r="AM161" s="65"/>
      <c r="AN161" s="59" t="e">
        <f t="shared" si="81"/>
        <v>#DIV/0!</v>
      </c>
      <c r="AO161" s="60" t="e">
        <f t="shared" si="57"/>
        <v>#DIV/0!</v>
      </c>
      <c r="AP161" s="65"/>
      <c r="AQ161" s="60" t="e">
        <f t="shared" si="80"/>
        <v>#DIV/0!</v>
      </c>
      <c r="AR161" s="65"/>
      <c r="AS161" s="60" t="e">
        <f t="shared" si="80"/>
        <v>#DIV/0!</v>
      </c>
      <c r="AT161" s="60" t="e">
        <f t="shared" si="80"/>
        <v>#DIV/0!</v>
      </c>
      <c r="AU161" s="60" t="e">
        <f t="shared" si="80"/>
        <v>#DIV/0!</v>
      </c>
      <c r="AV161" s="60" t="e">
        <f t="shared" si="80"/>
        <v>#DIV/0!</v>
      </c>
      <c r="AW161" s="60" t="e">
        <f t="shared" si="80"/>
        <v>#DIV/0!</v>
      </c>
      <c r="AX161" s="60" t="e">
        <f t="shared" si="80"/>
        <v>#DIV/0!</v>
      </c>
      <c r="AY161" s="60" t="e">
        <f t="shared" si="80"/>
        <v>#DIV/0!</v>
      </c>
      <c r="AZ161" s="65"/>
      <c r="BA161" s="60" t="e">
        <f t="shared" si="80"/>
        <v>#DIV/0!</v>
      </c>
      <c r="BB161" s="59" t="e">
        <f>Links!AF161</f>
        <v>#DIV/0!</v>
      </c>
      <c r="BC161" s="59" t="e">
        <f>(Links!AG161*Links!C161+'On-Ramps'!AC161*'On-Ramps'!CE161)/('On-Ramps'!AC161+Links!C161)</f>
        <v>#DIV/0!</v>
      </c>
      <c r="BD161" s="59" t="e">
        <f>Links!AH161</f>
        <v>#DIV/0!</v>
      </c>
      <c r="BE161" s="59" t="e">
        <f>(Links!AI161*Links!E161+'On-Ramps'!AD161*'On-Ramps'!CF160)/('On-Ramps'!AD161+Links!E161)</f>
        <v>#DIV/0!</v>
      </c>
      <c r="BF161" s="59" t="e">
        <f>(Links!F161*Links!AJ161+'On-Ramps'!AE161*'On-Ramps'!CG161)/('On-Ramps'!AE161+Links!F161)</f>
        <v>#DIV/0!</v>
      </c>
      <c r="BG161" s="59" t="e">
        <f>(Links!G161*Links!AK161+'On-Ramps'!AF161*'On-Ramps'!CH161)/('On-Ramps'!AF161+Links!G161)</f>
        <v>#DIV/0!</v>
      </c>
      <c r="BH161" s="59" t="e">
        <f>(Links!H161*Links!AL161+'On-Ramps'!AG161*'On-Ramps'!CI161)/('On-Ramps'!AG161+Links!H161)</f>
        <v>#DIV/0!</v>
      </c>
      <c r="BI161" s="59" t="e">
        <f>(Links!J161*Links!AN161+'On-Ramps'!AH161*'On-Ramps'!CJ161)/('On-Ramps'!AH161+Links!J161)</f>
        <v>#DIV/0!</v>
      </c>
      <c r="BJ161" s="59" t="e">
        <f>(Links!K161*Links!AO161+'On-Ramps'!AI161*'On-Ramps'!CK161)/('On-Ramps'!AI161+Links!K161)</f>
        <v>#DIV/0!</v>
      </c>
      <c r="BK161" s="59" t="e">
        <f>(Links!L161*Links!AP161+'On-Ramps'!AJ161*'On-Ramps'!CL161)/(Links!L161+'On-Ramps'!AJ161)</f>
        <v>#DIV/0!</v>
      </c>
      <c r="BL161" s="59" t="e">
        <f>Links!AQ161</f>
        <v>#DIV/0!</v>
      </c>
      <c r="BM161" s="59" t="e">
        <f>(Links!N161*Links!AR161+'On-Ramps'!AL161*'On-Ramps'!CM161)/(Links!N161+'On-Ramps'!AL161)</f>
        <v>#DIV/0!</v>
      </c>
      <c r="BN161" s="59" t="e">
        <f>Links!AS161</f>
        <v>#DIV/0!</v>
      </c>
      <c r="BO161" s="60" t="e">
        <f>(Links!R161^2+'Off-Ramp'!L161^2)/(Links!R161+'Off-Ramp'!L161)</f>
        <v>#DIV/0!</v>
      </c>
      <c r="BP161" s="60" t="e">
        <f>Links!S161</f>
        <v>#DIV/0!</v>
      </c>
      <c r="BQ161" s="60" t="e">
        <f>(Links!S161^2+'Off-Ramp'!C161^2)/(Links!S161+'Off-Ramp'!C161)</f>
        <v>#DIV/0!</v>
      </c>
      <c r="BR161" s="60" t="e">
        <f>Links!T161</f>
        <v>#DIV/0!</v>
      </c>
      <c r="BS161" s="60" t="e">
        <f>(Links!X161^2+'Off-Ramp'!V161^2+'Off-Ramp'!W161^2+'Off-Ramp'!X161^2)/(Links!X161+'Off-Ramp'!V161+'Off-Ramp'!W161+'Off-Ramp'!X161)</f>
        <v>#DIV/0!</v>
      </c>
      <c r="BT161" s="60" t="e">
        <f>(Links!Y161^2+'Off-Ramp'!Y161^2+'Off-Ramp'!Z161^2+'Off-Ramp'!AA161^2)/(Links!Y161+'Off-Ramp'!Y161+'Off-Ramp'!Z161+'Off-Ramp'!AA161)</f>
        <v>#DIV/0!</v>
      </c>
      <c r="BU161" s="60" t="e">
        <f>(Links!W161^2+'Off-Ramp'!P161^2)/(Links!W161+'Off-Ramp'!P161)</f>
        <v>#DIV/0!</v>
      </c>
      <c r="BV161" s="60" t="e">
        <f>(Links!Y161^2+'Off-Ramp'!Q161^2)/(Links!Y161+'Off-Ramp'!Q161)</f>
        <v>#DIV/0!</v>
      </c>
      <c r="BW161" s="60" t="e">
        <f>(Links!Z161^2+'Off-Ramp'!R161^2)/(Links!Z161+'Off-Ramp'!R161)</f>
        <v>#DIV/0!</v>
      </c>
      <c r="BX161" s="60" t="e">
        <f>(Links!AA161+'Off-Ramp'!S161)/(Links!AA161^2+'Off-Ramp'!S161^2)</f>
        <v>#DIV/0!</v>
      </c>
      <c r="BY161" s="60" t="e">
        <f>(Links!AB161^2+'Off-Ramp'!T161^2)/(Links!AB161+'Off-Ramp'!T161)</f>
        <v>#DIV/0!</v>
      </c>
      <c r="BZ161" s="60" t="e">
        <f>Links!AC161</f>
        <v>#DIV/0!</v>
      </c>
      <c r="CA161" s="60" t="e">
        <f>(Links!AD161^2+'Off-Ramp'!U161^2)/(Links!AD161+'Off-Ramp'!U161)</f>
        <v>#DIV/0!</v>
      </c>
    </row>
    <row r="162" spans="1:79" x14ac:dyDescent="0.15">
      <c r="A162" s="58">
        <v>160</v>
      </c>
      <c r="B162" s="59" t="e">
        <f t="shared" si="58"/>
        <v>#DIV/0!</v>
      </c>
      <c r="C162" s="59" t="e">
        <f t="shared" si="59"/>
        <v>#DIV/0!</v>
      </c>
      <c r="D162" s="59" t="e">
        <f t="shared" si="60"/>
        <v>#DIV/0!</v>
      </c>
      <c r="E162" s="59" t="e">
        <f t="shared" si="61"/>
        <v>#DIV/0!</v>
      </c>
      <c r="F162" s="59" t="e">
        <f t="shared" si="62"/>
        <v>#DIV/0!</v>
      </c>
      <c r="G162" s="59" t="e">
        <f t="shared" si="63"/>
        <v>#DIV/0!</v>
      </c>
      <c r="H162" s="59" t="e">
        <f t="shared" si="64"/>
        <v>#DIV/0!</v>
      </c>
      <c r="I162" s="59" t="e">
        <f t="shared" si="65"/>
        <v>#DIV/0!</v>
      </c>
      <c r="J162" s="59" t="e">
        <f t="shared" si="66"/>
        <v>#DIV/0!</v>
      </c>
      <c r="K162" s="59" t="e">
        <f t="shared" si="67"/>
        <v>#DIV/0!</v>
      </c>
      <c r="L162" s="59" t="e">
        <f t="shared" si="68"/>
        <v>#DIV/0!</v>
      </c>
      <c r="M162" s="59" t="e">
        <f t="shared" si="69"/>
        <v>#DIV/0!</v>
      </c>
      <c r="N162" s="59" t="e">
        <f t="shared" si="70"/>
        <v>#DIV/0!</v>
      </c>
      <c r="O162" s="60" t="e">
        <f>Links!B162</f>
        <v>#DIV/0!</v>
      </c>
      <c r="P162" s="60" t="e">
        <f>Links!C162+'On-Ramps'!AC162</f>
        <v>#DIV/0!</v>
      </c>
      <c r="Q162" s="60" t="e">
        <f>Links!D162</f>
        <v>#DIV/0!</v>
      </c>
      <c r="R162" s="60" t="e">
        <f>Links!E162+'On-Ramps'!AD162</f>
        <v>#DIV/0!</v>
      </c>
      <c r="S162" s="60" t="e">
        <f>Links!F162+'On-Ramps'!AE162</f>
        <v>#DIV/0!</v>
      </c>
      <c r="T162" s="60" t="e">
        <f>Links!G162+'On-Ramps'!AF162</f>
        <v>#DIV/0!</v>
      </c>
      <c r="U162" s="60" t="e">
        <f>Links!H162+'On-Ramps'!AG162</f>
        <v>#DIV/0!</v>
      </c>
      <c r="V162" s="60" t="e">
        <f>Links!J162+'On-Ramps'!AH162</f>
        <v>#DIV/0!</v>
      </c>
      <c r="W162" s="60" t="e">
        <f>Links!K162+'On-Ramps'!AI162</f>
        <v>#DIV/0!</v>
      </c>
      <c r="X162" s="60" t="e">
        <f>Links!L162+'On-Ramps'!AJ162</f>
        <v>#DIV/0!</v>
      </c>
      <c r="Y162" s="60" t="e">
        <f>Links!M162</f>
        <v>#DIV/0!</v>
      </c>
      <c r="Z162" s="60" t="e">
        <f>Links!N162+'On-Ramps'!AK162</f>
        <v>#DIV/0!</v>
      </c>
      <c r="AA162" s="60" t="e">
        <f>Links!O162</f>
        <v>#DIV/0!</v>
      </c>
      <c r="AB162" s="59" t="e">
        <f t="shared" si="71"/>
        <v>#DIV/0!</v>
      </c>
      <c r="AC162" s="65"/>
      <c r="AD162" s="59" t="e">
        <f t="shared" si="72"/>
        <v>#DIV/0!</v>
      </c>
      <c r="AE162" s="65"/>
      <c r="AF162" s="59" t="e">
        <f t="shared" si="73"/>
        <v>#DIV/0!</v>
      </c>
      <c r="AG162" s="59" t="e">
        <f t="shared" si="74"/>
        <v>#DIV/0!</v>
      </c>
      <c r="AH162" s="59" t="e">
        <f t="shared" si="75"/>
        <v>#DIV/0!</v>
      </c>
      <c r="AI162" s="59" t="e">
        <f t="shared" si="76"/>
        <v>#DIV/0!</v>
      </c>
      <c r="AJ162" s="59" t="e">
        <f t="shared" si="77"/>
        <v>#DIV/0!</v>
      </c>
      <c r="AK162" s="59" t="e">
        <f t="shared" si="78"/>
        <v>#DIV/0!</v>
      </c>
      <c r="AL162" s="59" t="e">
        <f t="shared" si="79"/>
        <v>#DIV/0!</v>
      </c>
      <c r="AM162" s="65"/>
      <c r="AN162" s="59" t="e">
        <f t="shared" si="81"/>
        <v>#DIV/0!</v>
      </c>
      <c r="AO162" s="60" t="e">
        <f t="shared" si="57"/>
        <v>#DIV/0!</v>
      </c>
      <c r="AP162" s="65"/>
      <c r="AQ162" s="60" t="e">
        <f t="shared" si="80"/>
        <v>#DIV/0!</v>
      </c>
      <c r="AR162" s="65"/>
      <c r="AS162" s="60" t="e">
        <f t="shared" si="80"/>
        <v>#DIV/0!</v>
      </c>
      <c r="AT162" s="60" t="e">
        <f t="shared" si="80"/>
        <v>#DIV/0!</v>
      </c>
      <c r="AU162" s="60" t="e">
        <f t="shared" si="80"/>
        <v>#DIV/0!</v>
      </c>
      <c r="AV162" s="60" t="e">
        <f t="shared" si="80"/>
        <v>#DIV/0!</v>
      </c>
      <c r="AW162" s="60" t="e">
        <f t="shared" si="80"/>
        <v>#DIV/0!</v>
      </c>
      <c r="AX162" s="60" t="e">
        <f t="shared" si="80"/>
        <v>#DIV/0!</v>
      </c>
      <c r="AY162" s="60" t="e">
        <f t="shared" si="80"/>
        <v>#DIV/0!</v>
      </c>
      <c r="AZ162" s="65"/>
      <c r="BA162" s="60" t="e">
        <f t="shared" ref="AQ162:BA182" si="82">BA$3</f>
        <v>#DIV/0!</v>
      </c>
      <c r="BB162" s="59" t="e">
        <f>Links!AF162</f>
        <v>#DIV/0!</v>
      </c>
      <c r="BC162" s="59" t="e">
        <f>(Links!AG162*Links!C162+'On-Ramps'!AC162*'On-Ramps'!CE162)/('On-Ramps'!AC162+Links!C162)</f>
        <v>#DIV/0!</v>
      </c>
      <c r="BD162" s="59" t="e">
        <f>Links!AH162</f>
        <v>#DIV/0!</v>
      </c>
      <c r="BE162" s="59" t="e">
        <f>(Links!AI162*Links!E162+'On-Ramps'!AD162*'On-Ramps'!CF161)/('On-Ramps'!AD162+Links!E162)</f>
        <v>#DIV/0!</v>
      </c>
      <c r="BF162" s="59" t="e">
        <f>(Links!F162*Links!AJ162+'On-Ramps'!AE162*'On-Ramps'!CG162)/('On-Ramps'!AE162+Links!F162)</f>
        <v>#DIV/0!</v>
      </c>
      <c r="BG162" s="59" t="e">
        <f>(Links!G162*Links!AK162+'On-Ramps'!AF162*'On-Ramps'!CH162)/('On-Ramps'!AF162+Links!G162)</f>
        <v>#DIV/0!</v>
      </c>
      <c r="BH162" s="59" t="e">
        <f>(Links!H162*Links!AL162+'On-Ramps'!AG162*'On-Ramps'!CI162)/('On-Ramps'!AG162+Links!H162)</f>
        <v>#DIV/0!</v>
      </c>
      <c r="BI162" s="59" t="e">
        <f>(Links!J162*Links!AN162+'On-Ramps'!AH162*'On-Ramps'!CJ162)/('On-Ramps'!AH162+Links!J162)</f>
        <v>#DIV/0!</v>
      </c>
      <c r="BJ162" s="59" t="e">
        <f>(Links!K162*Links!AO162+'On-Ramps'!AI162*'On-Ramps'!CK162)/('On-Ramps'!AI162+Links!K162)</f>
        <v>#DIV/0!</v>
      </c>
      <c r="BK162" s="59" t="e">
        <f>(Links!L162*Links!AP162+'On-Ramps'!AJ162*'On-Ramps'!CL162)/(Links!L162+'On-Ramps'!AJ162)</f>
        <v>#DIV/0!</v>
      </c>
      <c r="BL162" s="59" t="e">
        <f>Links!AQ162</f>
        <v>#DIV/0!</v>
      </c>
      <c r="BM162" s="59" t="e">
        <f>(Links!N162*Links!AR162+'On-Ramps'!AL162*'On-Ramps'!CM162)/(Links!N162+'On-Ramps'!AL162)</f>
        <v>#DIV/0!</v>
      </c>
      <c r="BN162" s="59" t="e">
        <f>Links!AS162</f>
        <v>#DIV/0!</v>
      </c>
      <c r="BO162" s="60" t="e">
        <f>(Links!R162^2+'Off-Ramp'!L162^2)/(Links!R162+'Off-Ramp'!L162)</f>
        <v>#DIV/0!</v>
      </c>
      <c r="BP162" s="60" t="e">
        <f>Links!S162</f>
        <v>#DIV/0!</v>
      </c>
      <c r="BQ162" s="60" t="e">
        <f>(Links!S162^2+'Off-Ramp'!C162^2)/(Links!S162+'Off-Ramp'!C162)</f>
        <v>#DIV/0!</v>
      </c>
      <c r="BR162" s="60" t="e">
        <f>Links!T162</f>
        <v>#DIV/0!</v>
      </c>
      <c r="BS162" s="60" t="e">
        <f>(Links!X162^2+'Off-Ramp'!V162^2+'Off-Ramp'!W162^2+'Off-Ramp'!X162^2)/(Links!X162+'Off-Ramp'!V162+'Off-Ramp'!W162+'Off-Ramp'!X162)</f>
        <v>#DIV/0!</v>
      </c>
      <c r="BT162" s="60" t="e">
        <f>(Links!Y162^2+'Off-Ramp'!Y162^2+'Off-Ramp'!Z162^2+'Off-Ramp'!AA162^2)/(Links!Y162+'Off-Ramp'!Y162+'Off-Ramp'!Z162+'Off-Ramp'!AA162)</f>
        <v>#DIV/0!</v>
      </c>
      <c r="BU162" s="60" t="e">
        <f>(Links!W162^2+'Off-Ramp'!P162^2)/(Links!W162+'Off-Ramp'!P162)</f>
        <v>#DIV/0!</v>
      </c>
      <c r="BV162" s="60" t="e">
        <f>(Links!Y162^2+'Off-Ramp'!Q162^2)/(Links!Y162+'Off-Ramp'!Q162)</f>
        <v>#DIV/0!</v>
      </c>
      <c r="BW162" s="60" t="e">
        <f>(Links!Z162^2+'Off-Ramp'!R162^2)/(Links!Z162+'Off-Ramp'!R162)</f>
        <v>#DIV/0!</v>
      </c>
      <c r="BX162" s="60" t="e">
        <f>(Links!AA162+'Off-Ramp'!S162)/(Links!AA162^2+'Off-Ramp'!S162^2)</f>
        <v>#DIV/0!</v>
      </c>
      <c r="BY162" s="60" t="e">
        <f>(Links!AB162^2+'Off-Ramp'!T162^2)/(Links!AB162+'Off-Ramp'!T162)</f>
        <v>#DIV/0!</v>
      </c>
      <c r="BZ162" s="60" t="e">
        <f>Links!AC162</f>
        <v>#DIV/0!</v>
      </c>
      <c r="CA162" s="60" t="e">
        <f>(Links!AD162^2+'Off-Ramp'!U162^2)/(Links!AD162+'Off-Ramp'!U162)</f>
        <v>#DIV/0!</v>
      </c>
    </row>
    <row r="163" spans="1:79" x14ac:dyDescent="0.15">
      <c r="A163" s="58">
        <v>161</v>
      </c>
      <c r="B163" s="59" t="e">
        <f t="shared" si="58"/>
        <v>#DIV/0!</v>
      </c>
      <c r="C163" s="59" t="e">
        <f t="shared" si="59"/>
        <v>#DIV/0!</v>
      </c>
      <c r="D163" s="59" t="e">
        <f t="shared" si="60"/>
        <v>#DIV/0!</v>
      </c>
      <c r="E163" s="59" t="e">
        <f t="shared" si="61"/>
        <v>#DIV/0!</v>
      </c>
      <c r="F163" s="59" t="e">
        <f t="shared" si="62"/>
        <v>#DIV/0!</v>
      </c>
      <c r="G163" s="59" t="e">
        <f t="shared" si="63"/>
        <v>#DIV/0!</v>
      </c>
      <c r="H163" s="59" t="e">
        <f t="shared" si="64"/>
        <v>#DIV/0!</v>
      </c>
      <c r="I163" s="59" t="e">
        <f t="shared" si="65"/>
        <v>#DIV/0!</v>
      </c>
      <c r="J163" s="59" t="e">
        <f t="shared" si="66"/>
        <v>#DIV/0!</v>
      </c>
      <c r="K163" s="59" t="e">
        <f t="shared" si="67"/>
        <v>#DIV/0!</v>
      </c>
      <c r="L163" s="59" t="e">
        <f t="shared" si="68"/>
        <v>#DIV/0!</v>
      </c>
      <c r="M163" s="59" t="e">
        <f t="shared" si="69"/>
        <v>#DIV/0!</v>
      </c>
      <c r="N163" s="59" t="e">
        <f t="shared" si="70"/>
        <v>#DIV/0!</v>
      </c>
      <c r="O163" s="60" t="e">
        <f>Links!B163</f>
        <v>#DIV/0!</v>
      </c>
      <c r="P163" s="60" t="e">
        <f>Links!C163+'On-Ramps'!AC163</f>
        <v>#DIV/0!</v>
      </c>
      <c r="Q163" s="60" t="e">
        <f>Links!D163</f>
        <v>#DIV/0!</v>
      </c>
      <c r="R163" s="60" t="e">
        <f>Links!E163+'On-Ramps'!AD163</f>
        <v>#DIV/0!</v>
      </c>
      <c r="S163" s="60" t="e">
        <f>Links!F163+'On-Ramps'!AE163</f>
        <v>#DIV/0!</v>
      </c>
      <c r="T163" s="60" t="e">
        <f>Links!G163+'On-Ramps'!AF163</f>
        <v>#DIV/0!</v>
      </c>
      <c r="U163" s="60" t="e">
        <f>Links!H163+'On-Ramps'!AG163</f>
        <v>#DIV/0!</v>
      </c>
      <c r="V163" s="60" t="e">
        <f>Links!J163+'On-Ramps'!AH163</f>
        <v>#DIV/0!</v>
      </c>
      <c r="W163" s="60" t="e">
        <f>Links!K163+'On-Ramps'!AI163</f>
        <v>#DIV/0!</v>
      </c>
      <c r="X163" s="60" t="e">
        <f>Links!L163+'On-Ramps'!AJ163</f>
        <v>#DIV/0!</v>
      </c>
      <c r="Y163" s="60" t="e">
        <f>Links!M163</f>
        <v>#DIV/0!</v>
      </c>
      <c r="Z163" s="60" t="e">
        <f>Links!N163+'On-Ramps'!AK163</f>
        <v>#DIV/0!</v>
      </c>
      <c r="AA163" s="60" t="e">
        <f>Links!O163</f>
        <v>#DIV/0!</v>
      </c>
      <c r="AB163" s="59" t="e">
        <f t="shared" si="71"/>
        <v>#DIV/0!</v>
      </c>
      <c r="AC163" s="65"/>
      <c r="AD163" s="59" t="e">
        <f t="shared" si="72"/>
        <v>#DIV/0!</v>
      </c>
      <c r="AE163" s="65"/>
      <c r="AF163" s="59" t="e">
        <f t="shared" si="73"/>
        <v>#DIV/0!</v>
      </c>
      <c r="AG163" s="59" t="e">
        <f t="shared" si="74"/>
        <v>#DIV/0!</v>
      </c>
      <c r="AH163" s="59" t="e">
        <f t="shared" si="75"/>
        <v>#DIV/0!</v>
      </c>
      <c r="AI163" s="59" t="e">
        <f t="shared" si="76"/>
        <v>#DIV/0!</v>
      </c>
      <c r="AJ163" s="59" t="e">
        <f t="shared" si="77"/>
        <v>#DIV/0!</v>
      </c>
      <c r="AK163" s="59" t="e">
        <f t="shared" si="78"/>
        <v>#DIV/0!</v>
      </c>
      <c r="AL163" s="59" t="e">
        <f t="shared" si="79"/>
        <v>#DIV/0!</v>
      </c>
      <c r="AM163" s="65"/>
      <c r="AN163" s="59" t="e">
        <f t="shared" si="81"/>
        <v>#DIV/0!</v>
      </c>
      <c r="AO163" s="60" t="e">
        <f t="shared" si="57"/>
        <v>#DIV/0!</v>
      </c>
      <c r="AP163" s="65"/>
      <c r="AQ163" s="60" t="e">
        <f t="shared" si="82"/>
        <v>#DIV/0!</v>
      </c>
      <c r="AR163" s="65"/>
      <c r="AS163" s="60" t="e">
        <f t="shared" si="82"/>
        <v>#DIV/0!</v>
      </c>
      <c r="AT163" s="60" t="e">
        <f t="shared" si="82"/>
        <v>#DIV/0!</v>
      </c>
      <c r="AU163" s="60" t="e">
        <f t="shared" si="82"/>
        <v>#DIV/0!</v>
      </c>
      <c r="AV163" s="60" t="e">
        <f t="shared" si="82"/>
        <v>#DIV/0!</v>
      </c>
      <c r="AW163" s="60" t="e">
        <f t="shared" si="82"/>
        <v>#DIV/0!</v>
      </c>
      <c r="AX163" s="60" t="e">
        <f t="shared" si="82"/>
        <v>#DIV/0!</v>
      </c>
      <c r="AY163" s="60" t="e">
        <f t="shared" si="82"/>
        <v>#DIV/0!</v>
      </c>
      <c r="AZ163" s="65"/>
      <c r="BA163" s="60" t="e">
        <f t="shared" si="82"/>
        <v>#DIV/0!</v>
      </c>
      <c r="BB163" s="59" t="e">
        <f>Links!AF163</f>
        <v>#DIV/0!</v>
      </c>
      <c r="BC163" s="59" t="e">
        <f>(Links!AG163*Links!C163+'On-Ramps'!AC163*'On-Ramps'!CE163)/('On-Ramps'!AC163+Links!C163)</f>
        <v>#DIV/0!</v>
      </c>
      <c r="BD163" s="59" t="e">
        <f>Links!AH163</f>
        <v>#DIV/0!</v>
      </c>
      <c r="BE163" s="59" t="e">
        <f>(Links!AI163*Links!E163+'On-Ramps'!AD163*'On-Ramps'!CF162)/('On-Ramps'!AD163+Links!E163)</f>
        <v>#DIV/0!</v>
      </c>
      <c r="BF163" s="59" t="e">
        <f>(Links!F163*Links!AJ163+'On-Ramps'!AE163*'On-Ramps'!CG163)/('On-Ramps'!AE163+Links!F163)</f>
        <v>#DIV/0!</v>
      </c>
      <c r="BG163" s="59" t="e">
        <f>(Links!G163*Links!AK163+'On-Ramps'!AF163*'On-Ramps'!CH163)/('On-Ramps'!AF163+Links!G163)</f>
        <v>#DIV/0!</v>
      </c>
      <c r="BH163" s="59" t="e">
        <f>(Links!H163*Links!AL163+'On-Ramps'!AG163*'On-Ramps'!CI163)/('On-Ramps'!AG163+Links!H163)</f>
        <v>#DIV/0!</v>
      </c>
      <c r="BI163" s="59" t="e">
        <f>(Links!J163*Links!AN163+'On-Ramps'!AH163*'On-Ramps'!CJ163)/('On-Ramps'!AH163+Links!J163)</f>
        <v>#DIV/0!</v>
      </c>
      <c r="BJ163" s="59" t="e">
        <f>(Links!K163*Links!AO163+'On-Ramps'!AI163*'On-Ramps'!CK163)/('On-Ramps'!AI163+Links!K163)</f>
        <v>#DIV/0!</v>
      </c>
      <c r="BK163" s="59" t="e">
        <f>(Links!L163*Links!AP163+'On-Ramps'!AJ163*'On-Ramps'!CL163)/(Links!L163+'On-Ramps'!AJ163)</f>
        <v>#DIV/0!</v>
      </c>
      <c r="BL163" s="59" t="e">
        <f>Links!AQ163</f>
        <v>#DIV/0!</v>
      </c>
      <c r="BM163" s="59" t="e">
        <f>(Links!N163*Links!AR163+'On-Ramps'!AL163*'On-Ramps'!CM163)/(Links!N163+'On-Ramps'!AL163)</f>
        <v>#DIV/0!</v>
      </c>
      <c r="BN163" s="59" t="e">
        <f>Links!AS163</f>
        <v>#DIV/0!</v>
      </c>
      <c r="BO163" s="60" t="e">
        <f>(Links!R163^2+'Off-Ramp'!L163^2)/(Links!R163+'Off-Ramp'!L163)</f>
        <v>#DIV/0!</v>
      </c>
      <c r="BP163" s="60" t="e">
        <f>Links!S163</f>
        <v>#DIV/0!</v>
      </c>
      <c r="BQ163" s="60" t="e">
        <f>(Links!S163^2+'Off-Ramp'!C163^2)/(Links!S163+'Off-Ramp'!C163)</f>
        <v>#DIV/0!</v>
      </c>
      <c r="BR163" s="60" t="e">
        <f>Links!T163</f>
        <v>#DIV/0!</v>
      </c>
      <c r="BS163" s="60" t="e">
        <f>(Links!X163^2+'Off-Ramp'!V163^2+'Off-Ramp'!W163^2+'Off-Ramp'!X163^2)/(Links!X163+'Off-Ramp'!V163+'Off-Ramp'!W163+'Off-Ramp'!X163)</f>
        <v>#DIV/0!</v>
      </c>
      <c r="BT163" s="60" t="e">
        <f>(Links!Y163^2+'Off-Ramp'!Y163^2+'Off-Ramp'!Z163^2+'Off-Ramp'!AA163^2)/(Links!Y163+'Off-Ramp'!Y163+'Off-Ramp'!Z163+'Off-Ramp'!AA163)</f>
        <v>#DIV/0!</v>
      </c>
      <c r="BU163" s="60" t="e">
        <f>(Links!W163^2+'Off-Ramp'!P163^2)/(Links!W163+'Off-Ramp'!P163)</f>
        <v>#DIV/0!</v>
      </c>
      <c r="BV163" s="60" t="e">
        <f>(Links!Y163^2+'Off-Ramp'!Q163^2)/(Links!Y163+'Off-Ramp'!Q163)</f>
        <v>#DIV/0!</v>
      </c>
      <c r="BW163" s="60" t="e">
        <f>(Links!Z163^2+'Off-Ramp'!R163^2)/(Links!Z163+'Off-Ramp'!R163)</f>
        <v>#DIV/0!</v>
      </c>
      <c r="BX163" s="60" t="e">
        <f>(Links!AA163+'Off-Ramp'!S163)/(Links!AA163^2+'Off-Ramp'!S163^2)</f>
        <v>#DIV/0!</v>
      </c>
      <c r="BY163" s="60" t="e">
        <f>(Links!AB163^2+'Off-Ramp'!T163^2)/(Links!AB163+'Off-Ramp'!T163)</f>
        <v>#DIV/0!</v>
      </c>
      <c r="BZ163" s="60" t="e">
        <f>Links!AC163</f>
        <v>#DIV/0!</v>
      </c>
      <c r="CA163" s="60" t="e">
        <f>(Links!AD163^2+'Off-Ramp'!U163^2)/(Links!AD163+'Off-Ramp'!U163)</f>
        <v>#DIV/0!</v>
      </c>
    </row>
    <row r="164" spans="1:79" x14ac:dyDescent="0.15">
      <c r="A164" s="58">
        <v>162</v>
      </c>
      <c r="B164" s="59" t="e">
        <f t="shared" si="58"/>
        <v>#DIV/0!</v>
      </c>
      <c r="C164" s="59" t="e">
        <f t="shared" si="59"/>
        <v>#DIV/0!</v>
      </c>
      <c r="D164" s="59" t="e">
        <f t="shared" si="60"/>
        <v>#DIV/0!</v>
      </c>
      <c r="E164" s="59" t="e">
        <f t="shared" si="61"/>
        <v>#DIV/0!</v>
      </c>
      <c r="F164" s="59" t="e">
        <f t="shared" si="62"/>
        <v>#DIV/0!</v>
      </c>
      <c r="G164" s="59" t="e">
        <f t="shared" si="63"/>
        <v>#DIV/0!</v>
      </c>
      <c r="H164" s="59" t="e">
        <f t="shared" si="64"/>
        <v>#DIV/0!</v>
      </c>
      <c r="I164" s="59" t="e">
        <f t="shared" si="65"/>
        <v>#DIV/0!</v>
      </c>
      <c r="J164" s="59" t="e">
        <f t="shared" si="66"/>
        <v>#DIV/0!</v>
      </c>
      <c r="K164" s="59" t="e">
        <f t="shared" si="67"/>
        <v>#DIV/0!</v>
      </c>
      <c r="L164" s="59" t="e">
        <f t="shared" si="68"/>
        <v>#DIV/0!</v>
      </c>
      <c r="M164" s="59" t="e">
        <f t="shared" si="69"/>
        <v>#DIV/0!</v>
      </c>
      <c r="N164" s="59" t="e">
        <f t="shared" si="70"/>
        <v>#DIV/0!</v>
      </c>
      <c r="O164" s="60" t="e">
        <f>Links!B164</f>
        <v>#DIV/0!</v>
      </c>
      <c r="P164" s="60" t="e">
        <f>Links!C164+'On-Ramps'!AC164</f>
        <v>#DIV/0!</v>
      </c>
      <c r="Q164" s="60" t="e">
        <f>Links!D164</f>
        <v>#DIV/0!</v>
      </c>
      <c r="R164" s="60" t="e">
        <f>Links!E164+'On-Ramps'!AD164</f>
        <v>#DIV/0!</v>
      </c>
      <c r="S164" s="60" t="e">
        <f>Links!F164+'On-Ramps'!AE164</f>
        <v>#DIV/0!</v>
      </c>
      <c r="T164" s="60" t="e">
        <f>Links!G164+'On-Ramps'!AF164</f>
        <v>#DIV/0!</v>
      </c>
      <c r="U164" s="60" t="e">
        <f>Links!H164+'On-Ramps'!AG164</f>
        <v>#DIV/0!</v>
      </c>
      <c r="V164" s="60" t="e">
        <f>Links!J164+'On-Ramps'!AH164</f>
        <v>#DIV/0!</v>
      </c>
      <c r="W164" s="60" t="e">
        <f>Links!K164+'On-Ramps'!AI164</f>
        <v>#DIV/0!</v>
      </c>
      <c r="X164" s="60" t="e">
        <f>Links!L164+'On-Ramps'!AJ164</f>
        <v>#DIV/0!</v>
      </c>
      <c r="Y164" s="60" t="e">
        <f>Links!M164</f>
        <v>#DIV/0!</v>
      </c>
      <c r="Z164" s="60" t="e">
        <f>Links!N164+'On-Ramps'!AK164</f>
        <v>#DIV/0!</v>
      </c>
      <c r="AA164" s="60" t="e">
        <f>Links!O164</f>
        <v>#DIV/0!</v>
      </c>
      <c r="AB164" s="59" t="e">
        <f t="shared" si="71"/>
        <v>#DIV/0!</v>
      </c>
      <c r="AC164" s="65"/>
      <c r="AD164" s="59" t="e">
        <f t="shared" si="72"/>
        <v>#DIV/0!</v>
      </c>
      <c r="AE164" s="65"/>
      <c r="AF164" s="59" t="e">
        <f t="shared" si="73"/>
        <v>#DIV/0!</v>
      </c>
      <c r="AG164" s="59" t="e">
        <f t="shared" si="74"/>
        <v>#DIV/0!</v>
      </c>
      <c r="AH164" s="59" t="e">
        <f t="shared" si="75"/>
        <v>#DIV/0!</v>
      </c>
      <c r="AI164" s="59" t="e">
        <f t="shared" si="76"/>
        <v>#DIV/0!</v>
      </c>
      <c r="AJ164" s="59" t="e">
        <f t="shared" si="77"/>
        <v>#DIV/0!</v>
      </c>
      <c r="AK164" s="59" t="e">
        <f t="shared" si="78"/>
        <v>#DIV/0!</v>
      </c>
      <c r="AL164" s="59" t="e">
        <f t="shared" si="79"/>
        <v>#DIV/0!</v>
      </c>
      <c r="AM164" s="65"/>
      <c r="AN164" s="59" t="e">
        <f t="shared" si="81"/>
        <v>#DIV/0!</v>
      </c>
      <c r="AO164" s="60" t="e">
        <f t="shared" si="57"/>
        <v>#DIV/0!</v>
      </c>
      <c r="AP164" s="65"/>
      <c r="AQ164" s="60" t="e">
        <f t="shared" si="82"/>
        <v>#DIV/0!</v>
      </c>
      <c r="AR164" s="65"/>
      <c r="AS164" s="60" t="e">
        <f t="shared" si="82"/>
        <v>#DIV/0!</v>
      </c>
      <c r="AT164" s="60" t="e">
        <f t="shared" si="82"/>
        <v>#DIV/0!</v>
      </c>
      <c r="AU164" s="60" t="e">
        <f t="shared" si="82"/>
        <v>#DIV/0!</v>
      </c>
      <c r="AV164" s="60" t="e">
        <f t="shared" si="82"/>
        <v>#DIV/0!</v>
      </c>
      <c r="AW164" s="60" t="e">
        <f t="shared" si="82"/>
        <v>#DIV/0!</v>
      </c>
      <c r="AX164" s="60" t="e">
        <f t="shared" si="82"/>
        <v>#DIV/0!</v>
      </c>
      <c r="AY164" s="60" t="e">
        <f t="shared" si="82"/>
        <v>#DIV/0!</v>
      </c>
      <c r="AZ164" s="65"/>
      <c r="BA164" s="60" t="e">
        <f t="shared" si="82"/>
        <v>#DIV/0!</v>
      </c>
      <c r="BB164" s="59" t="e">
        <f>Links!AF164</f>
        <v>#DIV/0!</v>
      </c>
      <c r="BC164" s="59" t="e">
        <f>(Links!AG164*Links!C164+'On-Ramps'!AC164*'On-Ramps'!CE164)/('On-Ramps'!AC164+Links!C164)</f>
        <v>#DIV/0!</v>
      </c>
      <c r="BD164" s="59" t="e">
        <f>Links!AH164</f>
        <v>#DIV/0!</v>
      </c>
      <c r="BE164" s="59" t="e">
        <f>(Links!AI164*Links!E164+'On-Ramps'!AD164*'On-Ramps'!CF163)/('On-Ramps'!AD164+Links!E164)</f>
        <v>#DIV/0!</v>
      </c>
      <c r="BF164" s="59" t="e">
        <f>(Links!F164*Links!AJ164+'On-Ramps'!AE164*'On-Ramps'!CG164)/('On-Ramps'!AE164+Links!F164)</f>
        <v>#DIV/0!</v>
      </c>
      <c r="BG164" s="59" t="e">
        <f>(Links!G164*Links!AK164+'On-Ramps'!AF164*'On-Ramps'!CH164)/('On-Ramps'!AF164+Links!G164)</f>
        <v>#DIV/0!</v>
      </c>
      <c r="BH164" s="59" t="e">
        <f>(Links!H164*Links!AL164+'On-Ramps'!AG164*'On-Ramps'!CI164)/('On-Ramps'!AG164+Links!H164)</f>
        <v>#DIV/0!</v>
      </c>
      <c r="BI164" s="59" t="e">
        <f>(Links!J164*Links!AN164+'On-Ramps'!AH164*'On-Ramps'!CJ164)/('On-Ramps'!AH164+Links!J164)</f>
        <v>#DIV/0!</v>
      </c>
      <c r="BJ164" s="59" t="e">
        <f>(Links!K164*Links!AO164+'On-Ramps'!AI164*'On-Ramps'!CK164)/('On-Ramps'!AI164+Links!K164)</f>
        <v>#DIV/0!</v>
      </c>
      <c r="BK164" s="59" t="e">
        <f>(Links!L164*Links!AP164+'On-Ramps'!AJ164*'On-Ramps'!CL164)/(Links!L164+'On-Ramps'!AJ164)</f>
        <v>#DIV/0!</v>
      </c>
      <c r="BL164" s="59" t="e">
        <f>Links!AQ164</f>
        <v>#DIV/0!</v>
      </c>
      <c r="BM164" s="59" t="e">
        <f>(Links!N164*Links!AR164+'On-Ramps'!AL164*'On-Ramps'!CM164)/(Links!N164+'On-Ramps'!AL164)</f>
        <v>#DIV/0!</v>
      </c>
      <c r="BN164" s="59" t="e">
        <f>Links!AS164</f>
        <v>#DIV/0!</v>
      </c>
      <c r="BO164" s="60" t="e">
        <f>(Links!R164^2+'Off-Ramp'!L164^2)/(Links!R164+'Off-Ramp'!L164)</f>
        <v>#DIV/0!</v>
      </c>
      <c r="BP164" s="60" t="e">
        <f>Links!S164</f>
        <v>#DIV/0!</v>
      </c>
      <c r="BQ164" s="60" t="e">
        <f>(Links!S164^2+'Off-Ramp'!C164^2)/(Links!S164+'Off-Ramp'!C164)</f>
        <v>#DIV/0!</v>
      </c>
      <c r="BR164" s="60" t="e">
        <f>Links!T164</f>
        <v>#DIV/0!</v>
      </c>
      <c r="BS164" s="60" t="e">
        <f>(Links!X164^2+'Off-Ramp'!V164^2+'Off-Ramp'!W164^2+'Off-Ramp'!X164^2)/(Links!X164+'Off-Ramp'!V164+'Off-Ramp'!W164+'Off-Ramp'!X164)</f>
        <v>#DIV/0!</v>
      </c>
      <c r="BT164" s="60" t="e">
        <f>(Links!Y164^2+'Off-Ramp'!Y164^2+'Off-Ramp'!Z164^2+'Off-Ramp'!AA164^2)/(Links!Y164+'Off-Ramp'!Y164+'Off-Ramp'!Z164+'Off-Ramp'!AA164)</f>
        <v>#DIV/0!</v>
      </c>
      <c r="BU164" s="60" t="e">
        <f>(Links!W164^2+'Off-Ramp'!P164^2)/(Links!W164+'Off-Ramp'!P164)</f>
        <v>#DIV/0!</v>
      </c>
      <c r="BV164" s="60" t="e">
        <f>(Links!Y164^2+'Off-Ramp'!Q164^2)/(Links!Y164+'Off-Ramp'!Q164)</f>
        <v>#DIV/0!</v>
      </c>
      <c r="BW164" s="60" t="e">
        <f>(Links!Z164^2+'Off-Ramp'!R164^2)/(Links!Z164+'Off-Ramp'!R164)</f>
        <v>#DIV/0!</v>
      </c>
      <c r="BX164" s="60" t="e">
        <f>(Links!AA164+'Off-Ramp'!S164)/(Links!AA164^2+'Off-Ramp'!S164^2)</f>
        <v>#DIV/0!</v>
      </c>
      <c r="BY164" s="60" t="e">
        <f>(Links!AB164^2+'Off-Ramp'!T164^2)/(Links!AB164+'Off-Ramp'!T164)</f>
        <v>#DIV/0!</v>
      </c>
      <c r="BZ164" s="60" t="e">
        <f>Links!AC164</f>
        <v>#DIV/0!</v>
      </c>
      <c r="CA164" s="60" t="e">
        <f>(Links!AD164^2+'Off-Ramp'!U164^2)/(Links!AD164+'Off-Ramp'!U164)</f>
        <v>#DIV/0!</v>
      </c>
    </row>
    <row r="165" spans="1:79" x14ac:dyDescent="0.15">
      <c r="A165" s="58">
        <v>163</v>
      </c>
      <c r="B165" s="59" t="e">
        <f t="shared" si="58"/>
        <v>#DIV/0!</v>
      </c>
      <c r="C165" s="59" t="e">
        <f t="shared" si="59"/>
        <v>#DIV/0!</v>
      </c>
      <c r="D165" s="59" t="e">
        <f t="shared" si="60"/>
        <v>#DIV/0!</v>
      </c>
      <c r="E165" s="59" t="e">
        <f t="shared" si="61"/>
        <v>#DIV/0!</v>
      </c>
      <c r="F165" s="59" t="e">
        <f t="shared" si="62"/>
        <v>#DIV/0!</v>
      </c>
      <c r="G165" s="59" t="e">
        <f t="shared" si="63"/>
        <v>#DIV/0!</v>
      </c>
      <c r="H165" s="59" t="e">
        <f t="shared" si="64"/>
        <v>#DIV/0!</v>
      </c>
      <c r="I165" s="59" t="e">
        <f t="shared" si="65"/>
        <v>#DIV/0!</v>
      </c>
      <c r="J165" s="59" t="e">
        <f t="shared" si="66"/>
        <v>#DIV/0!</v>
      </c>
      <c r="K165" s="59" t="e">
        <f t="shared" si="67"/>
        <v>#DIV/0!</v>
      </c>
      <c r="L165" s="59" t="e">
        <f t="shared" si="68"/>
        <v>#DIV/0!</v>
      </c>
      <c r="M165" s="59" t="e">
        <f t="shared" si="69"/>
        <v>#DIV/0!</v>
      </c>
      <c r="N165" s="59" t="e">
        <f t="shared" si="70"/>
        <v>#DIV/0!</v>
      </c>
      <c r="O165" s="60" t="e">
        <f>Links!B165</f>
        <v>#DIV/0!</v>
      </c>
      <c r="P165" s="60" t="e">
        <f>Links!C165+'On-Ramps'!AC165</f>
        <v>#DIV/0!</v>
      </c>
      <c r="Q165" s="60" t="e">
        <f>Links!D165</f>
        <v>#DIV/0!</v>
      </c>
      <c r="R165" s="60" t="e">
        <f>Links!E165+'On-Ramps'!AD165</f>
        <v>#DIV/0!</v>
      </c>
      <c r="S165" s="60" t="e">
        <f>Links!F165+'On-Ramps'!AE165</f>
        <v>#DIV/0!</v>
      </c>
      <c r="T165" s="60" t="e">
        <f>Links!G165+'On-Ramps'!AF165</f>
        <v>#DIV/0!</v>
      </c>
      <c r="U165" s="60" t="e">
        <f>Links!H165+'On-Ramps'!AG165</f>
        <v>#DIV/0!</v>
      </c>
      <c r="V165" s="60" t="e">
        <f>Links!J165+'On-Ramps'!AH165</f>
        <v>#DIV/0!</v>
      </c>
      <c r="W165" s="60" t="e">
        <f>Links!K165+'On-Ramps'!AI165</f>
        <v>#DIV/0!</v>
      </c>
      <c r="X165" s="60" t="e">
        <f>Links!L165+'On-Ramps'!AJ165</f>
        <v>#DIV/0!</v>
      </c>
      <c r="Y165" s="60" t="e">
        <f>Links!M165</f>
        <v>#DIV/0!</v>
      </c>
      <c r="Z165" s="60" t="e">
        <f>Links!N165+'On-Ramps'!AK165</f>
        <v>#DIV/0!</v>
      </c>
      <c r="AA165" s="60" t="e">
        <f>Links!O165</f>
        <v>#DIV/0!</v>
      </c>
      <c r="AB165" s="59" t="e">
        <f t="shared" si="71"/>
        <v>#DIV/0!</v>
      </c>
      <c r="AC165" s="65"/>
      <c r="AD165" s="59" t="e">
        <f t="shared" si="72"/>
        <v>#DIV/0!</v>
      </c>
      <c r="AE165" s="65"/>
      <c r="AF165" s="59" t="e">
        <f t="shared" si="73"/>
        <v>#DIV/0!</v>
      </c>
      <c r="AG165" s="59" t="e">
        <f t="shared" si="74"/>
        <v>#DIV/0!</v>
      </c>
      <c r="AH165" s="59" t="e">
        <f t="shared" si="75"/>
        <v>#DIV/0!</v>
      </c>
      <c r="AI165" s="59" t="e">
        <f t="shared" si="76"/>
        <v>#DIV/0!</v>
      </c>
      <c r="AJ165" s="59" t="e">
        <f t="shared" si="77"/>
        <v>#DIV/0!</v>
      </c>
      <c r="AK165" s="59" t="e">
        <f t="shared" si="78"/>
        <v>#DIV/0!</v>
      </c>
      <c r="AL165" s="59" t="e">
        <f t="shared" si="79"/>
        <v>#DIV/0!</v>
      </c>
      <c r="AM165" s="65"/>
      <c r="AN165" s="59" t="e">
        <f t="shared" si="81"/>
        <v>#DIV/0!</v>
      </c>
      <c r="AO165" s="60" t="e">
        <f t="shared" si="57"/>
        <v>#DIV/0!</v>
      </c>
      <c r="AP165" s="65"/>
      <c r="AQ165" s="60" t="e">
        <f t="shared" si="82"/>
        <v>#DIV/0!</v>
      </c>
      <c r="AR165" s="65"/>
      <c r="AS165" s="60" t="e">
        <f t="shared" si="82"/>
        <v>#DIV/0!</v>
      </c>
      <c r="AT165" s="60" t="e">
        <f t="shared" si="82"/>
        <v>#DIV/0!</v>
      </c>
      <c r="AU165" s="60" t="e">
        <f t="shared" si="82"/>
        <v>#DIV/0!</v>
      </c>
      <c r="AV165" s="60" t="e">
        <f t="shared" si="82"/>
        <v>#DIV/0!</v>
      </c>
      <c r="AW165" s="60" t="e">
        <f t="shared" si="82"/>
        <v>#DIV/0!</v>
      </c>
      <c r="AX165" s="60" t="e">
        <f t="shared" si="82"/>
        <v>#DIV/0!</v>
      </c>
      <c r="AY165" s="60" t="e">
        <f t="shared" si="82"/>
        <v>#DIV/0!</v>
      </c>
      <c r="AZ165" s="65"/>
      <c r="BA165" s="60" t="e">
        <f t="shared" si="82"/>
        <v>#DIV/0!</v>
      </c>
      <c r="BB165" s="59" t="e">
        <f>Links!AF165</f>
        <v>#DIV/0!</v>
      </c>
      <c r="BC165" s="59" t="e">
        <f>(Links!AG165*Links!C165+'On-Ramps'!AC165*'On-Ramps'!CE165)/('On-Ramps'!AC165+Links!C165)</f>
        <v>#DIV/0!</v>
      </c>
      <c r="BD165" s="59" t="e">
        <f>Links!AH165</f>
        <v>#DIV/0!</v>
      </c>
      <c r="BE165" s="59" t="e">
        <f>(Links!AI165*Links!E165+'On-Ramps'!AD165*'On-Ramps'!CF164)/('On-Ramps'!AD165+Links!E165)</f>
        <v>#DIV/0!</v>
      </c>
      <c r="BF165" s="59" t="e">
        <f>(Links!F165*Links!AJ165+'On-Ramps'!AE165*'On-Ramps'!CG165)/('On-Ramps'!AE165+Links!F165)</f>
        <v>#DIV/0!</v>
      </c>
      <c r="BG165" s="59" t="e">
        <f>(Links!G165*Links!AK165+'On-Ramps'!AF165*'On-Ramps'!CH165)/('On-Ramps'!AF165+Links!G165)</f>
        <v>#DIV/0!</v>
      </c>
      <c r="BH165" s="59" t="e">
        <f>(Links!H165*Links!AL165+'On-Ramps'!AG165*'On-Ramps'!CI165)/('On-Ramps'!AG165+Links!H165)</f>
        <v>#DIV/0!</v>
      </c>
      <c r="BI165" s="59" t="e">
        <f>(Links!J165*Links!AN165+'On-Ramps'!AH165*'On-Ramps'!CJ165)/('On-Ramps'!AH165+Links!J165)</f>
        <v>#DIV/0!</v>
      </c>
      <c r="BJ165" s="59" t="e">
        <f>(Links!K165*Links!AO165+'On-Ramps'!AI165*'On-Ramps'!CK165)/('On-Ramps'!AI165+Links!K165)</f>
        <v>#DIV/0!</v>
      </c>
      <c r="BK165" s="59" t="e">
        <f>(Links!L165*Links!AP165+'On-Ramps'!AJ165*'On-Ramps'!CL165)/(Links!L165+'On-Ramps'!AJ165)</f>
        <v>#DIV/0!</v>
      </c>
      <c r="BL165" s="59" t="e">
        <f>Links!AQ165</f>
        <v>#DIV/0!</v>
      </c>
      <c r="BM165" s="59" t="e">
        <f>(Links!N165*Links!AR165+'On-Ramps'!AL165*'On-Ramps'!CM165)/(Links!N165+'On-Ramps'!AL165)</f>
        <v>#DIV/0!</v>
      </c>
      <c r="BN165" s="59" t="e">
        <f>Links!AS165</f>
        <v>#DIV/0!</v>
      </c>
      <c r="BO165" s="60" t="e">
        <f>(Links!R165^2+'Off-Ramp'!L165^2)/(Links!R165+'Off-Ramp'!L165)</f>
        <v>#DIV/0!</v>
      </c>
      <c r="BP165" s="60" t="e">
        <f>Links!S165</f>
        <v>#DIV/0!</v>
      </c>
      <c r="BQ165" s="60" t="e">
        <f>(Links!S165^2+'Off-Ramp'!C165^2)/(Links!S165+'Off-Ramp'!C165)</f>
        <v>#DIV/0!</v>
      </c>
      <c r="BR165" s="60" t="e">
        <f>Links!T165</f>
        <v>#DIV/0!</v>
      </c>
      <c r="BS165" s="60" t="e">
        <f>(Links!X165^2+'Off-Ramp'!V165^2+'Off-Ramp'!W165^2+'Off-Ramp'!X165^2)/(Links!X165+'Off-Ramp'!V165+'Off-Ramp'!W165+'Off-Ramp'!X165)</f>
        <v>#DIV/0!</v>
      </c>
      <c r="BT165" s="60" t="e">
        <f>(Links!Y165^2+'Off-Ramp'!Y165^2+'Off-Ramp'!Z165^2+'Off-Ramp'!AA165^2)/(Links!Y165+'Off-Ramp'!Y165+'Off-Ramp'!Z165+'Off-Ramp'!AA165)</f>
        <v>#DIV/0!</v>
      </c>
      <c r="BU165" s="60" t="e">
        <f>(Links!W165^2+'Off-Ramp'!P165^2)/(Links!W165+'Off-Ramp'!P165)</f>
        <v>#DIV/0!</v>
      </c>
      <c r="BV165" s="60" t="e">
        <f>(Links!Y165^2+'Off-Ramp'!Q165^2)/(Links!Y165+'Off-Ramp'!Q165)</f>
        <v>#DIV/0!</v>
      </c>
      <c r="BW165" s="60" t="e">
        <f>(Links!Z165^2+'Off-Ramp'!R165^2)/(Links!Z165+'Off-Ramp'!R165)</f>
        <v>#DIV/0!</v>
      </c>
      <c r="BX165" s="60" t="e">
        <f>(Links!AA165+'Off-Ramp'!S165)/(Links!AA165^2+'Off-Ramp'!S165^2)</f>
        <v>#DIV/0!</v>
      </c>
      <c r="BY165" s="60" t="e">
        <f>(Links!AB165^2+'Off-Ramp'!T165^2)/(Links!AB165+'Off-Ramp'!T165)</f>
        <v>#DIV/0!</v>
      </c>
      <c r="BZ165" s="60" t="e">
        <f>Links!AC165</f>
        <v>#DIV/0!</v>
      </c>
      <c r="CA165" s="60" t="e">
        <f>(Links!AD165^2+'Off-Ramp'!U165^2)/(Links!AD165+'Off-Ramp'!U165)</f>
        <v>#DIV/0!</v>
      </c>
    </row>
    <row r="166" spans="1:79" x14ac:dyDescent="0.15">
      <c r="A166" s="58">
        <v>164</v>
      </c>
      <c r="B166" s="59" t="e">
        <f t="shared" si="58"/>
        <v>#DIV/0!</v>
      </c>
      <c r="C166" s="59" t="e">
        <f t="shared" si="59"/>
        <v>#DIV/0!</v>
      </c>
      <c r="D166" s="59" t="e">
        <f t="shared" si="60"/>
        <v>#DIV/0!</v>
      </c>
      <c r="E166" s="59" t="e">
        <f t="shared" si="61"/>
        <v>#DIV/0!</v>
      </c>
      <c r="F166" s="59" t="e">
        <f t="shared" si="62"/>
        <v>#DIV/0!</v>
      </c>
      <c r="G166" s="59" t="e">
        <f t="shared" si="63"/>
        <v>#DIV/0!</v>
      </c>
      <c r="H166" s="59" t="e">
        <f t="shared" si="64"/>
        <v>#DIV/0!</v>
      </c>
      <c r="I166" s="59" t="e">
        <f t="shared" si="65"/>
        <v>#DIV/0!</v>
      </c>
      <c r="J166" s="59" t="e">
        <f t="shared" si="66"/>
        <v>#DIV/0!</v>
      </c>
      <c r="K166" s="59" t="e">
        <f t="shared" si="67"/>
        <v>#DIV/0!</v>
      </c>
      <c r="L166" s="59" t="e">
        <f t="shared" si="68"/>
        <v>#DIV/0!</v>
      </c>
      <c r="M166" s="59" t="e">
        <f t="shared" si="69"/>
        <v>#DIV/0!</v>
      </c>
      <c r="N166" s="59" t="e">
        <f t="shared" si="70"/>
        <v>#DIV/0!</v>
      </c>
      <c r="O166" s="60" t="e">
        <f>Links!B166</f>
        <v>#DIV/0!</v>
      </c>
      <c r="P166" s="60" t="e">
        <f>Links!C166+'On-Ramps'!AC166</f>
        <v>#DIV/0!</v>
      </c>
      <c r="Q166" s="60" t="e">
        <f>Links!D166</f>
        <v>#DIV/0!</v>
      </c>
      <c r="R166" s="60" t="e">
        <f>Links!E166+'On-Ramps'!AD166</f>
        <v>#DIV/0!</v>
      </c>
      <c r="S166" s="60" t="e">
        <f>Links!F166+'On-Ramps'!AE166</f>
        <v>#DIV/0!</v>
      </c>
      <c r="T166" s="60" t="e">
        <f>Links!G166+'On-Ramps'!AF166</f>
        <v>#DIV/0!</v>
      </c>
      <c r="U166" s="60" t="e">
        <f>Links!H166+'On-Ramps'!AG166</f>
        <v>#DIV/0!</v>
      </c>
      <c r="V166" s="60" t="e">
        <f>Links!J166+'On-Ramps'!AH166</f>
        <v>#DIV/0!</v>
      </c>
      <c r="W166" s="60" t="e">
        <f>Links!K166+'On-Ramps'!AI166</f>
        <v>#DIV/0!</v>
      </c>
      <c r="X166" s="60" t="e">
        <f>Links!L166+'On-Ramps'!AJ166</f>
        <v>#DIV/0!</v>
      </c>
      <c r="Y166" s="60" t="e">
        <f>Links!M166</f>
        <v>#DIV/0!</v>
      </c>
      <c r="Z166" s="60" t="e">
        <f>Links!N166+'On-Ramps'!AK166</f>
        <v>#DIV/0!</v>
      </c>
      <c r="AA166" s="60" t="e">
        <f>Links!O166</f>
        <v>#DIV/0!</v>
      </c>
      <c r="AB166" s="59" t="e">
        <f t="shared" si="71"/>
        <v>#DIV/0!</v>
      </c>
      <c r="AC166" s="65"/>
      <c r="AD166" s="59" t="e">
        <f t="shared" si="72"/>
        <v>#DIV/0!</v>
      </c>
      <c r="AE166" s="65"/>
      <c r="AF166" s="59" t="e">
        <f t="shared" si="73"/>
        <v>#DIV/0!</v>
      </c>
      <c r="AG166" s="59" t="e">
        <f t="shared" si="74"/>
        <v>#DIV/0!</v>
      </c>
      <c r="AH166" s="59" t="e">
        <f t="shared" si="75"/>
        <v>#DIV/0!</v>
      </c>
      <c r="AI166" s="59" t="e">
        <f t="shared" si="76"/>
        <v>#DIV/0!</v>
      </c>
      <c r="AJ166" s="59" t="e">
        <f t="shared" si="77"/>
        <v>#DIV/0!</v>
      </c>
      <c r="AK166" s="59" t="e">
        <f t="shared" si="78"/>
        <v>#DIV/0!</v>
      </c>
      <c r="AL166" s="59" t="e">
        <f t="shared" si="79"/>
        <v>#DIV/0!</v>
      </c>
      <c r="AM166" s="65"/>
      <c r="AN166" s="59" t="e">
        <f t="shared" si="81"/>
        <v>#DIV/0!</v>
      </c>
      <c r="AO166" s="60" t="e">
        <f t="shared" si="57"/>
        <v>#DIV/0!</v>
      </c>
      <c r="AP166" s="65"/>
      <c r="AQ166" s="60" t="e">
        <f t="shared" si="82"/>
        <v>#DIV/0!</v>
      </c>
      <c r="AR166" s="65"/>
      <c r="AS166" s="60" t="e">
        <f t="shared" si="82"/>
        <v>#DIV/0!</v>
      </c>
      <c r="AT166" s="60" t="e">
        <f t="shared" si="82"/>
        <v>#DIV/0!</v>
      </c>
      <c r="AU166" s="60" t="e">
        <f t="shared" si="82"/>
        <v>#DIV/0!</v>
      </c>
      <c r="AV166" s="60" t="e">
        <f t="shared" si="82"/>
        <v>#DIV/0!</v>
      </c>
      <c r="AW166" s="60" t="e">
        <f t="shared" si="82"/>
        <v>#DIV/0!</v>
      </c>
      <c r="AX166" s="60" t="e">
        <f t="shared" si="82"/>
        <v>#DIV/0!</v>
      </c>
      <c r="AY166" s="60" t="e">
        <f t="shared" si="82"/>
        <v>#DIV/0!</v>
      </c>
      <c r="AZ166" s="65"/>
      <c r="BA166" s="60" t="e">
        <f t="shared" si="82"/>
        <v>#DIV/0!</v>
      </c>
      <c r="BB166" s="59" t="e">
        <f>Links!AF166</f>
        <v>#DIV/0!</v>
      </c>
      <c r="BC166" s="59" t="e">
        <f>(Links!AG166*Links!C166+'On-Ramps'!AC166*'On-Ramps'!CE166)/('On-Ramps'!AC166+Links!C166)</f>
        <v>#DIV/0!</v>
      </c>
      <c r="BD166" s="59" t="e">
        <f>Links!AH166</f>
        <v>#DIV/0!</v>
      </c>
      <c r="BE166" s="59" t="e">
        <f>(Links!AI166*Links!E166+'On-Ramps'!AD166*'On-Ramps'!CF165)/('On-Ramps'!AD166+Links!E166)</f>
        <v>#DIV/0!</v>
      </c>
      <c r="BF166" s="59" t="e">
        <f>(Links!F166*Links!AJ166+'On-Ramps'!AE166*'On-Ramps'!CG166)/('On-Ramps'!AE166+Links!F166)</f>
        <v>#DIV/0!</v>
      </c>
      <c r="BG166" s="59" t="e">
        <f>(Links!G166*Links!AK166+'On-Ramps'!AF166*'On-Ramps'!CH166)/('On-Ramps'!AF166+Links!G166)</f>
        <v>#DIV/0!</v>
      </c>
      <c r="BH166" s="59" t="e">
        <f>(Links!H166*Links!AL166+'On-Ramps'!AG166*'On-Ramps'!CI166)/('On-Ramps'!AG166+Links!H166)</f>
        <v>#DIV/0!</v>
      </c>
      <c r="BI166" s="59" t="e">
        <f>(Links!J166*Links!AN166+'On-Ramps'!AH166*'On-Ramps'!CJ166)/('On-Ramps'!AH166+Links!J166)</f>
        <v>#DIV/0!</v>
      </c>
      <c r="BJ166" s="59" t="e">
        <f>(Links!K166*Links!AO166+'On-Ramps'!AI166*'On-Ramps'!CK166)/('On-Ramps'!AI166+Links!K166)</f>
        <v>#DIV/0!</v>
      </c>
      <c r="BK166" s="59" t="e">
        <f>(Links!L166*Links!AP166+'On-Ramps'!AJ166*'On-Ramps'!CL166)/(Links!L166+'On-Ramps'!AJ166)</f>
        <v>#DIV/0!</v>
      </c>
      <c r="BL166" s="59" t="e">
        <f>Links!AQ166</f>
        <v>#DIV/0!</v>
      </c>
      <c r="BM166" s="59" t="e">
        <f>(Links!N166*Links!AR166+'On-Ramps'!AL166*'On-Ramps'!CM166)/(Links!N166+'On-Ramps'!AL166)</f>
        <v>#DIV/0!</v>
      </c>
      <c r="BN166" s="59" t="e">
        <f>Links!AS166</f>
        <v>#DIV/0!</v>
      </c>
      <c r="BO166" s="60" t="e">
        <f>(Links!R166^2+'Off-Ramp'!L166^2)/(Links!R166+'Off-Ramp'!L166)</f>
        <v>#DIV/0!</v>
      </c>
      <c r="BP166" s="60" t="e">
        <f>Links!S166</f>
        <v>#DIV/0!</v>
      </c>
      <c r="BQ166" s="60" t="e">
        <f>(Links!S166^2+'Off-Ramp'!C166^2)/(Links!S166+'Off-Ramp'!C166)</f>
        <v>#DIV/0!</v>
      </c>
      <c r="BR166" s="60" t="e">
        <f>Links!T166</f>
        <v>#DIV/0!</v>
      </c>
      <c r="BS166" s="60" t="e">
        <f>(Links!X166^2+'Off-Ramp'!V166^2+'Off-Ramp'!W166^2+'Off-Ramp'!X166^2)/(Links!X166+'Off-Ramp'!V166+'Off-Ramp'!W166+'Off-Ramp'!X166)</f>
        <v>#DIV/0!</v>
      </c>
      <c r="BT166" s="60" t="e">
        <f>(Links!Y166^2+'Off-Ramp'!Y166^2+'Off-Ramp'!Z166^2+'Off-Ramp'!AA166^2)/(Links!Y166+'Off-Ramp'!Y166+'Off-Ramp'!Z166+'Off-Ramp'!AA166)</f>
        <v>#DIV/0!</v>
      </c>
      <c r="BU166" s="60" t="e">
        <f>(Links!W166^2+'Off-Ramp'!P166^2)/(Links!W166+'Off-Ramp'!P166)</f>
        <v>#DIV/0!</v>
      </c>
      <c r="BV166" s="60" t="e">
        <f>(Links!Y166^2+'Off-Ramp'!Q166^2)/(Links!Y166+'Off-Ramp'!Q166)</f>
        <v>#DIV/0!</v>
      </c>
      <c r="BW166" s="60" t="e">
        <f>(Links!Z166^2+'Off-Ramp'!R166^2)/(Links!Z166+'Off-Ramp'!R166)</f>
        <v>#DIV/0!</v>
      </c>
      <c r="BX166" s="60" t="e">
        <f>(Links!AA166+'Off-Ramp'!S166)/(Links!AA166^2+'Off-Ramp'!S166^2)</f>
        <v>#DIV/0!</v>
      </c>
      <c r="BY166" s="60" t="e">
        <f>(Links!AB166^2+'Off-Ramp'!T166^2)/(Links!AB166+'Off-Ramp'!T166)</f>
        <v>#DIV/0!</v>
      </c>
      <c r="BZ166" s="60" t="e">
        <f>Links!AC166</f>
        <v>#DIV/0!</v>
      </c>
      <c r="CA166" s="60" t="e">
        <f>(Links!AD166^2+'Off-Ramp'!U166^2)/(Links!AD166+'Off-Ramp'!U166)</f>
        <v>#DIV/0!</v>
      </c>
    </row>
    <row r="167" spans="1:79" x14ac:dyDescent="0.15">
      <c r="A167" s="58">
        <v>165</v>
      </c>
      <c r="B167" s="59" t="e">
        <f t="shared" si="58"/>
        <v>#DIV/0!</v>
      </c>
      <c r="C167" s="59" t="e">
        <f t="shared" si="59"/>
        <v>#DIV/0!</v>
      </c>
      <c r="D167" s="59" t="e">
        <f t="shared" si="60"/>
        <v>#DIV/0!</v>
      </c>
      <c r="E167" s="59" t="e">
        <f t="shared" si="61"/>
        <v>#DIV/0!</v>
      </c>
      <c r="F167" s="59" t="e">
        <f t="shared" si="62"/>
        <v>#DIV/0!</v>
      </c>
      <c r="G167" s="59" t="e">
        <f t="shared" si="63"/>
        <v>#DIV/0!</v>
      </c>
      <c r="H167" s="59" t="e">
        <f t="shared" si="64"/>
        <v>#DIV/0!</v>
      </c>
      <c r="I167" s="59" t="e">
        <f t="shared" si="65"/>
        <v>#DIV/0!</v>
      </c>
      <c r="J167" s="59" t="e">
        <f t="shared" si="66"/>
        <v>#DIV/0!</v>
      </c>
      <c r="K167" s="59" t="e">
        <f t="shared" si="67"/>
        <v>#DIV/0!</v>
      </c>
      <c r="L167" s="59" t="e">
        <f t="shared" si="68"/>
        <v>#DIV/0!</v>
      </c>
      <c r="M167" s="59" t="e">
        <f t="shared" si="69"/>
        <v>#DIV/0!</v>
      </c>
      <c r="N167" s="59" t="e">
        <f t="shared" si="70"/>
        <v>#DIV/0!</v>
      </c>
      <c r="O167" s="60" t="e">
        <f>Links!B167</f>
        <v>#DIV/0!</v>
      </c>
      <c r="P167" s="60" t="e">
        <f>Links!C167+'On-Ramps'!AC167</f>
        <v>#DIV/0!</v>
      </c>
      <c r="Q167" s="60" t="e">
        <f>Links!D167</f>
        <v>#DIV/0!</v>
      </c>
      <c r="R167" s="60" t="e">
        <f>Links!E167+'On-Ramps'!AD167</f>
        <v>#DIV/0!</v>
      </c>
      <c r="S167" s="60" t="e">
        <f>Links!F167+'On-Ramps'!AE167</f>
        <v>#DIV/0!</v>
      </c>
      <c r="T167" s="60" t="e">
        <f>Links!G167+'On-Ramps'!AF167</f>
        <v>#DIV/0!</v>
      </c>
      <c r="U167" s="60" t="e">
        <f>Links!H167+'On-Ramps'!AG167</f>
        <v>#DIV/0!</v>
      </c>
      <c r="V167" s="60" t="e">
        <f>Links!J167+'On-Ramps'!AH167</f>
        <v>#DIV/0!</v>
      </c>
      <c r="W167" s="60" t="e">
        <f>Links!K167+'On-Ramps'!AI167</f>
        <v>#DIV/0!</v>
      </c>
      <c r="X167" s="60" t="e">
        <f>Links!L167+'On-Ramps'!AJ167</f>
        <v>#DIV/0!</v>
      </c>
      <c r="Y167" s="60" t="e">
        <f>Links!M167</f>
        <v>#DIV/0!</v>
      </c>
      <c r="Z167" s="60" t="e">
        <f>Links!N167+'On-Ramps'!AK167</f>
        <v>#DIV/0!</v>
      </c>
      <c r="AA167" s="60" t="e">
        <f>Links!O167</f>
        <v>#DIV/0!</v>
      </c>
      <c r="AB167" s="59" t="e">
        <f t="shared" si="71"/>
        <v>#DIV/0!</v>
      </c>
      <c r="AC167" s="65"/>
      <c r="AD167" s="59" t="e">
        <f t="shared" si="72"/>
        <v>#DIV/0!</v>
      </c>
      <c r="AE167" s="65"/>
      <c r="AF167" s="59" t="e">
        <f t="shared" si="73"/>
        <v>#DIV/0!</v>
      </c>
      <c r="AG167" s="59" t="e">
        <f t="shared" si="74"/>
        <v>#DIV/0!</v>
      </c>
      <c r="AH167" s="59" t="e">
        <f t="shared" si="75"/>
        <v>#DIV/0!</v>
      </c>
      <c r="AI167" s="59" t="e">
        <f t="shared" si="76"/>
        <v>#DIV/0!</v>
      </c>
      <c r="AJ167" s="59" t="e">
        <f t="shared" si="77"/>
        <v>#DIV/0!</v>
      </c>
      <c r="AK167" s="59" t="e">
        <f t="shared" si="78"/>
        <v>#DIV/0!</v>
      </c>
      <c r="AL167" s="59" t="e">
        <f t="shared" si="79"/>
        <v>#DIV/0!</v>
      </c>
      <c r="AM167" s="65"/>
      <c r="AN167" s="59" t="e">
        <f t="shared" si="81"/>
        <v>#DIV/0!</v>
      </c>
      <c r="AO167" s="60" t="e">
        <f t="shared" si="57"/>
        <v>#DIV/0!</v>
      </c>
      <c r="AP167" s="65"/>
      <c r="AQ167" s="60" t="e">
        <f t="shared" si="82"/>
        <v>#DIV/0!</v>
      </c>
      <c r="AR167" s="65"/>
      <c r="AS167" s="60" t="e">
        <f t="shared" si="82"/>
        <v>#DIV/0!</v>
      </c>
      <c r="AT167" s="60" t="e">
        <f t="shared" si="82"/>
        <v>#DIV/0!</v>
      </c>
      <c r="AU167" s="60" t="e">
        <f t="shared" si="82"/>
        <v>#DIV/0!</v>
      </c>
      <c r="AV167" s="60" t="e">
        <f t="shared" si="82"/>
        <v>#DIV/0!</v>
      </c>
      <c r="AW167" s="60" t="e">
        <f t="shared" si="82"/>
        <v>#DIV/0!</v>
      </c>
      <c r="AX167" s="60" t="e">
        <f t="shared" si="82"/>
        <v>#DIV/0!</v>
      </c>
      <c r="AY167" s="60" t="e">
        <f t="shared" si="82"/>
        <v>#DIV/0!</v>
      </c>
      <c r="AZ167" s="65"/>
      <c r="BA167" s="60" t="e">
        <f t="shared" si="82"/>
        <v>#DIV/0!</v>
      </c>
      <c r="BB167" s="59" t="e">
        <f>Links!AF167</f>
        <v>#DIV/0!</v>
      </c>
      <c r="BC167" s="59" t="e">
        <f>(Links!AG167*Links!C167+'On-Ramps'!AC167*'On-Ramps'!CE167)/('On-Ramps'!AC167+Links!C167)</f>
        <v>#DIV/0!</v>
      </c>
      <c r="BD167" s="59" t="e">
        <f>Links!AH167</f>
        <v>#DIV/0!</v>
      </c>
      <c r="BE167" s="59" t="e">
        <f>(Links!AI167*Links!E167+'On-Ramps'!AD167*'On-Ramps'!CF166)/('On-Ramps'!AD167+Links!E167)</f>
        <v>#DIV/0!</v>
      </c>
      <c r="BF167" s="59" t="e">
        <f>(Links!F167*Links!AJ167+'On-Ramps'!AE167*'On-Ramps'!CG167)/('On-Ramps'!AE167+Links!F167)</f>
        <v>#DIV/0!</v>
      </c>
      <c r="BG167" s="59" t="e">
        <f>(Links!G167*Links!AK167+'On-Ramps'!AF167*'On-Ramps'!CH167)/('On-Ramps'!AF167+Links!G167)</f>
        <v>#DIV/0!</v>
      </c>
      <c r="BH167" s="59" t="e">
        <f>(Links!H167*Links!AL167+'On-Ramps'!AG167*'On-Ramps'!CI167)/('On-Ramps'!AG167+Links!H167)</f>
        <v>#DIV/0!</v>
      </c>
      <c r="BI167" s="59" t="e">
        <f>(Links!J167*Links!AN167+'On-Ramps'!AH167*'On-Ramps'!CJ167)/('On-Ramps'!AH167+Links!J167)</f>
        <v>#DIV/0!</v>
      </c>
      <c r="BJ167" s="59" t="e">
        <f>(Links!K167*Links!AO167+'On-Ramps'!AI167*'On-Ramps'!CK167)/('On-Ramps'!AI167+Links!K167)</f>
        <v>#DIV/0!</v>
      </c>
      <c r="BK167" s="59" t="e">
        <f>(Links!L167*Links!AP167+'On-Ramps'!AJ167*'On-Ramps'!CL167)/(Links!L167+'On-Ramps'!AJ167)</f>
        <v>#DIV/0!</v>
      </c>
      <c r="BL167" s="59" t="e">
        <f>Links!AQ167</f>
        <v>#DIV/0!</v>
      </c>
      <c r="BM167" s="59" t="e">
        <f>(Links!N167*Links!AR167+'On-Ramps'!AL167*'On-Ramps'!CM167)/(Links!N167+'On-Ramps'!AL167)</f>
        <v>#DIV/0!</v>
      </c>
      <c r="BN167" s="59" t="e">
        <f>Links!AS167</f>
        <v>#DIV/0!</v>
      </c>
      <c r="BO167" s="60" t="e">
        <f>(Links!R167^2+'Off-Ramp'!L167^2)/(Links!R167+'Off-Ramp'!L167)</f>
        <v>#DIV/0!</v>
      </c>
      <c r="BP167" s="60" t="e">
        <f>Links!S167</f>
        <v>#DIV/0!</v>
      </c>
      <c r="BQ167" s="60" t="e">
        <f>(Links!S167^2+'Off-Ramp'!C167^2)/(Links!S167+'Off-Ramp'!C167)</f>
        <v>#DIV/0!</v>
      </c>
      <c r="BR167" s="60" t="e">
        <f>Links!T167</f>
        <v>#DIV/0!</v>
      </c>
      <c r="BS167" s="60" t="e">
        <f>(Links!X167^2+'Off-Ramp'!V167^2+'Off-Ramp'!W167^2+'Off-Ramp'!X167^2)/(Links!X167+'Off-Ramp'!V167+'Off-Ramp'!W167+'Off-Ramp'!X167)</f>
        <v>#DIV/0!</v>
      </c>
      <c r="BT167" s="60" t="e">
        <f>(Links!Y167^2+'Off-Ramp'!Y167^2+'Off-Ramp'!Z167^2+'Off-Ramp'!AA167^2)/(Links!Y167+'Off-Ramp'!Y167+'Off-Ramp'!Z167+'Off-Ramp'!AA167)</f>
        <v>#DIV/0!</v>
      </c>
      <c r="BU167" s="60" t="e">
        <f>(Links!W167^2+'Off-Ramp'!P167^2)/(Links!W167+'Off-Ramp'!P167)</f>
        <v>#DIV/0!</v>
      </c>
      <c r="BV167" s="60" t="e">
        <f>(Links!Y167^2+'Off-Ramp'!Q167^2)/(Links!Y167+'Off-Ramp'!Q167)</f>
        <v>#DIV/0!</v>
      </c>
      <c r="BW167" s="60" t="e">
        <f>(Links!Z167^2+'Off-Ramp'!R167^2)/(Links!Z167+'Off-Ramp'!R167)</f>
        <v>#DIV/0!</v>
      </c>
      <c r="BX167" s="60" t="e">
        <f>(Links!AA167+'Off-Ramp'!S167)/(Links!AA167^2+'Off-Ramp'!S167^2)</f>
        <v>#DIV/0!</v>
      </c>
      <c r="BY167" s="60" t="e">
        <f>(Links!AB167^2+'Off-Ramp'!T167^2)/(Links!AB167+'Off-Ramp'!T167)</f>
        <v>#DIV/0!</v>
      </c>
      <c r="BZ167" s="60" t="e">
        <f>Links!AC167</f>
        <v>#DIV/0!</v>
      </c>
      <c r="CA167" s="60" t="e">
        <f>(Links!AD167^2+'Off-Ramp'!U167^2)/(Links!AD167+'Off-Ramp'!U167)</f>
        <v>#DIV/0!</v>
      </c>
    </row>
    <row r="168" spans="1:79" x14ac:dyDescent="0.15">
      <c r="A168" s="58">
        <v>166</v>
      </c>
      <c r="B168" s="59" t="e">
        <f t="shared" si="58"/>
        <v>#DIV/0!</v>
      </c>
      <c r="C168" s="59" t="e">
        <f t="shared" si="59"/>
        <v>#DIV/0!</v>
      </c>
      <c r="D168" s="59" t="e">
        <f t="shared" si="60"/>
        <v>#DIV/0!</v>
      </c>
      <c r="E168" s="59" t="e">
        <f t="shared" si="61"/>
        <v>#DIV/0!</v>
      </c>
      <c r="F168" s="59" t="e">
        <f t="shared" si="62"/>
        <v>#DIV/0!</v>
      </c>
      <c r="G168" s="59" t="e">
        <f t="shared" si="63"/>
        <v>#DIV/0!</v>
      </c>
      <c r="H168" s="59" t="e">
        <f t="shared" si="64"/>
        <v>#DIV/0!</v>
      </c>
      <c r="I168" s="59" t="e">
        <f t="shared" si="65"/>
        <v>#DIV/0!</v>
      </c>
      <c r="J168" s="59" t="e">
        <f t="shared" si="66"/>
        <v>#DIV/0!</v>
      </c>
      <c r="K168" s="59" t="e">
        <f t="shared" si="67"/>
        <v>#DIV/0!</v>
      </c>
      <c r="L168" s="59" t="e">
        <f t="shared" si="68"/>
        <v>#DIV/0!</v>
      </c>
      <c r="M168" s="59" t="e">
        <f t="shared" si="69"/>
        <v>#DIV/0!</v>
      </c>
      <c r="N168" s="59" t="e">
        <f t="shared" si="70"/>
        <v>#DIV/0!</v>
      </c>
      <c r="O168" s="60" t="e">
        <f>Links!B168</f>
        <v>#DIV/0!</v>
      </c>
      <c r="P168" s="60" t="e">
        <f>Links!C168+'On-Ramps'!AC168</f>
        <v>#DIV/0!</v>
      </c>
      <c r="Q168" s="60" t="e">
        <f>Links!D168</f>
        <v>#DIV/0!</v>
      </c>
      <c r="R168" s="60" t="e">
        <f>Links!E168+'On-Ramps'!AD168</f>
        <v>#DIV/0!</v>
      </c>
      <c r="S168" s="60" t="e">
        <f>Links!F168+'On-Ramps'!AE168</f>
        <v>#DIV/0!</v>
      </c>
      <c r="T168" s="60" t="e">
        <f>Links!G168+'On-Ramps'!AF168</f>
        <v>#DIV/0!</v>
      </c>
      <c r="U168" s="60" t="e">
        <f>Links!H168+'On-Ramps'!AG168</f>
        <v>#DIV/0!</v>
      </c>
      <c r="V168" s="60" t="e">
        <f>Links!J168+'On-Ramps'!AH168</f>
        <v>#DIV/0!</v>
      </c>
      <c r="W168" s="60" t="e">
        <f>Links!K168+'On-Ramps'!AI168</f>
        <v>#DIV/0!</v>
      </c>
      <c r="X168" s="60" t="e">
        <f>Links!L168+'On-Ramps'!AJ168</f>
        <v>#DIV/0!</v>
      </c>
      <c r="Y168" s="60" t="e">
        <f>Links!M168</f>
        <v>#DIV/0!</v>
      </c>
      <c r="Z168" s="60" t="e">
        <f>Links!N168+'On-Ramps'!AK168</f>
        <v>#DIV/0!</v>
      </c>
      <c r="AA168" s="60" t="e">
        <f>Links!O168</f>
        <v>#DIV/0!</v>
      </c>
      <c r="AB168" s="59" t="e">
        <f t="shared" si="71"/>
        <v>#DIV/0!</v>
      </c>
      <c r="AC168" s="65"/>
      <c r="AD168" s="59" t="e">
        <f t="shared" si="72"/>
        <v>#DIV/0!</v>
      </c>
      <c r="AE168" s="65"/>
      <c r="AF168" s="59" t="e">
        <f t="shared" si="73"/>
        <v>#DIV/0!</v>
      </c>
      <c r="AG168" s="59" t="e">
        <f t="shared" si="74"/>
        <v>#DIV/0!</v>
      </c>
      <c r="AH168" s="59" t="e">
        <f t="shared" si="75"/>
        <v>#DIV/0!</v>
      </c>
      <c r="AI168" s="59" t="e">
        <f t="shared" si="76"/>
        <v>#DIV/0!</v>
      </c>
      <c r="AJ168" s="59" t="e">
        <f t="shared" si="77"/>
        <v>#DIV/0!</v>
      </c>
      <c r="AK168" s="59" t="e">
        <f t="shared" si="78"/>
        <v>#DIV/0!</v>
      </c>
      <c r="AL168" s="59" t="e">
        <f t="shared" si="79"/>
        <v>#DIV/0!</v>
      </c>
      <c r="AM168" s="65"/>
      <c r="AN168" s="59" t="e">
        <f t="shared" si="81"/>
        <v>#DIV/0!</v>
      </c>
      <c r="AO168" s="60" t="e">
        <f t="shared" si="57"/>
        <v>#DIV/0!</v>
      </c>
      <c r="AP168" s="65"/>
      <c r="AQ168" s="60" t="e">
        <f t="shared" si="82"/>
        <v>#DIV/0!</v>
      </c>
      <c r="AR168" s="65"/>
      <c r="AS168" s="60" t="e">
        <f t="shared" si="82"/>
        <v>#DIV/0!</v>
      </c>
      <c r="AT168" s="60" t="e">
        <f t="shared" si="82"/>
        <v>#DIV/0!</v>
      </c>
      <c r="AU168" s="60" t="e">
        <f t="shared" si="82"/>
        <v>#DIV/0!</v>
      </c>
      <c r="AV168" s="60" t="e">
        <f t="shared" si="82"/>
        <v>#DIV/0!</v>
      </c>
      <c r="AW168" s="60" t="e">
        <f t="shared" si="82"/>
        <v>#DIV/0!</v>
      </c>
      <c r="AX168" s="60" t="e">
        <f t="shared" si="82"/>
        <v>#DIV/0!</v>
      </c>
      <c r="AY168" s="60" t="e">
        <f t="shared" si="82"/>
        <v>#DIV/0!</v>
      </c>
      <c r="AZ168" s="65"/>
      <c r="BA168" s="60" t="e">
        <f t="shared" si="82"/>
        <v>#DIV/0!</v>
      </c>
      <c r="BB168" s="59" t="e">
        <f>Links!AF168</f>
        <v>#DIV/0!</v>
      </c>
      <c r="BC168" s="59" t="e">
        <f>(Links!AG168*Links!C168+'On-Ramps'!AC168*'On-Ramps'!CE168)/('On-Ramps'!AC168+Links!C168)</f>
        <v>#DIV/0!</v>
      </c>
      <c r="BD168" s="59" t="e">
        <f>Links!AH168</f>
        <v>#DIV/0!</v>
      </c>
      <c r="BE168" s="59" t="e">
        <f>(Links!AI168*Links!E168+'On-Ramps'!AD168*'On-Ramps'!CF167)/('On-Ramps'!AD168+Links!E168)</f>
        <v>#DIV/0!</v>
      </c>
      <c r="BF168" s="59" t="e">
        <f>(Links!F168*Links!AJ168+'On-Ramps'!AE168*'On-Ramps'!CG168)/('On-Ramps'!AE168+Links!F168)</f>
        <v>#DIV/0!</v>
      </c>
      <c r="BG168" s="59" t="e">
        <f>(Links!G168*Links!AK168+'On-Ramps'!AF168*'On-Ramps'!CH168)/('On-Ramps'!AF168+Links!G168)</f>
        <v>#DIV/0!</v>
      </c>
      <c r="BH168" s="59" t="e">
        <f>(Links!H168*Links!AL168+'On-Ramps'!AG168*'On-Ramps'!CI168)/('On-Ramps'!AG168+Links!H168)</f>
        <v>#DIV/0!</v>
      </c>
      <c r="BI168" s="59" t="e">
        <f>(Links!J168*Links!AN168+'On-Ramps'!AH168*'On-Ramps'!CJ168)/('On-Ramps'!AH168+Links!J168)</f>
        <v>#DIV/0!</v>
      </c>
      <c r="BJ168" s="59" t="e">
        <f>(Links!K168*Links!AO168+'On-Ramps'!AI168*'On-Ramps'!CK168)/('On-Ramps'!AI168+Links!K168)</f>
        <v>#DIV/0!</v>
      </c>
      <c r="BK168" s="59" t="e">
        <f>(Links!L168*Links!AP168+'On-Ramps'!AJ168*'On-Ramps'!CL168)/(Links!L168+'On-Ramps'!AJ168)</f>
        <v>#DIV/0!</v>
      </c>
      <c r="BL168" s="59" t="e">
        <f>Links!AQ168</f>
        <v>#DIV/0!</v>
      </c>
      <c r="BM168" s="59" t="e">
        <f>(Links!N168*Links!AR168+'On-Ramps'!AL168*'On-Ramps'!CM168)/(Links!N168+'On-Ramps'!AL168)</f>
        <v>#DIV/0!</v>
      </c>
      <c r="BN168" s="59" t="e">
        <f>Links!AS168</f>
        <v>#DIV/0!</v>
      </c>
      <c r="BO168" s="60" t="e">
        <f>(Links!R168^2+'Off-Ramp'!L168^2)/(Links!R168+'Off-Ramp'!L168)</f>
        <v>#DIV/0!</v>
      </c>
      <c r="BP168" s="60" t="e">
        <f>Links!S168</f>
        <v>#DIV/0!</v>
      </c>
      <c r="BQ168" s="60" t="e">
        <f>(Links!S168^2+'Off-Ramp'!C168^2)/(Links!S168+'Off-Ramp'!C168)</f>
        <v>#DIV/0!</v>
      </c>
      <c r="BR168" s="60" t="e">
        <f>Links!T168</f>
        <v>#DIV/0!</v>
      </c>
      <c r="BS168" s="60" t="e">
        <f>(Links!X168^2+'Off-Ramp'!V168^2+'Off-Ramp'!W168^2+'Off-Ramp'!X168^2)/(Links!X168+'Off-Ramp'!V168+'Off-Ramp'!W168+'Off-Ramp'!X168)</f>
        <v>#DIV/0!</v>
      </c>
      <c r="BT168" s="60" t="e">
        <f>(Links!Y168^2+'Off-Ramp'!Y168^2+'Off-Ramp'!Z168^2+'Off-Ramp'!AA168^2)/(Links!Y168+'Off-Ramp'!Y168+'Off-Ramp'!Z168+'Off-Ramp'!AA168)</f>
        <v>#DIV/0!</v>
      </c>
      <c r="BU168" s="60" t="e">
        <f>(Links!W168^2+'Off-Ramp'!P168^2)/(Links!W168+'Off-Ramp'!P168)</f>
        <v>#DIV/0!</v>
      </c>
      <c r="BV168" s="60" t="e">
        <f>(Links!Y168^2+'Off-Ramp'!Q168^2)/(Links!Y168+'Off-Ramp'!Q168)</f>
        <v>#DIV/0!</v>
      </c>
      <c r="BW168" s="60" t="e">
        <f>(Links!Z168^2+'Off-Ramp'!R168^2)/(Links!Z168+'Off-Ramp'!R168)</f>
        <v>#DIV/0!</v>
      </c>
      <c r="BX168" s="60" t="e">
        <f>(Links!AA168+'Off-Ramp'!S168)/(Links!AA168^2+'Off-Ramp'!S168^2)</f>
        <v>#DIV/0!</v>
      </c>
      <c r="BY168" s="60" t="e">
        <f>(Links!AB168^2+'Off-Ramp'!T168^2)/(Links!AB168+'Off-Ramp'!T168)</f>
        <v>#DIV/0!</v>
      </c>
      <c r="BZ168" s="60" t="e">
        <f>Links!AC168</f>
        <v>#DIV/0!</v>
      </c>
      <c r="CA168" s="60" t="e">
        <f>(Links!AD168^2+'Off-Ramp'!U168^2)/(Links!AD168+'Off-Ramp'!U168)</f>
        <v>#DIV/0!</v>
      </c>
    </row>
    <row r="169" spans="1:79" x14ac:dyDescent="0.15">
      <c r="A169" s="58">
        <v>167</v>
      </c>
      <c r="B169" s="59" t="e">
        <f t="shared" si="58"/>
        <v>#DIV/0!</v>
      </c>
      <c r="C169" s="59" t="e">
        <f t="shared" si="59"/>
        <v>#DIV/0!</v>
      </c>
      <c r="D169" s="59" t="e">
        <f t="shared" si="60"/>
        <v>#DIV/0!</v>
      </c>
      <c r="E169" s="59" t="e">
        <f t="shared" si="61"/>
        <v>#DIV/0!</v>
      </c>
      <c r="F169" s="59" t="e">
        <f t="shared" si="62"/>
        <v>#DIV/0!</v>
      </c>
      <c r="G169" s="59" t="e">
        <f t="shared" si="63"/>
        <v>#DIV/0!</v>
      </c>
      <c r="H169" s="59" t="e">
        <f t="shared" si="64"/>
        <v>#DIV/0!</v>
      </c>
      <c r="I169" s="59" t="e">
        <f t="shared" si="65"/>
        <v>#DIV/0!</v>
      </c>
      <c r="J169" s="59" t="e">
        <f t="shared" si="66"/>
        <v>#DIV/0!</v>
      </c>
      <c r="K169" s="59" t="e">
        <f t="shared" si="67"/>
        <v>#DIV/0!</v>
      </c>
      <c r="L169" s="59" t="e">
        <f t="shared" si="68"/>
        <v>#DIV/0!</v>
      </c>
      <c r="M169" s="59" t="e">
        <f t="shared" si="69"/>
        <v>#DIV/0!</v>
      </c>
      <c r="N169" s="59" t="e">
        <f t="shared" si="70"/>
        <v>#DIV/0!</v>
      </c>
      <c r="O169" s="60" t="e">
        <f>Links!B169</f>
        <v>#DIV/0!</v>
      </c>
      <c r="P169" s="60" t="e">
        <f>Links!C169+'On-Ramps'!AC169</f>
        <v>#DIV/0!</v>
      </c>
      <c r="Q169" s="60" t="e">
        <f>Links!D169</f>
        <v>#DIV/0!</v>
      </c>
      <c r="R169" s="60" t="e">
        <f>Links!E169+'On-Ramps'!AD169</f>
        <v>#DIV/0!</v>
      </c>
      <c r="S169" s="60" t="e">
        <f>Links!F169+'On-Ramps'!AE169</f>
        <v>#DIV/0!</v>
      </c>
      <c r="T169" s="60" t="e">
        <f>Links!G169+'On-Ramps'!AF169</f>
        <v>#DIV/0!</v>
      </c>
      <c r="U169" s="60" t="e">
        <f>Links!H169+'On-Ramps'!AG169</f>
        <v>#DIV/0!</v>
      </c>
      <c r="V169" s="60" t="e">
        <f>Links!J169+'On-Ramps'!AH169</f>
        <v>#DIV/0!</v>
      </c>
      <c r="W169" s="60" t="e">
        <f>Links!K169+'On-Ramps'!AI169</f>
        <v>#DIV/0!</v>
      </c>
      <c r="X169" s="60" t="e">
        <f>Links!L169+'On-Ramps'!AJ169</f>
        <v>#DIV/0!</v>
      </c>
      <c r="Y169" s="60" t="e">
        <f>Links!M169</f>
        <v>#DIV/0!</v>
      </c>
      <c r="Z169" s="60" t="e">
        <f>Links!N169+'On-Ramps'!AK169</f>
        <v>#DIV/0!</v>
      </c>
      <c r="AA169" s="60" t="e">
        <f>Links!O169</f>
        <v>#DIV/0!</v>
      </c>
      <c r="AB169" s="59" t="e">
        <f t="shared" si="71"/>
        <v>#DIV/0!</v>
      </c>
      <c r="AC169" s="65"/>
      <c r="AD169" s="59" t="e">
        <f t="shared" si="72"/>
        <v>#DIV/0!</v>
      </c>
      <c r="AE169" s="65"/>
      <c r="AF169" s="59" t="e">
        <f t="shared" si="73"/>
        <v>#DIV/0!</v>
      </c>
      <c r="AG169" s="59" t="e">
        <f t="shared" si="74"/>
        <v>#DIV/0!</v>
      </c>
      <c r="AH169" s="59" t="e">
        <f t="shared" si="75"/>
        <v>#DIV/0!</v>
      </c>
      <c r="AI169" s="59" t="e">
        <f t="shared" si="76"/>
        <v>#DIV/0!</v>
      </c>
      <c r="AJ169" s="59" t="e">
        <f t="shared" si="77"/>
        <v>#DIV/0!</v>
      </c>
      <c r="AK169" s="59" t="e">
        <f t="shared" si="78"/>
        <v>#DIV/0!</v>
      </c>
      <c r="AL169" s="59" t="e">
        <f t="shared" si="79"/>
        <v>#DIV/0!</v>
      </c>
      <c r="AM169" s="65"/>
      <c r="AN169" s="59" t="e">
        <f t="shared" si="81"/>
        <v>#DIV/0!</v>
      </c>
      <c r="AO169" s="60" t="e">
        <f t="shared" si="57"/>
        <v>#DIV/0!</v>
      </c>
      <c r="AP169" s="65"/>
      <c r="AQ169" s="60" t="e">
        <f t="shared" si="82"/>
        <v>#DIV/0!</v>
      </c>
      <c r="AR169" s="65"/>
      <c r="AS169" s="60" t="e">
        <f t="shared" si="82"/>
        <v>#DIV/0!</v>
      </c>
      <c r="AT169" s="60" t="e">
        <f t="shared" si="82"/>
        <v>#DIV/0!</v>
      </c>
      <c r="AU169" s="60" t="e">
        <f t="shared" si="82"/>
        <v>#DIV/0!</v>
      </c>
      <c r="AV169" s="60" t="e">
        <f t="shared" si="82"/>
        <v>#DIV/0!</v>
      </c>
      <c r="AW169" s="60" t="e">
        <f t="shared" si="82"/>
        <v>#DIV/0!</v>
      </c>
      <c r="AX169" s="60" t="e">
        <f t="shared" si="82"/>
        <v>#DIV/0!</v>
      </c>
      <c r="AY169" s="60" t="e">
        <f t="shared" si="82"/>
        <v>#DIV/0!</v>
      </c>
      <c r="AZ169" s="65"/>
      <c r="BA169" s="60" t="e">
        <f t="shared" si="82"/>
        <v>#DIV/0!</v>
      </c>
      <c r="BB169" s="59" t="e">
        <f>Links!AF169</f>
        <v>#DIV/0!</v>
      </c>
      <c r="BC169" s="59" t="e">
        <f>(Links!AG169*Links!C169+'On-Ramps'!AC169*'On-Ramps'!CE169)/('On-Ramps'!AC169+Links!C169)</f>
        <v>#DIV/0!</v>
      </c>
      <c r="BD169" s="59" t="e">
        <f>Links!AH169</f>
        <v>#DIV/0!</v>
      </c>
      <c r="BE169" s="59" t="e">
        <f>(Links!AI169*Links!E169+'On-Ramps'!AD169*'On-Ramps'!CF168)/('On-Ramps'!AD169+Links!E169)</f>
        <v>#DIV/0!</v>
      </c>
      <c r="BF169" s="59" t="e">
        <f>(Links!F169*Links!AJ169+'On-Ramps'!AE169*'On-Ramps'!CG169)/('On-Ramps'!AE169+Links!F169)</f>
        <v>#DIV/0!</v>
      </c>
      <c r="BG169" s="59" t="e">
        <f>(Links!G169*Links!AK169+'On-Ramps'!AF169*'On-Ramps'!CH169)/('On-Ramps'!AF169+Links!G169)</f>
        <v>#DIV/0!</v>
      </c>
      <c r="BH169" s="59" t="e">
        <f>(Links!H169*Links!AL169+'On-Ramps'!AG169*'On-Ramps'!CI169)/('On-Ramps'!AG169+Links!H169)</f>
        <v>#DIV/0!</v>
      </c>
      <c r="BI169" s="59" t="e">
        <f>(Links!J169*Links!AN169+'On-Ramps'!AH169*'On-Ramps'!CJ169)/('On-Ramps'!AH169+Links!J169)</f>
        <v>#DIV/0!</v>
      </c>
      <c r="BJ169" s="59" t="e">
        <f>(Links!K169*Links!AO169+'On-Ramps'!AI169*'On-Ramps'!CK169)/('On-Ramps'!AI169+Links!K169)</f>
        <v>#DIV/0!</v>
      </c>
      <c r="BK169" s="59" t="e">
        <f>(Links!L169*Links!AP169+'On-Ramps'!AJ169*'On-Ramps'!CL169)/(Links!L169+'On-Ramps'!AJ169)</f>
        <v>#DIV/0!</v>
      </c>
      <c r="BL169" s="59" t="e">
        <f>Links!AQ169</f>
        <v>#DIV/0!</v>
      </c>
      <c r="BM169" s="59" t="e">
        <f>(Links!N169*Links!AR169+'On-Ramps'!AL169*'On-Ramps'!CM169)/(Links!N169+'On-Ramps'!AL169)</f>
        <v>#DIV/0!</v>
      </c>
      <c r="BN169" s="59" t="e">
        <f>Links!AS169</f>
        <v>#DIV/0!</v>
      </c>
      <c r="BO169" s="60" t="e">
        <f>(Links!R169^2+'Off-Ramp'!L169^2)/(Links!R169+'Off-Ramp'!L169)</f>
        <v>#DIV/0!</v>
      </c>
      <c r="BP169" s="60" t="e">
        <f>Links!S169</f>
        <v>#DIV/0!</v>
      </c>
      <c r="BQ169" s="60" t="e">
        <f>(Links!S169^2+'Off-Ramp'!C169^2)/(Links!S169+'Off-Ramp'!C169)</f>
        <v>#DIV/0!</v>
      </c>
      <c r="BR169" s="60" t="e">
        <f>Links!T169</f>
        <v>#DIV/0!</v>
      </c>
      <c r="BS169" s="60" t="e">
        <f>(Links!X169^2+'Off-Ramp'!V169^2+'Off-Ramp'!W169^2+'Off-Ramp'!X169^2)/(Links!X169+'Off-Ramp'!V169+'Off-Ramp'!W169+'Off-Ramp'!X169)</f>
        <v>#DIV/0!</v>
      </c>
      <c r="BT169" s="60" t="e">
        <f>(Links!Y169^2+'Off-Ramp'!Y169^2+'Off-Ramp'!Z169^2+'Off-Ramp'!AA169^2)/(Links!Y169+'Off-Ramp'!Y169+'Off-Ramp'!Z169+'Off-Ramp'!AA169)</f>
        <v>#DIV/0!</v>
      </c>
      <c r="BU169" s="60" t="e">
        <f>(Links!W169^2+'Off-Ramp'!P169^2)/(Links!W169+'Off-Ramp'!P169)</f>
        <v>#DIV/0!</v>
      </c>
      <c r="BV169" s="60" t="e">
        <f>(Links!Y169^2+'Off-Ramp'!Q169^2)/(Links!Y169+'Off-Ramp'!Q169)</f>
        <v>#DIV/0!</v>
      </c>
      <c r="BW169" s="60" t="e">
        <f>(Links!Z169^2+'Off-Ramp'!R169^2)/(Links!Z169+'Off-Ramp'!R169)</f>
        <v>#DIV/0!</v>
      </c>
      <c r="BX169" s="60" t="e">
        <f>(Links!AA169+'Off-Ramp'!S169)/(Links!AA169^2+'Off-Ramp'!S169^2)</f>
        <v>#DIV/0!</v>
      </c>
      <c r="BY169" s="60" t="e">
        <f>(Links!AB169^2+'Off-Ramp'!T169^2)/(Links!AB169+'Off-Ramp'!T169)</f>
        <v>#DIV/0!</v>
      </c>
      <c r="BZ169" s="60" t="e">
        <f>Links!AC169</f>
        <v>#DIV/0!</v>
      </c>
      <c r="CA169" s="60" t="e">
        <f>(Links!AD169^2+'Off-Ramp'!U169^2)/(Links!AD169+'Off-Ramp'!U169)</f>
        <v>#DIV/0!</v>
      </c>
    </row>
    <row r="170" spans="1:79" x14ac:dyDescent="0.15">
      <c r="A170" s="58">
        <v>168</v>
      </c>
      <c r="B170" s="59" t="e">
        <f t="shared" si="58"/>
        <v>#DIV/0!</v>
      </c>
      <c r="C170" s="59" t="e">
        <f t="shared" si="59"/>
        <v>#DIV/0!</v>
      </c>
      <c r="D170" s="59" t="e">
        <f t="shared" si="60"/>
        <v>#DIV/0!</v>
      </c>
      <c r="E170" s="59" t="e">
        <f t="shared" si="61"/>
        <v>#DIV/0!</v>
      </c>
      <c r="F170" s="59" t="e">
        <f t="shared" si="62"/>
        <v>#DIV/0!</v>
      </c>
      <c r="G170" s="59" t="e">
        <f t="shared" si="63"/>
        <v>#DIV/0!</v>
      </c>
      <c r="H170" s="59" t="e">
        <f t="shared" si="64"/>
        <v>#DIV/0!</v>
      </c>
      <c r="I170" s="59" t="e">
        <f t="shared" si="65"/>
        <v>#DIV/0!</v>
      </c>
      <c r="J170" s="59" t="e">
        <f t="shared" si="66"/>
        <v>#DIV/0!</v>
      </c>
      <c r="K170" s="59" t="e">
        <f t="shared" si="67"/>
        <v>#DIV/0!</v>
      </c>
      <c r="L170" s="59" t="e">
        <f t="shared" si="68"/>
        <v>#DIV/0!</v>
      </c>
      <c r="M170" s="59" t="e">
        <f t="shared" si="69"/>
        <v>#DIV/0!</v>
      </c>
      <c r="N170" s="59" t="e">
        <f t="shared" si="70"/>
        <v>#DIV/0!</v>
      </c>
      <c r="O170" s="60" t="e">
        <f>Links!B170</f>
        <v>#DIV/0!</v>
      </c>
      <c r="P170" s="60" t="e">
        <f>Links!C170+'On-Ramps'!AC170</f>
        <v>#DIV/0!</v>
      </c>
      <c r="Q170" s="60" t="e">
        <f>Links!D170</f>
        <v>#DIV/0!</v>
      </c>
      <c r="R170" s="60" t="e">
        <f>Links!E170+'On-Ramps'!AD170</f>
        <v>#DIV/0!</v>
      </c>
      <c r="S170" s="60" t="e">
        <f>Links!F170+'On-Ramps'!AE170</f>
        <v>#DIV/0!</v>
      </c>
      <c r="T170" s="60" t="e">
        <f>Links!G170+'On-Ramps'!AF170</f>
        <v>#DIV/0!</v>
      </c>
      <c r="U170" s="60" t="e">
        <f>Links!H170+'On-Ramps'!AG170</f>
        <v>#DIV/0!</v>
      </c>
      <c r="V170" s="60" t="e">
        <f>Links!J170+'On-Ramps'!AH170</f>
        <v>#DIV/0!</v>
      </c>
      <c r="W170" s="60" t="e">
        <f>Links!K170+'On-Ramps'!AI170</f>
        <v>#DIV/0!</v>
      </c>
      <c r="X170" s="60" t="e">
        <f>Links!L170+'On-Ramps'!AJ170</f>
        <v>#DIV/0!</v>
      </c>
      <c r="Y170" s="60" t="e">
        <f>Links!M170</f>
        <v>#DIV/0!</v>
      </c>
      <c r="Z170" s="60" t="e">
        <f>Links!N170+'On-Ramps'!AK170</f>
        <v>#DIV/0!</v>
      </c>
      <c r="AA170" s="60" t="e">
        <f>Links!O170</f>
        <v>#DIV/0!</v>
      </c>
      <c r="AB170" s="59" t="e">
        <f t="shared" si="71"/>
        <v>#DIV/0!</v>
      </c>
      <c r="AC170" s="65"/>
      <c r="AD170" s="59" t="e">
        <f t="shared" si="72"/>
        <v>#DIV/0!</v>
      </c>
      <c r="AE170" s="65"/>
      <c r="AF170" s="59" t="e">
        <f t="shared" si="73"/>
        <v>#DIV/0!</v>
      </c>
      <c r="AG170" s="59" t="e">
        <f t="shared" si="74"/>
        <v>#DIV/0!</v>
      </c>
      <c r="AH170" s="59" t="e">
        <f t="shared" si="75"/>
        <v>#DIV/0!</v>
      </c>
      <c r="AI170" s="59" t="e">
        <f t="shared" si="76"/>
        <v>#DIV/0!</v>
      </c>
      <c r="AJ170" s="59" t="e">
        <f t="shared" si="77"/>
        <v>#DIV/0!</v>
      </c>
      <c r="AK170" s="59" t="e">
        <f t="shared" si="78"/>
        <v>#DIV/0!</v>
      </c>
      <c r="AL170" s="59" t="e">
        <f t="shared" si="79"/>
        <v>#DIV/0!</v>
      </c>
      <c r="AM170" s="65"/>
      <c r="AN170" s="59" t="e">
        <f t="shared" si="81"/>
        <v>#DIV/0!</v>
      </c>
      <c r="AO170" s="60" t="e">
        <f t="shared" si="57"/>
        <v>#DIV/0!</v>
      </c>
      <c r="AP170" s="65"/>
      <c r="AQ170" s="60" t="e">
        <f t="shared" si="82"/>
        <v>#DIV/0!</v>
      </c>
      <c r="AR170" s="65"/>
      <c r="AS170" s="60" t="e">
        <f t="shared" si="82"/>
        <v>#DIV/0!</v>
      </c>
      <c r="AT170" s="60" t="e">
        <f t="shared" si="82"/>
        <v>#DIV/0!</v>
      </c>
      <c r="AU170" s="60" t="e">
        <f t="shared" si="82"/>
        <v>#DIV/0!</v>
      </c>
      <c r="AV170" s="60" t="e">
        <f t="shared" si="82"/>
        <v>#DIV/0!</v>
      </c>
      <c r="AW170" s="60" t="e">
        <f t="shared" si="82"/>
        <v>#DIV/0!</v>
      </c>
      <c r="AX170" s="60" t="e">
        <f t="shared" si="82"/>
        <v>#DIV/0!</v>
      </c>
      <c r="AY170" s="60" t="e">
        <f t="shared" si="82"/>
        <v>#DIV/0!</v>
      </c>
      <c r="AZ170" s="65"/>
      <c r="BA170" s="60" t="e">
        <f t="shared" si="82"/>
        <v>#DIV/0!</v>
      </c>
      <c r="BB170" s="59" t="e">
        <f>Links!AF170</f>
        <v>#DIV/0!</v>
      </c>
      <c r="BC170" s="59" t="e">
        <f>(Links!AG170*Links!C170+'On-Ramps'!AC170*'On-Ramps'!CE170)/('On-Ramps'!AC170+Links!C170)</f>
        <v>#DIV/0!</v>
      </c>
      <c r="BD170" s="59" t="e">
        <f>Links!AH170</f>
        <v>#DIV/0!</v>
      </c>
      <c r="BE170" s="59" t="e">
        <f>(Links!AI170*Links!E170+'On-Ramps'!AD170*'On-Ramps'!CF169)/('On-Ramps'!AD170+Links!E170)</f>
        <v>#DIV/0!</v>
      </c>
      <c r="BF170" s="59" t="e">
        <f>(Links!F170*Links!AJ170+'On-Ramps'!AE170*'On-Ramps'!CG170)/('On-Ramps'!AE170+Links!F170)</f>
        <v>#DIV/0!</v>
      </c>
      <c r="BG170" s="59" t="e">
        <f>(Links!G170*Links!AK170+'On-Ramps'!AF170*'On-Ramps'!CH170)/('On-Ramps'!AF170+Links!G170)</f>
        <v>#DIV/0!</v>
      </c>
      <c r="BH170" s="59" t="e">
        <f>(Links!H170*Links!AL170+'On-Ramps'!AG170*'On-Ramps'!CI170)/('On-Ramps'!AG170+Links!H170)</f>
        <v>#DIV/0!</v>
      </c>
      <c r="BI170" s="59" t="e">
        <f>(Links!J170*Links!AN170+'On-Ramps'!AH170*'On-Ramps'!CJ170)/('On-Ramps'!AH170+Links!J170)</f>
        <v>#DIV/0!</v>
      </c>
      <c r="BJ170" s="59" t="e">
        <f>(Links!K170*Links!AO170+'On-Ramps'!AI170*'On-Ramps'!CK170)/('On-Ramps'!AI170+Links!K170)</f>
        <v>#DIV/0!</v>
      </c>
      <c r="BK170" s="59" t="e">
        <f>(Links!L170*Links!AP170+'On-Ramps'!AJ170*'On-Ramps'!CL170)/(Links!L170+'On-Ramps'!AJ170)</f>
        <v>#DIV/0!</v>
      </c>
      <c r="BL170" s="59" t="e">
        <f>Links!AQ170</f>
        <v>#DIV/0!</v>
      </c>
      <c r="BM170" s="59" t="e">
        <f>(Links!N170*Links!AR170+'On-Ramps'!AL170*'On-Ramps'!CM170)/(Links!N170+'On-Ramps'!AL170)</f>
        <v>#DIV/0!</v>
      </c>
      <c r="BN170" s="59" t="e">
        <f>Links!AS170</f>
        <v>#DIV/0!</v>
      </c>
      <c r="BO170" s="60" t="e">
        <f>(Links!R170^2+'Off-Ramp'!L170^2)/(Links!R170+'Off-Ramp'!L170)</f>
        <v>#DIV/0!</v>
      </c>
      <c r="BP170" s="60" t="e">
        <f>Links!S170</f>
        <v>#DIV/0!</v>
      </c>
      <c r="BQ170" s="60" t="e">
        <f>(Links!S170^2+'Off-Ramp'!C170^2)/(Links!S170+'Off-Ramp'!C170)</f>
        <v>#DIV/0!</v>
      </c>
      <c r="BR170" s="60" t="e">
        <f>Links!T170</f>
        <v>#DIV/0!</v>
      </c>
      <c r="BS170" s="60" t="e">
        <f>(Links!X170^2+'Off-Ramp'!V170^2+'Off-Ramp'!W170^2+'Off-Ramp'!X170^2)/(Links!X170+'Off-Ramp'!V170+'Off-Ramp'!W170+'Off-Ramp'!X170)</f>
        <v>#DIV/0!</v>
      </c>
      <c r="BT170" s="60" t="e">
        <f>(Links!Y170^2+'Off-Ramp'!Y170^2+'Off-Ramp'!Z170^2+'Off-Ramp'!AA170^2)/(Links!Y170+'Off-Ramp'!Y170+'Off-Ramp'!Z170+'Off-Ramp'!AA170)</f>
        <v>#DIV/0!</v>
      </c>
      <c r="BU170" s="60" t="e">
        <f>(Links!W170^2+'Off-Ramp'!P170^2)/(Links!W170+'Off-Ramp'!P170)</f>
        <v>#DIV/0!</v>
      </c>
      <c r="BV170" s="60" t="e">
        <f>(Links!Y170^2+'Off-Ramp'!Q170^2)/(Links!Y170+'Off-Ramp'!Q170)</f>
        <v>#DIV/0!</v>
      </c>
      <c r="BW170" s="60" t="e">
        <f>(Links!Z170^2+'Off-Ramp'!R170^2)/(Links!Z170+'Off-Ramp'!R170)</f>
        <v>#DIV/0!</v>
      </c>
      <c r="BX170" s="60" t="e">
        <f>(Links!AA170+'Off-Ramp'!S170)/(Links!AA170^2+'Off-Ramp'!S170^2)</f>
        <v>#DIV/0!</v>
      </c>
      <c r="BY170" s="60" t="e">
        <f>(Links!AB170^2+'Off-Ramp'!T170^2)/(Links!AB170+'Off-Ramp'!T170)</f>
        <v>#DIV/0!</v>
      </c>
      <c r="BZ170" s="60" t="e">
        <f>Links!AC170</f>
        <v>#DIV/0!</v>
      </c>
      <c r="CA170" s="60" t="e">
        <f>(Links!AD170^2+'Off-Ramp'!U170^2)/(Links!AD170+'Off-Ramp'!U170)</f>
        <v>#DIV/0!</v>
      </c>
    </row>
    <row r="171" spans="1:79" x14ac:dyDescent="0.15">
      <c r="A171" s="58">
        <v>169</v>
      </c>
      <c r="B171" s="59" t="e">
        <f t="shared" si="58"/>
        <v>#DIV/0!</v>
      </c>
      <c r="C171" s="59" t="e">
        <f t="shared" si="59"/>
        <v>#DIV/0!</v>
      </c>
      <c r="D171" s="59" t="e">
        <f t="shared" si="60"/>
        <v>#DIV/0!</v>
      </c>
      <c r="E171" s="59" t="e">
        <f t="shared" si="61"/>
        <v>#DIV/0!</v>
      </c>
      <c r="F171" s="59" t="e">
        <f t="shared" si="62"/>
        <v>#DIV/0!</v>
      </c>
      <c r="G171" s="59" t="e">
        <f t="shared" si="63"/>
        <v>#DIV/0!</v>
      </c>
      <c r="H171" s="59" t="e">
        <f t="shared" si="64"/>
        <v>#DIV/0!</v>
      </c>
      <c r="I171" s="59" t="e">
        <f t="shared" si="65"/>
        <v>#DIV/0!</v>
      </c>
      <c r="J171" s="59" t="e">
        <f t="shared" si="66"/>
        <v>#DIV/0!</v>
      </c>
      <c r="K171" s="59" t="e">
        <f t="shared" si="67"/>
        <v>#DIV/0!</v>
      </c>
      <c r="L171" s="59" t="e">
        <f t="shared" si="68"/>
        <v>#DIV/0!</v>
      </c>
      <c r="M171" s="59" t="e">
        <f t="shared" si="69"/>
        <v>#DIV/0!</v>
      </c>
      <c r="N171" s="59" t="e">
        <f t="shared" si="70"/>
        <v>#DIV/0!</v>
      </c>
      <c r="O171" s="60" t="e">
        <f>Links!B171</f>
        <v>#DIV/0!</v>
      </c>
      <c r="P171" s="60" t="e">
        <f>Links!C171+'On-Ramps'!AC171</f>
        <v>#DIV/0!</v>
      </c>
      <c r="Q171" s="60" t="e">
        <f>Links!D171</f>
        <v>#DIV/0!</v>
      </c>
      <c r="R171" s="60" t="e">
        <f>Links!E171+'On-Ramps'!AD171</f>
        <v>#DIV/0!</v>
      </c>
      <c r="S171" s="60" t="e">
        <f>Links!F171+'On-Ramps'!AE171</f>
        <v>#DIV/0!</v>
      </c>
      <c r="T171" s="60" t="e">
        <f>Links!G171+'On-Ramps'!AF171</f>
        <v>#DIV/0!</v>
      </c>
      <c r="U171" s="60" t="e">
        <f>Links!H171+'On-Ramps'!AG171</f>
        <v>#DIV/0!</v>
      </c>
      <c r="V171" s="60" t="e">
        <f>Links!J171+'On-Ramps'!AH171</f>
        <v>#DIV/0!</v>
      </c>
      <c r="W171" s="60" t="e">
        <f>Links!K171+'On-Ramps'!AI171</f>
        <v>#DIV/0!</v>
      </c>
      <c r="X171" s="60" t="e">
        <f>Links!L171+'On-Ramps'!AJ171</f>
        <v>#DIV/0!</v>
      </c>
      <c r="Y171" s="60" t="e">
        <f>Links!M171</f>
        <v>#DIV/0!</v>
      </c>
      <c r="Z171" s="60" t="e">
        <f>Links!N171+'On-Ramps'!AK171</f>
        <v>#DIV/0!</v>
      </c>
      <c r="AA171" s="60" t="e">
        <f>Links!O171</f>
        <v>#DIV/0!</v>
      </c>
      <c r="AB171" s="59" t="e">
        <f t="shared" si="71"/>
        <v>#DIV/0!</v>
      </c>
      <c r="AC171" s="65"/>
      <c r="AD171" s="59" t="e">
        <f t="shared" si="72"/>
        <v>#DIV/0!</v>
      </c>
      <c r="AE171" s="65"/>
      <c r="AF171" s="59" t="e">
        <f t="shared" si="73"/>
        <v>#DIV/0!</v>
      </c>
      <c r="AG171" s="59" t="e">
        <f t="shared" si="74"/>
        <v>#DIV/0!</v>
      </c>
      <c r="AH171" s="59" t="e">
        <f t="shared" si="75"/>
        <v>#DIV/0!</v>
      </c>
      <c r="AI171" s="59" t="e">
        <f t="shared" si="76"/>
        <v>#DIV/0!</v>
      </c>
      <c r="AJ171" s="59" t="e">
        <f t="shared" si="77"/>
        <v>#DIV/0!</v>
      </c>
      <c r="AK171" s="59" t="e">
        <f t="shared" si="78"/>
        <v>#DIV/0!</v>
      </c>
      <c r="AL171" s="59" t="e">
        <f t="shared" si="79"/>
        <v>#DIV/0!</v>
      </c>
      <c r="AM171" s="65"/>
      <c r="AN171" s="59" t="e">
        <f t="shared" si="81"/>
        <v>#DIV/0!</v>
      </c>
      <c r="AO171" s="60" t="e">
        <f t="shared" si="57"/>
        <v>#DIV/0!</v>
      </c>
      <c r="AP171" s="65"/>
      <c r="AQ171" s="60" t="e">
        <f t="shared" si="82"/>
        <v>#DIV/0!</v>
      </c>
      <c r="AR171" s="65"/>
      <c r="AS171" s="60" t="e">
        <f t="shared" si="82"/>
        <v>#DIV/0!</v>
      </c>
      <c r="AT171" s="60" t="e">
        <f t="shared" si="82"/>
        <v>#DIV/0!</v>
      </c>
      <c r="AU171" s="60" t="e">
        <f t="shared" si="82"/>
        <v>#DIV/0!</v>
      </c>
      <c r="AV171" s="60" t="e">
        <f t="shared" si="82"/>
        <v>#DIV/0!</v>
      </c>
      <c r="AW171" s="60" t="e">
        <f t="shared" si="82"/>
        <v>#DIV/0!</v>
      </c>
      <c r="AX171" s="60" t="e">
        <f t="shared" si="82"/>
        <v>#DIV/0!</v>
      </c>
      <c r="AY171" s="60" t="e">
        <f t="shared" si="82"/>
        <v>#DIV/0!</v>
      </c>
      <c r="AZ171" s="65"/>
      <c r="BA171" s="60" t="e">
        <f t="shared" si="82"/>
        <v>#DIV/0!</v>
      </c>
      <c r="BB171" s="59" t="e">
        <f>Links!AF171</f>
        <v>#DIV/0!</v>
      </c>
      <c r="BC171" s="59" t="e">
        <f>(Links!AG171*Links!C171+'On-Ramps'!AC171*'On-Ramps'!CE171)/('On-Ramps'!AC171+Links!C171)</f>
        <v>#DIV/0!</v>
      </c>
      <c r="BD171" s="59" t="e">
        <f>Links!AH171</f>
        <v>#DIV/0!</v>
      </c>
      <c r="BE171" s="59" t="e">
        <f>(Links!AI171*Links!E171+'On-Ramps'!AD171*'On-Ramps'!CF170)/('On-Ramps'!AD171+Links!E171)</f>
        <v>#DIV/0!</v>
      </c>
      <c r="BF171" s="59" t="e">
        <f>(Links!F171*Links!AJ171+'On-Ramps'!AE171*'On-Ramps'!CG171)/('On-Ramps'!AE171+Links!F171)</f>
        <v>#DIV/0!</v>
      </c>
      <c r="BG171" s="59" t="e">
        <f>(Links!G171*Links!AK171+'On-Ramps'!AF171*'On-Ramps'!CH171)/('On-Ramps'!AF171+Links!G171)</f>
        <v>#DIV/0!</v>
      </c>
      <c r="BH171" s="59" t="e">
        <f>(Links!H171*Links!AL171+'On-Ramps'!AG171*'On-Ramps'!CI171)/('On-Ramps'!AG171+Links!H171)</f>
        <v>#DIV/0!</v>
      </c>
      <c r="BI171" s="59" t="e">
        <f>(Links!J171*Links!AN171+'On-Ramps'!AH171*'On-Ramps'!CJ171)/('On-Ramps'!AH171+Links!J171)</f>
        <v>#DIV/0!</v>
      </c>
      <c r="BJ171" s="59" t="e">
        <f>(Links!K171*Links!AO171+'On-Ramps'!AI171*'On-Ramps'!CK171)/('On-Ramps'!AI171+Links!K171)</f>
        <v>#DIV/0!</v>
      </c>
      <c r="BK171" s="59" t="e">
        <f>(Links!L171*Links!AP171+'On-Ramps'!AJ171*'On-Ramps'!CL171)/(Links!L171+'On-Ramps'!AJ171)</f>
        <v>#DIV/0!</v>
      </c>
      <c r="BL171" s="59" t="e">
        <f>Links!AQ171</f>
        <v>#DIV/0!</v>
      </c>
      <c r="BM171" s="59" t="e">
        <f>(Links!N171*Links!AR171+'On-Ramps'!AL171*'On-Ramps'!CM171)/(Links!N171+'On-Ramps'!AL171)</f>
        <v>#DIV/0!</v>
      </c>
      <c r="BN171" s="59" t="e">
        <f>Links!AS171</f>
        <v>#DIV/0!</v>
      </c>
      <c r="BO171" s="60" t="e">
        <f>(Links!R171^2+'Off-Ramp'!L171^2)/(Links!R171+'Off-Ramp'!L171)</f>
        <v>#DIV/0!</v>
      </c>
      <c r="BP171" s="60" t="e">
        <f>Links!S171</f>
        <v>#DIV/0!</v>
      </c>
      <c r="BQ171" s="60" t="e">
        <f>(Links!S171^2+'Off-Ramp'!C171^2)/(Links!S171+'Off-Ramp'!C171)</f>
        <v>#DIV/0!</v>
      </c>
      <c r="BR171" s="60" t="e">
        <f>Links!T171</f>
        <v>#DIV/0!</v>
      </c>
      <c r="BS171" s="60" t="e">
        <f>(Links!X171^2+'Off-Ramp'!V171^2+'Off-Ramp'!W171^2+'Off-Ramp'!X171^2)/(Links!X171+'Off-Ramp'!V171+'Off-Ramp'!W171+'Off-Ramp'!X171)</f>
        <v>#DIV/0!</v>
      </c>
      <c r="BT171" s="60" t="e">
        <f>(Links!Y171^2+'Off-Ramp'!Y171^2+'Off-Ramp'!Z171^2+'Off-Ramp'!AA171^2)/(Links!Y171+'Off-Ramp'!Y171+'Off-Ramp'!Z171+'Off-Ramp'!AA171)</f>
        <v>#DIV/0!</v>
      </c>
      <c r="BU171" s="60" t="e">
        <f>(Links!W171^2+'Off-Ramp'!P171^2)/(Links!W171+'Off-Ramp'!P171)</f>
        <v>#DIV/0!</v>
      </c>
      <c r="BV171" s="60" t="e">
        <f>(Links!Y171^2+'Off-Ramp'!Q171^2)/(Links!Y171+'Off-Ramp'!Q171)</f>
        <v>#DIV/0!</v>
      </c>
      <c r="BW171" s="60" t="e">
        <f>(Links!Z171^2+'Off-Ramp'!R171^2)/(Links!Z171+'Off-Ramp'!R171)</f>
        <v>#DIV/0!</v>
      </c>
      <c r="BX171" s="60" t="e">
        <f>(Links!AA171+'Off-Ramp'!S171)/(Links!AA171^2+'Off-Ramp'!S171^2)</f>
        <v>#DIV/0!</v>
      </c>
      <c r="BY171" s="60" t="e">
        <f>(Links!AB171^2+'Off-Ramp'!T171^2)/(Links!AB171+'Off-Ramp'!T171)</f>
        <v>#DIV/0!</v>
      </c>
      <c r="BZ171" s="60" t="e">
        <f>Links!AC171</f>
        <v>#DIV/0!</v>
      </c>
      <c r="CA171" s="60" t="e">
        <f>(Links!AD171^2+'Off-Ramp'!U171^2)/(Links!AD171+'Off-Ramp'!U171)</f>
        <v>#DIV/0!</v>
      </c>
    </row>
    <row r="172" spans="1:79" x14ac:dyDescent="0.15">
      <c r="A172" s="58">
        <v>170</v>
      </c>
      <c r="B172" s="59" t="e">
        <f t="shared" si="58"/>
        <v>#DIV/0!</v>
      </c>
      <c r="C172" s="59" t="e">
        <f t="shared" si="59"/>
        <v>#DIV/0!</v>
      </c>
      <c r="D172" s="59" t="e">
        <f t="shared" si="60"/>
        <v>#DIV/0!</v>
      </c>
      <c r="E172" s="59" t="e">
        <f t="shared" si="61"/>
        <v>#DIV/0!</v>
      </c>
      <c r="F172" s="59" t="e">
        <f t="shared" si="62"/>
        <v>#DIV/0!</v>
      </c>
      <c r="G172" s="59" t="e">
        <f t="shared" si="63"/>
        <v>#DIV/0!</v>
      </c>
      <c r="H172" s="59" t="e">
        <f t="shared" si="64"/>
        <v>#DIV/0!</v>
      </c>
      <c r="I172" s="59" t="e">
        <f t="shared" si="65"/>
        <v>#DIV/0!</v>
      </c>
      <c r="J172" s="59" t="e">
        <f t="shared" si="66"/>
        <v>#DIV/0!</v>
      </c>
      <c r="K172" s="59" t="e">
        <f t="shared" si="67"/>
        <v>#DIV/0!</v>
      </c>
      <c r="L172" s="59" t="e">
        <f t="shared" si="68"/>
        <v>#DIV/0!</v>
      </c>
      <c r="M172" s="59" t="e">
        <f t="shared" si="69"/>
        <v>#DIV/0!</v>
      </c>
      <c r="N172" s="59" t="e">
        <f t="shared" si="70"/>
        <v>#DIV/0!</v>
      </c>
      <c r="O172" s="60" t="e">
        <f>Links!B172</f>
        <v>#DIV/0!</v>
      </c>
      <c r="P172" s="60" t="e">
        <f>Links!C172+'On-Ramps'!AC172</f>
        <v>#DIV/0!</v>
      </c>
      <c r="Q172" s="60" t="e">
        <f>Links!D172</f>
        <v>#DIV/0!</v>
      </c>
      <c r="R172" s="60" t="e">
        <f>Links!E172+'On-Ramps'!AD172</f>
        <v>#DIV/0!</v>
      </c>
      <c r="S172" s="60" t="e">
        <f>Links!F172+'On-Ramps'!AE172</f>
        <v>#DIV/0!</v>
      </c>
      <c r="T172" s="60" t="e">
        <f>Links!G172+'On-Ramps'!AF172</f>
        <v>#DIV/0!</v>
      </c>
      <c r="U172" s="60" t="e">
        <f>Links!H172+'On-Ramps'!AG172</f>
        <v>#DIV/0!</v>
      </c>
      <c r="V172" s="60" t="e">
        <f>Links!J172+'On-Ramps'!AH172</f>
        <v>#DIV/0!</v>
      </c>
      <c r="W172" s="60" t="e">
        <f>Links!K172+'On-Ramps'!AI172</f>
        <v>#DIV/0!</v>
      </c>
      <c r="X172" s="60" t="e">
        <f>Links!L172+'On-Ramps'!AJ172</f>
        <v>#DIV/0!</v>
      </c>
      <c r="Y172" s="60" t="e">
        <f>Links!M172</f>
        <v>#DIV/0!</v>
      </c>
      <c r="Z172" s="60" t="e">
        <f>Links!N172+'On-Ramps'!AK172</f>
        <v>#DIV/0!</v>
      </c>
      <c r="AA172" s="60" t="e">
        <f>Links!O172</f>
        <v>#DIV/0!</v>
      </c>
      <c r="AB172" s="59" t="e">
        <f t="shared" si="71"/>
        <v>#DIV/0!</v>
      </c>
      <c r="AC172" s="65"/>
      <c r="AD172" s="59" t="e">
        <f t="shared" si="72"/>
        <v>#DIV/0!</v>
      </c>
      <c r="AE172" s="65"/>
      <c r="AF172" s="59" t="e">
        <f t="shared" si="73"/>
        <v>#DIV/0!</v>
      </c>
      <c r="AG172" s="59" t="e">
        <f t="shared" si="74"/>
        <v>#DIV/0!</v>
      </c>
      <c r="AH172" s="59" t="e">
        <f t="shared" si="75"/>
        <v>#DIV/0!</v>
      </c>
      <c r="AI172" s="59" t="e">
        <f t="shared" si="76"/>
        <v>#DIV/0!</v>
      </c>
      <c r="AJ172" s="59" t="e">
        <f t="shared" si="77"/>
        <v>#DIV/0!</v>
      </c>
      <c r="AK172" s="59" t="e">
        <f t="shared" si="78"/>
        <v>#DIV/0!</v>
      </c>
      <c r="AL172" s="59" t="e">
        <f t="shared" si="79"/>
        <v>#DIV/0!</v>
      </c>
      <c r="AM172" s="65"/>
      <c r="AN172" s="59" t="e">
        <f t="shared" si="81"/>
        <v>#DIV/0!</v>
      </c>
      <c r="AO172" s="60" t="e">
        <f t="shared" si="57"/>
        <v>#DIV/0!</v>
      </c>
      <c r="AP172" s="65"/>
      <c r="AQ172" s="60" t="e">
        <f t="shared" si="82"/>
        <v>#DIV/0!</v>
      </c>
      <c r="AR172" s="65"/>
      <c r="AS172" s="60" t="e">
        <f t="shared" si="82"/>
        <v>#DIV/0!</v>
      </c>
      <c r="AT172" s="60" t="e">
        <f t="shared" si="82"/>
        <v>#DIV/0!</v>
      </c>
      <c r="AU172" s="60" t="e">
        <f t="shared" si="82"/>
        <v>#DIV/0!</v>
      </c>
      <c r="AV172" s="60" t="e">
        <f t="shared" si="82"/>
        <v>#DIV/0!</v>
      </c>
      <c r="AW172" s="60" t="e">
        <f t="shared" si="82"/>
        <v>#DIV/0!</v>
      </c>
      <c r="AX172" s="60" t="e">
        <f t="shared" si="82"/>
        <v>#DIV/0!</v>
      </c>
      <c r="AY172" s="60" t="e">
        <f t="shared" si="82"/>
        <v>#DIV/0!</v>
      </c>
      <c r="AZ172" s="65"/>
      <c r="BA172" s="60" t="e">
        <f t="shared" si="82"/>
        <v>#DIV/0!</v>
      </c>
      <c r="BB172" s="59" t="e">
        <f>Links!AF172</f>
        <v>#DIV/0!</v>
      </c>
      <c r="BC172" s="59" t="e">
        <f>(Links!AG172*Links!C172+'On-Ramps'!AC172*'On-Ramps'!CE172)/('On-Ramps'!AC172+Links!C172)</f>
        <v>#DIV/0!</v>
      </c>
      <c r="BD172" s="59" t="e">
        <f>Links!AH172</f>
        <v>#DIV/0!</v>
      </c>
      <c r="BE172" s="59" t="e">
        <f>(Links!AI172*Links!E172+'On-Ramps'!AD172*'On-Ramps'!CF171)/('On-Ramps'!AD172+Links!E172)</f>
        <v>#DIV/0!</v>
      </c>
      <c r="BF172" s="59" t="e">
        <f>(Links!F172*Links!AJ172+'On-Ramps'!AE172*'On-Ramps'!CG172)/('On-Ramps'!AE172+Links!F172)</f>
        <v>#DIV/0!</v>
      </c>
      <c r="BG172" s="59" t="e">
        <f>(Links!G172*Links!AK172+'On-Ramps'!AF172*'On-Ramps'!CH172)/('On-Ramps'!AF172+Links!G172)</f>
        <v>#DIV/0!</v>
      </c>
      <c r="BH172" s="59" t="e">
        <f>(Links!H172*Links!AL172+'On-Ramps'!AG172*'On-Ramps'!CI172)/('On-Ramps'!AG172+Links!H172)</f>
        <v>#DIV/0!</v>
      </c>
      <c r="BI172" s="59" t="e">
        <f>(Links!J172*Links!AN172+'On-Ramps'!AH172*'On-Ramps'!CJ172)/('On-Ramps'!AH172+Links!J172)</f>
        <v>#DIV/0!</v>
      </c>
      <c r="BJ172" s="59" t="e">
        <f>(Links!K172*Links!AO172+'On-Ramps'!AI172*'On-Ramps'!CK172)/('On-Ramps'!AI172+Links!K172)</f>
        <v>#DIV/0!</v>
      </c>
      <c r="BK172" s="59" t="e">
        <f>(Links!L172*Links!AP172+'On-Ramps'!AJ172*'On-Ramps'!CL172)/(Links!L172+'On-Ramps'!AJ172)</f>
        <v>#DIV/0!</v>
      </c>
      <c r="BL172" s="59" t="e">
        <f>Links!AQ172</f>
        <v>#DIV/0!</v>
      </c>
      <c r="BM172" s="59" t="e">
        <f>(Links!N172*Links!AR172+'On-Ramps'!AL172*'On-Ramps'!CM172)/(Links!N172+'On-Ramps'!AL172)</f>
        <v>#DIV/0!</v>
      </c>
      <c r="BN172" s="59" t="e">
        <f>Links!AS172</f>
        <v>#DIV/0!</v>
      </c>
      <c r="BO172" s="60" t="e">
        <f>(Links!R172^2+'Off-Ramp'!L172^2)/(Links!R172+'Off-Ramp'!L172)</f>
        <v>#DIV/0!</v>
      </c>
      <c r="BP172" s="60" t="e">
        <f>Links!S172</f>
        <v>#DIV/0!</v>
      </c>
      <c r="BQ172" s="60" t="e">
        <f>(Links!S172^2+'Off-Ramp'!C172^2)/(Links!S172+'Off-Ramp'!C172)</f>
        <v>#DIV/0!</v>
      </c>
      <c r="BR172" s="60" t="e">
        <f>Links!T172</f>
        <v>#DIV/0!</v>
      </c>
      <c r="BS172" s="60" t="e">
        <f>(Links!X172^2+'Off-Ramp'!V172^2+'Off-Ramp'!W172^2+'Off-Ramp'!X172^2)/(Links!X172+'Off-Ramp'!V172+'Off-Ramp'!W172+'Off-Ramp'!X172)</f>
        <v>#DIV/0!</v>
      </c>
      <c r="BT172" s="60" t="e">
        <f>(Links!Y172^2+'Off-Ramp'!Y172^2+'Off-Ramp'!Z172^2+'Off-Ramp'!AA172^2)/(Links!Y172+'Off-Ramp'!Y172+'Off-Ramp'!Z172+'Off-Ramp'!AA172)</f>
        <v>#DIV/0!</v>
      </c>
      <c r="BU172" s="60" t="e">
        <f>(Links!W172^2+'Off-Ramp'!P172^2)/(Links!W172+'Off-Ramp'!P172)</f>
        <v>#DIV/0!</v>
      </c>
      <c r="BV172" s="60" t="e">
        <f>(Links!Y172^2+'Off-Ramp'!Q172^2)/(Links!Y172+'Off-Ramp'!Q172)</f>
        <v>#DIV/0!</v>
      </c>
      <c r="BW172" s="60" t="e">
        <f>(Links!Z172^2+'Off-Ramp'!R172^2)/(Links!Z172+'Off-Ramp'!R172)</f>
        <v>#DIV/0!</v>
      </c>
      <c r="BX172" s="60" t="e">
        <f>(Links!AA172+'Off-Ramp'!S172)/(Links!AA172^2+'Off-Ramp'!S172^2)</f>
        <v>#DIV/0!</v>
      </c>
      <c r="BY172" s="60" t="e">
        <f>(Links!AB172^2+'Off-Ramp'!T172^2)/(Links!AB172+'Off-Ramp'!T172)</f>
        <v>#DIV/0!</v>
      </c>
      <c r="BZ172" s="60" t="e">
        <f>Links!AC172</f>
        <v>#DIV/0!</v>
      </c>
      <c r="CA172" s="60" t="e">
        <f>(Links!AD172^2+'Off-Ramp'!U172^2)/(Links!AD172+'Off-Ramp'!U172)</f>
        <v>#DIV/0!</v>
      </c>
    </row>
    <row r="173" spans="1:79" x14ac:dyDescent="0.15">
      <c r="A173" s="58">
        <v>171</v>
      </c>
      <c r="B173" s="59" t="e">
        <f t="shared" si="58"/>
        <v>#DIV/0!</v>
      </c>
      <c r="C173" s="59" t="e">
        <f t="shared" si="59"/>
        <v>#DIV/0!</v>
      </c>
      <c r="D173" s="59" t="e">
        <f t="shared" si="60"/>
        <v>#DIV/0!</v>
      </c>
      <c r="E173" s="59" t="e">
        <f t="shared" si="61"/>
        <v>#DIV/0!</v>
      </c>
      <c r="F173" s="59" t="e">
        <f t="shared" si="62"/>
        <v>#DIV/0!</v>
      </c>
      <c r="G173" s="59" t="e">
        <f t="shared" si="63"/>
        <v>#DIV/0!</v>
      </c>
      <c r="H173" s="59" t="e">
        <f t="shared" si="64"/>
        <v>#DIV/0!</v>
      </c>
      <c r="I173" s="59" t="e">
        <f t="shared" si="65"/>
        <v>#DIV/0!</v>
      </c>
      <c r="J173" s="59" t="e">
        <f t="shared" si="66"/>
        <v>#DIV/0!</v>
      </c>
      <c r="K173" s="59" t="e">
        <f t="shared" si="67"/>
        <v>#DIV/0!</v>
      </c>
      <c r="L173" s="59" t="e">
        <f t="shared" si="68"/>
        <v>#DIV/0!</v>
      </c>
      <c r="M173" s="59" t="e">
        <f t="shared" si="69"/>
        <v>#DIV/0!</v>
      </c>
      <c r="N173" s="59" t="e">
        <f t="shared" si="70"/>
        <v>#DIV/0!</v>
      </c>
      <c r="O173" s="60" t="e">
        <f>Links!B173</f>
        <v>#DIV/0!</v>
      </c>
      <c r="P173" s="60" t="e">
        <f>Links!C173+'On-Ramps'!AC173</f>
        <v>#DIV/0!</v>
      </c>
      <c r="Q173" s="60" t="e">
        <f>Links!D173</f>
        <v>#DIV/0!</v>
      </c>
      <c r="R173" s="60" t="e">
        <f>Links!E173+'On-Ramps'!AD173</f>
        <v>#DIV/0!</v>
      </c>
      <c r="S173" s="60" t="e">
        <f>Links!F173+'On-Ramps'!AE173</f>
        <v>#DIV/0!</v>
      </c>
      <c r="T173" s="60" t="e">
        <f>Links!G173+'On-Ramps'!AF173</f>
        <v>#DIV/0!</v>
      </c>
      <c r="U173" s="60" t="e">
        <f>Links!H173+'On-Ramps'!AG173</f>
        <v>#DIV/0!</v>
      </c>
      <c r="V173" s="60" t="e">
        <f>Links!J173+'On-Ramps'!AH173</f>
        <v>#DIV/0!</v>
      </c>
      <c r="W173" s="60" t="e">
        <f>Links!K173+'On-Ramps'!AI173</f>
        <v>#DIV/0!</v>
      </c>
      <c r="X173" s="60" t="e">
        <f>Links!L173+'On-Ramps'!AJ173</f>
        <v>#DIV/0!</v>
      </c>
      <c r="Y173" s="60" t="e">
        <f>Links!M173</f>
        <v>#DIV/0!</v>
      </c>
      <c r="Z173" s="60" t="e">
        <f>Links!N173+'On-Ramps'!AK173</f>
        <v>#DIV/0!</v>
      </c>
      <c r="AA173" s="60" t="e">
        <f>Links!O173</f>
        <v>#DIV/0!</v>
      </c>
      <c r="AB173" s="59" t="e">
        <f t="shared" si="71"/>
        <v>#DIV/0!</v>
      </c>
      <c r="AC173" s="65"/>
      <c r="AD173" s="59" t="e">
        <f t="shared" si="72"/>
        <v>#DIV/0!</v>
      </c>
      <c r="AE173" s="65"/>
      <c r="AF173" s="59" t="e">
        <f t="shared" si="73"/>
        <v>#DIV/0!</v>
      </c>
      <c r="AG173" s="59" t="e">
        <f t="shared" si="74"/>
        <v>#DIV/0!</v>
      </c>
      <c r="AH173" s="59" t="e">
        <f t="shared" si="75"/>
        <v>#DIV/0!</v>
      </c>
      <c r="AI173" s="59" t="e">
        <f t="shared" si="76"/>
        <v>#DIV/0!</v>
      </c>
      <c r="AJ173" s="59" t="e">
        <f t="shared" si="77"/>
        <v>#DIV/0!</v>
      </c>
      <c r="AK173" s="59" t="e">
        <f t="shared" si="78"/>
        <v>#DIV/0!</v>
      </c>
      <c r="AL173" s="59" t="e">
        <f t="shared" si="79"/>
        <v>#DIV/0!</v>
      </c>
      <c r="AM173" s="65"/>
      <c r="AN173" s="59" t="e">
        <f t="shared" si="81"/>
        <v>#DIV/0!</v>
      </c>
      <c r="AO173" s="60" t="e">
        <f t="shared" si="57"/>
        <v>#DIV/0!</v>
      </c>
      <c r="AP173" s="65"/>
      <c r="AQ173" s="60" t="e">
        <f t="shared" si="82"/>
        <v>#DIV/0!</v>
      </c>
      <c r="AR173" s="65"/>
      <c r="AS173" s="60" t="e">
        <f t="shared" si="82"/>
        <v>#DIV/0!</v>
      </c>
      <c r="AT173" s="60" t="e">
        <f t="shared" si="82"/>
        <v>#DIV/0!</v>
      </c>
      <c r="AU173" s="60" t="e">
        <f t="shared" si="82"/>
        <v>#DIV/0!</v>
      </c>
      <c r="AV173" s="60" t="e">
        <f t="shared" si="82"/>
        <v>#DIV/0!</v>
      </c>
      <c r="AW173" s="60" t="e">
        <f t="shared" si="82"/>
        <v>#DIV/0!</v>
      </c>
      <c r="AX173" s="60" t="e">
        <f t="shared" si="82"/>
        <v>#DIV/0!</v>
      </c>
      <c r="AY173" s="60" t="e">
        <f t="shared" si="82"/>
        <v>#DIV/0!</v>
      </c>
      <c r="AZ173" s="65"/>
      <c r="BA173" s="60" t="e">
        <f t="shared" si="82"/>
        <v>#DIV/0!</v>
      </c>
      <c r="BB173" s="59" t="e">
        <f>Links!AF173</f>
        <v>#DIV/0!</v>
      </c>
      <c r="BC173" s="59" t="e">
        <f>(Links!AG173*Links!C173+'On-Ramps'!AC173*'On-Ramps'!CE173)/('On-Ramps'!AC173+Links!C173)</f>
        <v>#DIV/0!</v>
      </c>
      <c r="BD173" s="59" t="e">
        <f>Links!AH173</f>
        <v>#DIV/0!</v>
      </c>
      <c r="BE173" s="59" t="e">
        <f>(Links!AI173*Links!E173+'On-Ramps'!AD173*'On-Ramps'!CF172)/('On-Ramps'!AD173+Links!E173)</f>
        <v>#DIV/0!</v>
      </c>
      <c r="BF173" s="59" t="e">
        <f>(Links!F173*Links!AJ173+'On-Ramps'!AE173*'On-Ramps'!CG173)/('On-Ramps'!AE173+Links!F173)</f>
        <v>#DIV/0!</v>
      </c>
      <c r="BG173" s="59" t="e">
        <f>(Links!G173*Links!AK173+'On-Ramps'!AF173*'On-Ramps'!CH173)/('On-Ramps'!AF173+Links!G173)</f>
        <v>#DIV/0!</v>
      </c>
      <c r="BH173" s="59" t="e">
        <f>(Links!H173*Links!AL173+'On-Ramps'!AG173*'On-Ramps'!CI173)/('On-Ramps'!AG173+Links!H173)</f>
        <v>#DIV/0!</v>
      </c>
      <c r="BI173" s="59" t="e">
        <f>(Links!J173*Links!AN173+'On-Ramps'!AH173*'On-Ramps'!CJ173)/('On-Ramps'!AH173+Links!J173)</f>
        <v>#DIV/0!</v>
      </c>
      <c r="BJ173" s="59" t="e">
        <f>(Links!K173*Links!AO173+'On-Ramps'!AI173*'On-Ramps'!CK173)/('On-Ramps'!AI173+Links!K173)</f>
        <v>#DIV/0!</v>
      </c>
      <c r="BK173" s="59" t="e">
        <f>(Links!L173*Links!AP173+'On-Ramps'!AJ173*'On-Ramps'!CL173)/(Links!L173+'On-Ramps'!AJ173)</f>
        <v>#DIV/0!</v>
      </c>
      <c r="BL173" s="59" t="e">
        <f>Links!AQ173</f>
        <v>#DIV/0!</v>
      </c>
      <c r="BM173" s="59" t="e">
        <f>(Links!N173*Links!AR173+'On-Ramps'!AL173*'On-Ramps'!CM173)/(Links!N173+'On-Ramps'!AL173)</f>
        <v>#DIV/0!</v>
      </c>
      <c r="BN173" s="59" t="e">
        <f>Links!AS173</f>
        <v>#DIV/0!</v>
      </c>
      <c r="BO173" s="60" t="e">
        <f>(Links!R173^2+'Off-Ramp'!L173^2)/(Links!R173+'Off-Ramp'!L173)</f>
        <v>#DIV/0!</v>
      </c>
      <c r="BP173" s="60" t="e">
        <f>Links!S173</f>
        <v>#DIV/0!</v>
      </c>
      <c r="BQ173" s="60" t="e">
        <f>(Links!S173^2+'Off-Ramp'!C173^2)/(Links!S173+'Off-Ramp'!C173)</f>
        <v>#DIV/0!</v>
      </c>
      <c r="BR173" s="60" t="e">
        <f>Links!T173</f>
        <v>#DIV/0!</v>
      </c>
      <c r="BS173" s="60" t="e">
        <f>(Links!X173^2+'Off-Ramp'!V173^2+'Off-Ramp'!W173^2+'Off-Ramp'!X173^2)/(Links!X173+'Off-Ramp'!V173+'Off-Ramp'!W173+'Off-Ramp'!X173)</f>
        <v>#DIV/0!</v>
      </c>
      <c r="BT173" s="60" t="e">
        <f>(Links!Y173^2+'Off-Ramp'!Y173^2+'Off-Ramp'!Z173^2+'Off-Ramp'!AA173^2)/(Links!Y173+'Off-Ramp'!Y173+'Off-Ramp'!Z173+'Off-Ramp'!AA173)</f>
        <v>#DIV/0!</v>
      </c>
      <c r="BU173" s="60" t="e">
        <f>(Links!W173^2+'Off-Ramp'!P173^2)/(Links!W173+'Off-Ramp'!P173)</f>
        <v>#DIV/0!</v>
      </c>
      <c r="BV173" s="60" t="e">
        <f>(Links!Y173^2+'Off-Ramp'!Q173^2)/(Links!Y173+'Off-Ramp'!Q173)</f>
        <v>#DIV/0!</v>
      </c>
      <c r="BW173" s="60" t="e">
        <f>(Links!Z173^2+'Off-Ramp'!R173^2)/(Links!Z173+'Off-Ramp'!R173)</f>
        <v>#DIV/0!</v>
      </c>
      <c r="BX173" s="60" t="e">
        <f>(Links!AA173+'Off-Ramp'!S173)/(Links!AA173^2+'Off-Ramp'!S173^2)</f>
        <v>#DIV/0!</v>
      </c>
      <c r="BY173" s="60" t="e">
        <f>(Links!AB173^2+'Off-Ramp'!T173^2)/(Links!AB173+'Off-Ramp'!T173)</f>
        <v>#DIV/0!</v>
      </c>
      <c r="BZ173" s="60" t="e">
        <f>Links!AC173</f>
        <v>#DIV/0!</v>
      </c>
      <c r="CA173" s="60" t="e">
        <f>(Links!AD173^2+'Off-Ramp'!U173^2)/(Links!AD173+'Off-Ramp'!U173)</f>
        <v>#DIV/0!</v>
      </c>
    </row>
    <row r="174" spans="1:79" x14ac:dyDescent="0.15">
      <c r="A174" s="58">
        <v>172</v>
      </c>
      <c r="B174" s="59" t="e">
        <f t="shared" si="58"/>
        <v>#DIV/0!</v>
      </c>
      <c r="C174" s="59" t="e">
        <f t="shared" si="59"/>
        <v>#DIV/0!</v>
      </c>
      <c r="D174" s="59" t="e">
        <f t="shared" si="60"/>
        <v>#DIV/0!</v>
      </c>
      <c r="E174" s="59" t="e">
        <f t="shared" si="61"/>
        <v>#DIV/0!</v>
      </c>
      <c r="F174" s="59" t="e">
        <f t="shared" si="62"/>
        <v>#DIV/0!</v>
      </c>
      <c r="G174" s="59" t="e">
        <f t="shared" si="63"/>
        <v>#DIV/0!</v>
      </c>
      <c r="H174" s="59" t="e">
        <f t="shared" si="64"/>
        <v>#DIV/0!</v>
      </c>
      <c r="I174" s="59" t="e">
        <f t="shared" si="65"/>
        <v>#DIV/0!</v>
      </c>
      <c r="J174" s="59" t="e">
        <f t="shared" si="66"/>
        <v>#DIV/0!</v>
      </c>
      <c r="K174" s="59" t="e">
        <f t="shared" si="67"/>
        <v>#DIV/0!</v>
      </c>
      <c r="L174" s="59" t="e">
        <f t="shared" si="68"/>
        <v>#DIV/0!</v>
      </c>
      <c r="M174" s="59" t="e">
        <f t="shared" si="69"/>
        <v>#DIV/0!</v>
      </c>
      <c r="N174" s="59" t="e">
        <f t="shared" si="70"/>
        <v>#DIV/0!</v>
      </c>
      <c r="O174" s="60" t="e">
        <f>Links!B174</f>
        <v>#DIV/0!</v>
      </c>
      <c r="P174" s="60" t="e">
        <f>Links!C174+'On-Ramps'!AC174</f>
        <v>#DIV/0!</v>
      </c>
      <c r="Q174" s="60" t="e">
        <f>Links!D174</f>
        <v>#DIV/0!</v>
      </c>
      <c r="R174" s="60" t="e">
        <f>Links!E174+'On-Ramps'!AD174</f>
        <v>#DIV/0!</v>
      </c>
      <c r="S174" s="60" t="e">
        <f>Links!F174+'On-Ramps'!AE174</f>
        <v>#DIV/0!</v>
      </c>
      <c r="T174" s="60" t="e">
        <f>Links!G174+'On-Ramps'!AF174</f>
        <v>#DIV/0!</v>
      </c>
      <c r="U174" s="60" t="e">
        <f>Links!H174+'On-Ramps'!AG174</f>
        <v>#DIV/0!</v>
      </c>
      <c r="V174" s="60" t="e">
        <f>Links!J174+'On-Ramps'!AH174</f>
        <v>#DIV/0!</v>
      </c>
      <c r="W174" s="60" t="e">
        <f>Links!K174+'On-Ramps'!AI174</f>
        <v>#DIV/0!</v>
      </c>
      <c r="X174" s="60" t="e">
        <f>Links!L174+'On-Ramps'!AJ174</f>
        <v>#DIV/0!</v>
      </c>
      <c r="Y174" s="60" t="e">
        <f>Links!M174</f>
        <v>#DIV/0!</v>
      </c>
      <c r="Z174" s="60" t="e">
        <f>Links!N174+'On-Ramps'!AK174</f>
        <v>#DIV/0!</v>
      </c>
      <c r="AA174" s="60" t="e">
        <f>Links!O174</f>
        <v>#DIV/0!</v>
      </c>
      <c r="AB174" s="59" t="e">
        <f t="shared" si="71"/>
        <v>#DIV/0!</v>
      </c>
      <c r="AC174" s="65"/>
      <c r="AD174" s="59" t="e">
        <f t="shared" si="72"/>
        <v>#DIV/0!</v>
      </c>
      <c r="AE174" s="65"/>
      <c r="AF174" s="59" t="e">
        <f t="shared" si="73"/>
        <v>#DIV/0!</v>
      </c>
      <c r="AG174" s="59" t="e">
        <f t="shared" si="74"/>
        <v>#DIV/0!</v>
      </c>
      <c r="AH174" s="59" t="e">
        <f t="shared" si="75"/>
        <v>#DIV/0!</v>
      </c>
      <c r="AI174" s="59" t="e">
        <f t="shared" si="76"/>
        <v>#DIV/0!</v>
      </c>
      <c r="AJ174" s="59" t="e">
        <f t="shared" si="77"/>
        <v>#DIV/0!</v>
      </c>
      <c r="AK174" s="59" t="e">
        <f t="shared" si="78"/>
        <v>#DIV/0!</v>
      </c>
      <c r="AL174" s="59" t="e">
        <f t="shared" si="79"/>
        <v>#DIV/0!</v>
      </c>
      <c r="AM174" s="65"/>
      <c r="AN174" s="59" t="e">
        <f t="shared" si="81"/>
        <v>#DIV/0!</v>
      </c>
      <c r="AO174" s="60" t="e">
        <f t="shared" si="57"/>
        <v>#DIV/0!</v>
      </c>
      <c r="AP174" s="65"/>
      <c r="AQ174" s="60" t="e">
        <f t="shared" si="82"/>
        <v>#DIV/0!</v>
      </c>
      <c r="AR174" s="65"/>
      <c r="AS174" s="60" t="e">
        <f t="shared" si="82"/>
        <v>#DIV/0!</v>
      </c>
      <c r="AT174" s="60" t="e">
        <f t="shared" si="82"/>
        <v>#DIV/0!</v>
      </c>
      <c r="AU174" s="60" t="e">
        <f t="shared" si="82"/>
        <v>#DIV/0!</v>
      </c>
      <c r="AV174" s="60" t="e">
        <f t="shared" si="82"/>
        <v>#DIV/0!</v>
      </c>
      <c r="AW174" s="60" t="e">
        <f t="shared" si="82"/>
        <v>#DIV/0!</v>
      </c>
      <c r="AX174" s="60" t="e">
        <f t="shared" si="82"/>
        <v>#DIV/0!</v>
      </c>
      <c r="AY174" s="60" t="e">
        <f t="shared" si="82"/>
        <v>#DIV/0!</v>
      </c>
      <c r="AZ174" s="65"/>
      <c r="BA174" s="60" t="e">
        <f t="shared" si="82"/>
        <v>#DIV/0!</v>
      </c>
      <c r="BB174" s="59" t="e">
        <f>Links!AF174</f>
        <v>#DIV/0!</v>
      </c>
      <c r="BC174" s="59" t="e">
        <f>(Links!AG174*Links!C174+'On-Ramps'!AC174*'On-Ramps'!CE174)/('On-Ramps'!AC174+Links!C174)</f>
        <v>#DIV/0!</v>
      </c>
      <c r="BD174" s="59" t="e">
        <f>Links!AH174</f>
        <v>#DIV/0!</v>
      </c>
      <c r="BE174" s="59" t="e">
        <f>(Links!AI174*Links!E174+'On-Ramps'!AD174*'On-Ramps'!CF173)/('On-Ramps'!AD174+Links!E174)</f>
        <v>#DIV/0!</v>
      </c>
      <c r="BF174" s="59" t="e">
        <f>(Links!F174*Links!AJ174+'On-Ramps'!AE174*'On-Ramps'!CG174)/('On-Ramps'!AE174+Links!F174)</f>
        <v>#DIV/0!</v>
      </c>
      <c r="BG174" s="59" t="e">
        <f>(Links!G174*Links!AK174+'On-Ramps'!AF174*'On-Ramps'!CH174)/('On-Ramps'!AF174+Links!G174)</f>
        <v>#DIV/0!</v>
      </c>
      <c r="BH174" s="59" t="e">
        <f>(Links!H174*Links!AL174+'On-Ramps'!AG174*'On-Ramps'!CI174)/('On-Ramps'!AG174+Links!H174)</f>
        <v>#DIV/0!</v>
      </c>
      <c r="BI174" s="59" t="e">
        <f>(Links!J174*Links!AN174+'On-Ramps'!AH174*'On-Ramps'!CJ174)/('On-Ramps'!AH174+Links!J174)</f>
        <v>#DIV/0!</v>
      </c>
      <c r="BJ174" s="59" t="e">
        <f>(Links!K174*Links!AO174+'On-Ramps'!AI174*'On-Ramps'!CK174)/('On-Ramps'!AI174+Links!K174)</f>
        <v>#DIV/0!</v>
      </c>
      <c r="BK174" s="59" t="e">
        <f>(Links!L174*Links!AP174+'On-Ramps'!AJ174*'On-Ramps'!CL174)/(Links!L174+'On-Ramps'!AJ174)</f>
        <v>#DIV/0!</v>
      </c>
      <c r="BL174" s="59" t="e">
        <f>Links!AQ174</f>
        <v>#DIV/0!</v>
      </c>
      <c r="BM174" s="59" t="e">
        <f>(Links!N174*Links!AR174+'On-Ramps'!AL174*'On-Ramps'!CM174)/(Links!N174+'On-Ramps'!AL174)</f>
        <v>#DIV/0!</v>
      </c>
      <c r="BN174" s="59" t="e">
        <f>Links!AS174</f>
        <v>#DIV/0!</v>
      </c>
      <c r="BO174" s="60" t="e">
        <f>(Links!R174^2+'Off-Ramp'!L174^2)/(Links!R174+'Off-Ramp'!L174)</f>
        <v>#DIV/0!</v>
      </c>
      <c r="BP174" s="60" t="e">
        <f>Links!S174</f>
        <v>#DIV/0!</v>
      </c>
      <c r="BQ174" s="60" t="e">
        <f>(Links!S174^2+'Off-Ramp'!C174^2)/(Links!S174+'Off-Ramp'!C174)</f>
        <v>#DIV/0!</v>
      </c>
      <c r="BR174" s="60" t="e">
        <f>Links!T174</f>
        <v>#DIV/0!</v>
      </c>
      <c r="BS174" s="60" t="e">
        <f>(Links!X174^2+'Off-Ramp'!V174^2+'Off-Ramp'!W174^2+'Off-Ramp'!X174^2)/(Links!X174+'Off-Ramp'!V174+'Off-Ramp'!W174+'Off-Ramp'!X174)</f>
        <v>#DIV/0!</v>
      </c>
      <c r="BT174" s="60" t="e">
        <f>(Links!Y174^2+'Off-Ramp'!Y174^2+'Off-Ramp'!Z174^2+'Off-Ramp'!AA174^2)/(Links!Y174+'Off-Ramp'!Y174+'Off-Ramp'!Z174+'Off-Ramp'!AA174)</f>
        <v>#DIV/0!</v>
      </c>
      <c r="BU174" s="60" t="e">
        <f>(Links!W174^2+'Off-Ramp'!P174^2)/(Links!W174+'Off-Ramp'!P174)</f>
        <v>#DIV/0!</v>
      </c>
      <c r="BV174" s="60" t="e">
        <f>(Links!Y174^2+'Off-Ramp'!Q174^2)/(Links!Y174+'Off-Ramp'!Q174)</f>
        <v>#DIV/0!</v>
      </c>
      <c r="BW174" s="60" t="e">
        <f>(Links!Z174^2+'Off-Ramp'!R174^2)/(Links!Z174+'Off-Ramp'!R174)</f>
        <v>#DIV/0!</v>
      </c>
      <c r="BX174" s="60" t="e">
        <f>(Links!AA174+'Off-Ramp'!S174)/(Links!AA174^2+'Off-Ramp'!S174^2)</f>
        <v>#DIV/0!</v>
      </c>
      <c r="BY174" s="60" t="e">
        <f>(Links!AB174^2+'Off-Ramp'!T174^2)/(Links!AB174+'Off-Ramp'!T174)</f>
        <v>#DIV/0!</v>
      </c>
      <c r="BZ174" s="60" t="e">
        <f>Links!AC174</f>
        <v>#DIV/0!</v>
      </c>
      <c r="CA174" s="60" t="e">
        <f>(Links!AD174^2+'Off-Ramp'!U174^2)/(Links!AD174+'Off-Ramp'!U174)</f>
        <v>#DIV/0!</v>
      </c>
    </row>
    <row r="175" spans="1:79" x14ac:dyDescent="0.15">
      <c r="A175" s="58">
        <v>173</v>
      </c>
      <c r="B175" s="59" t="e">
        <f t="shared" si="58"/>
        <v>#DIV/0!</v>
      </c>
      <c r="C175" s="59" t="e">
        <f t="shared" si="59"/>
        <v>#DIV/0!</v>
      </c>
      <c r="D175" s="59" t="e">
        <f t="shared" si="60"/>
        <v>#DIV/0!</v>
      </c>
      <c r="E175" s="59" t="e">
        <f t="shared" si="61"/>
        <v>#DIV/0!</v>
      </c>
      <c r="F175" s="59" t="e">
        <f t="shared" si="62"/>
        <v>#DIV/0!</v>
      </c>
      <c r="G175" s="59" t="e">
        <f t="shared" si="63"/>
        <v>#DIV/0!</v>
      </c>
      <c r="H175" s="59" t="e">
        <f t="shared" si="64"/>
        <v>#DIV/0!</v>
      </c>
      <c r="I175" s="59" t="e">
        <f t="shared" si="65"/>
        <v>#DIV/0!</v>
      </c>
      <c r="J175" s="59" t="e">
        <f t="shared" si="66"/>
        <v>#DIV/0!</v>
      </c>
      <c r="K175" s="59" t="e">
        <f t="shared" si="67"/>
        <v>#DIV/0!</v>
      </c>
      <c r="L175" s="59" t="e">
        <f t="shared" si="68"/>
        <v>#DIV/0!</v>
      </c>
      <c r="M175" s="59" t="e">
        <f t="shared" si="69"/>
        <v>#DIV/0!</v>
      </c>
      <c r="N175" s="59" t="e">
        <f t="shared" si="70"/>
        <v>#DIV/0!</v>
      </c>
      <c r="O175" s="60" t="e">
        <f>Links!B175</f>
        <v>#DIV/0!</v>
      </c>
      <c r="P175" s="60" t="e">
        <f>Links!C175+'On-Ramps'!AC175</f>
        <v>#DIV/0!</v>
      </c>
      <c r="Q175" s="60" t="e">
        <f>Links!D175</f>
        <v>#DIV/0!</v>
      </c>
      <c r="R175" s="60" t="e">
        <f>Links!E175+'On-Ramps'!AD175</f>
        <v>#DIV/0!</v>
      </c>
      <c r="S175" s="60" t="e">
        <f>Links!F175+'On-Ramps'!AE175</f>
        <v>#DIV/0!</v>
      </c>
      <c r="T175" s="60" t="e">
        <f>Links!G175+'On-Ramps'!AF175</f>
        <v>#DIV/0!</v>
      </c>
      <c r="U175" s="60" t="e">
        <f>Links!H175+'On-Ramps'!AG175</f>
        <v>#DIV/0!</v>
      </c>
      <c r="V175" s="60" t="e">
        <f>Links!J175+'On-Ramps'!AH175</f>
        <v>#DIV/0!</v>
      </c>
      <c r="W175" s="60" t="e">
        <f>Links!K175+'On-Ramps'!AI175</f>
        <v>#DIV/0!</v>
      </c>
      <c r="X175" s="60" t="e">
        <f>Links!L175+'On-Ramps'!AJ175</f>
        <v>#DIV/0!</v>
      </c>
      <c r="Y175" s="60" t="e">
        <f>Links!M175</f>
        <v>#DIV/0!</v>
      </c>
      <c r="Z175" s="60" t="e">
        <f>Links!N175+'On-Ramps'!AK175</f>
        <v>#DIV/0!</v>
      </c>
      <c r="AA175" s="60" t="e">
        <f>Links!O175</f>
        <v>#DIV/0!</v>
      </c>
      <c r="AB175" s="59" t="e">
        <f t="shared" si="71"/>
        <v>#DIV/0!</v>
      </c>
      <c r="AC175" s="65"/>
      <c r="AD175" s="59" t="e">
        <f t="shared" si="72"/>
        <v>#DIV/0!</v>
      </c>
      <c r="AE175" s="65"/>
      <c r="AF175" s="59" t="e">
        <f t="shared" si="73"/>
        <v>#DIV/0!</v>
      </c>
      <c r="AG175" s="59" t="e">
        <f t="shared" si="74"/>
        <v>#DIV/0!</v>
      </c>
      <c r="AH175" s="59" t="e">
        <f t="shared" si="75"/>
        <v>#DIV/0!</v>
      </c>
      <c r="AI175" s="59" t="e">
        <f t="shared" si="76"/>
        <v>#DIV/0!</v>
      </c>
      <c r="AJ175" s="59" t="e">
        <f t="shared" si="77"/>
        <v>#DIV/0!</v>
      </c>
      <c r="AK175" s="59" t="e">
        <f t="shared" si="78"/>
        <v>#DIV/0!</v>
      </c>
      <c r="AL175" s="59" t="e">
        <f t="shared" si="79"/>
        <v>#DIV/0!</v>
      </c>
      <c r="AM175" s="65"/>
      <c r="AN175" s="59" t="e">
        <f t="shared" si="81"/>
        <v>#DIV/0!</v>
      </c>
      <c r="AO175" s="60" t="e">
        <f t="shared" si="57"/>
        <v>#DIV/0!</v>
      </c>
      <c r="AP175" s="65"/>
      <c r="AQ175" s="60" t="e">
        <f t="shared" si="82"/>
        <v>#DIV/0!</v>
      </c>
      <c r="AR175" s="65"/>
      <c r="AS175" s="60" t="e">
        <f t="shared" si="82"/>
        <v>#DIV/0!</v>
      </c>
      <c r="AT175" s="60" t="e">
        <f t="shared" si="82"/>
        <v>#DIV/0!</v>
      </c>
      <c r="AU175" s="60" t="e">
        <f t="shared" si="82"/>
        <v>#DIV/0!</v>
      </c>
      <c r="AV175" s="60" t="e">
        <f t="shared" si="82"/>
        <v>#DIV/0!</v>
      </c>
      <c r="AW175" s="60" t="e">
        <f t="shared" si="82"/>
        <v>#DIV/0!</v>
      </c>
      <c r="AX175" s="60" t="e">
        <f t="shared" si="82"/>
        <v>#DIV/0!</v>
      </c>
      <c r="AY175" s="60" t="e">
        <f t="shared" si="82"/>
        <v>#DIV/0!</v>
      </c>
      <c r="AZ175" s="65"/>
      <c r="BA175" s="60" t="e">
        <f t="shared" si="82"/>
        <v>#DIV/0!</v>
      </c>
      <c r="BB175" s="59" t="e">
        <f>Links!AF175</f>
        <v>#DIV/0!</v>
      </c>
      <c r="BC175" s="59" t="e">
        <f>(Links!AG175*Links!C175+'On-Ramps'!AC175*'On-Ramps'!CE175)/('On-Ramps'!AC175+Links!C175)</f>
        <v>#DIV/0!</v>
      </c>
      <c r="BD175" s="59" t="e">
        <f>Links!AH175</f>
        <v>#DIV/0!</v>
      </c>
      <c r="BE175" s="59" t="e">
        <f>(Links!AI175*Links!E175+'On-Ramps'!AD175*'On-Ramps'!CF174)/('On-Ramps'!AD175+Links!E175)</f>
        <v>#DIV/0!</v>
      </c>
      <c r="BF175" s="59" t="e">
        <f>(Links!F175*Links!AJ175+'On-Ramps'!AE175*'On-Ramps'!CG175)/('On-Ramps'!AE175+Links!F175)</f>
        <v>#DIV/0!</v>
      </c>
      <c r="BG175" s="59" t="e">
        <f>(Links!G175*Links!AK175+'On-Ramps'!AF175*'On-Ramps'!CH175)/('On-Ramps'!AF175+Links!G175)</f>
        <v>#DIV/0!</v>
      </c>
      <c r="BH175" s="59" t="e">
        <f>(Links!H175*Links!AL175+'On-Ramps'!AG175*'On-Ramps'!CI175)/('On-Ramps'!AG175+Links!H175)</f>
        <v>#DIV/0!</v>
      </c>
      <c r="BI175" s="59" t="e">
        <f>(Links!J175*Links!AN175+'On-Ramps'!AH175*'On-Ramps'!CJ175)/('On-Ramps'!AH175+Links!J175)</f>
        <v>#DIV/0!</v>
      </c>
      <c r="BJ175" s="59" t="e">
        <f>(Links!K175*Links!AO175+'On-Ramps'!AI175*'On-Ramps'!CK175)/('On-Ramps'!AI175+Links!K175)</f>
        <v>#DIV/0!</v>
      </c>
      <c r="BK175" s="59" t="e">
        <f>(Links!L175*Links!AP175+'On-Ramps'!AJ175*'On-Ramps'!CL175)/(Links!L175+'On-Ramps'!AJ175)</f>
        <v>#DIV/0!</v>
      </c>
      <c r="BL175" s="59" t="e">
        <f>Links!AQ175</f>
        <v>#DIV/0!</v>
      </c>
      <c r="BM175" s="59" t="e">
        <f>(Links!N175*Links!AR175+'On-Ramps'!AL175*'On-Ramps'!CM175)/(Links!N175+'On-Ramps'!AL175)</f>
        <v>#DIV/0!</v>
      </c>
      <c r="BN175" s="59" t="e">
        <f>Links!AS175</f>
        <v>#DIV/0!</v>
      </c>
      <c r="BO175" s="60" t="e">
        <f>(Links!R175^2+'Off-Ramp'!L175^2)/(Links!R175+'Off-Ramp'!L175)</f>
        <v>#DIV/0!</v>
      </c>
      <c r="BP175" s="60" t="e">
        <f>Links!S175</f>
        <v>#DIV/0!</v>
      </c>
      <c r="BQ175" s="60" t="e">
        <f>(Links!S175^2+'Off-Ramp'!C175^2)/(Links!S175+'Off-Ramp'!C175)</f>
        <v>#DIV/0!</v>
      </c>
      <c r="BR175" s="60" t="e">
        <f>Links!T175</f>
        <v>#DIV/0!</v>
      </c>
      <c r="BS175" s="60" t="e">
        <f>(Links!X175^2+'Off-Ramp'!V175^2+'Off-Ramp'!W175^2+'Off-Ramp'!X175^2)/(Links!X175+'Off-Ramp'!V175+'Off-Ramp'!W175+'Off-Ramp'!X175)</f>
        <v>#DIV/0!</v>
      </c>
      <c r="BT175" s="60" t="e">
        <f>(Links!Y175^2+'Off-Ramp'!Y175^2+'Off-Ramp'!Z175^2+'Off-Ramp'!AA175^2)/(Links!Y175+'Off-Ramp'!Y175+'Off-Ramp'!Z175+'Off-Ramp'!AA175)</f>
        <v>#DIV/0!</v>
      </c>
      <c r="BU175" s="60" t="e">
        <f>(Links!W175^2+'Off-Ramp'!P175^2)/(Links!W175+'Off-Ramp'!P175)</f>
        <v>#DIV/0!</v>
      </c>
      <c r="BV175" s="60" t="e">
        <f>(Links!Y175^2+'Off-Ramp'!Q175^2)/(Links!Y175+'Off-Ramp'!Q175)</f>
        <v>#DIV/0!</v>
      </c>
      <c r="BW175" s="60" t="e">
        <f>(Links!Z175^2+'Off-Ramp'!R175^2)/(Links!Z175+'Off-Ramp'!R175)</f>
        <v>#DIV/0!</v>
      </c>
      <c r="BX175" s="60" t="e">
        <f>(Links!AA175+'Off-Ramp'!S175)/(Links!AA175^2+'Off-Ramp'!S175^2)</f>
        <v>#DIV/0!</v>
      </c>
      <c r="BY175" s="60" t="e">
        <f>(Links!AB175^2+'Off-Ramp'!T175^2)/(Links!AB175+'Off-Ramp'!T175)</f>
        <v>#DIV/0!</v>
      </c>
      <c r="BZ175" s="60" t="e">
        <f>Links!AC175</f>
        <v>#DIV/0!</v>
      </c>
      <c r="CA175" s="60" t="e">
        <f>(Links!AD175^2+'Off-Ramp'!U175^2)/(Links!AD175+'Off-Ramp'!U175)</f>
        <v>#DIV/0!</v>
      </c>
    </row>
    <row r="176" spans="1:79" x14ac:dyDescent="0.15">
      <c r="A176" s="58">
        <v>174</v>
      </c>
      <c r="B176" s="59" t="e">
        <f t="shared" si="58"/>
        <v>#DIV/0!</v>
      </c>
      <c r="C176" s="59" t="e">
        <f t="shared" si="59"/>
        <v>#DIV/0!</v>
      </c>
      <c r="D176" s="59" t="e">
        <f t="shared" si="60"/>
        <v>#DIV/0!</v>
      </c>
      <c r="E176" s="59" t="e">
        <f t="shared" si="61"/>
        <v>#DIV/0!</v>
      </c>
      <c r="F176" s="59" t="e">
        <f t="shared" si="62"/>
        <v>#DIV/0!</v>
      </c>
      <c r="G176" s="59" t="e">
        <f t="shared" si="63"/>
        <v>#DIV/0!</v>
      </c>
      <c r="H176" s="59" t="e">
        <f t="shared" si="64"/>
        <v>#DIV/0!</v>
      </c>
      <c r="I176" s="59" t="e">
        <f t="shared" si="65"/>
        <v>#DIV/0!</v>
      </c>
      <c r="J176" s="59" t="e">
        <f t="shared" si="66"/>
        <v>#DIV/0!</v>
      </c>
      <c r="K176" s="59" t="e">
        <f t="shared" si="67"/>
        <v>#DIV/0!</v>
      </c>
      <c r="L176" s="59" t="e">
        <f t="shared" si="68"/>
        <v>#DIV/0!</v>
      </c>
      <c r="M176" s="59" t="e">
        <f t="shared" si="69"/>
        <v>#DIV/0!</v>
      </c>
      <c r="N176" s="59" t="e">
        <f t="shared" si="70"/>
        <v>#DIV/0!</v>
      </c>
      <c r="O176" s="60" t="e">
        <f>Links!B176</f>
        <v>#DIV/0!</v>
      </c>
      <c r="P176" s="60" t="e">
        <f>Links!C176+'On-Ramps'!AC176</f>
        <v>#DIV/0!</v>
      </c>
      <c r="Q176" s="60" t="e">
        <f>Links!D176</f>
        <v>#DIV/0!</v>
      </c>
      <c r="R176" s="60" t="e">
        <f>Links!E176+'On-Ramps'!AD176</f>
        <v>#DIV/0!</v>
      </c>
      <c r="S176" s="60" t="e">
        <f>Links!F176+'On-Ramps'!AE176</f>
        <v>#DIV/0!</v>
      </c>
      <c r="T176" s="60" t="e">
        <f>Links!G176+'On-Ramps'!AF176</f>
        <v>#DIV/0!</v>
      </c>
      <c r="U176" s="60" t="e">
        <f>Links!H176+'On-Ramps'!AG176</f>
        <v>#DIV/0!</v>
      </c>
      <c r="V176" s="60" t="e">
        <f>Links!J176+'On-Ramps'!AH176</f>
        <v>#DIV/0!</v>
      </c>
      <c r="W176" s="60" t="e">
        <f>Links!K176+'On-Ramps'!AI176</f>
        <v>#DIV/0!</v>
      </c>
      <c r="X176" s="60" t="e">
        <f>Links!L176+'On-Ramps'!AJ176</f>
        <v>#DIV/0!</v>
      </c>
      <c r="Y176" s="60" t="e">
        <f>Links!M176</f>
        <v>#DIV/0!</v>
      </c>
      <c r="Z176" s="60" t="e">
        <f>Links!N176+'On-Ramps'!AK176</f>
        <v>#DIV/0!</v>
      </c>
      <c r="AA176" s="60" t="e">
        <f>Links!O176</f>
        <v>#DIV/0!</v>
      </c>
      <c r="AB176" s="59" t="e">
        <f t="shared" si="71"/>
        <v>#DIV/0!</v>
      </c>
      <c r="AC176" s="65"/>
      <c r="AD176" s="59" t="e">
        <f t="shared" si="72"/>
        <v>#DIV/0!</v>
      </c>
      <c r="AE176" s="65"/>
      <c r="AF176" s="59" t="e">
        <f t="shared" si="73"/>
        <v>#DIV/0!</v>
      </c>
      <c r="AG176" s="59" t="e">
        <f t="shared" si="74"/>
        <v>#DIV/0!</v>
      </c>
      <c r="AH176" s="59" t="e">
        <f t="shared" si="75"/>
        <v>#DIV/0!</v>
      </c>
      <c r="AI176" s="59" t="e">
        <f t="shared" si="76"/>
        <v>#DIV/0!</v>
      </c>
      <c r="AJ176" s="59" t="e">
        <f t="shared" si="77"/>
        <v>#DIV/0!</v>
      </c>
      <c r="AK176" s="59" t="e">
        <f t="shared" si="78"/>
        <v>#DIV/0!</v>
      </c>
      <c r="AL176" s="59" t="e">
        <f t="shared" si="79"/>
        <v>#DIV/0!</v>
      </c>
      <c r="AM176" s="65"/>
      <c r="AN176" s="59" t="e">
        <f t="shared" si="81"/>
        <v>#DIV/0!</v>
      </c>
      <c r="AO176" s="60" t="e">
        <f t="shared" si="57"/>
        <v>#DIV/0!</v>
      </c>
      <c r="AP176" s="65"/>
      <c r="AQ176" s="60" t="e">
        <f t="shared" si="82"/>
        <v>#DIV/0!</v>
      </c>
      <c r="AR176" s="65"/>
      <c r="AS176" s="60" t="e">
        <f t="shared" si="82"/>
        <v>#DIV/0!</v>
      </c>
      <c r="AT176" s="60" t="e">
        <f t="shared" si="82"/>
        <v>#DIV/0!</v>
      </c>
      <c r="AU176" s="60" t="e">
        <f t="shared" si="82"/>
        <v>#DIV/0!</v>
      </c>
      <c r="AV176" s="60" t="e">
        <f t="shared" si="82"/>
        <v>#DIV/0!</v>
      </c>
      <c r="AW176" s="60" t="e">
        <f t="shared" si="82"/>
        <v>#DIV/0!</v>
      </c>
      <c r="AX176" s="60" t="e">
        <f t="shared" si="82"/>
        <v>#DIV/0!</v>
      </c>
      <c r="AY176" s="60" t="e">
        <f t="shared" si="82"/>
        <v>#DIV/0!</v>
      </c>
      <c r="AZ176" s="65"/>
      <c r="BA176" s="60" t="e">
        <f t="shared" si="82"/>
        <v>#DIV/0!</v>
      </c>
      <c r="BB176" s="59" t="e">
        <f>Links!AF176</f>
        <v>#DIV/0!</v>
      </c>
      <c r="BC176" s="59" t="e">
        <f>(Links!AG176*Links!C176+'On-Ramps'!AC176*'On-Ramps'!CE176)/('On-Ramps'!AC176+Links!C176)</f>
        <v>#DIV/0!</v>
      </c>
      <c r="BD176" s="59" t="e">
        <f>Links!AH176</f>
        <v>#DIV/0!</v>
      </c>
      <c r="BE176" s="59" t="e">
        <f>(Links!AI176*Links!E176+'On-Ramps'!AD176*'On-Ramps'!CF175)/('On-Ramps'!AD176+Links!E176)</f>
        <v>#DIV/0!</v>
      </c>
      <c r="BF176" s="59" t="e">
        <f>(Links!F176*Links!AJ176+'On-Ramps'!AE176*'On-Ramps'!CG176)/('On-Ramps'!AE176+Links!F176)</f>
        <v>#DIV/0!</v>
      </c>
      <c r="BG176" s="59" t="e">
        <f>(Links!G176*Links!AK176+'On-Ramps'!AF176*'On-Ramps'!CH176)/('On-Ramps'!AF176+Links!G176)</f>
        <v>#DIV/0!</v>
      </c>
      <c r="BH176" s="59" t="e">
        <f>(Links!H176*Links!AL176+'On-Ramps'!AG176*'On-Ramps'!CI176)/('On-Ramps'!AG176+Links!H176)</f>
        <v>#DIV/0!</v>
      </c>
      <c r="BI176" s="59" t="e">
        <f>(Links!J176*Links!AN176+'On-Ramps'!AH176*'On-Ramps'!CJ176)/('On-Ramps'!AH176+Links!J176)</f>
        <v>#DIV/0!</v>
      </c>
      <c r="BJ176" s="59" t="e">
        <f>(Links!K176*Links!AO176+'On-Ramps'!AI176*'On-Ramps'!CK176)/('On-Ramps'!AI176+Links!K176)</f>
        <v>#DIV/0!</v>
      </c>
      <c r="BK176" s="59" t="e">
        <f>(Links!L176*Links!AP176+'On-Ramps'!AJ176*'On-Ramps'!CL176)/(Links!L176+'On-Ramps'!AJ176)</f>
        <v>#DIV/0!</v>
      </c>
      <c r="BL176" s="59" t="e">
        <f>Links!AQ176</f>
        <v>#DIV/0!</v>
      </c>
      <c r="BM176" s="59" t="e">
        <f>(Links!N176*Links!AR176+'On-Ramps'!AL176*'On-Ramps'!CM176)/(Links!N176+'On-Ramps'!AL176)</f>
        <v>#DIV/0!</v>
      </c>
      <c r="BN176" s="59" t="e">
        <f>Links!AS176</f>
        <v>#DIV/0!</v>
      </c>
      <c r="BO176" s="60" t="e">
        <f>(Links!R176^2+'Off-Ramp'!L176^2)/(Links!R176+'Off-Ramp'!L176)</f>
        <v>#DIV/0!</v>
      </c>
      <c r="BP176" s="60" t="e">
        <f>Links!S176</f>
        <v>#DIV/0!</v>
      </c>
      <c r="BQ176" s="60" t="e">
        <f>(Links!S176^2+'Off-Ramp'!C176^2)/(Links!S176+'Off-Ramp'!C176)</f>
        <v>#DIV/0!</v>
      </c>
      <c r="BR176" s="60" t="e">
        <f>Links!T176</f>
        <v>#DIV/0!</v>
      </c>
      <c r="BS176" s="60" t="e">
        <f>(Links!X176^2+'Off-Ramp'!V176^2+'Off-Ramp'!W176^2+'Off-Ramp'!X176^2)/(Links!X176+'Off-Ramp'!V176+'Off-Ramp'!W176+'Off-Ramp'!X176)</f>
        <v>#DIV/0!</v>
      </c>
      <c r="BT176" s="60" t="e">
        <f>(Links!Y176^2+'Off-Ramp'!Y176^2+'Off-Ramp'!Z176^2+'Off-Ramp'!AA176^2)/(Links!Y176+'Off-Ramp'!Y176+'Off-Ramp'!Z176+'Off-Ramp'!AA176)</f>
        <v>#DIV/0!</v>
      </c>
      <c r="BU176" s="60" t="e">
        <f>(Links!W176^2+'Off-Ramp'!P176^2)/(Links!W176+'Off-Ramp'!P176)</f>
        <v>#DIV/0!</v>
      </c>
      <c r="BV176" s="60" t="e">
        <f>(Links!Y176^2+'Off-Ramp'!Q176^2)/(Links!Y176+'Off-Ramp'!Q176)</f>
        <v>#DIV/0!</v>
      </c>
      <c r="BW176" s="60" t="e">
        <f>(Links!Z176^2+'Off-Ramp'!R176^2)/(Links!Z176+'Off-Ramp'!R176)</f>
        <v>#DIV/0!</v>
      </c>
      <c r="BX176" s="60" t="e">
        <f>(Links!AA176+'Off-Ramp'!S176)/(Links!AA176^2+'Off-Ramp'!S176^2)</f>
        <v>#DIV/0!</v>
      </c>
      <c r="BY176" s="60" t="e">
        <f>(Links!AB176^2+'Off-Ramp'!T176^2)/(Links!AB176+'Off-Ramp'!T176)</f>
        <v>#DIV/0!</v>
      </c>
      <c r="BZ176" s="60" t="e">
        <f>Links!AC176</f>
        <v>#DIV/0!</v>
      </c>
      <c r="CA176" s="60" t="e">
        <f>(Links!AD176^2+'Off-Ramp'!U176^2)/(Links!AD176+'Off-Ramp'!U176)</f>
        <v>#DIV/0!</v>
      </c>
    </row>
    <row r="177" spans="1:79" x14ac:dyDescent="0.15">
      <c r="A177" s="58">
        <v>175</v>
      </c>
      <c r="B177" s="59" t="e">
        <f t="shared" si="58"/>
        <v>#DIV/0!</v>
      </c>
      <c r="C177" s="59" t="e">
        <f t="shared" si="59"/>
        <v>#DIV/0!</v>
      </c>
      <c r="D177" s="59" t="e">
        <f t="shared" si="60"/>
        <v>#DIV/0!</v>
      </c>
      <c r="E177" s="59" t="e">
        <f t="shared" si="61"/>
        <v>#DIV/0!</v>
      </c>
      <c r="F177" s="59" t="e">
        <f t="shared" si="62"/>
        <v>#DIV/0!</v>
      </c>
      <c r="G177" s="59" t="e">
        <f t="shared" si="63"/>
        <v>#DIV/0!</v>
      </c>
      <c r="H177" s="59" t="e">
        <f t="shared" si="64"/>
        <v>#DIV/0!</v>
      </c>
      <c r="I177" s="59" t="e">
        <f t="shared" si="65"/>
        <v>#DIV/0!</v>
      </c>
      <c r="J177" s="59" t="e">
        <f t="shared" si="66"/>
        <v>#DIV/0!</v>
      </c>
      <c r="K177" s="59" t="e">
        <f t="shared" si="67"/>
        <v>#DIV/0!</v>
      </c>
      <c r="L177" s="59" t="e">
        <f t="shared" si="68"/>
        <v>#DIV/0!</v>
      </c>
      <c r="M177" s="59" t="e">
        <f t="shared" si="69"/>
        <v>#DIV/0!</v>
      </c>
      <c r="N177" s="59" t="e">
        <f t="shared" si="70"/>
        <v>#DIV/0!</v>
      </c>
      <c r="O177" s="60" t="e">
        <f>Links!B177</f>
        <v>#DIV/0!</v>
      </c>
      <c r="P177" s="60" t="e">
        <f>Links!C177+'On-Ramps'!AC177</f>
        <v>#DIV/0!</v>
      </c>
      <c r="Q177" s="60" t="e">
        <f>Links!D177</f>
        <v>#DIV/0!</v>
      </c>
      <c r="R177" s="60" t="e">
        <f>Links!E177+'On-Ramps'!AD177</f>
        <v>#DIV/0!</v>
      </c>
      <c r="S177" s="60" t="e">
        <f>Links!F177+'On-Ramps'!AE177</f>
        <v>#DIV/0!</v>
      </c>
      <c r="T177" s="60" t="e">
        <f>Links!G177+'On-Ramps'!AF177</f>
        <v>#DIV/0!</v>
      </c>
      <c r="U177" s="60" t="e">
        <f>Links!H177+'On-Ramps'!AG177</f>
        <v>#DIV/0!</v>
      </c>
      <c r="V177" s="60" t="e">
        <f>Links!J177+'On-Ramps'!AH177</f>
        <v>#DIV/0!</v>
      </c>
      <c r="W177" s="60" t="e">
        <f>Links!K177+'On-Ramps'!AI177</f>
        <v>#DIV/0!</v>
      </c>
      <c r="X177" s="60" t="e">
        <f>Links!L177+'On-Ramps'!AJ177</f>
        <v>#DIV/0!</v>
      </c>
      <c r="Y177" s="60" t="e">
        <f>Links!M177</f>
        <v>#DIV/0!</v>
      </c>
      <c r="Z177" s="60" t="e">
        <f>Links!N177+'On-Ramps'!AK177</f>
        <v>#DIV/0!</v>
      </c>
      <c r="AA177" s="60" t="e">
        <f>Links!O177</f>
        <v>#DIV/0!</v>
      </c>
      <c r="AB177" s="59" t="e">
        <f t="shared" si="71"/>
        <v>#DIV/0!</v>
      </c>
      <c r="AC177" s="65"/>
      <c r="AD177" s="59" t="e">
        <f t="shared" si="72"/>
        <v>#DIV/0!</v>
      </c>
      <c r="AE177" s="65"/>
      <c r="AF177" s="59" t="e">
        <f t="shared" si="73"/>
        <v>#DIV/0!</v>
      </c>
      <c r="AG177" s="59" t="e">
        <f t="shared" si="74"/>
        <v>#DIV/0!</v>
      </c>
      <c r="AH177" s="59" t="e">
        <f t="shared" si="75"/>
        <v>#DIV/0!</v>
      </c>
      <c r="AI177" s="59" t="e">
        <f t="shared" si="76"/>
        <v>#DIV/0!</v>
      </c>
      <c r="AJ177" s="59" t="e">
        <f t="shared" si="77"/>
        <v>#DIV/0!</v>
      </c>
      <c r="AK177" s="59" t="e">
        <f t="shared" si="78"/>
        <v>#DIV/0!</v>
      </c>
      <c r="AL177" s="59" t="e">
        <f t="shared" si="79"/>
        <v>#DIV/0!</v>
      </c>
      <c r="AM177" s="65"/>
      <c r="AN177" s="59" t="e">
        <f t="shared" si="81"/>
        <v>#DIV/0!</v>
      </c>
      <c r="AO177" s="60" t="e">
        <f t="shared" si="57"/>
        <v>#DIV/0!</v>
      </c>
      <c r="AP177" s="65"/>
      <c r="AQ177" s="60" t="e">
        <f t="shared" si="82"/>
        <v>#DIV/0!</v>
      </c>
      <c r="AR177" s="65"/>
      <c r="AS177" s="60" t="e">
        <f t="shared" si="82"/>
        <v>#DIV/0!</v>
      </c>
      <c r="AT177" s="60" t="e">
        <f t="shared" si="82"/>
        <v>#DIV/0!</v>
      </c>
      <c r="AU177" s="60" t="e">
        <f t="shared" si="82"/>
        <v>#DIV/0!</v>
      </c>
      <c r="AV177" s="60" t="e">
        <f t="shared" si="82"/>
        <v>#DIV/0!</v>
      </c>
      <c r="AW177" s="60" t="e">
        <f t="shared" si="82"/>
        <v>#DIV/0!</v>
      </c>
      <c r="AX177" s="60" t="e">
        <f t="shared" si="82"/>
        <v>#DIV/0!</v>
      </c>
      <c r="AY177" s="60" t="e">
        <f t="shared" si="82"/>
        <v>#DIV/0!</v>
      </c>
      <c r="AZ177" s="65"/>
      <c r="BA177" s="60" t="e">
        <f t="shared" si="82"/>
        <v>#DIV/0!</v>
      </c>
      <c r="BB177" s="59" t="e">
        <f>Links!AF177</f>
        <v>#DIV/0!</v>
      </c>
      <c r="BC177" s="59" t="e">
        <f>(Links!AG177*Links!C177+'On-Ramps'!AC177*'On-Ramps'!CE177)/('On-Ramps'!AC177+Links!C177)</f>
        <v>#DIV/0!</v>
      </c>
      <c r="BD177" s="59" t="e">
        <f>Links!AH177</f>
        <v>#DIV/0!</v>
      </c>
      <c r="BE177" s="59" t="e">
        <f>(Links!AI177*Links!E177+'On-Ramps'!AD177*'On-Ramps'!CF176)/('On-Ramps'!AD177+Links!E177)</f>
        <v>#DIV/0!</v>
      </c>
      <c r="BF177" s="59" t="e">
        <f>(Links!F177*Links!AJ177+'On-Ramps'!AE177*'On-Ramps'!CG177)/('On-Ramps'!AE177+Links!F177)</f>
        <v>#DIV/0!</v>
      </c>
      <c r="BG177" s="59" t="e">
        <f>(Links!G177*Links!AK177+'On-Ramps'!AF177*'On-Ramps'!CH177)/('On-Ramps'!AF177+Links!G177)</f>
        <v>#DIV/0!</v>
      </c>
      <c r="BH177" s="59" t="e">
        <f>(Links!H177*Links!AL177+'On-Ramps'!AG177*'On-Ramps'!CI177)/('On-Ramps'!AG177+Links!H177)</f>
        <v>#DIV/0!</v>
      </c>
      <c r="BI177" s="59" t="e">
        <f>(Links!J177*Links!AN177+'On-Ramps'!AH177*'On-Ramps'!CJ177)/('On-Ramps'!AH177+Links!J177)</f>
        <v>#DIV/0!</v>
      </c>
      <c r="BJ177" s="59" t="e">
        <f>(Links!K177*Links!AO177+'On-Ramps'!AI177*'On-Ramps'!CK177)/('On-Ramps'!AI177+Links!K177)</f>
        <v>#DIV/0!</v>
      </c>
      <c r="BK177" s="59" t="e">
        <f>(Links!L177*Links!AP177+'On-Ramps'!AJ177*'On-Ramps'!CL177)/(Links!L177+'On-Ramps'!AJ177)</f>
        <v>#DIV/0!</v>
      </c>
      <c r="BL177" s="59" t="e">
        <f>Links!AQ177</f>
        <v>#DIV/0!</v>
      </c>
      <c r="BM177" s="59" t="e">
        <f>(Links!N177*Links!AR177+'On-Ramps'!AL177*'On-Ramps'!CM177)/(Links!N177+'On-Ramps'!AL177)</f>
        <v>#DIV/0!</v>
      </c>
      <c r="BN177" s="59" t="e">
        <f>Links!AS177</f>
        <v>#DIV/0!</v>
      </c>
      <c r="BO177" s="60" t="e">
        <f>(Links!R177^2+'Off-Ramp'!L177^2)/(Links!R177+'Off-Ramp'!L177)</f>
        <v>#DIV/0!</v>
      </c>
      <c r="BP177" s="60" t="e">
        <f>Links!S177</f>
        <v>#DIV/0!</v>
      </c>
      <c r="BQ177" s="60" t="e">
        <f>(Links!S177^2+'Off-Ramp'!C177^2)/(Links!S177+'Off-Ramp'!C177)</f>
        <v>#DIV/0!</v>
      </c>
      <c r="BR177" s="60" t="e">
        <f>Links!T177</f>
        <v>#DIV/0!</v>
      </c>
      <c r="BS177" s="60" t="e">
        <f>(Links!X177^2+'Off-Ramp'!V177^2+'Off-Ramp'!W177^2+'Off-Ramp'!X177^2)/(Links!X177+'Off-Ramp'!V177+'Off-Ramp'!W177+'Off-Ramp'!X177)</f>
        <v>#DIV/0!</v>
      </c>
      <c r="BT177" s="60" t="e">
        <f>(Links!Y177^2+'Off-Ramp'!Y177^2+'Off-Ramp'!Z177^2+'Off-Ramp'!AA177^2)/(Links!Y177+'Off-Ramp'!Y177+'Off-Ramp'!Z177+'Off-Ramp'!AA177)</f>
        <v>#DIV/0!</v>
      </c>
      <c r="BU177" s="60" t="e">
        <f>(Links!W177^2+'Off-Ramp'!P177^2)/(Links!W177+'Off-Ramp'!P177)</f>
        <v>#DIV/0!</v>
      </c>
      <c r="BV177" s="60" t="e">
        <f>(Links!Y177^2+'Off-Ramp'!Q177^2)/(Links!Y177+'Off-Ramp'!Q177)</f>
        <v>#DIV/0!</v>
      </c>
      <c r="BW177" s="60" t="e">
        <f>(Links!Z177^2+'Off-Ramp'!R177^2)/(Links!Z177+'Off-Ramp'!R177)</f>
        <v>#DIV/0!</v>
      </c>
      <c r="BX177" s="60" t="e">
        <f>(Links!AA177+'Off-Ramp'!S177)/(Links!AA177^2+'Off-Ramp'!S177^2)</f>
        <v>#DIV/0!</v>
      </c>
      <c r="BY177" s="60" t="e">
        <f>(Links!AB177^2+'Off-Ramp'!T177^2)/(Links!AB177+'Off-Ramp'!T177)</f>
        <v>#DIV/0!</v>
      </c>
      <c r="BZ177" s="60" t="e">
        <f>Links!AC177</f>
        <v>#DIV/0!</v>
      </c>
      <c r="CA177" s="60" t="e">
        <f>(Links!AD177^2+'Off-Ramp'!U177^2)/(Links!AD177+'Off-Ramp'!U177)</f>
        <v>#DIV/0!</v>
      </c>
    </row>
    <row r="178" spans="1:79" x14ac:dyDescent="0.15">
      <c r="A178" s="58">
        <v>176</v>
      </c>
      <c r="B178" s="59" t="e">
        <f t="shared" si="58"/>
        <v>#DIV/0!</v>
      </c>
      <c r="C178" s="59" t="e">
        <f t="shared" si="59"/>
        <v>#DIV/0!</v>
      </c>
      <c r="D178" s="59" t="e">
        <f t="shared" si="60"/>
        <v>#DIV/0!</v>
      </c>
      <c r="E178" s="59" t="e">
        <f t="shared" si="61"/>
        <v>#DIV/0!</v>
      </c>
      <c r="F178" s="59" t="e">
        <f t="shared" si="62"/>
        <v>#DIV/0!</v>
      </c>
      <c r="G178" s="59" t="e">
        <f t="shared" si="63"/>
        <v>#DIV/0!</v>
      </c>
      <c r="H178" s="59" t="e">
        <f t="shared" si="64"/>
        <v>#DIV/0!</v>
      </c>
      <c r="I178" s="59" t="e">
        <f t="shared" si="65"/>
        <v>#DIV/0!</v>
      </c>
      <c r="J178" s="59" t="e">
        <f t="shared" si="66"/>
        <v>#DIV/0!</v>
      </c>
      <c r="K178" s="59" t="e">
        <f t="shared" si="67"/>
        <v>#DIV/0!</v>
      </c>
      <c r="L178" s="59" t="e">
        <f t="shared" si="68"/>
        <v>#DIV/0!</v>
      </c>
      <c r="M178" s="59" t="e">
        <f t="shared" si="69"/>
        <v>#DIV/0!</v>
      </c>
      <c r="N178" s="59" t="e">
        <f t="shared" si="70"/>
        <v>#DIV/0!</v>
      </c>
      <c r="O178" s="60" t="e">
        <f>Links!B178</f>
        <v>#DIV/0!</v>
      </c>
      <c r="P178" s="60" t="e">
        <f>Links!C178+'On-Ramps'!AC178</f>
        <v>#DIV/0!</v>
      </c>
      <c r="Q178" s="60" t="e">
        <f>Links!D178</f>
        <v>#DIV/0!</v>
      </c>
      <c r="R178" s="60" t="e">
        <f>Links!E178+'On-Ramps'!AD178</f>
        <v>#DIV/0!</v>
      </c>
      <c r="S178" s="60" t="e">
        <f>Links!F178+'On-Ramps'!AE178</f>
        <v>#DIV/0!</v>
      </c>
      <c r="T178" s="60" t="e">
        <f>Links!G178+'On-Ramps'!AF178</f>
        <v>#DIV/0!</v>
      </c>
      <c r="U178" s="60" t="e">
        <f>Links!H178+'On-Ramps'!AG178</f>
        <v>#DIV/0!</v>
      </c>
      <c r="V178" s="60" t="e">
        <f>Links!J178+'On-Ramps'!AH178</f>
        <v>#DIV/0!</v>
      </c>
      <c r="W178" s="60" t="e">
        <f>Links!K178+'On-Ramps'!AI178</f>
        <v>#DIV/0!</v>
      </c>
      <c r="X178" s="60" t="e">
        <f>Links!L178+'On-Ramps'!AJ178</f>
        <v>#DIV/0!</v>
      </c>
      <c r="Y178" s="60" t="e">
        <f>Links!M178</f>
        <v>#DIV/0!</v>
      </c>
      <c r="Z178" s="60" t="e">
        <f>Links!N178+'On-Ramps'!AK178</f>
        <v>#DIV/0!</v>
      </c>
      <c r="AA178" s="60" t="e">
        <f>Links!O178</f>
        <v>#DIV/0!</v>
      </c>
      <c r="AB178" s="59" t="e">
        <f t="shared" si="71"/>
        <v>#DIV/0!</v>
      </c>
      <c r="AC178" s="65"/>
      <c r="AD178" s="59" t="e">
        <f t="shared" si="72"/>
        <v>#DIV/0!</v>
      </c>
      <c r="AE178" s="65"/>
      <c r="AF178" s="59" t="e">
        <f t="shared" si="73"/>
        <v>#DIV/0!</v>
      </c>
      <c r="AG178" s="59" t="e">
        <f t="shared" si="74"/>
        <v>#DIV/0!</v>
      </c>
      <c r="AH178" s="59" t="e">
        <f t="shared" si="75"/>
        <v>#DIV/0!</v>
      </c>
      <c r="AI178" s="59" t="e">
        <f t="shared" si="76"/>
        <v>#DIV/0!</v>
      </c>
      <c r="AJ178" s="59" t="e">
        <f t="shared" si="77"/>
        <v>#DIV/0!</v>
      </c>
      <c r="AK178" s="59" t="e">
        <f t="shared" si="78"/>
        <v>#DIV/0!</v>
      </c>
      <c r="AL178" s="59" t="e">
        <f t="shared" si="79"/>
        <v>#DIV/0!</v>
      </c>
      <c r="AM178" s="65"/>
      <c r="AN178" s="59" t="e">
        <f t="shared" si="81"/>
        <v>#DIV/0!</v>
      </c>
      <c r="AO178" s="60" t="e">
        <f t="shared" si="57"/>
        <v>#DIV/0!</v>
      </c>
      <c r="AP178" s="65"/>
      <c r="AQ178" s="60" t="e">
        <f t="shared" si="82"/>
        <v>#DIV/0!</v>
      </c>
      <c r="AR178" s="65"/>
      <c r="AS178" s="60" t="e">
        <f t="shared" si="82"/>
        <v>#DIV/0!</v>
      </c>
      <c r="AT178" s="60" t="e">
        <f t="shared" si="82"/>
        <v>#DIV/0!</v>
      </c>
      <c r="AU178" s="60" t="e">
        <f t="shared" si="82"/>
        <v>#DIV/0!</v>
      </c>
      <c r="AV178" s="60" t="e">
        <f t="shared" si="82"/>
        <v>#DIV/0!</v>
      </c>
      <c r="AW178" s="60" t="e">
        <f t="shared" si="82"/>
        <v>#DIV/0!</v>
      </c>
      <c r="AX178" s="60" t="e">
        <f t="shared" si="82"/>
        <v>#DIV/0!</v>
      </c>
      <c r="AY178" s="60" t="e">
        <f t="shared" si="82"/>
        <v>#DIV/0!</v>
      </c>
      <c r="AZ178" s="65"/>
      <c r="BA178" s="60" t="e">
        <f t="shared" si="82"/>
        <v>#DIV/0!</v>
      </c>
      <c r="BB178" s="59" t="e">
        <f>Links!AF178</f>
        <v>#DIV/0!</v>
      </c>
      <c r="BC178" s="59" t="e">
        <f>(Links!AG178*Links!C178+'On-Ramps'!AC178*'On-Ramps'!CE178)/('On-Ramps'!AC178+Links!C178)</f>
        <v>#DIV/0!</v>
      </c>
      <c r="BD178" s="59" t="e">
        <f>Links!AH178</f>
        <v>#DIV/0!</v>
      </c>
      <c r="BE178" s="59" t="e">
        <f>(Links!AI178*Links!E178+'On-Ramps'!AD178*'On-Ramps'!CF177)/('On-Ramps'!AD178+Links!E178)</f>
        <v>#DIV/0!</v>
      </c>
      <c r="BF178" s="59" t="e">
        <f>(Links!F178*Links!AJ178+'On-Ramps'!AE178*'On-Ramps'!CG178)/('On-Ramps'!AE178+Links!F178)</f>
        <v>#DIV/0!</v>
      </c>
      <c r="BG178" s="59" t="e">
        <f>(Links!G178*Links!AK178+'On-Ramps'!AF178*'On-Ramps'!CH178)/('On-Ramps'!AF178+Links!G178)</f>
        <v>#DIV/0!</v>
      </c>
      <c r="BH178" s="59" t="e">
        <f>(Links!H178*Links!AL178+'On-Ramps'!AG178*'On-Ramps'!CI178)/('On-Ramps'!AG178+Links!H178)</f>
        <v>#DIV/0!</v>
      </c>
      <c r="BI178" s="59" t="e">
        <f>(Links!J178*Links!AN178+'On-Ramps'!AH178*'On-Ramps'!CJ178)/('On-Ramps'!AH178+Links!J178)</f>
        <v>#DIV/0!</v>
      </c>
      <c r="BJ178" s="59" t="e">
        <f>(Links!K178*Links!AO178+'On-Ramps'!AI178*'On-Ramps'!CK178)/('On-Ramps'!AI178+Links!K178)</f>
        <v>#DIV/0!</v>
      </c>
      <c r="BK178" s="59" t="e">
        <f>(Links!L178*Links!AP178+'On-Ramps'!AJ178*'On-Ramps'!CL178)/(Links!L178+'On-Ramps'!AJ178)</f>
        <v>#DIV/0!</v>
      </c>
      <c r="BL178" s="59" t="e">
        <f>Links!AQ178</f>
        <v>#DIV/0!</v>
      </c>
      <c r="BM178" s="59" t="e">
        <f>(Links!N178*Links!AR178+'On-Ramps'!AL178*'On-Ramps'!CM178)/(Links!N178+'On-Ramps'!AL178)</f>
        <v>#DIV/0!</v>
      </c>
      <c r="BN178" s="59" t="e">
        <f>Links!AS178</f>
        <v>#DIV/0!</v>
      </c>
      <c r="BO178" s="60" t="e">
        <f>(Links!R178^2+'Off-Ramp'!L178^2)/(Links!R178+'Off-Ramp'!L178)</f>
        <v>#DIV/0!</v>
      </c>
      <c r="BP178" s="60" t="e">
        <f>Links!S178</f>
        <v>#DIV/0!</v>
      </c>
      <c r="BQ178" s="60" t="e">
        <f>(Links!S178^2+'Off-Ramp'!C178^2)/(Links!S178+'Off-Ramp'!C178)</f>
        <v>#DIV/0!</v>
      </c>
      <c r="BR178" s="60" t="e">
        <f>Links!T178</f>
        <v>#DIV/0!</v>
      </c>
      <c r="BS178" s="60" t="e">
        <f>(Links!X178^2+'Off-Ramp'!V178^2+'Off-Ramp'!W178^2+'Off-Ramp'!X178^2)/(Links!X178+'Off-Ramp'!V178+'Off-Ramp'!W178+'Off-Ramp'!X178)</f>
        <v>#DIV/0!</v>
      </c>
      <c r="BT178" s="60" t="e">
        <f>(Links!Y178^2+'Off-Ramp'!Y178^2+'Off-Ramp'!Z178^2+'Off-Ramp'!AA178^2)/(Links!Y178+'Off-Ramp'!Y178+'Off-Ramp'!Z178+'Off-Ramp'!AA178)</f>
        <v>#DIV/0!</v>
      </c>
      <c r="BU178" s="60" t="e">
        <f>(Links!W178^2+'Off-Ramp'!P178^2)/(Links!W178+'Off-Ramp'!P178)</f>
        <v>#DIV/0!</v>
      </c>
      <c r="BV178" s="60" t="e">
        <f>(Links!Y178^2+'Off-Ramp'!Q178^2)/(Links!Y178+'Off-Ramp'!Q178)</f>
        <v>#DIV/0!</v>
      </c>
      <c r="BW178" s="60" t="e">
        <f>(Links!Z178^2+'Off-Ramp'!R178^2)/(Links!Z178+'Off-Ramp'!R178)</f>
        <v>#DIV/0!</v>
      </c>
      <c r="BX178" s="60" t="e">
        <f>(Links!AA178+'Off-Ramp'!S178)/(Links!AA178^2+'Off-Ramp'!S178^2)</f>
        <v>#DIV/0!</v>
      </c>
      <c r="BY178" s="60" t="e">
        <f>(Links!AB178^2+'Off-Ramp'!T178^2)/(Links!AB178+'Off-Ramp'!T178)</f>
        <v>#DIV/0!</v>
      </c>
      <c r="BZ178" s="60" t="e">
        <f>Links!AC178</f>
        <v>#DIV/0!</v>
      </c>
      <c r="CA178" s="60" t="e">
        <f>(Links!AD178^2+'Off-Ramp'!U178^2)/(Links!AD178+'Off-Ramp'!U178)</f>
        <v>#DIV/0!</v>
      </c>
    </row>
    <row r="179" spans="1:79" x14ac:dyDescent="0.15">
      <c r="A179" s="58">
        <v>177</v>
      </c>
      <c r="B179" s="59" t="e">
        <f t="shared" si="58"/>
        <v>#DIV/0!</v>
      </c>
      <c r="C179" s="59" t="e">
        <f t="shared" si="59"/>
        <v>#DIV/0!</v>
      </c>
      <c r="D179" s="59" t="e">
        <f t="shared" si="60"/>
        <v>#DIV/0!</v>
      </c>
      <c r="E179" s="59" t="e">
        <f t="shared" si="61"/>
        <v>#DIV/0!</v>
      </c>
      <c r="F179" s="59" t="e">
        <f t="shared" si="62"/>
        <v>#DIV/0!</v>
      </c>
      <c r="G179" s="59" t="e">
        <f t="shared" si="63"/>
        <v>#DIV/0!</v>
      </c>
      <c r="H179" s="59" t="e">
        <f t="shared" si="64"/>
        <v>#DIV/0!</v>
      </c>
      <c r="I179" s="59" t="e">
        <f t="shared" si="65"/>
        <v>#DIV/0!</v>
      </c>
      <c r="J179" s="59" t="e">
        <f t="shared" si="66"/>
        <v>#DIV/0!</v>
      </c>
      <c r="K179" s="59" t="e">
        <f t="shared" si="67"/>
        <v>#DIV/0!</v>
      </c>
      <c r="L179" s="59" t="e">
        <f t="shared" si="68"/>
        <v>#DIV/0!</v>
      </c>
      <c r="M179" s="59" t="e">
        <f t="shared" si="69"/>
        <v>#DIV/0!</v>
      </c>
      <c r="N179" s="59" t="e">
        <f t="shared" si="70"/>
        <v>#DIV/0!</v>
      </c>
      <c r="O179" s="60" t="e">
        <f>Links!B179</f>
        <v>#DIV/0!</v>
      </c>
      <c r="P179" s="60" t="e">
        <f>Links!C179+'On-Ramps'!AC179</f>
        <v>#DIV/0!</v>
      </c>
      <c r="Q179" s="60" t="e">
        <f>Links!D179</f>
        <v>#DIV/0!</v>
      </c>
      <c r="R179" s="60" t="e">
        <f>Links!E179+'On-Ramps'!AD179</f>
        <v>#DIV/0!</v>
      </c>
      <c r="S179" s="60" t="e">
        <f>Links!F179+'On-Ramps'!AE179</f>
        <v>#DIV/0!</v>
      </c>
      <c r="T179" s="60" t="e">
        <f>Links!G179+'On-Ramps'!AF179</f>
        <v>#DIV/0!</v>
      </c>
      <c r="U179" s="60" t="e">
        <f>Links!H179+'On-Ramps'!AG179</f>
        <v>#DIV/0!</v>
      </c>
      <c r="V179" s="60" t="e">
        <f>Links!J179+'On-Ramps'!AH179</f>
        <v>#DIV/0!</v>
      </c>
      <c r="W179" s="60" t="e">
        <f>Links!K179+'On-Ramps'!AI179</f>
        <v>#DIV/0!</v>
      </c>
      <c r="X179" s="60" t="e">
        <f>Links!L179+'On-Ramps'!AJ179</f>
        <v>#DIV/0!</v>
      </c>
      <c r="Y179" s="60" t="e">
        <f>Links!M179</f>
        <v>#DIV/0!</v>
      </c>
      <c r="Z179" s="60" t="e">
        <f>Links!N179+'On-Ramps'!AK179</f>
        <v>#DIV/0!</v>
      </c>
      <c r="AA179" s="60" t="e">
        <f>Links!O179</f>
        <v>#DIV/0!</v>
      </c>
      <c r="AB179" s="59" t="e">
        <f t="shared" si="71"/>
        <v>#DIV/0!</v>
      </c>
      <c r="AC179" s="65"/>
      <c r="AD179" s="59" t="e">
        <f t="shared" si="72"/>
        <v>#DIV/0!</v>
      </c>
      <c r="AE179" s="65"/>
      <c r="AF179" s="59" t="e">
        <f t="shared" si="73"/>
        <v>#DIV/0!</v>
      </c>
      <c r="AG179" s="59" t="e">
        <f t="shared" si="74"/>
        <v>#DIV/0!</v>
      </c>
      <c r="AH179" s="59" t="e">
        <f t="shared" si="75"/>
        <v>#DIV/0!</v>
      </c>
      <c r="AI179" s="59" t="e">
        <f t="shared" si="76"/>
        <v>#DIV/0!</v>
      </c>
      <c r="AJ179" s="59" t="e">
        <f t="shared" si="77"/>
        <v>#DIV/0!</v>
      </c>
      <c r="AK179" s="59" t="e">
        <f t="shared" si="78"/>
        <v>#DIV/0!</v>
      </c>
      <c r="AL179" s="59" t="e">
        <f t="shared" si="79"/>
        <v>#DIV/0!</v>
      </c>
      <c r="AM179" s="65"/>
      <c r="AN179" s="59" t="e">
        <f t="shared" si="81"/>
        <v>#DIV/0!</v>
      </c>
      <c r="AO179" s="60" t="e">
        <f t="shared" si="57"/>
        <v>#DIV/0!</v>
      </c>
      <c r="AP179" s="65"/>
      <c r="AQ179" s="60" t="e">
        <f t="shared" si="82"/>
        <v>#DIV/0!</v>
      </c>
      <c r="AR179" s="65"/>
      <c r="AS179" s="60" t="e">
        <f t="shared" si="82"/>
        <v>#DIV/0!</v>
      </c>
      <c r="AT179" s="60" t="e">
        <f t="shared" si="82"/>
        <v>#DIV/0!</v>
      </c>
      <c r="AU179" s="60" t="e">
        <f t="shared" si="82"/>
        <v>#DIV/0!</v>
      </c>
      <c r="AV179" s="60" t="e">
        <f t="shared" si="82"/>
        <v>#DIV/0!</v>
      </c>
      <c r="AW179" s="60" t="e">
        <f t="shared" si="82"/>
        <v>#DIV/0!</v>
      </c>
      <c r="AX179" s="60" t="e">
        <f t="shared" si="82"/>
        <v>#DIV/0!</v>
      </c>
      <c r="AY179" s="60" t="e">
        <f t="shared" si="82"/>
        <v>#DIV/0!</v>
      </c>
      <c r="AZ179" s="65"/>
      <c r="BA179" s="60" t="e">
        <f t="shared" si="82"/>
        <v>#DIV/0!</v>
      </c>
      <c r="BB179" s="59" t="e">
        <f>Links!AF179</f>
        <v>#DIV/0!</v>
      </c>
      <c r="BC179" s="59" t="e">
        <f>(Links!AG179*Links!C179+'On-Ramps'!AC179*'On-Ramps'!CE179)/('On-Ramps'!AC179+Links!C179)</f>
        <v>#DIV/0!</v>
      </c>
      <c r="BD179" s="59" t="e">
        <f>Links!AH179</f>
        <v>#DIV/0!</v>
      </c>
      <c r="BE179" s="59" t="e">
        <f>(Links!AI179*Links!E179+'On-Ramps'!AD179*'On-Ramps'!CF178)/('On-Ramps'!AD179+Links!E179)</f>
        <v>#DIV/0!</v>
      </c>
      <c r="BF179" s="59" t="e">
        <f>(Links!F179*Links!AJ179+'On-Ramps'!AE179*'On-Ramps'!CG179)/('On-Ramps'!AE179+Links!F179)</f>
        <v>#DIV/0!</v>
      </c>
      <c r="BG179" s="59" t="e">
        <f>(Links!G179*Links!AK179+'On-Ramps'!AF179*'On-Ramps'!CH179)/('On-Ramps'!AF179+Links!G179)</f>
        <v>#DIV/0!</v>
      </c>
      <c r="BH179" s="59" t="e">
        <f>(Links!H179*Links!AL179+'On-Ramps'!AG179*'On-Ramps'!CI179)/('On-Ramps'!AG179+Links!H179)</f>
        <v>#DIV/0!</v>
      </c>
      <c r="BI179" s="59" t="e">
        <f>(Links!J179*Links!AN179+'On-Ramps'!AH179*'On-Ramps'!CJ179)/('On-Ramps'!AH179+Links!J179)</f>
        <v>#DIV/0!</v>
      </c>
      <c r="BJ179" s="59" t="e">
        <f>(Links!K179*Links!AO179+'On-Ramps'!AI179*'On-Ramps'!CK179)/('On-Ramps'!AI179+Links!K179)</f>
        <v>#DIV/0!</v>
      </c>
      <c r="BK179" s="59" t="e">
        <f>(Links!L179*Links!AP179+'On-Ramps'!AJ179*'On-Ramps'!CL179)/(Links!L179+'On-Ramps'!AJ179)</f>
        <v>#DIV/0!</v>
      </c>
      <c r="BL179" s="59" t="e">
        <f>Links!AQ179</f>
        <v>#DIV/0!</v>
      </c>
      <c r="BM179" s="59" t="e">
        <f>(Links!N179*Links!AR179+'On-Ramps'!AL179*'On-Ramps'!CM179)/(Links!N179+'On-Ramps'!AL179)</f>
        <v>#DIV/0!</v>
      </c>
      <c r="BN179" s="59" t="e">
        <f>Links!AS179</f>
        <v>#DIV/0!</v>
      </c>
      <c r="BO179" s="60" t="e">
        <f>(Links!R179^2+'Off-Ramp'!L179^2)/(Links!R179+'Off-Ramp'!L179)</f>
        <v>#DIV/0!</v>
      </c>
      <c r="BP179" s="60" t="e">
        <f>Links!S179</f>
        <v>#DIV/0!</v>
      </c>
      <c r="BQ179" s="60" t="e">
        <f>(Links!S179^2+'Off-Ramp'!C179^2)/(Links!S179+'Off-Ramp'!C179)</f>
        <v>#DIV/0!</v>
      </c>
      <c r="BR179" s="60" t="e">
        <f>Links!T179</f>
        <v>#DIV/0!</v>
      </c>
      <c r="BS179" s="60" t="e">
        <f>(Links!X179^2+'Off-Ramp'!V179^2+'Off-Ramp'!W179^2+'Off-Ramp'!X179^2)/(Links!X179+'Off-Ramp'!V179+'Off-Ramp'!W179+'Off-Ramp'!X179)</f>
        <v>#DIV/0!</v>
      </c>
      <c r="BT179" s="60" t="e">
        <f>(Links!Y179^2+'Off-Ramp'!Y179^2+'Off-Ramp'!Z179^2+'Off-Ramp'!AA179^2)/(Links!Y179+'Off-Ramp'!Y179+'Off-Ramp'!Z179+'Off-Ramp'!AA179)</f>
        <v>#DIV/0!</v>
      </c>
      <c r="BU179" s="60" t="e">
        <f>(Links!W179^2+'Off-Ramp'!P179^2)/(Links!W179+'Off-Ramp'!P179)</f>
        <v>#DIV/0!</v>
      </c>
      <c r="BV179" s="60" t="e">
        <f>(Links!Y179^2+'Off-Ramp'!Q179^2)/(Links!Y179+'Off-Ramp'!Q179)</f>
        <v>#DIV/0!</v>
      </c>
      <c r="BW179" s="60" t="e">
        <f>(Links!Z179^2+'Off-Ramp'!R179^2)/(Links!Z179+'Off-Ramp'!R179)</f>
        <v>#DIV/0!</v>
      </c>
      <c r="BX179" s="60" t="e">
        <f>(Links!AA179+'Off-Ramp'!S179)/(Links!AA179^2+'Off-Ramp'!S179^2)</f>
        <v>#DIV/0!</v>
      </c>
      <c r="BY179" s="60" t="e">
        <f>(Links!AB179^2+'Off-Ramp'!T179^2)/(Links!AB179+'Off-Ramp'!T179)</f>
        <v>#DIV/0!</v>
      </c>
      <c r="BZ179" s="60" t="e">
        <f>Links!AC179</f>
        <v>#DIV/0!</v>
      </c>
      <c r="CA179" s="60" t="e">
        <f>(Links!AD179^2+'Off-Ramp'!U179^2)/(Links!AD179+'Off-Ramp'!U179)</f>
        <v>#DIV/0!</v>
      </c>
    </row>
    <row r="180" spans="1:79" x14ac:dyDescent="0.15">
      <c r="A180" s="58">
        <v>178</v>
      </c>
      <c r="B180" s="59" t="e">
        <f t="shared" si="58"/>
        <v>#DIV/0!</v>
      </c>
      <c r="C180" s="59" t="e">
        <f t="shared" si="59"/>
        <v>#DIV/0!</v>
      </c>
      <c r="D180" s="59" t="e">
        <f t="shared" si="60"/>
        <v>#DIV/0!</v>
      </c>
      <c r="E180" s="59" t="e">
        <f t="shared" si="61"/>
        <v>#DIV/0!</v>
      </c>
      <c r="F180" s="59" t="e">
        <f t="shared" si="62"/>
        <v>#DIV/0!</v>
      </c>
      <c r="G180" s="59" t="e">
        <f t="shared" si="63"/>
        <v>#DIV/0!</v>
      </c>
      <c r="H180" s="59" t="e">
        <f t="shared" si="64"/>
        <v>#DIV/0!</v>
      </c>
      <c r="I180" s="59" t="e">
        <f t="shared" si="65"/>
        <v>#DIV/0!</v>
      </c>
      <c r="J180" s="59" t="e">
        <f t="shared" si="66"/>
        <v>#DIV/0!</v>
      </c>
      <c r="K180" s="59" t="e">
        <f t="shared" si="67"/>
        <v>#DIV/0!</v>
      </c>
      <c r="L180" s="59" t="e">
        <f t="shared" si="68"/>
        <v>#DIV/0!</v>
      </c>
      <c r="M180" s="59" t="e">
        <f t="shared" si="69"/>
        <v>#DIV/0!</v>
      </c>
      <c r="N180" s="59" t="e">
        <f t="shared" si="70"/>
        <v>#DIV/0!</v>
      </c>
      <c r="O180" s="60" t="e">
        <f>Links!B180</f>
        <v>#DIV/0!</v>
      </c>
      <c r="P180" s="60" t="e">
        <f>Links!C180+'On-Ramps'!AC180</f>
        <v>#DIV/0!</v>
      </c>
      <c r="Q180" s="60" t="e">
        <f>Links!D180</f>
        <v>#DIV/0!</v>
      </c>
      <c r="R180" s="60" t="e">
        <f>Links!E180+'On-Ramps'!AD180</f>
        <v>#DIV/0!</v>
      </c>
      <c r="S180" s="60" t="e">
        <f>Links!F180+'On-Ramps'!AE180</f>
        <v>#DIV/0!</v>
      </c>
      <c r="T180" s="60" t="e">
        <f>Links!G180+'On-Ramps'!AF180</f>
        <v>#DIV/0!</v>
      </c>
      <c r="U180" s="60" t="e">
        <f>Links!H180+'On-Ramps'!AG180</f>
        <v>#DIV/0!</v>
      </c>
      <c r="V180" s="60" t="e">
        <f>Links!J180+'On-Ramps'!AH180</f>
        <v>#DIV/0!</v>
      </c>
      <c r="W180" s="60" t="e">
        <f>Links!K180+'On-Ramps'!AI180</f>
        <v>#DIV/0!</v>
      </c>
      <c r="X180" s="60" t="e">
        <f>Links!L180+'On-Ramps'!AJ180</f>
        <v>#DIV/0!</v>
      </c>
      <c r="Y180" s="60" t="e">
        <f>Links!M180</f>
        <v>#DIV/0!</v>
      </c>
      <c r="Z180" s="60" t="e">
        <f>Links!N180+'On-Ramps'!AK180</f>
        <v>#DIV/0!</v>
      </c>
      <c r="AA180" s="60" t="e">
        <f>Links!O180</f>
        <v>#DIV/0!</v>
      </c>
      <c r="AB180" s="59" t="e">
        <f t="shared" si="71"/>
        <v>#DIV/0!</v>
      </c>
      <c r="AC180" s="65"/>
      <c r="AD180" s="59" t="e">
        <f t="shared" si="72"/>
        <v>#DIV/0!</v>
      </c>
      <c r="AE180" s="65"/>
      <c r="AF180" s="59" t="e">
        <f t="shared" si="73"/>
        <v>#DIV/0!</v>
      </c>
      <c r="AG180" s="59" t="e">
        <f t="shared" si="74"/>
        <v>#DIV/0!</v>
      </c>
      <c r="AH180" s="59" t="e">
        <f t="shared" si="75"/>
        <v>#DIV/0!</v>
      </c>
      <c r="AI180" s="59" t="e">
        <f t="shared" si="76"/>
        <v>#DIV/0!</v>
      </c>
      <c r="AJ180" s="59" t="e">
        <f t="shared" si="77"/>
        <v>#DIV/0!</v>
      </c>
      <c r="AK180" s="59" t="e">
        <f t="shared" si="78"/>
        <v>#DIV/0!</v>
      </c>
      <c r="AL180" s="59" t="e">
        <f t="shared" si="79"/>
        <v>#DIV/0!</v>
      </c>
      <c r="AM180" s="65"/>
      <c r="AN180" s="59" t="e">
        <f t="shared" si="81"/>
        <v>#DIV/0!</v>
      </c>
      <c r="AO180" s="60" t="e">
        <f t="shared" si="57"/>
        <v>#DIV/0!</v>
      </c>
      <c r="AP180" s="65"/>
      <c r="AQ180" s="60" t="e">
        <f t="shared" si="82"/>
        <v>#DIV/0!</v>
      </c>
      <c r="AR180" s="65"/>
      <c r="AS180" s="60" t="e">
        <f t="shared" si="82"/>
        <v>#DIV/0!</v>
      </c>
      <c r="AT180" s="60" t="e">
        <f t="shared" si="82"/>
        <v>#DIV/0!</v>
      </c>
      <c r="AU180" s="60" t="e">
        <f t="shared" si="82"/>
        <v>#DIV/0!</v>
      </c>
      <c r="AV180" s="60" t="e">
        <f t="shared" si="82"/>
        <v>#DIV/0!</v>
      </c>
      <c r="AW180" s="60" t="e">
        <f t="shared" si="82"/>
        <v>#DIV/0!</v>
      </c>
      <c r="AX180" s="60" t="e">
        <f t="shared" si="82"/>
        <v>#DIV/0!</v>
      </c>
      <c r="AY180" s="60" t="e">
        <f t="shared" si="82"/>
        <v>#DIV/0!</v>
      </c>
      <c r="AZ180" s="65"/>
      <c r="BA180" s="60" t="e">
        <f t="shared" si="82"/>
        <v>#DIV/0!</v>
      </c>
      <c r="BB180" s="59" t="e">
        <f>Links!AF180</f>
        <v>#DIV/0!</v>
      </c>
      <c r="BC180" s="59" t="e">
        <f>(Links!AG180*Links!C180+'On-Ramps'!AC180*'On-Ramps'!CE180)/('On-Ramps'!AC180+Links!C180)</f>
        <v>#DIV/0!</v>
      </c>
      <c r="BD180" s="59" t="e">
        <f>Links!AH180</f>
        <v>#DIV/0!</v>
      </c>
      <c r="BE180" s="59" t="e">
        <f>(Links!AI180*Links!E180+'On-Ramps'!AD180*'On-Ramps'!CF179)/('On-Ramps'!AD180+Links!E180)</f>
        <v>#DIV/0!</v>
      </c>
      <c r="BF180" s="59" t="e">
        <f>(Links!F180*Links!AJ180+'On-Ramps'!AE180*'On-Ramps'!CG180)/('On-Ramps'!AE180+Links!F180)</f>
        <v>#DIV/0!</v>
      </c>
      <c r="BG180" s="59" t="e">
        <f>(Links!G180*Links!AK180+'On-Ramps'!AF180*'On-Ramps'!CH180)/('On-Ramps'!AF180+Links!G180)</f>
        <v>#DIV/0!</v>
      </c>
      <c r="BH180" s="59" t="e">
        <f>(Links!H180*Links!AL180+'On-Ramps'!AG180*'On-Ramps'!CI180)/('On-Ramps'!AG180+Links!H180)</f>
        <v>#DIV/0!</v>
      </c>
      <c r="BI180" s="59" t="e">
        <f>(Links!J180*Links!AN180+'On-Ramps'!AH180*'On-Ramps'!CJ180)/('On-Ramps'!AH180+Links!J180)</f>
        <v>#DIV/0!</v>
      </c>
      <c r="BJ180" s="59" t="e">
        <f>(Links!K180*Links!AO180+'On-Ramps'!AI180*'On-Ramps'!CK180)/('On-Ramps'!AI180+Links!K180)</f>
        <v>#DIV/0!</v>
      </c>
      <c r="BK180" s="59" t="e">
        <f>(Links!L180*Links!AP180+'On-Ramps'!AJ180*'On-Ramps'!CL180)/(Links!L180+'On-Ramps'!AJ180)</f>
        <v>#DIV/0!</v>
      </c>
      <c r="BL180" s="59" t="e">
        <f>Links!AQ180</f>
        <v>#DIV/0!</v>
      </c>
      <c r="BM180" s="59" t="e">
        <f>(Links!N180*Links!AR180+'On-Ramps'!AL180*'On-Ramps'!CM180)/(Links!N180+'On-Ramps'!AL180)</f>
        <v>#DIV/0!</v>
      </c>
      <c r="BN180" s="59" t="e">
        <f>Links!AS180</f>
        <v>#DIV/0!</v>
      </c>
      <c r="BO180" s="60" t="e">
        <f>(Links!R180^2+'Off-Ramp'!L180^2)/(Links!R180+'Off-Ramp'!L180)</f>
        <v>#DIV/0!</v>
      </c>
      <c r="BP180" s="60" t="e">
        <f>Links!S180</f>
        <v>#DIV/0!</v>
      </c>
      <c r="BQ180" s="60" t="e">
        <f>(Links!S180^2+'Off-Ramp'!C180^2)/(Links!S180+'Off-Ramp'!C180)</f>
        <v>#DIV/0!</v>
      </c>
      <c r="BR180" s="60" t="e">
        <f>Links!T180</f>
        <v>#DIV/0!</v>
      </c>
      <c r="BS180" s="60" t="e">
        <f>(Links!X180^2+'Off-Ramp'!V180^2+'Off-Ramp'!W180^2+'Off-Ramp'!X180^2)/(Links!X180+'Off-Ramp'!V180+'Off-Ramp'!W180+'Off-Ramp'!X180)</f>
        <v>#DIV/0!</v>
      </c>
      <c r="BT180" s="60" t="e">
        <f>(Links!Y180^2+'Off-Ramp'!Y180^2+'Off-Ramp'!Z180^2+'Off-Ramp'!AA180^2)/(Links!Y180+'Off-Ramp'!Y180+'Off-Ramp'!Z180+'Off-Ramp'!AA180)</f>
        <v>#DIV/0!</v>
      </c>
      <c r="BU180" s="60" t="e">
        <f>(Links!W180^2+'Off-Ramp'!P180^2)/(Links!W180+'Off-Ramp'!P180)</f>
        <v>#DIV/0!</v>
      </c>
      <c r="BV180" s="60" t="e">
        <f>(Links!Y180^2+'Off-Ramp'!Q180^2)/(Links!Y180+'Off-Ramp'!Q180)</f>
        <v>#DIV/0!</v>
      </c>
      <c r="BW180" s="60" t="e">
        <f>(Links!Z180^2+'Off-Ramp'!R180^2)/(Links!Z180+'Off-Ramp'!R180)</f>
        <v>#DIV/0!</v>
      </c>
      <c r="BX180" s="60" t="e">
        <f>(Links!AA180+'Off-Ramp'!S180)/(Links!AA180^2+'Off-Ramp'!S180^2)</f>
        <v>#DIV/0!</v>
      </c>
      <c r="BY180" s="60" t="e">
        <f>(Links!AB180^2+'Off-Ramp'!T180^2)/(Links!AB180+'Off-Ramp'!T180)</f>
        <v>#DIV/0!</v>
      </c>
      <c r="BZ180" s="60" t="e">
        <f>Links!AC180</f>
        <v>#DIV/0!</v>
      </c>
      <c r="CA180" s="60" t="e">
        <f>(Links!AD180^2+'Off-Ramp'!U180^2)/(Links!AD180+'Off-Ramp'!U180)</f>
        <v>#DIV/0!</v>
      </c>
    </row>
    <row r="181" spans="1:79" x14ac:dyDescent="0.15">
      <c r="A181" s="58">
        <v>179</v>
      </c>
      <c r="B181" s="59" t="e">
        <f t="shared" si="58"/>
        <v>#DIV/0!</v>
      </c>
      <c r="C181" s="59" t="e">
        <f t="shared" si="59"/>
        <v>#DIV/0!</v>
      </c>
      <c r="D181" s="59" t="e">
        <f t="shared" si="60"/>
        <v>#DIV/0!</v>
      </c>
      <c r="E181" s="59" t="e">
        <f t="shared" si="61"/>
        <v>#DIV/0!</v>
      </c>
      <c r="F181" s="59" t="e">
        <f t="shared" si="62"/>
        <v>#DIV/0!</v>
      </c>
      <c r="G181" s="59" t="e">
        <f t="shared" si="63"/>
        <v>#DIV/0!</v>
      </c>
      <c r="H181" s="59" t="e">
        <f t="shared" si="64"/>
        <v>#DIV/0!</v>
      </c>
      <c r="I181" s="59" t="e">
        <f t="shared" si="65"/>
        <v>#DIV/0!</v>
      </c>
      <c r="J181" s="59" t="e">
        <f t="shared" si="66"/>
        <v>#DIV/0!</v>
      </c>
      <c r="K181" s="59" t="e">
        <f t="shared" si="67"/>
        <v>#DIV/0!</v>
      </c>
      <c r="L181" s="59" t="e">
        <f t="shared" si="68"/>
        <v>#DIV/0!</v>
      </c>
      <c r="M181" s="59" t="e">
        <f t="shared" si="69"/>
        <v>#DIV/0!</v>
      </c>
      <c r="N181" s="59" t="e">
        <f t="shared" si="70"/>
        <v>#DIV/0!</v>
      </c>
      <c r="O181" s="60" t="e">
        <f>Links!B181</f>
        <v>#DIV/0!</v>
      </c>
      <c r="P181" s="60" t="e">
        <f>Links!C181+'On-Ramps'!AC181</f>
        <v>#DIV/0!</v>
      </c>
      <c r="Q181" s="60" t="e">
        <f>Links!D181</f>
        <v>#DIV/0!</v>
      </c>
      <c r="R181" s="60" t="e">
        <f>Links!E181+'On-Ramps'!AD181</f>
        <v>#DIV/0!</v>
      </c>
      <c r="S181" s="60" t="e">
        <f>Links!F181+'On-Ramps'!AE181</f>
        <v>#DIV/0!</v>
      </c>
      <c r="T181" s="60" t="e">
        <f>Links!G181+'On-Ramps'!AF181</f>
        <v>#DIV/0!</v>
      </c>
      <c r="U181" s="60" t="e">
        <f>Links!H181+'On-Ramps'!AG181</f>
        <v>#DIV/0!</v>
      </c>
      <c r="V181" s="60" t="e">
        <f>Links!J181+'On-Ramps'!AH181</f>
        <v>#DIV/0!</v>
      </c>
      <c r="W181" s="60" t="e">
        <f>Links!K181+'On-Ramps'!AI181</f>
        <v>#DIV/0!</v>
      </c>
      <c r="X181" s="60" t="e">
        <f>Links!L181+'On-Ramps'!AJ181</f>
        <v>#DIV/0!</v>
      </c>
      <c r="Y181" s="60" t="e">
        <f>Links!M181</f>
        <v>#DIV/0!</v>
      </c>
      <c r="Z181" s="60" t="e">
        <f>Links!N181+'On-Ramps'!AK181</f>
        <v>#DIV/0!</v>
      </c>
      <c r="AA181" s="60" t="e">
        <f>Links!O181</f>
        <v>#DIV/0!</v>
      </c>
      <c r="AB181" s="59" t="e">
        <f t="shared" si="71"/>
        <v>#DIV/0!</v>
      </c>
      <c r="AC181" s="65"/>
      <c r="AD181" s="59" t="e">
        <f t="shared" si="72"/>
        <v>#DIV/0!</v>
      </c>
      <c r="AE181" s="65"/>
      <c r="AF181" s="59" t="e">
        <f t="shared" si="73"/>
        <v>#DIV/0!</v>
      </c>
      <c r="AG181" s="59" t="e">
        <f t="shared" si="74"/>
        <v>#DIV/0!</v>
      </c>
      <c r="AH181" s="59" t="e">
        <f t="shared" si="75"/>
        <v>#DIV/0!</v>
      </c>
      <c r="AI181" s="59" t="e">
        <f t="shared" si="76"/>
        <v>#DIV/0!</v>
      </c>
      <c r="AJ181" s="59" t="e">
        <f t="shared" si="77"/>
        <v>#DIV/0!</v>
      </c>
      <c r="AK181" s="59" t="e">
        <f t="shared" si="78"/>
        <v>#DIV/0!</v>
      </c>
      <c r="AL181" s="59" t="e">
        <f t="shared" si="79"/>
        <v>#DIV/0!</v>
      </c>
      <c r="AM181" s="65"/>
      <c r="AN181" s="59" t="e">
        <f t="shared" si="81"/>
        <v>#DIV/0!</v>
      </c>
      <c r="AO181" s="60" t="e">
        <f t="shared" si="57"/>
        <v>#DIV/0!</v>
      </c>
      <c r="AP181" s="65"/>
      <c r="AQ181" s="60" t="e">
        <f t="shared" si="82"/>
        <v>#DIV/0!</v>
      </c>
      <c r="AR181" s="65"/>
      <c r="AS181" s="60" t="e">
        <f t="shared" si="82"/>
        <v>#DIV/0!</v>
      </c>
      <c r="AT181" s="60" t="e">
        <f t="shared" si="82"/>
        <v>#DIV/0!</v>
      </c>
      <c r="AU181" s="60" t="e">
        <f t="shared" si="82"/>
        <v>#DIV/0!</v>
      </c>
      <c r="AV181" s="60" t="e">
        <f t="shared" si="82"/>
        <v>#DIV/0!</v>
      </c>
      <c r="AW181" s="60" t="e">
        <f t="shared" si="82"/>
        <v>#DIV/0!</v>
      </c>
      <c r="AX181" s="60" t="e">
        <f t="shared" si="82"/>
        <v>#DIV/0!</v>
      </c>
      <c r="AY181" s="60" t="e">
        <f t="shared" si="82"/>
        <v>#DIV/0!</v>
      </c>
      <c r="AZ181" s="65"/>
      <c r="BA181" s="60" t="e">
        <f t="shared" si="82"/>
        <v>#DIV/0!</v>
      </c>
      <c r="BB181" s="59" t="e">
        <f>Links!AF181</f>
        <v>#DIV/0!</v>
      </c>
      <c r="BC181" s="59" t="e">
        <f>(Links!AG181*Links!C181+'On-Ramps'!AC181*'On-Ramps'!CE181)/('On-Ramps'!AC181+Links!C181)</f>
        <v>#DIV/0!</v>
      </c>
      <c r="BD181" s="59" t="e">
        <f>Links!AH181</f>
        <v>#DIV/0!</v>
      </c>
      <c r="BE181" s="59" t="e">
        <f>(Links!AI181*Links!E181+'On-Ramps'!AD181*'On-Ramps'!CF180)/('On-Ramps'!AD181+Links!E181)</f>
        <v>#DIV/0!</v>
      </c>
      <c r="BF181" s="59" t="e">
        <f>(Links!F181*Links!AJ181+'On-Ramps'!AE181*'On-Ramps'!CG181)/('On-Ramps'!AE181+Links!F181)</f>
        <v>#DIV/0!</v>
      </c>
      <c r="BG181" s="59" t="e">
        <f>(Links!G181*Links!AK181+'On-Ramps'!AF181*'On-Ramps'!CH181)/('On-Ramps'!AF181+Links!G181)</f>
        <v>#DIV/0!</v>
      </c>
      <c r="BH181" s="59" t="e">
        <f>(Links!H181*Links!AL181+'On-Ramps'!AG181*'On-Ramps'!CI181)/('On-Ramps'!AG181+Links!H181)</f>
        <v>#DIV/0!</v>
      </c>
      <c r="BI181" s="59" t="e">
        <f>(Links!J181*Links!AN181+'On-Ramps'!AH181*'On-Ramps'!CJ181)/('On-Ramps'!AH181+Links!J181)</f>
        <v>#DIV/0!</v>
      </c>
      <c r="BJ181" s="59" t="e">
        <f>(Links!K181*Links!AO181+'On-Ramps'!AI181*'On-Ramps'!CK181)/('On-Ramps'!AI181+Links!K181)</f>
        <v>#DIV/0!</v>
      </c>
      <c r="BK181" s="59" t="e">
        <f>(Links!L181*Links!AP181+'On-Ramps'!AJ181*'On-Ramps'!CL181)/(Links!L181+'On-Ramps'!AJ181)</f>
        <v>#DIV/0!</v>
      </c>
      <c r="BL181" s="59" t="e">
        <f>Links!AQ181</f>
        <v>#DIV/0!</v>
      </c>
      <c r="BM181" s="59" t="e">
        <f>(Links!N181*Links!AR181+'On-Ramps'!AL181*'On-Ramps'!CM181)/(Links!N181+'On-Ramps'!AL181)</f>
        <v>#DIV/0!</v>
      </c>
      <c r="BN181" s="59" t="e">
        <f>Links!AS181</f>
        <v>#DIV/0!</v>
      </c>
      <c r="BO181" s="60" t="e">
        <f>(Links!R181^2+'Off-Ramp'!L181^2)/(Links!R181+'Off-Ramp'!L181)</f>
        <v>#DIV/0!</v>
      </c>
      <c r="BP181" s="60" t="e">
        <f>Links!S181</f>
        <v>#DIV/0!</v>
      </c>
      <c r="BQ181" s="60" t="e">
        <f>(Links!S181^2+'Off-Ramp'!C181^2)/(Links!S181+'Off-Ramp'!C181)</f>
        <v>#DIV/0!</v>
      </c>
      <c r="BR181" s="60" t="e">
        <f>Links!T181</f>
        <v>#DIV/0!</v>
      </c>
      <c r="BS181" s="60" t="e">
        <f>(Links!X181^2+'Off-Ramp'!V181^2+'Off-Ramp'!W181^2+'Off-Ramp'!X181^2)/(Links!X181+'Off-Ramp'!V181+'Off-Ramp'!W181+'Off-Ramp'!X181)</f>
        <v>#DIV/0!</v>
      </c>
      <c r="BT181" s="60" t="e">
        <f>(Links!Y181^2+'Off-Ramp'!Y181^2+'Off-Ramp'!Z181^2+'Off-Ramp'!AA181^2)/(Links!Y181+'Off-Ramp'!Y181+'Off-Ramp'!Z181+'Off-Ramp'!AA181)</f>
        <v>#DIV/0!</v>
      </c>
      <c r="BU181" s="60" t="e">
        <f>(Links!W181^2+'Off-Ramp'!P181^2)/(Links!W181+'Off-Ramp'!P181)</f>
        <v>#DIV/0!</v>
      </c>
      <c r="BV181" s="60" t="e">
        <f>(Links!Y181^2+'Off-Ramp'!Q181^2)/(Links!Y181+'Off-Ramp'!Q181)</f>
        <v>#DIV/0!</v>
      </c>
      <c r="BW181" s="60" t="e">
        <f>(Links!Z181^2+'Off-Ramp'!R181^2)/(Links!Z181+'Off-Ramp'!R181)</f>
        <v>#DIV/0!</v>
      </c>
      <c r="BX181" s="60" t="e">
        <f>(Links!AA181+'Off-Ramp'!S181)/(Links!AA181^2+'Off-Ramp'!S181^2)</f>
        <v>#DIV/0!</v>
      </c>
      <c r="BY181" s="60" t="e">
        <f>(Links!AB181^2+'Off-Ramp'!T181^2)/(Links!AB181+'Off-Ramp'!T181)</f>
        <v>#DIV/0!</v>
      </c>
      <c r="BZ181" s="60" t="e">
        <f>Links!AC181</f>
        <v>#DIV/0!</v>
      </c>
      <c r="CA181" s="60" t="e">
        <f>(Links!AD181^2+'Off-Ramp'!U181^2)/(Links!AD181+'Off-Ramp'!U181)</f>
        <v>#DIV/0!</v>
      </c>
    </row>
    <row r="182" spans="1:79" x14ac:dyDescent="0.15">
      <c r="A182" s="58">
        <v>180</v>
      </c>
      <c r="B182" s="59" t="e">
        <f t="shared" si="58"/>
        <v>#DIV/0!</v>
      </c>
      <c r="C182" s="59" t="e">
        <f t="shared" si="59"/>
        <v>#DIV/0!</v>
      </c>
      <c r="D182" s="59" t="e">
        <f t="shared" si="60"/>
        <v>#DIV/0!</v>
      </c>
      <c r="E182" s="59" t="e">
        <f t="shared" si="61"/>
        <v>#DIV/0!</v>
      </c>
      <c r="F182" s="59" t="e">
        <f t="shared" si="62"/>
        <v>#DIV/0!</v>
      </c>
      <c r="G182" s="59" t="e">
        <f t="shared" si="63"/>
        <v>#DIV/0!</v>
      </c>
      <c r="H182" s="59" t="e">
        <f t="shared" si="64"/>
        <v>#DIV/0!</v>
      </c>
      <c r="I182" s="59" t="e">
        <f t="shared" si="65"/>
        <v>#DIV/0!</v>
      </c>
      <c r="J182" s="59" t="e">
        <f t="shared" si="66"/>
        <v>#DIV/0!</v>
      </c>
      <c r="K182" s="59" t="e">
        <f t="shared" si="67"/>
        <v>#DIV/0!</v>
      </c>
      <c r="L182" s="59" t="e">
        <f t="shared" si="68"/>
        <v>#DIV/0!</v>
      </c>
      <c r="M182" s="59" t="e">
        <f t="shared" si="69"/>
        <v>#DIV/0!</v>
      </c>
      <c r="N182" s="59" t="e">
        <f t="shared" si="70"/>
        <v>#DIV/0!</v>
      </c>
      <c r="O182" s="60" t="e">
        <f>Links!B182</f>
        <v>#DIV/0!</v>
      </c>
      <c r="P182" s="60" t="e">
        <f>Links!C182+'On-Ramps'!AC182</f>
        <v>#DIV/0!</v>
      </c>
      <c r="Q182" s="60" t="e">
        <f>Links!D182</f>
        <v>#DIV/0!</v>
      </c>
      <c r="R182" s="60" t="e">
        <f>Links!E182+'On-Ramps'!AD182</f>
        <v>#DIV/0!</v>
      </c>
      <c r="S182" s="60" t="e">
        <f>Links!F182+'On-Ramps'!AE182</f>
        <v>#DIV/0!</v>
      </c>
      <c r="T182" s="60" t="e">
        <f>Links!G182+'On-Ramps'!AF182</f>
        <v>#DIV/0!</v>
      </c>
      <c r="U182" s="60" t="e">
        <f>Links!H182+'On-Ramps'!AG182</f>
        <v>#DIV/0!</v>
      </c>
      <c r="V182" s="60" t="e">
        <f>Links!J182+'On-Ramps'!AH182</f>
        <v>#DIV/0!</v>
      </c>
      <c r="W182" s="60" t="e">
        <f>Links!K182+'On-Ramps'!AI182</f>
        <v>#DIV/0!</v>
      </c>
      <c r="X182" s="60" t="e">
        <f>Links!L182+'On-Ramps'!AJ182</f>
        <v>#DIV/0!</v>
      </c>
      <c r="Y182" s="60" t="e">
        <f>Links!M182</f>
        <v>#DIV/0!</v>
      </c>
      <c r="Z182" s="60" t="e">
        <f>Links!N182+'On-Ramps'!AK182</f>
        <v>#DIV/0!</v>
      </c>
      <c r="AA182" s="60" t="e">
        <f>Links!O182</f>
        <v>#DIV/0!</v>
      </c>
      <c r="AB182" s="59" t="e">
        <f t="shared" si="71"/>
        <v>#DIV/0!</v>
      </c>
      <c r="AC182" s="65"/>
      <c r="AD182" s="59" t="e">
        <f t="shared" si="72"/>
        <v>#DIV/0!</v>
      </c>
      <c r="AE182" s="65"/>
      <c r="AF182" s="59" t="e">
        <f t="shared" si="73"/>
        <v>#DIV/0!</v>
      </c>
      <c r="AG182" s="59" t="e">
        <f t="shared" si="74"/>
        <v>#DIV/0!</v>
      </c>
      <c r="AH182" s="59" t="e">
        <f t="shared" si="75"/>
        <v>#DIV/0!</v>
      </c>
      <c r="AI182" s="59" t="e">
        <f t="shared" si="76"/>
        <v>#DIV/0!</v>
      </c>
      <c r="AJ182" s="59" t="e">
        <f t="shared" si="77"/>
        <v>#DIV/0!</v>
      </c>
      <c r="AK182" s="59" t="e">
        <f t="shared" si="78"/>
        <v>#DIV/0!</v>
      </c>
      <c r="AL182" s="59" t="e">
        <f t="shared" si="79"/>
        <v>#DIV/0!</v>
      </c>
      <c r="AM182" s="65"/>
      <c r="AN182" s="59" t="e">
        <f t="shared" si="81"/>
        <v>#DIV/0!</v>
      </c>
      <c r="AO182" s="60" t="e">
        <f t="shared" si="57"/>
        <v>#DIV/0!</v>
      </c>
      <c r="AP182" s="65"/>
      <c r="AQ182" s="60" t="e">
        <f t="shared" si="82"/>
        <v>#DIV/0!</v>
      </c>
      <c r="AR182" s="65"/>
      <c r="AS182" s="60" t="e">
        <f t="shared" si="82"/>
        <v>#DIV/0!</v>
      </c>
      <c r="AT182" s="60" t="e">
        <f t="shared" si="82"/>
        <v>#DIV/0!</v>
      </c>
      <c r="AU182" s="60" t="e">
        <f t="shared" si="82"/>
        <v>#DIV/0!</v>
      </c>
      <c r="AV182" s="60" t="e">
        <f t="shared" si="82"/>
        <v>#DIV/0!</v>
      </c>
      <c r="AW182" s="60" t="e">
        <f t="shared" si="82"/>
        <v>#DIV/0!</v>
      </c>
      <c r="AX182" s="60" t="e">
        <f t="shared" si="82"/>
        <v>#DIV/0!</v>
      </c>
      <c r="AY182" s="60" t="e">
        <f t="shared" si="82"/>
        <v>#DIV/0!</v>
      </c>
      <c r="AZ182" s="65"/>
      <c r="BA182" s="60" t="e">
        <f t="shared" si="82"/>
        <v>#DIV/0!</v>
      </c>
      <c r="BB182" s="59" t="e">
        <f>Links!AF182</f>
        <v>#DIV/0!</v>
      </c>
      <c r="BC182" s="59" t="e">
        <f>(Links!AG182*Links!C182+'On-Ramps'!AC182*'On-Ramps'!CE182)/('On-Ramps'!AC182+Links!C182)</f>
        <v>#DIV/0!</v>
      </c>
      <c r="BD182" s="59" t="e">
        <f>Links!AH182</f>
        <v>#DIV/0!</v>
      </c>
      <c r="BE182" s="59" t="e">
        <f>(Links!AI182*Links!E182+'On-Ramps'!AD182*'On-Ramps'!CF181)/('On-Ramps'!AD182+Links!E182)</f>
        <v>#DIV/0!</v>
      </c>
      <c r="BF182" s="59" t="e">
        <f>(Links!F182*Links!AJ182+'On-Ramps'!AE182*'On-Ramps'!CG182)/('On-Ramps'!AE182+Links!F182)</f>
        <v>#DIV/0!</v>
      </c>
      <c r="BG182" s="59" t="e">
        <f>(Links!G182*Links!AK182+'On-Ramps'!AF182*'On-Ramps'!CH182)/('On-Ramps'!AF182+Links!G182)</f>
        <v>#DIV/0!</v>
      </c>
      <c r="BH182" s="59" t="e">
        <f>(Links!H182*Links!AL182+'On-Ramps'!AG182*'On-Ramps'!CI182)/('On-Ramps'!AG182+Links!H182)</f>
        <v>#DIV/0!</v>
      </c>
      <c r="BI182" s="59" t="e">
        <f>(Links!J182*Links!AN182+'On-Ramps'!AH182*'On-Ramps'!CJ182)/('On-Ramps'!AH182+Links!J182)</f>
        <v>#DIV/0!</v>
      </c>
      <c r="BJ182" s="59" t="e">
        <f>(Links!K182*Links!AO182+'On-Ramps'!AI182*'On-Ramps'!CK182)/('On-Ramps'!AI182+Links!K182)</f>
        <v>#DIV/0!</v>
      </c>
      <c r="BK182" s="59" t="e">
        <f>(Links!L182*Links!AP182+'On-Ramps'!AJ182*'On-Ramps'!CL182)/(Links!L182+'On-Ramps'!AJ182)</f>
        <v>#DIV/0!</v>
      </c>
      <c r="BL182" s="59" t="e">
        <f>Links!AQ182</f>
        <v>#DIV/0!</v>
      </c>
      <c r="BM182" s="59" t="e">
        <f>(Links!N182*Links!AR182+'On-Ramps'!AL182*'On-Ramps'!CM182)/(Links!N182+'On-Ramps'!AL182)</f>
        <v>#DIV/0!</v>
      </c>
      <c r="BN182" s="59" t="e">
        <f>Links!AS182</f>
        <v>#DIV/0!</v>
      </c>
      <c r="BO182" s="60" t="e">
        <f>(Links!R182^2+'Off-Ramp'!L182^2)/(Links!R182+'Off-Ramp'!L182)</f>
        <v>#DIV/0!</v>
      </c>
      <c r="BP182" s="60" t="e">
        <f>Links!S182</f>
        <v>#DIV/0!</v>
      </c>
      <c r="BQ182" s="60" t="e">
        <f>(Links!S182^2+'Off-Ramp'!C182^2)/(Links!S182+'Off-Ramp'!C182)</f>
        <v>#DIV/0!</v>
      </c>
      <c r="BR182" s="60" t="e">
        <f>Links!T182</f>
        <v>#DIV/0!</v>
      </c>
      <c r="BS182" s="60" t="e">
        <f>(Links!X182^2+'Off-Ramp'!V182^2+'Off-Ramp'!W182^2+'Off-Ramp'!X182^2)/(Links!X182+'Off-Ramp'!V182+'Off-Ramp'!W182+'Off-Ramp'!X182)</f>
        <v>#DIV/0!</v>
      </c>
      <c r="BT182" s="60" t="e">
        <f>(Links!Y182^2+'Off-Ramp'!Y182^2+'Off-Ramp'!Z182^2+'Off-Ramp'!AA182^2)/(Links!Y182+'Off-Ramp'!Y182+'Off-Ramp'!Z182+'Off-Ramp'!AA182)</f>
        <v>#DIV/0!</v>
      </c>
      <c r="BU182" s="60" t="e">
        <f>(Links!W182^2+'Off-Ramp'!P182^2)/(Links!W182+'Off-Ramp'!P182)</f>
        <v>#DIV/0!</v>
      </c>
      <c r="BV182" s="60" t="e">
        <f>(Links!Y182^2+'Off-Ramp'!Q182^2)/(Links!Y182+'Off-Ramp'!Q182)</f>
        <v>#DIV/0!</v>
      </c>
      <c r="BW182" s="60" t="e">
        <f>(Links!Z182^2+'Off-Ramp'!R182^2)/(Links!Z182+'Off-Ramp'!R182)</f>
        <v>#DIV/0!</v>
      </c>
      <c r="BX182" s="60" t="e">
        <f>(Links!AA182+'Off-Ramp'!S182)/(Links!AA182^2+'Off-Ramp'!S182^2)</f>
        <v>#DIV/0!</v>
      </c>
      <c r="BY182" s="60" t="e">
        <f>(Links!AB182^2+'Off-Ramp'!T182^2)/(Links!AB182+'Off-Ramp'!T182)</f>
        <v>#DIV/0!</v>
      </c>
      <c r="BZ182" s="60" t="e">
        <f>Links!AC182</f>
        <v>#DIV/0!</v>
      </c>
      <c r="CA182" s="60" t="e">
        <f>(Links!AD182^2+'Off-Ramp'!U182^2)/(Links!AD182+'Off-Ramp'!U182)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0"/>
  <sheetViews>
    <sheetView zoomScale="66" zoomScaleNormal="66" workbookViewId="0">
      <selection activeCell="BV183" sqref="BV183"/>
    </sheetView>
  </sheetViews>
  <sheetFormatPr defaultRowHeight="14.25" x14ac:dyDescent="0.15"/>
  <cols>
    <col min="1" max="1" width="9" style="54"/>
    <col min="2" max="16384" width="9" style="50"/>
  </cols>
  <sheetData>
    <row r="1" spans="1:91" x14ac:dyDescent="0.15">
      <c r="A1" s="91" t="s">
        <v>169</v>
      </c>
      <c r="B1" s="83" t="s">
        <v>170</v>
      </c>
      <c r="C1" s="83"/>
      <c r="D1" s="83"/>
      <c r="E1" s="83"/>
      <c r="F1" s="83"/>
      <c r="G1" s="83"/>
      <c r="H1" s="83"/>
      <c r="I1" s="83"/>
      <c r="J1" s="83"/>
      <c r="K1" s="83" t="s">
        <v>171</v>
      </c>
      <c r="L1" s="83"/>
      <c r="M1" s="83"/>
      <c r="N1" s="83"/>
      <c r="O1" s="83"/>
      <c r="P1" s="83"/>
      <c r="Q1" s="83"/>
      <c r="R1" s="83"/>
      <c r="S1" s="83"/>
      <c r="T1" s="83" t="s">
        <v>172</v>
      </c>
      <c r="U1" s="83"/>
      <c r="V1" s="83"/>
      <c r="W1" s="83"/>
      <c r="X1" s="83"/>
      <c r="Y1" s="83"/>
      <c r="Z1" s="83"/>
      <c r="AA1" s="83"/>
      <c r="AB1" s="83"/>
      <c r="AC1" s="83" t="s">
        <v>168</v>
      </c>
      <c r="AD1" s="83"/>
      <c r="AE1" s="83"/>
      <c r="AF1" s="83"/>
      <c r="AG1" s="83"/>
      <c r="AH1" s="83"/>
      <c r="AI1" s="83"/>
      <c r="AJ1" s="83"/>
      <c r="AK1" s="83"/>
      <c r="AL1" s="83" t="s">
        <v>173</v>
      </c>
      <c r="AM1" s="83"/>
      <c r="AN1" s="83"/>
      <c r="AO1" s="83"/>
      <c r="AP1" s="83"/>
      <c r="AQ1" s="83"/>
      <c r="AR1" s="83"/>
      <c r="AS1" s="83"/>
      <c r="AT1" s="83"/>
      <c r="AU1" s="83" t="s">
        <v>174</v>
      </c>
      <c r="AV1" s="83"/>
      <c r="AW1" s="83"/>
      <c r="AX1" s="83"/>
      <c r="AY1" s="83"/>
      <c r="AZ1" s="83"/>
      <c r="BA1" s="83"/>
      <c r="BB1" s="83"/>
      <c r="BC1" s="83"/>
      <c r="BD1" s="83" t="s">
        <v>203</v>
      </c>
      <c r="BE1" s="83"/>
      <c r="BF1" s="83"/>
      <c r="BG1" s="83"/>
      <c r="BH1" s="83"/>
      <c r="BI1" s="83"/>
      <c r="BJ1" s="83"/>
      <c r="BK1" s="83"/>
      <c r="BL1" s="83"/>
      <c r="BM1" s="93" t="s">
        <v>193</v>
      </c>
      <c r="BN1" s="93"/>
      <c r="BO1" s="93"/>
      <c r="BP1" s="93"/>
      <c r="BQ1" s="93"/>
      <c r="BR1" s="93"/>
      <c r="BS1" s="93"/>
      <c r="BT1" s="93"/>
      <c r="BU1" s="93"/>
      <c r="BV1" s="93" t="s">
        <v>213</v>
      </c>
      <c r="BW1" s="93"/>
      <c r="BX1" s="93"/>
      <c r="BY1" s="93"/>
      <c r="BZ1" s="93"/>
      <c r="CA1" s="93"/>
      <c r="CB1" s="93"/>
      <c r="CC1" s="93"/>
      <c r="CD1" s="93"/>
      <c r="CE1" s="83" t="s">
        <v>204</v>
      </c>
      <c r="CF1" s="83"/>
      <c r="CG1" s="83"/>
      <c r="CH1" s="83"/>
      <c r="CI1" s="83"/>
      <c r="CJ1" s="83"/>
      <c r="CK1" s="83"/>
      <c r="CL1" s="83"/>
      <c r="CM1" s="83"/>
    </row>
    <row r="2" spans="1:91" s="52" customFormat="1" x14ac:dyDescent="0.15">
      <c r="A2" s="92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</v>
      </c>
      <c r="L2" s="41">
        <v>2</v>
      </c>
      <c r="M2" s="41">
        <v>3</v>
      </c>
      <c r="N2" s="41">
        <v>4</v>
      </c>
      <c r="O2" s="41">
        <v>5</v>
      </c>
      <c r="P2" s="41">
        <v>6</v>
      </c>
      <c r="Q2" s="41">
        <v>7</v>
      </c>
      <c r="R2" s="41">
        <v>8</v>
      </c>
      <c r="S2" s="41">
        <v>9</v>
      </c>
      <c r="T2" s="41">
        <v>1</v>
      </c>
      <c r="U2" s="41">
        <v>2</v>
      </c>
      <c r="V2" s="41">
        <v>3</v>
      </c>
      <c r="W2" s="41">
        <v>4</v>
      </c>
      <c r="X2" s="41">
        <v>5</v>
      </c>
      <c r="Y2" s="41">
        <v>6</v>
      </c>
      <c r="Z2" s="41">
        <v>7</v>
      </c>
      <c r="AA2" s="41">
        <v>8</v>
      </c>
      <c r="AB2" s="41">
        <v>9</v>
      </c>
      <c r="AC2" s="41">
        <v>1</v>
      </c>
      <c r="AD2" s="41">
        <v>2</v>
      </c>
      <c r="AE2" s="41">
        <v>3</v>
      </c>
      <c r="AF2" s="41">
        <v>4</v>
      </c>
      <c r="AG2" s="41">
        <v>5</v>
      </c>
      <c r="AH2" s="41">
        <v>6</v>
      </c>
      <c r="AI2" s="41">
        <v>7</v>
      </c>
      <c r="AJ2" s="41">
        <v>8</v>
      </c>
      <c r="AK2" s="41">
        <v>9</v>
      </c>
      <c r="AL2" s="41">
        <v>1</v>
      </c>
      <c r="AM2" s="41">
        <v>2</v>
      </c>
      <c r="AN2" s="41">
        <v>3</v>
      </c>
      <c r="AO2" s="41">
        <v>4</v>
      </c>
      <c r="AP2" s="41">
        <v>5</v>
      </c>
      <c r="AQ2" s="41">
        <v>6</v>
      </c>
      <c r="AR2" s="41">
        <v>7</v>
      </c>
      <c r="AS2" s="41">
        <v>8</v>
      </c>
      <c r="AT2" s="41">
        <v>9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</v>
      </c>
      <c r="BE2" s="41">
        <v>2</v>
      </c>
      <c r="BF2" s="41">
        <v>3</v>
      </c>
      <c r="BG2" s="41">
        <v>4</v>
      </c>
      <c r="BH2" s="41">
        <v>5</v>
      </c>
      <c r="BI2" s="41">
        <v>6</v>
      </c>
      <c r="BJ2" s="41">
        <v>7</v>
      </c>
      <c r="BK2" s="41">
        <v>8</v>
      </c>
      <c r="BL2" s="41">
        <v>9</v>
      </c>
      <c r="BM2" s="51">
        <v>1</v>
      </c>
      <c r="BN2" s="51">
        <v>2</v>
      </c>
      <c r="BO2" s="51">
        <v>3</v>
      </c>
      <c r="BP2" s="51">
        <v>4</v>
      </c>
      <c r="BQ2" s="51">
        <v>5</v>
      </c>
      <c r="BR2" s="51">
        <v>6</v>
      </c>
      <c r="BS2" s="51">
        <v>7</v>
      </c>
      <c r="BT2" s="51">
        <v>8</v>
      </c>
      <c r="BU2" s="51">
        <v>9</v>
      </c>
      <c r="BV2" s="51">
        <v>1</v>
      </c>
      <c r="BW2" s="51">
        <v>2</v>
      </c>
      <c r="BX2" s="51">
        <v>3</v>
      </c>
      <c r="BY2" s="51">
        <v>4</v>
      </c>
      <c r="BZ2" s="51">
        <v>5</v>
      </c>
      <c r="CA2" s="51">
        <v>6</v>
      </c>
      <c r="CB2" s="51">
        <v>7</v>
      </c>
      <c r="CC2" s="51">
        <v>8</v>
      </c>
      <c r="CD2" s="51">
        <v>9</v>
      </c>
      <c r="CE2" s="41">
        <v>1</v>
      </c>
      <c r="CF2" s="41">
        <v>2</v>
      </c>
      <c r="CG2" s="41">
        <v>3</v>
      </c>
      <c r="CH2" s="41">
        <v>4</v>
      </c>
      <c r="CI2" s="41">
        <v>5</v>
      </c>
      <c r="CJ2" s="41">
        <v>6</v>
      </c>
      <c r="CK2" s="41">
        <v>7</v>
      </c>
      <c r="CL2" s="41">
        <v>8</v>
      </c>
      <c r="CM2" s="41">
        <v>9</v>
      </c>
    </row>
    <row r="3" spans="1:91" x14ac:dyDescent="0.15">
      <c r="A3" s="42">
        <v>1</v>
      </c>
      <c r="B3" s="43">
        <v>1</v>
      </c>
      <c r="C3" s="43">
        <v>1</v>
      </c>
      <c r="D3" s="43">
        <v>1</v>
      </c>
      <c r="E3" s="43">
        <v>1</v>
      </c>
      <c r="F3" s="43">
        <v>1</v>
      </c>
      <c r="G3" s="43">
        <v>1</v>
      </c>
      <c r="H3" s="43">
        <v>1</v>
      </c>
      <c r="I3" s="43">
        <v>1</v>
      </c>
      <c r="J3" s="43">
        <v>1</v>
      </c>
      <c r="K3" s="43"/>
      <c r="L3" s="43"/>
      <c r="M3" s="43"/>
      <c r="N3" s="43"/>
      <c r="O3" s="43"/>
      <c r="P3" s="43"/>
      <c r="Q3" s="43"/>
      <c r="R3" s="43"/>
      <c r="S3" s="43"/>
      <c r="T3" s="44"/>
      <c r="U3" s="44"/>
      <c r="V3" s="44"/>
      <c r="W3" s="44"/>
      <c r="X3" s="44"/>
      <c r="Y3" s="44"/>
      <c r="Z3" s="44"/>
      <c r="AA3" s="44"/>
      <c r="AB3" s="44"/>
      <c r="AC3" s="45" t="e">
        <f>B3*MIN(AL3,AU3)</f>
        <v>#DIV/0!</v>
      </c>
      <c r="AD3" s="45" t="e">
        <f t="shared" ref="AD3:AK3" si="0">C3*MIN(AM3,AV3)</f>
        <v>#DIV/0!</v>
      </c>
      <c r="AE3" s="45" t="e">
        <f t="shared" si="0"/>
        <v>#DIV/0!</v>
      </c>
      <c r="AF3" s="45" t="e">
        <f t="shared" si="0"/>
        <v>#DIV/0!</v>
      </c>
      <c r="AG3" s="45" t="e">
        <f t="shared" si="0"/>
        <v>#DIV/0!</v>
      </c>
      <c r="AH3" s="45" t="e">
        <f t="shared" si="0"/>
        <v>#DIV/0!</v>
      </c>
      <c r="AI3" s="45" t="e">
        <f t="shared" si="0"/>
        <v>#DIV/0!</v>
      </c>
      <c r="AJ3" s="45" t="e">
        <f t="shared" si="0"/>
        <v>#DIV/0!</v>
      </c>
      <c r="AK3" s="45" t="e">
        <f t="shared" si="0"/>
        <v>#DIV/0!</v>
      </c>
      <c r="AL3" s="45">
        <f>T$3+K3/ATM_Conf!$C$5</f>
        <v>0</v>
      </c>
      <c r="AM3" s="45">
        <f>U$3+L3/ATM_Conf!$C$5</f>
        <v>0</v>
      </c>
      <c r="AN3" s="45">
        <f>V$3+M3/ATM_Conf!$C$5</f>
        <v>0</v>
      </c>
      <c r="AO3" s="45">
        <f>W$3+N3/ATM_Conf!$C$5</f>
        <v>0</v>
      </c>
      <c r="AP3" s="45">
        <f>X$3+O3/ATM_Conf!$C$5</f>
        <v>0</v>
      </c>
      <c r="AQ3" s="45">
        <f>Y$3+P3/ATM_Conf!$C$5</f>
        <v>0</v>
      </c>
      <c r="AR3" s="45">
        <f>Z$3+Q3/ATM_Conf!$C$5</f>
        <v>0</v>
      </c>
      <c r="AS3" s="45">
        <f>AA$3+R3/ATM_Conf!$C$5</f>
        <v>0</v>
      </c>
      <c r="AT3" s="45">
        <f>AB$3+S3/ATM_Conf!$C$5</f>
        <v>0</v>
      </c>
      <c r="AU3" s="45" t="e">
        <f>BD$3*MIN(1,(ATM_Conf!$C$6-Links!F3)/(ATM_Conf!$C$6-ATM_Conf!$C$7))</f>
        <v>#DIV/0!</v>
      </c>
      <c r="AV3" s="45" t="e">
        <f>BE$3*MIN(1,(ATM_Conf!$C$6-Links!G3)/(ATM_Conf!$C$6-ATM_Conf!$C$7))</f>
        <v>#DIV/0!</v>
      </c>
      <c r="AW3" s="45" t="e">
        <f>BF$3*MIN(1,(ATM_Conf!$C$6-Links!H3)/(ATM_Conf!$C$6-ATM_Conf!$C$7))</f>
        <v>#DIV/0!</v>
      </c>
      <c r="AX3" s="45" t="e">
        <f>BG$3*MIN(1,(ATM_Conf!$C$6-Links!I3)/(ATM_Conf!$C$6-ATM_Conf!$C$7))</f>
        <v>#DIV/0!</v>
      </c>
      <c r="AY3" s="45" t="e">
        <f>BH$3*MIN(1,(ATM_Conf!$C$6-Links!J3)/(ATM_Conf!$C$6-ATM_Conf!$C$7))</f>
        <v>#DIV/0!</v>
      </c>
      <c r="AZ3" s="45" t="e">
        <f>BI$3*MIN(1,(ATM_Conf!$C$6-Links!K3)/(ATM_Conf!$C$6-ATM_Conf!$C$7))</f>
        <v>#DIV/0!</v>
      </c>
      <c r="BA3" s="45" t="e">
        <f>BJ$3*MIN(1,(ATM_Conf!$C$6-Links!L3)/(ATM_Conf!$C$6-ATM_Conf!$C$7))</f>
        <v>#DIV/0!</v>
      </c>
      <c r="BB3" s="45" t="e">
        <f>BK$3*MIN(1,(ATM_Conf!$C$6-Links!M3)/(ATM_Conf!$C$6-ATM_Conf!$C$7))</f>
        <v>#DIV/0!</v>
      </c>
      <c r="BC3" s="45" t="e">
        <f>BL$3*MIN(1,(ATM_Conf!$C$6-Links!N3)/(ATM_Conf!$C$6-ATM_Conf!$C$7))</f>
        <v>#DIV/0!</v>
      </c>
      <c r="BD3" s="46"/>
      <c r="BE3" s="46"/>
      <c r="BF3" s="46"/>
      <c r="BG3" s="46"/>
      <c r="BH3" s="46"/>
      <c r="BI3" s="46"/>
      <c r="BJ3" s="46"/>
      <c r="BK3" s="46"/>
      <c r="BL3" s="46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43"/>
      <c r="CF3" s="43"/>
      <c r="CG3" s="43"/>
      <c r="CH3" s="43"/>
      <c r="CI3" s="43"/>
      <c r="CJ3" s="43"/>
      <c r="CK3" s="43"/>
      <c r="CL3" s="43"/>
      <c r="CM3" s="43"/>
    </row>
    <row r="4" spans="1:91" x14ac:dyDescent="0.15">
      <c r="A4" s="42">
        <v>2</v>
      </c>
      <c r="B4" s="45">
        <f>B$3</f>
        <v>1</v>
      </c>
      <c r="C4" s="45">
        <f t="shared" ref="C4:J14" si="1">C$3</f>
        <v>1</v>
      </c>
      <c r="D4" s="45">
        <f t="shared" si="1"/>
        <v>1</v>
      </c>
      <c r="E4" s="45">
        <f t="shared" si="1"/>
        <v>1</v>
      </c>
      <c r="F4" s="45">
        <f t="shared" si="1"/>
        <v>1</v>
      </c>
      <c r="G4" s="45">
        <f t="shared" si="1"/>
        <v>1</v>
      </c>
      <c r="H4" s="45">
        <f t="shared" si="1"/>
        <v>1</v>
      </c>
      <c r="I4" s="45">
        <f t="shared" si="1"/>
        <v>1</v>
      </c>
      <c r="J4" s="45">
        <f t="shared" si="1"/>
        <v>1</v>
      </c>
      <c r="K4" s="45" t="e">
        <f>K3+ATM_Conf!$C$5*(T3-AC3)</f>
        <v>#DIV/0!</v>
      </c>
      <c r="L4" s="45" t="e">
        <f>L3+ATM_Conf!$C$5*(U3-AD3)</f>
        <v>#DIV/0!</v>
      </c>
      <c r="M4" s="45" t="e">
        <f>M3+ATM_Conf!$C$5*(V3-AE3)</f>
        <v>#DIV/0!</v>
      </c>
      <c r="N4" s="45" t="e">
        <f>N3+ATM_Conf!$C$5*(W3-AF3)</f>
        <v>#DIV/0!</v>
      </c>
      <c r="O4" s="45" t="e">
        <f>O3+ATM_Conf!$C$5*(X3-AG3)</f>
        <v>#DIV/0!</v>
      </c>
      <c r="P4" s="45" t="e">
        <f>P3+ATM_Conf!$C$5*(Y3-AH3)</f>
        <v>#DIV/0!</v>
      </c>
      <c r="Q4" s="45" t="e">
        <f>Q3+ATM_Conf!$C$5*(Z3-AI3)</f>
        <v>#DIV/0!</v>
      </c>
      <c r="R4" s="45" t="e">
        <f>R3+ATM_Conf!$C$5*(AA3-AJ3)</f>
        <v>#DIV/0!</v>
      </c>
      <c r="S4" s="45" t="e">
        <f>S3+ATM_Conf!$C$5*(AB3-AK3)</f>
        <v>#DIV/0!</v>
      </c>
      <c r="T4" s="45"/>
      <c r="U4" s="45"/>
      <c r="V4" s="45"/>
      <c r="W4" s="45"/>
      <c r="X4" s="45"/>
      <c r="Y4" s="45"/>
      <c r="Z4" s="45"/>
      <c r="AA4" s="45"/>
      <c r="AB4" s="45"/>
      <c r="AC4" s="45" t="e">
        <f t="shared" ref="AC4:AC67" si="2">B4*MIN(AL4,AU4)</f>
        <v>#DIV/0!</v>
      </c>
      <c r="AD4" s="45" t="e">
        <f t="shared" ref="AD4:AD67" si="3">C4*MIN(AM4,AV4)</f>
        <v>#DIV/0!</v>
      </c>
      <c r="AE4" s="45" t="e">
        <f t="shared" ref="AE4:AE67" si="4">D4*MIN(AN4,AW4)</f>
        <v>#DIV/0!</v>
      </c>
      <c r="AF4" s="45" t="e">
        <f t="shared" ref="AF4:AF67" si="5">E4*MIN(AO4,AX4)</f>
        <v>#DIV/0!</v>
      </c>
      <c r="AG4" s="45" t="e">
        <f t="shared" ref="AG4:AG67" si="6">F4*MIN(AP4,AY4)</f>
        <v>#DIV/0!</v>
      </c>
      <c r="AH4" s="45" t="e">
        <f t="shared" ref="AH4:AH67" si="7">G4*MIN(AQ4,AZ4)</f>
        <v>#DIV/0!</v>
      </c>
      <c r="AI4" s="45" t="e">
        <f t="shared" ref="AI4:AI67" si="8">H4*MIN(AR4,BA4)</f>
        <v>#DIV/0!</v>
      </c>
      <c r="AJ4" s="45" t="e">
        <f t="shared" ref="AJ4:AJ67" si="9">I4*MIN(AS4,BB4)</f>
        <v>#DIV/0!</v>
      </c>
      <c r="AK4" s="45" t="e">
        <f t="shared" ref="AK4:AK67" si="10">J4*MIN(AT4,BC4)</f>
        <v>#DIV/0!</v>
      </c>
      <c r="AL4" s="45" t="e">
        <f>T$3+K4/ATM_Conf!$C$5</f>
        <v>#DIV/0!</v>
      </c>
      <c r="AM4" s="45" t="e">
        <f>U$3+L4/ATM_Conf!$C$5</f>
        <v>#DIV/0!</v>
      </c>
      <c r="AN4" s="45" t="e">
        <f>V$3+M4/ATM_Conf!$C$5</f>
        <v>#DIV/0!</v>
      </c>
      <c r="AO4" s="45" t="e">
        <f>W$3+N4/ATM_Conf!$C$5</f>
        <v>#DIV/0!</v>
      </c>
      <c r="AP4" s="45" t="e">
        <f>X$3+O4/ATM_Conf!$C$5</f>
        <v>#DIV/0!</v>
      </c>
      <c r="AQ4" s="45" t="e">
        <f>Y$3+P4/ATM_Conf!$C$5</f>
        <v>#DIV/0!</v>
      </c>
      <c r="AR4" s="45" t="e">
        <f>Z$3+Q4/ATM_Conf!$C$5</f>
        <v>#DIV/0!</v>
      </c>
      <c r="AS4" s="45" t="e">
        <f>AA$3+R4/ATM_Conf!$C$5</f>
        <v>#DIV/0!</v>
      </c>
      <c r="AT4" s="45" t="e">
        <f>AB$3+S4/ATM_Conf!$C$5</f>
        <v>#DIV/0!</v>
      </c>
      <c r="AU4" s="45" t="e">
        <f>BD$3*MIN(1,(ATM_Conf!$C$6-Links!F4)/(ATM_Conf!$C$6-ATM_Conf!$C$7))</f>
        <v>#DIV/0!</v>
      </c>
      <c r="AV4" s="45" t="e">
        <f>BE$3*MIN(1,(ATM_Conf!$C$6-Links!G4)/(ATM_Conf!$C$6-ATM_Conf!$C$7))</f>
        <v>#DIV/0!</v>
      </c>
      <c r="AW4" s="45" t="e">
        <f>BF$3*MIN(1,(ATM_Conf!$C$6-Links!H4)/(ATM_Conf!$C$6-ATM_Conf!$C$7))</f>
        <v>#DIV/0!</v>
      </c>
      <c r="AX4" s="45" t="e">
        <f>BG$3*MIN(1,(ATM_Conf!$C$6-Links!I4)/(ATM_Conf!$C$6-ATM_Conf!$C$7))</f>
        <v>#DIV/0!</v>
      </c>
      <c r="AY4" s="45" t="e">
        <f>BH$3*MIN(1,(ATM_Conf!$C$6-Links!J4)/(ATM_Conf!$C$6-ATM_Conf!$C$7))</f>
        <v>#DIV/0!</v>
      </c>
      <c r="AZ4" s="45" t="e">
        <f>BI$3*MIN(1,(ATM_Conf!$C$6-Links!K4)/(ATM_Conf!$C$6-ATM_Conf!$C$7))</f>
        <v>#DIV/0!</v>
      </c>
      <c r="BA4" s="45" t="e">
        <f>BJ$3*MIN(1,(ATM_Conf!$C$6-Links!L4)/(ATM_Conf!$C$6-ATM_Conf!$C$7))</f>
        <v>#DIV/0!</v>
      </c>
      <c r="BB4" s="45" t="e">
        <f>BK$3*MIN(1,(ATM_Conf!$C$6-Links!M4)/(ATM_Conf!$C$6-ATM_Conf!$C$7))</f>
        <v>#DIV/0!</v>
      </c>
      <c r="BC4" s="45" t="e">
        <f>BL$3*MIN(1,(ATM_Conf!$C$6-Links!N4)/(ATM_Conf!$C$6-ATM_Conf!$C$7))</f>
        <v>#DIV/0!</v>
      </c>
      <c r="BD4" s="45"/>
      <c r="BE4" s="45"/>
      <c r="BF4" s="45"/>
      <c r="BG4" s="45"/>
      <c r="BH4" s="45"/>
      <c r="BI4" s="45"/>
      <c r="BJ4" s="45"/>
      <c r="BK4" s="45"/>
      <c r="BL4" s="45"/>
      <c r="BM4" s="53"/>
      <c r="BN4" s="53"/>
      <c r="BO4" s="53"/>
      <c r="BP4" s="53"/>
      <c r="BQ4" s="53"/>
      <c r="BR4" s="53"/>
      <c r="BS4" s="53"/>
      <c r="BT4" s="53"/>
      <c r="BU4" s="53"/>
      <c r="BV4" s="53" t="e">
        <f t="shared" ref="BV4:BV67" si="11">(MAX(K4-T$190,0))^2</f>
        <v>#DIV/0!</v>
      </c>
      <c r="BW4" s="53" t="e">
        <f t="shared" ref="BW4:BW67" si="12">(MAX(L4-U$190,0))^2</f>
        <v>#DIV/0!</v>
      </c>
      <c r="BX4" s="53" t="e">
        <f t="shared" ref="BX4:BX67" si="13">(MAX(M4-V$190,0))^2</f>
        <v>#DIV/0!</v>
      </c>
      <c r="BY4" s="53" t="e">
        <f t="shared" ref="BY4:BY67" si="14">(MAX(N4-W$190,0))^2</f>
        <v>#DIV/0!</v>
      </c>
      <c r="BZ4" s="53" t="e">
        <f t="shared" ref="BZ4:BZ67" si="15">(MAX(O4-X$190,0))^2</f>
        <v>#DIV/0!</v>
      </c>
      <c r="CA4" s="53" t="e">
        <f t="shared" ref="CA4:CA67" si="16">(MAX(P4-Y$190,0))^2</f>
        <v>#DIV/0!</v>
      </c>
      <c r="CB4" s="53" t="e">
        <f t="shared" ref="CB4:CB67" si="17">(MAX(Q4-Z$190,0))^2</f>
        <v>#DIV/0!</v>
      </c>
      <c r="CC4" s="53" t="e">
        <f t="shared" ref="CC4:CC67" si="18">(MAX(R4-AA$190,0))^2</f>
        <v>#DIV/0!</v>
      </c>
      <c r="CD4" s="53" t="e">
        <f t="shared" ref="CD4:CD67" si="19">(MAX(S4-AB$190,0))^2</f>
        <v>#DIV/0!</v>
      </c>
      <c r="CE4" s="55">
        <f>CE$3</f>
        <v>0</v>
      </c>
      <c r="CF4" s="55">
        <f t="shared" ref="CF4:CM19" si="20">CF$3</f>
        <v>0</v>
      </c>
      <c r="CG4" s="55">
        <f t="shared" si="20"/>
        <v>0</v>
      </c>
      <c r="CH4" s="55">
        <f t="shared" si="20"/>
        <v>0</v>
      </c>
      <c r="CI4" s="55">
        <f t="shared" si="20"/>
        <v>0</v>
      </c>
      <c r="CJ4" s="55">
        <f t="shared" si="20"/>
        <v>0</v>
      </c>
      <c r="CK4" s="55">
        <f t="shared" si="20"/>
        <v>0</v>
      </c>
      <c r="CL4" s="55">
        <f t="shared" si="20"/>
        <v>0</v>
      </c>
      <c r="CM4" s="55">
        <f t="shared" si="20"/>
        <v>0</v>
      </c>
    </row>
    <row r="5" spans="1:91" x14ac:dyDescent="0.15">
      <c r="A5" s="42">
        <v>3</v>
      </c>
      <c r="B5" s="45">
        <f t="shared" ref="B5:B14" si="21">B$3</f>
        <v>1</v>
      </c>
      <c r="C5" s="45">
        <f t="shared" si="1"/>
        <v>1</v>
      </c>
      <c r="D5" s="45">
        <f t="shared" si="1"/>
        <v>1</v>
      </c>
      <c r="E5" s="45">
        <f t="shared" si="1"/>
        <v>1</v>
      </c>
      <c r="F5" s="45">
        <f t="shared" si="1"/>
        <v>1</v>
      </c>
      <c r="G5" s="45">
        <f t="shared" si="1"/>
        <v>1</v>
      </c>
      <c r="H5" s="45">
        <f t="shared" si="1"/>
        <v>1</v>
      </c>
      <c r="I5" s="45">
        <f t="shared" si="1"/>
        <v>1</v>
      </c>
      <c r="J5" s="45">
        <f t="shared" si="1"/>
        <v>1</v>
      </c>
      <c r="K5" s="45" t="e">
        <f>K4+ATM_Conf!$C$5*(T4-AC4)</f>
        <v>#DIV/0!</v>
      </c>
      <c r="L5" s="45" t="e">
        <f>L4+ATM_Conf!$C$5*(U4-AD4)</f>
        <v>#DIV/0!</v>
      </c>
      <c r="M5" s="45" t="e">
        <f>M4+ATM_Conf!$C$5*(V4-AE4)</f>
        <v>#DIV/0!</v>
      </c>
      <c r="N5" s="45" t="e">
        <f>N4+ATM_Conf!$C$5*(W4-AF4)</f>
        <v>#DIV/0!</v>
      </c>
      <c r="O5" s="45" t="e">
        <f>O4+ATM_Conf!$C$5*(X4-AG4)</f>
        <v>#DIV/0!</v>
      </c>
      <c r="P5" s="45" t="e">
        <f>P4+ATM_Conf!$C$5*(Y4-AH4)</f>
        <v>#DIV/0!</v>
      </c>
      <c r="Q5" s="45" t="e">
        <f>Q4+ATM_Conf!$C$5*(Z4-AI4)</f>
        <v>#DIV/0!</v>
      </c>
      <c r="R5" s="45" t="e">
        <f>R4+ATM_Conf!$C$5*(AA4-AJ4)</f>
        <v>#DIV/0!</v>
      </c>
      <c r="S5" s="45" t="e">
        <f>S4+ATM_Conf!$C$5*(AB4-AK4)</f>
        <v>#DIV/0!</v>
      </c>
      <c r="T5" s="45"/>
      <c r="U5" s="45"/>
      <c r="V5" s="45"/>
      <c r="W5" s="45"/>
      <c r="X5" s="45"/>
      <c r="Y5" s="45"/>
      <c r="Z5" s="45"/>
      <c r="AA5" s="45"/>
      <c r="AB5" s="45"/>
      <c r="AC5" s="45" t="e">
        <f t="shared" si="2"/>
        <v>#DIV/0!</v>
      </c>
      <c r="AD5" s="45" t="e">
        <f t="shared" si="3"/>
        <v>#DIV/0!</v>
      </c>
      <c r="AE5" s="45" t="e">
        <f t="shared" si="4"/>
        <v>#DIV/0!</v>
      </c>
      <c r="AF5" s="45" t="e">
        <f t="shared" si="5"/>
        <v>#DIV/0!</v>
      </c>
      <c r="AG5" s="45" t="e">
        <f t="shared" si="6"/>
        <v>#DIV/0!</v>
      </c>
      <c r="AH5" s="45" t="e">
        <f t="shared" si="7"/>
        <v>#DIV/0!</v>
      </c>
      <c r="AI5" s="45" t="e">
        <f t="shared" si="8"/>
        <v>#DIV/0!</v>
      </c>
      <c r="AJ5" s="45" t="e">
        <f t="shared" si="9"/>
        <v>#DIV/0!</v>
      </c>
      <c r="AK5" s="45" t="e">
        <f t="shared" si="10"/>
        <v>#DIV/0!</v>
      </c>
      <c r="AL5" s="45" t="e">
        <f>T$3+K5/ATM_Conf!$C$5</f>
        <v>#DIV/0!</v>
      </c>
      <c r="AM5" s="45" t="e">
        <f>U$3+L5/ATM_Conf!$C$5</f>
        <v>#DIV/0!</v>
      </c>
      <c r="AN5" s="45" t="e">
        <f>V$3+M5/ATM_Conf!$C$5</f>
        <v>#DIV/0!</v>
      </c>
      <c r="AO5" s="45" t="e">
        <f>W$3+N5/ATM_Conf!$C$5</f>
        <v>#DIV/0!</v>
      </c>
      <c r="AP5" s="45" t="e">
        <f>X$3+O5/ATM_Conf!$C$5</f>
        <v>#DIV/0!</v>
      </c>
      <c r="AQ5" s="45" t="e">
        <f>Y$3+P5/ATM_Conf!$C$5</f>
        <v>#DIV/0!</v>
      </c>
      <c r="AR5" s="45" t="e">
        <f>Z$3+Q5/ATM_Conf!$C$5</f>
        <v>#DIV/0!</v>
      </c>
      <c r="AS5" s="45" t="e">
        <f>AA$3+R5/ATM_Conf!$C$5</f>
        <v>#DIV/0!</v>
      </c>
      <c r="AT5" s="45" t="e">
        <f>AB$3+S5/ATM_Conf!$C$5</f>
        <v>#DIV/0!</v>
      </c>
      <c r="AU5" s="45" t="e">
        <f>BD$3*MIN(1,(ATM_Conf!$C$6-Links!F5)/(ATM_Conf!$C$6-ATM_Conf!$C$7))</f>
        <v>#DIV/0!</v>
      </c>
      <c r="AV5" s="45" t="e">
        <f>BE$3*MIN(1,(ATM_Conf!$C$6-Links!G5)/(ATM_Conf!$C$6-ATM_Conf!$C$7))</f>
        <v>#DIV/0!</v>
      </c>
      <c r="AW5" s="45" t="e">
        <f>BF$3*MIN(1,(ATM_Conf!$C$6-Links!H5)/(ATM_Conf!$C$6-ATM_Conf!$C$7))</f>
        <v>#DIV/0!</v>
      </c>
      <c r="AX5" s="45" t="e">
        <f>BG$3*MIN(1,(ATM_Conf!$C$6-Links!I5)/(ATM_Conf!$C$6-ATM_Conf!$C$7))</f>
        <v>#DIV/0!</v>
      </c>
      <c r="AY5" s="45" t="e">
        <f>BH$3*MIN(1,(ATM_Conf!$C$6-Links!J5)/(ATM_Conf!$C$6-ATM_Conf!$C$7))</f>
        <v>#DIV/0!</v>
      </c>
      <c r="AZ5" s="45" t="e">
        <f>BI$3*MIN(1,(ATM_Conf!$C$6-Links!K5)/(ATM_Conf!$C$6-ATM_Conf!$C$7))</f>
        <v>#DIV/0!</v>
      </c>
      <c r="BA5" s="45" t="e">
        <f>BJ$3*MIN(1,(ATM_Conf!$C$6-Links!L5)/(ATM_Conf!$C$6-ATM_Conf!$C$7))</f>
        <v>#DIV/0!</v>
      </c>
      <c r="BB5" s="45" t="e">
        <f>BK$3*MIN(1,(ATM_Conf!$C$6-Links!M5)/(ATM_Conf!$C$6-ATM_Conf!$C$7))</f>
        <v>#DIV/0!</v>
      </c>
      <c r="BC5" s="45" t="e">
        <f>BL$3*MIN(1,(ATM_Conf!$C$6-Links!N5)/(ATM_Conf!$C$6-ATM_Conf!$C$7))</f>
        <v>#DIV/0!</v>
      </c>
      <c r="BD5" s="45"/>
      <c r="BE5" s="45"/>
      <c r="BF5" s="45"/>
      <c r="BG5" s="45"/>
      <c r="BH5" s="45"/>
      <c r="BI5" s="45"/>
      <c r="BJ5" s="45"/>
      <c r="BK5" s="45"/>
      <c r="BL5" s="45"/>
      <c r="BM5" s="53"/>
      <c r="BN5" s="53"/>
      <c r="BO5" s="53"/>
      <c r="BP5" s="53"/>
      <c r="BQ5" s="53"/>
      <c r="BR5" s="53"/>
      <c r="BS5" s="53"/>
      <c r="BT5" s="53"/>
      <c r="BU5" s="53"/>
      <c r="BV5" s="53" t="e">
        <f t="shared" si="11"/>
        <v>#DIV/0!</v>
      </c>
      <c r="BW5" s="53" t="e">
        <f t="shared" si="12"/>
        <v>#DIV/0!</v>
      </c>
      <c r="BX5" s="53" t="e">
        <f t="shared" si="13"/>
        <v>#DIV/0!</v>
      </c>
      <c r="BY5" s="53" t="e">
        <f t="shared" si="14"/>
        <v>#DIV/0!</v>
      </c>
      <c r="BZ5" s="53" t="e">
        <f t="shared" si="15"/>
        <v>#DIV/0!</v>
      </c>
      <c r="CA5" s="53" t="e">
        <f t="shared" si="16"/>
        <v>#DIV/0!</v>
      </c>
      <c r="CB5" s="53" t="e">
        <f t="shared" si="17"/>
        <v>#DIV/0!</v>
      </c>
      <c r="CC5" s="53" t="e">
        <f t="shared" si="18"/>
        <v>#DIV/0!</v>
      </c>
      <c r="CD5" s="53" t="e">
        <f t="shared" si="19"/>
        <v>#DIV/0!</v>
      </c>
      <c r="CE5" s="55">
        <f t="shared" ref="CE5:CM36" si="22">CE$3</f>
        <v>0</v>
      </c>
      <c r="CF5" s="55">
        <f t="shared" si="20"/>
        <v>0</v>
      </c>
      <c r="CG5" s="55">
        <f t="shared" si="20"/>
        <v>0</v>
      </c>
      <c r="CH5" s="55">
        <f t="shared" si="20"/>
        <v>0</v>
      </c>
      <c r="CI5" s="55">
        <f t="shared" si="20"/>
        <v>0</v>
      </c>
      <c r="CJ5" s="55">
        <f t="shared" si="20"/>
        <v>0</v>
      </c>
      <c r="CK5" s="55">
        <f t="shared" si="20"/>
        <v>0</v>
      </c>
      <c r="CL5" s="55">
        <f t="shared" si="20"/>
        <v>0</v>
      </c>
      <c r="CM5" s="55">
        <f t="shared" si="20"/>
        <v>0</v>
      </c>
    </row>
    <row r="6" spans="1:91" x14ac:dyDescent="0.15">
      <c r="A6" s="42">
        <v>4</v>
      </c>
      <c r="B6" s="45">
        <f t="shared" si="21"/>
        <v>1</v>
      </c>
      <c r="C6" s="45">
        <f t="shared" si="1"/>
        <v>1</v>
      </c>
      <c r="D6" s="45">
        <f t="shared" si="1"/>
        <v>1</v>
      </c>
      <c r="E6" s="45">
        <f t="shared" si="1"/>
        <v>1</v>
      </c>
      <c r="F6" s="45">
        <f t="shared" si="1"/>
        <v>1</v>
      </c>
      <c r="G6" s="45">
        <f t="shared" si="1"/>
        <v>1</v>
      </c>
      <c r="H6" s="45">
        <f t="shared" si="1"/>
        <v>1</v>
      </c>
      <c r="I6" s="45">
        <f t="shared" si="1"/>
        <v>1</v>
      </c>
      <c r="J6" s="45">
        <f t="shared" si="1"/>
        <v>1</v>
      </c>
      <c r="K6" s="45" t="e">
        <f>K5+ATM_Conf!$C$5*(T5-AC5)</f>
        <v>#DIV/0!</v>
      </c>
      <c r="L6" s="45" t="e">
        <f>L5+ATM_Conf!$C$5*(U5-AD5)</f>
        <v>#DIV/0!</v>
      </c>
      <c r="M6" s="45" t="e">
        <f>M5+ATM_Conf!$C$5*(V5-AE5)</f>
        <v>#DIV/0!</v>
      </c>
      <c r="N6" s="45" t="e">
        <f>N5+ATM_Conf!$C$5*(W5-AF5)</f>
        <v>#DIV/0!</v>
      </c>
      <c r="O6" s="45" t="e">
        <f>O5+ATM_Conf!$C$5*(X5-AG5)</f>
        <v>#DIV/0!</v>
      </c>
      <c r="P6" s="45" t="e">
        <f>P5+ATM_Conf!$C$5*(Y5-AH5)</f>
        <v>#DIV/0!</v>
      </c>
      <c r="Q6" s="45" t="e">
        <f>Q5+ATM_Conf!$C$5*(Z5-AI5)</f>
        <v>#DIV/0!</v>
      </c>
      <c r="R6" s="45" t="e">
        <f>R5+ATM_Conf!$C$5*(AA5-AJ5)</f>
        <v>#DIV/0!</v>
      </c>
      <c r="S6" s="45" t="e">
        <f>S5+ATM_Conf!$C$5*(AB5-AK5)</f>
        <v>#DIV/0!</v>
      </c>
      <c r="T6" s="45"/>
      <c r="U6" s="45"/>
      <c r="V6" s="45"/>
      <c r="W6" s="45"/>
      <c r="X6" s="45"/>
      <c r="Y6" s="45"/>
      <c r="Z6" s="45"/>
      <c r="AA6" s="45"/>
      <c r="AB6" s="45"/>
      <c r="AC6" s="45" t="e">
        <f t="shared" si="2"/>
        <v>#DIV/0!</v>
      </c>
      <c r="AD6" s="45" t="e">
        <f t="shared" si="3"/>
        <v>#DIV/0!</v>
      </c>
      <c r="AE6" s="45" t="e">
        <f t="shared" si="4"/>
        <v>#DIV/0!</v>
      </c>
      <c r="AF6" s="45" t="e">
        <f t="shared" si="5"/>
        <v>#DIV/0!</v>
      </c>
      <c r="AG6" s="45" t="e">
        <f t="shared" si="6"/>
        <v>#DIV/0!</v>
      </c>
      <c r="AH6" s="45" t="e">
        <f t="shared" si="7"/>
        <v>#DIV/0!</v>
      </c>
      <c r="AI6" s="45" t="e">
        <f t="shared" si="8"/>
        <v>#DIV/0!</v>
      </c>
      <c r="AJ6" s="45" t="e">
        <f t="shared" si="9"/>
        <v>#DIV/0!</v>
      </c>
      <c r="AK6" s="45" t="e">
        <f t="shared" si="10"/>
        <v>#DIV/0!</v>
      </c>
      <c r="AL6" s="45" t="e">
        <f>T$3+K6/ATM_Conf!$C$5</f>
        <v>#DIV/0!</v>
      </c>
      <c r="AM6" s="45" t="e">
        <f>U$3+L6/ATM_Conf!$C$5</f>
        <v>#DIV/0!</v>
      </c>
      <c r="AN6" s="45" t="e">
        <f>V$3+M6/ATM_Conf!$C$5</f>
        <v>#DIV/0!</v>
      </c>
      <c r="AO6" s="45" t="e">
        <f>W$3+N6/ATM_Conf!$C$5</f>
        <v>#DIV/0!</v>
      </c>
      <c r="AP6" s="45" t="e">
        <f>X$3+O6/ATM_Conf!$C$5</f>
        <v>#DIV/0!</v>
      </c>
      <c r="AQ6" s="45" t="e">
        <f>Y$3+P6/ATM_Conf!$C$5</f>
        <v>#DIV/0!</v>
      </c>
      <c r="AR6" s="45" t="e">
        <f>Z$3+Q6/ATM_Conf!$C$5</f>
        <v>#DIV/0!</v>
      </c>
      <c r="AS6" s="45" t="e">
        <f>AA$3+R6/ATM_Conf!$C$5</f>
        <v>#DIV/0!</v>
      </c>
      <c r="AT6" s="45" t="e">
        <f>AB$3+S6/ATM_Conf!$C$5</f>
        <v>#DIV/0!</v>
      </c>
      <c r="AU6" s="45" t="e">
        <f>BD$3*MIN(1,(ATM_Conf!$C$6-Links!F6)/(ATM_Conf!$C$6-ATM_Conf!$C$7))</f>
        <v>#DIV/0!</v>
      </c>
      <c r="AV6" s="45" t="e">
        <f>BE$3*MIN(1,(ATM_Conf!$C$6-Links!G6)/(ATM_Conf!$C$6-ATM_Conf!$C$7))</f>
        <v>#DIV/0!</v>
      </c>
      <c r="AW6" s="45" t="e">
        <f>BF$3*MIN(1,(ATM_Conf!$C$6-Links!H6)/(ATM_Conf!$C$6-ATM_Conf!$C$7))</f>
        <v>#DIV/0!</v>
      </c>
      <c r="AX6" s="45" t="e">
        <f>BG$3*MIN(1,(ATM_Conf!$C$6-Links!I6)/(ATM_Conf!$C$6-ATM_Conf!$C$7))</f>
        <v>#DIV/0!</v>
      </c>
      <c r="AY6" s="45" t="e">
        <f>BH$3*MIN(1,(ATM_Conf!$C$6-Links!J6)/(ATM_Conf!$C$6-ATM_Conf!$C$7))</f>
        <v>#DIV/0!</v>
      </c>
      <c r="AZ6" s="45" t="e">
        <f>BI$3*MIN(1,(ATM_Conf!$C$6-Links!K6)/(ATM_Conf!$C$6-ATM_Conf!$C$7))</f>
        <v>#DIV/0!</v>
      </c>
      <c r="BA6" s="45" t="e">
        <f>BJ$3*MIN(1,(ATM_Conf!$C$6-Links!L6)/(ATM_Conf!$C$6-ATM_Conf!$C$7))</f>
        <v>#DIV/0!</v>
      </c>
      <c r="BB6" s="45" t="e">
        <f>BK$3*MIN(1,(ATM_Conf!$C$6-Links!M6)/(ATM_Conf!$C$6-ATM_Conf!$C$7))</f>
        <v>#DIV/0!</v>
      </c>
      <c r="BC6" s="45" t="e">
        <f>BL$3*MIN(1,(ATM_Conf!$C$6-Links!N6)/(ATM_Conf!$C$6-ATM_Conf!$C$7))</f>
        <v>#DIV/0!</v>
      </c>
      <c r="BD6" s="45"/>
      <c r="BE6" s="45"/>
      <c r="BF6" s="45"/>
      <c r="BG6" s="45"/>
      <c r="BH6" s="45"/>
      <c r="BI6" s="45"/>
      <c r="BJ6" s="45"/>
      <c r="BK6" s="45"/>
      <c r="BL6" s="45"/>
      <c r="BM6" s="53"/>
      <c r="BN6" s="53"/>
      <c r="BO6" s="53"/>
      <c r="BP6" s="53"/>
      <c r="BQ6" s="53"/>
      <c r="BR6" s="53"/>
      <c r="BS6" s="53"/>
      <c r="BT6" s="53"/>
      <c r="BU6" s="53"/>
      <c r="BV6" s="53" t="e">
        <f t="shared" si="11"/>
        <v>#DIV/0!</v>
      </c>
      <c r="BW6" s="53" t="e">
        <f t="shared" si="12"/>
        <v>#DIV/0!</v>
      </c>
      <c r="BX6" s="53" t="e">
        <f t="shared" si="13"/>
        <v>#DIV/0!</v>
      </c>
      <c r="BY6" s="53" t="e">
        <f t="shared" si="14"/>
        <v>#DIV/0!</v>
      </c>
      <c r="BZ6" s="53" t="e">
        <f t="shared" si="15"/>
        <v>#DIV/0!</v>
      </c>
      <c r="CA6" s="53" t="e">
        <f t="shared" si="16"/>
        <v>#DIV/0!</v>
      </c>
      <c r="CB6" s="53" t="e">
        <f t="shared" si="17"/>
        <v>#DIV/0!</v>
      </c>
      <c r="CC6" s="53" t="e">
        <f t="shared" si="18"/>
        <v>#DIV/0!</v>
      </c>
      <c r="CD6" s="53" t="e">
        <f t="shared" si="19"/>
        <v>#DIV/0!</v>
      </c>
      <c r="CE6" s="55">
        <f t="shared" si="22"/>
        <v>0</v>
      </c>
      <c r="CF6" s="55">
        <f t="shared" si="20"/>
        <v>0</v>
      </c>
      <c r="CG6" s="55">
        <f t="shared" si="20"/>
        <v>0</v>
      </c>
      <c r="CH6" s="55">
        <f t="shared" si="20"/>
        <v>0</v>
      </c>
      <c r="CI6" s="55">
        <f t="shared" si="20"/>
        <v>0</v>
      </c>
      <c r="CJ6" s="55">
        <f t="shared" si="20"/>
        <v>0</v>
      </c>
      <c r="CK6" s="55">
        <f t="shared" si="20"/>
        <v>0</v>
      </c>
      <c r="CL6" s="55">
        <f t="shared" si="20"/>
        <v>0</v>
      </c>
      <c r="CM6" s="55">
        <f t="shared" si="20"/>
        <v>0</v>
      </c>
    </row>
    <row r="7" spans="1:91" x14ac:dyDescent="0.15">
      <c r="A7" s="42">
        <v>5</v>
      </c>
      <c r="B7" s="45">
        <f t="shared" si="21"/>
        <v>1</v>
      </c>
      <c r="C7" s="45">
        <f t="shared" si="1"/>
        <v>1</v>
      </c>
      <c r="D7" s="45">
        <f t="shared" si="1"/>
        <v>1</v>
      </c>
      <c r="E7" s="45">
        <f t="shared" si="1"/>
        <v>1</v>
      </c>
      <c r="F7" s="45">
        <f t="shared" si="1"/>
        <v>1</v>
      </c>
      <c r="G7" s="45">
        <f t="shared" si="1"/>
        <v>1</v>
      </c>
      <c r="H7" s="45">
        <f t="shared" si="1"/>
        <v>1</v>
      </c>
      <c r="I7" s="45">
        <f t="shared" si="1"/>
        <v>1</v>
      </c>
      <c r="J7" s="45">
        <f t="shared" si="1"/>
        <v>1</v>
      </c>
      <c r="K7" s="45" t="e">
        <f>K6+ATM_Conf!$C$5*(T6-AC6)</f>
        <v>#DIV/0!</v>
      </c>
      <c r="L7" s="45" t="e">
        <f>L6+ATM_Conf!$C$5*(U6-AD6)</f>
        <v>#DIV/0!</v>
      </c>
      <c r="M7" s="45" t="e">
        <f>M6+ATM_Conf!$C$5*(V6-AE6)</f>
        <v>#DIV/0!</v>
      </c>
      <c r="N7" s="45" t="e">
        <f>N6+ATM_Conf!$C$5*(W6-AF6)</f>
        <v>#DIV/0!</v>
      </c>
      <c r="O7" s="45" t="e">
        <f>O6+ATM_Conf!$C$5*(X6-AG6)</f>
        <v>#DIV/0!</v>
      </c>
      <c r="P7" s="45" t="e">
        <f>P6+ATM_Conf!$C$5*(Y6-AH6)</f>
        <v>#DIV/0!</v>
      </c>
      <c r="Q7" s="45" t="e">
        <f>Q6+ATM_Conf!$C$5*(Z6-AI6)</f>
        <v>#DIV/0!</v>
      </c>
      <c r="R7" s="45" t="e">
        <f>R6+ATM_Conf!$C$5*(AA6-AJ6)</f>
        <v>#DIV/0!</v>
      </c>
      <c r="S7" s="45" t="e">
        <f>S6+ATM_Conf!$C$5*(AB6-AK6)</f>
        <v>#DIV/0!</v>
      </c>
      <c r="T7" s="45"/>
      <c r="U7" s="45"/>
      <c r="V7" s="45"/>
      <c r="W7" s="45"/>
      <c r="X7" s="45"/>
      <c r="Y7" s="45"/>
      <c r="Z7" s="45"/>
      <c r="AA7" s="45"/>
      <c r="AB7" s="45"/>
      <c r="AC7" s="45" t="e">
        <f t="shared" si="2"/>
        <v>#DIV/0!</v>
      </c>
      <c r="AD7" s="45" t="e">
        <f t="shared" si="3"/>
        <v>#DIV/0!</v>
      </c>
      <c r="AE7" s="45" t="e">
        <f t="shared" si="4"/>
        <v>#DIV/0!</v>
      </c>
      <c r="AF7" s="45" t="e">
        <f t="shared" si="5"/>
        <v>#DIV/0!</v>
      </c>
      <c r="AG7" s="45" t="e">
        <f t="shared" si="6"/>
        <v>#DIV/0!</v>
      </c>
      <c r="AH7" s="45" t="e">
        <f t="shared" si="7"/>
        <v>#DIV/0!</v>
      </c>
      <c r="AI7" s="45" t="e">
        <f t="shared" si="8"/>
        <v>#DIV/0!</v>
      </c>
      <c r="AJ7" s="45" t="e">
        <f t="shared" si="9"/>
        <v>#DIV/0!</v>
      </c>
      <c r="AK7" s="45" t="e">
        <f t="shared" si="10"/>
        <v>#DIV/0!</v>
      </c>
      <c r="AL7" s="45" t="e">
        <f>T$3+K7/ATM_Conf!$C$5</f>
        <v>#DIV/0!</v>
      </c>
      <c r="AM7" s="45" t="e">
        <f>U$3+L7/ATM_Conf!$C$5</f>
        <v>#DIV/0!</v>
      </c>
      <c r="AN7" s="45" t="e">
        <f>V$3+M7/ATM_Conf!$C$5</f>
        <v>#DIV/0!</v>
      </c>
      <c r="AO7" s="45" t="e">
        <f>W$3+N7/ATM_Conf!$C$5</f>
        <v>#DIV/0!</v>
      </c>
      <c r="AP7" s="45" t="e">
        <f>X$3+O7/ATM_Conf!$C$5</f>
        <v>#DIV/0!</v>
      </c>
      <c r="AQ7" s="45" t="e">
        <f>Y$3+P7/ATM_Conf!$C$5</f>
        <v>#DIV/0!</v>
      </c>
      <c r="AR7" s="45" t="e">
        <f>Z$3+Q7/ATM_Conf!$C$5</f>
        <v>#DIV/0!</v>
      </c>
      <c r="AS7" s="45" t="e">
        <f>AA$3+R7/ATM_Conf!$C$5</f>
        <v>#DIV/0!</v>
      </c>
      <c r="AT7" s="45" t="e">
        <f>AB$3+S7/ATM_Conf!$C$5</f>
        <v>#DIV/0!</v>
      </c>
      <c r="AU7" s="45" t="e">
        <f>BD$3*MIN(1,(ATM_Conf!$C$6-Links!F7)/(ATM_Conf!$C$6-ATM_Conf!$C$7))</f>
        <v>#DIV/0!</v>
      </c>
      <c r="AV7" s="45" t="e">
        <f>BE$3*MIN(1,(ATM_Conf!$C$6-Links!G7)/(ATM_Conf!$C$6-ATM_Conf!$C$7))</f>
        <v>#DIV/0!</v>
      </c>
      <c r="AW7" s="45" t="e">
        <f>BF$3*MIN(1,(ATM_Conf!$C$6-Links!H7)/(ATM_Conf!$C$6-ATM_Conf!$C$7))</f>
        <v>#DIV/0!</v>
      </c>
      <c r="AX7" s="45" t="e">
        <f>BG$3*MIN(1,(ATM_Conf!$C$6-Links!I7)/(ATM_Conf!$C$6-ATM_Conf!$C$7))</f>
        <v>#DIV/0!</v>
      </c>
      <c r="AY7" s="45" t="e">
        <f>BH$3*MIN(1,(ATM_Conf!$C$6-Links!J7)/(ATM_Conf!$C$6-ATM_Conf!$C$7))</f>
        <v>#DIV/0!</v>
      </c>
      <c r="AZ7" s="45" t="e">
        <f>BI$3*MIN(1,(ATM_Conf!$C$6-Links!K7)/(ATM_Conf!$C$6-ATM_Conf!$C$7))</f>
        <v>#DIV/0!</v>
      </c>
      <c r="BA7" s="45" t="e">
        <f>BJ$3*MIN(1,(ATM_Conf!$C$6-Links!L7)/(ATM_Conf!$C$6-ATM_Conf!$C$7))</f>
        <v>#DIV/0!</v>
      </c>
      <c r="BB7" s="45" t="e">
        <f>BK$3*MIN(1,(ATM_Conf!$C$6-Links!M7)/(ATM_Conf!$C$6-ATM_Conf!$C$7))</f>
        <v>#DIV/0!</v>
      </c>
      <c r="BC7" s="45" t="e">
        <f>BL$3*MIN(1,(ATM_Conf!$C$6-Links!N7)/(ATM_Conf!$C$6-ATM_Conf!$C$7))</f>
        <v>#DIV/0!</v>
      </c>
      <c r="BD7" s="45"/>
      <c r="BE7" s="45"/>
      <c r="BF7" s="45"/>
      <c r="BG7" s="45"/>
      <c r="BH7" s="45"/>
      <c r="BI7" s="45"/>
      <c r="BJ7" s="45"/>
      <c r="BK7" s="45"/>
      <c r="BL7" s="45"/>
      <c r="BM7" s="53"/>
      <c r="BN7" s="53"/>
      <c r="BO7" s="53"/>
      <c r="BP7" s="53"/>
      <c r="BQ7" s="53"/>
      <c r="BR7" s="53"/>
      <c r="BS7" s="53"/>
      <c r="BT7" s="53"/>
      <c r="BU7" s="53"/>
      <c r="BV7" s="53" t="e">
        <f t="shared" si="11"/>
        <v>#DIV/0!</v>
      </c>
      <c r="BW7" s="53" t="e">
        <f t="shared" si="12"/>
        <v>#DIV/0!</v>
      </c>
      <c r="BX7" s="53" t="e">
        <f t="shared" si="13"/>
        <v>#DIV/0!</v>
      </c>
      <c r="BY7" s="53" t="e">
        <f t="shared" si="14"/>
        <v>#DIV/0!</v>
      </c>
      <c r="BZ7" s="53" t="e">
        <f t="shared" si="15"/>
        <v>#DIV/0!</v>
      </c>
      <c r="CA7" s="53" t="e">
        <f t="shared" si="16"/>
        <v>#DIV/0!</v>
      </c>
      <c r="CB7" s="53" t="e">
        <f t="shared" si="17"/>
        <v>#DIV/0!</v>
      </c>
      <c r="CC7" s="53" t="e">
        <f t="shared" si="18"/>
        <v>#DIV/0!</v>
      </c>
      <c r="CD7" s="53" t="e">
        <f t="shared" si="19"/>
        <v>#DIV/0!</v>
      </c>
      <c r="CE7" s="55">
        <f t="shared" si="22"/>
        <v>0</v>
      </c>
      <c r="CF7" s="55">
        <f t="shared" si="20"/>
        <v>0</v>
      </c>
      <c r="CG7" s="55">
        <f t="shared" si="20"/>
        <v>0</v>
      </c>
      <c r="CH7" s="55">
        <f t="shared" si="20"/>
        <v>0</v>
      </c>
      <c r="CI7" s="55">
        <f t="shared" si="20"/>
        <v>0</v>
      </c>
      <c r="CJ7" s="55">
        <f t="shared" si="20"/>
        <v>0</v>
      </c>
      <c r="CK7" s="55">
        <f t="shared" si="20"/>
        <v>0</v>
      </c>
      <c r="CL7" s="55">
        <f t="shared" si="20"/>
        <v>0</v>
      </c>
      <c r="CM7" s="55">
        <f t="shared" si="20"/>
        <v>0</v>
      </c>
    </row>
    <row r="8" spans="1:91" x14ac:dyDescent="0.15">
      <c r="A8" s="42">
        <v>6</v>
      </c>
      <c r="B8" s="45">
        <f t="shared" si="21"/>
        <v>1</v>
      </c>
      <c r="C8" s="45">
        <f t="shared" si="1"/>
        <v>1</v>
      </c>
      <c r="D8" s="45">
        <f t="shared" si="1"/>
        <v>1</v>
      </c>
      <c r="E8" s="45">
        <f t="shared" si="1"/>
        <v>1</v>
      </c>
      <c r="F8" s="45">
        <f t="shared" si="1"/>
        <v>1</v>
      </c>
      <c r="G8" s="45">
        <f t="shared" si="1"/>
        <v>1</v>
      </c>
      <c r="H8" s="45">
        <f t="shared" si="1"/>
        <v>1</v>
      </c>
      <c r="I8" s="45">
        <f t="shared" si="1"/>
        <v>1</v>
      </c>
      <c r="J8" s="45">
        <f t="shared" si="1"/>
        <v>1</v>
      </c>
      <c r="K8" s="45" t="e">
        <f>K7+ATM_Conf!$C$5*(T7-AC7)</f>
        <v>#DIV/0!</v>
      </c>
      <c r="L8" s="45" t="e">
        <f>L7+ATM_Conf!$C$5*(U7-AD7)</f>
        <v>#DIV/0!</v>
      </c>
      <c r="M8" s="45" t="e">
        <f>M7+ATM_Conf!$C$5*(V7-AE7)</f>
        <v>#DIV/0!</v>
      </c>
      <c r="N8" s="45" t="e">
        <f>N7+ATM_Conf!$C$5*(W7-AF7)</f>
        <v>#DIV/0!</v>
      </c>
      <c r="O8" s="45" t="e">
        <f>O7+ATM_Conf!$C$5*(X7-AG7)</f>
        <v>#DIV/0!</v>
      </c>
      <c r="P8" s="45" t="e">
        <f>P7+ATM_Conf!$C$5*(Y7-AH7)</f>
        <v>#DIV/0!</v>
      </c>
      <c r="Q8" s="45" t="e">
        <f>Q7+ATM_Conf!$C$5*(Z7-AI7)</f>
        <v>#DIV/0!</v>
      </c>
      <c r="R8" s="45" t="e">
        <f>R7+ATM_Conf!$C$5*(AA7-AJ7)</f>
        <v>#DIV/0!</v>
      </c>
      <c r="S8" s="45" t="e">
        <f>S7+ATM_Conf!$C$5*(AB7-AK7)</f>
        <v>#DIV/0!</v>
      </c>
      <c r="T8" s="45"/>
      <c r="U8" s="45"/>
      <c r="V8" s="45"/>
      <c r="W8" s="45"/>
      <c r="X8" s="45"/>
      <c r="Y8" s="45"/>
      <c r="Z8" s="45"/>
      <c r="AA8" s="45"/>
      <c r="AB8" s="45"/>
      <c r="AC8" s="45" t="e">
        <f t="shared" si="2"/>
        <v>#DIV/0!</v>
      </c>
      <c r="AD8" s="45" t="e">
        <f t="shared" si="3"/>
        <v>#DIV/0!</v>
      </c>
      <c r="AE8" s="45" t="e">
        <f t="shared" si="4"/>
        <v>#DIV/0!</v>
      </c>
      <c r="AF8" s="45" t="e">
        <f t="shared" si="5"/>
        <v>#DIV/0!</v>
      </c>
      <c r="AG8" s="45" t="e">
        <f t="shared" si="6"/>
        <v>#DIV/0!</v>
      </c>
      <c r="AH8" s="45" t="e">
        <f t="shared" si="7"/>
        <v>#DIV/0!</v>
      </c>
      <c r="AI8" s="45" t="e">
        <f t="shared" si="8"/>
        <v>#DIV/0!</v>
      </c>
      <c r="AJ8" s="45" t="e">
        <f t="shared" si="9"/>
        <v>#DIV/0!</v>
      </c>
      <c r="AK8" s="45" t="e">
        <f t="shared" si="10"/>
        <v>#DIV/0!</v>
      </c>
      <c r="AL8" s="45" t="e">
        <f>T$3+K8/ATM_Conf!$C$5</f>
        <v>#DIV/0!</v>
      </c>
      <c r="AM8" s="45" t="e">
        <f>U$3+L8/ATM_Conf!$C$5</f>
        <v>#DIV/0!</v>
      </c>
      <c r="AN8" s="45" t="e">
        <f>V$3+M8/ATM_Conf!$C$5</f>
        <v>#DIV/0!</v>
      </c>
      <c r="AO8" s="45" t="e">
        <f>W$3+N8/ATM_Conf!$C$5</f>
        <v>#DIV/0!</v>
      </c>
      <c r="AP8" s="45" t="e">
        <f>X$3+O8/ATM_Conf!$C$5</f>
        <v>#DIV/0!</v>
      </c>
      <c r="AQ8" s="45" t="e">
        <f>Y$3+P8/ATM_Conf!$C$5</f>
        <v>#DIV/0!</v>
      </c>
      <c r="AR8" s="45" t="e">
        <f>Z$3+Q8/ATM_Conf!$C$5</f>
        <v>#DIV/0!</v>
      </c>
      <c r="AS8" s="45" t="e">
        <f>AA$3+R8/ATM_Conf!$C$5</f>
        <v>#DIV/0!</v>
      </c>
      <c r="AT8" s="45" t="e">
        <f>AB$3+S8/ATM_Conf!$C$5</f>
        <v>#DIV/0!</v>
      </c>
      <c r="AU8" s="45" t="e">
        <f>BD$3*MIN(1,(ATM_Conf!$C$6-Links!F8)/(ATM_Conf!$C$6-ATM_Conf!$C$7))</f>
        <v>#DIV/0!</v>
      </c>
      <c r="AV8" s="45" t="e">
        <f>BE$3*MIN(1,(ATM_Conf!$C$6-Links!G8)/(ATM_Conf!$C$6-ATM_Conf!$C$7))</f>
        <v>#DIV/0!</v>
      </c>
      <c r="AW8" s="45" t="e">
        <f>BF$3*MIN(1,(ATM_Conf!$C$6-Links!H8)/(ATM_Conf!$C$6-ATM_Conf!$C$7))</f>
        <v>#DIV/0!</v>
      </c>
      <c r="AX8" s="45" t="e">
        <f>BG$3*MIN(1,(ATM_Conf!$C$6-Links!I8)/(ATM_Conf!$C$6-ATM_Conf!$C$7))</f>
        <v>#DIV/0!</v>
      </c>
      <c r="AY8" s="45" t="e">
        <f>BH$3*MIN(1,(ATM_Conf!$C$6-Links!J8)/(ATM_Conf!$C$6-ATM_Conf!$C$7))</f>
        <v>#DIV/0!</v>
      </c>
      <c r="AZ8" s="45" t="e">
        <f>BI$3*MIN(1,(ATM_Conf!$C$6-Links!K8)/(ATM_Conf!$C$6-ATM_Conf!$C$7))</f>
        <v>#DIV/0!</v>
      </c>
      <c r="BA8" s="45" t="e">
        <f>BJ$3*MIN(1,(ATM_Conf!$C$6-Links!L8)/(ATM_Conf!$C$6-ATM_Conf!$C$7))</f>
        <v>#DIV/0!</v>
      </c>
      <c r="BB8" s="45" t="e">
        <f>BK$3*MIN(1,(ATM_Conf!$C$6-Links!M8)/(ATM_Conf!$C$6-ATM_Conf!$C$7))</f>
        <v>#DIV/0!</v>
      </c>
      <c r="BC8" s="45" t="e">
        <f>BL$3*MIN(1,(ATM_Conf!$C$6-Links!N8)/(ATM_Conf!$C$6-ATM_Conf!$C$7))</f>
        <v>#DIV/0!</v>
      </c>
      <c r="BD8" s="45"/>
      <c r="BE8" s="45"/>
      <c r="BF8" s="45"/>
      <c r="BG8" s="45"/>
      <c r="BH8" s="45"/>
      <c r="BI8" s="45"/>
      <c r="BJ8" s="45"/>
      <c r="BK8" s="45"/>
      <c r="BL8" s="45"/>
      <c r="BM8" s="53"/>
      <c r="BN8" s="53"/>
      <c r="BO8" s="53"/>
      <c r="BP8" s="53"/>
      <c r="BQ8" s="53"/>
      <c r="BR8" s="53"/>
      <c r="BS8" s="53"/>
      <c r="BT8" s="53"/>
      <c r="BU8" s="53"/>
      <c r="BV8" s="53" t="e">
        <f t="shared" si="11"/>
        <v>#DIV/0!</v>
      </c>
      <c r="BW8" s="53" t="e">
        <f t="shared" si="12"/>
        <v>#DIV/0!</v>
      </c>
      <c r="BX8" s="53" t="e">
        <f t="shared" si="13"/>
        <v>#DIV/0!</v>
      </c>
      <c r="BY8" s="53" t="e">
        <f t="shared" si="14"/>
        <v>#DIV/0!</v>
      </c>
      <c r="BZ8" s="53" t="e">
        <f t="shared" si="15"/>
        <v>#DIV/0!</v>
      </c>
      <c r="CA8" s="53" t="e">
        <f t="shared" si="16"/>
        <v>#DIV/0!</v>
      </c>
      <c r="CB8" s="53" t="e">
        <f t="shared" si="17"/>
        <v>#DIV/0!</v>
      </c>
      <c r="CC8" s="53" t="e">
        <f t="shared" si="18"/>
        <v>#DIV/0!</v>
      </c>
      <c r="CD8" s="53" t="e">
        <f t="shared" si="19"/>
        <v>#DIV/0!</v>
      </c>
      <c r="CE8" s="55">
        <f t="shared" si="22"/>
        <v>0</v>
      </c>
      <c r="CF8" s="55">
        <f t="shared" si="20"/>
        <v>0</v>
      </c>
      <c r="CG8" s="55">
        <f t="shared" si="20"/>
        <v>0</v>
      </c>
      <c r="CH8" s="55">
        <f t="shared" si="20"/>
        <v>0</v>
      </c>
      <c r="CI8" s="55">
        <f t="shared" si="20"/>
        <v>0</v>
      </c>
      <c r="CJ8" s="55">
        <f t="shared" si="20"/>
        <v>0</v>
      </c>
      <c r="CK8" s="55">
        <f t="shared" si="20"/>
        <v>0</v>
      </c>
      <c r="CL8" s="55">
        <f t="shared" si="20"/>
        <v>0</v>
      </c>
      <c r="CM8" s="55">
        <f t="shared" si="20"/>
        <v>0</v>
      </c>
    </row>
    <row r="9" spans="1:91" x14ac:dyDescent="0.15">
      <c r="A9" s="42">
        <v>7</v>
      </c>
      <c r="B9" s="45">
        <f t="shared" si="21"/>
        <v>1</v>
      </c>
      <c r="C9" s="45">
        <f t="shared" si="1"/>
        <v>1</v>
      </c>
      <c r="D9" s="45">
        <f t="shared" si="1"/>
        <v>1</v>
      </c>
      <c r="E9" s="45">
        <f t="shared" si="1"/>
        <v>1</v>
      </c>
      <c r="F9" s="45">
        <f t="shared" si="1"/>
        <v>1</v>
      </c>
      <c r="G9" s="45">
        <f t="shared" si="1"/>
        <v>1</v>
      </c>
      <c r="H9" s="45">
        <f t="shared" si="1"/>
        <v>1</v>
      </c>
      <c r="I9" s="45">
        <f t="shared" si="1"/>
        <v>1</v>
      </c>
      <c r="J9" s="45">
        <f t="shared" si="1"/>
        <v>1</v>
      </c>
      <c r="K9" s="45" t="e">
        <f>K8+ATM_Conf!$C$5*(T8-AC8)</f>
        <v>#DIV/0!</v>
      </c>
      <c r="L9" s="45" t="e">
        <f>L8+ATM_Conf!$C$5*(U8-AD8)</f>
        <v>#DIV/0!</v>
      </c>
      <c r="M9" s="45" t="e">
        <f>M8+ATM_Conf!$C$5*(V8-AE8)</f>
        <v>#DIV/0!</v>
      </c>
      <c r="N9" s="45" t="e">
        <f>N8+ATM_Conf!$C$5*(W8-AF8)</f>
        <v>#DIV/0!</v>
      </c>
      <c r="O9" s="45" t="e">
        <f>O8+ATM_Conf!$C$5*(X8-AG8)</f>
        <v>#DIV/0!</v>
      </c>
      <c r="P9" s="45" t="e">
        <f>P8+ATM_Conf!$C$5*(Y8-AH8)</f>
        <v>#DIV/0!</v>
      </c>
      <c r="Q9" s="45" t="e">
        <f>Q8+ATM_Conf!$C$5*(Z8-AI8)</f>
        <v>#DIV/0!</v>
      </c>
      <c r="R9" s="45" t="e">
        <f>R8+ATM_Conf!$C$5*(AA8-AJ8)</f>
        <v>#DIV/0!</v>
      </c>
      <c r="S9" s="45" t="e">
        <f>S8+ATM_Conf!$C$5*(AB8-AK8)</f>
        <v>#DIV/0!</v>
      </c>
      <c r="T9" s="45"/>
      <c r="U9" s="45"/>
      <c r="V9" s="45"/>
      <c r="W9" s="45"/>
      <c r="X9" s="45"/>
      <c r="Y9" s="45"/>
      <c r="Z9" s="45"/>
      <c r="AA9" s="45"/>
      <c r="AB9" s="45"/>
      <c r="AC9" s="45" t="e">
        <f t="shared" si="2"/>
        <v>#DIV/0!</v>
      </c>
      <c r="AD9" s="45" t="e">
        <f t="shared" si="3"/>
        <v>#DIV/0!</v>
      </c>
      <c r="AE9" s="45" t="e">
        <f t="shared" si="4"/>
        <v>#DIV/0!</v>
      </c>
      <c r="AF9" s="45" t="e">
        <f t="shared" si="5"/>
        <v>#DIV/0!</v>
      </c>
      <c r="AG9" s="45" t="e">
        <f t="shared" si="6"/>
        <v>#DIV/0!</v>
      </c>
      <c r="AH9" s="45" t="e">
        <f t="shared" si="7"/>
        <v>#DIV/0!</v>
      </c>
      <c r="AI9" s="45" t="e">
        <f t="shared" si="8"/>
        <v>#DIV/0!</v>
      </c>
      <c r="AJ9" s="45" t="e">
        <f t="shared" si="9"/>
        <v>#DIV/0!</v>
      </c>
      <c r="AK9" s="45" t="e">
        <f t="shared" si="10"/>
        <v>#DIV/0!</v>
      </c>
      <c r="AL9" s="45" t="e">
        <f>T$3+K9/ATM_Conf!$C$5</f>
        <v>#DIV/0!</v>
      </c>
      <c r="AM9" s="45" t="e">
        <f>U$3+L9/ATM_Conf!$C$5</f>
        <v>#DIV/0!</v>
      </c>
      <c r="AN9" s="45" t="e">
        <f>V$3+M9/ATM_Conf!$C$5</f>
        <v>#DIV/0!</v>
      </c>
      <c r="AO9" s="45" t="e">
        <f>W$3+N9/ATM_Conf!$C$5</f>
        <v>#DIV/0!</v>
      </c>
      <c r="AP9" s="45" t="e">
        <f>X$3+O9/ATM_Conf!$C$5</f>
        <v>#DIV/0!</v>
      </c>
      <c r="AQ9" s="45" t="e">
        <f>Y$3+P9/ATM_Conf!$C$5</f>
        <v>#DIV/0!</v>
      </c>
      <c r="AR9" s="45" t="e">
        <f>Z$3+Q9/ATM_Conf!$C$5</f>
        <v>#DIV/0!</v>
      </c>
      <c r="AS9" s="45" t="e">
        <f>AA$3+R9/ATM_Conf!$C$5</f>
        <v>#DIV/0!</v>
      </c>
      <c r="AT9" s="45" t="e">
        <f>AB$3+S9/ATM_Conf!$C$5</f>
        <v>#DIV/0!</v>
      </c>
      <c r="AU9" s="45" t="e">
        <f>BD$3*MIN(1,(ATM_Conf!$C$6-Links!F9)/(ATM_Conf!$C$6-ATM_Conf!$C$7))</f>
        <v>#DIV/0!</v>
      </c>
      <c r="AV9" s="45" t="e">
        <f>BE$3*MIN(1,(ATM_Conf!$C$6-Links!G9)/(ATM_Conf!$C$6-ATM_Conf!$C$7))</f>
        <v>#DIV/0!</v>
      </c>
      <c r="AW9" s="45" t="e">
        <f>BF$3*MIN(1,(ATM_Conf!$C$6-Links!H9)/(ATM_Conf!$C$6-ATM_Conf!$C$7))</f>
        <v>#DIV/0!</v>
      </c>
      <c r="AX9" s="45" t="e">
        <f>BG$3*MIN(1,(ATM_Conf!$C$6-Links!I9)/(ATM_Conf!$C$6-ATM_Conf!$C$7))</f>
        <v>#DIV/0!</v>
      </c>
      <c r="AY9" s="45" t="e">
        <f>BH$3*MIN(1,(ATM_Conf!$C$6-Links!J9)/(ATM_Conf!$C$6-ATM_Conf!$C$7))</f>
        <v>#DIV/0!</v>
      </c>
      <c r="AZ9" s="45" t="e">
        <f>BI$3*MIN(1,(ATM_Conf!$C$6-Links!K9)/(ATM_Conf!$C$6-ATM_Conf!$C$7))</f>
        <v>#DIV/0!</v>
      </c>
      <c r="BA9" s="45" t="e">
        <f>BJ$3*MIN(1,(ATM_Conf!$C$6-Links!L9)/(ATM_Conf!$C$6-ATM_Conf!$C$7))</f>
        <v>#DIV/0!</v>
      </c>
      <c r="BB9" s="45" t="e">
        <f>BK$3*MIN(1,(ATM_Conf!$C$6-Links!M9)/(ATM_Conf!$C$6-ATM_Conf!$C$7))</f>
        <v>#DIV/0!</v>
      </c>
      <c r="BC9" s="45" t="e">
        <f>BL$3*MIN(1,(ATM_Conf!$C$6-Links!N9)/(ATM_Conf!$C$6-ATM_Conf!$C$7))</f>
        <v>#DIV/0!</v>
      </c>
      <c r="BD9" s="45"/>
      <c r="BE9" s="45"/>
      <c r="BF9" s="45"/>
      <c r="BG9" s="45"/>
      <c r="BH9" s="45"/>
      <c r="BI9" s="45"/>
      <c r="BJ9" s="45"/>
      <c r="BK9" s="45"/>
      <c r="BL9" s="45"/>
      <c r="BM9" s="53"/>
      <c r="BN9" s="53"/>
      <c r="BO9" s="53"/>
      <c r="BP9" s="53"/>
      <c r="BQ9" s="53"/>
      <c r="BR9" s="53"/>
      <c r="BS9" s="53"/>
      <c r="BT9" s="53"/>
      <c r="BU9" s="53"/>
      <c r="BV9" s="53" t="e">
        <f t="shared" si="11"/>
        <v>#DIV/0!</v>
      </c>
      <c r="BW9" s="53" t="e">
        <f t="shared" si="12"/>
        <v>#DIV/0!</v>
      </c>
      <c r="BX9" s="53" t="e">
        <f t="shared" si="13"/>
        <v>#DIV/0!</v>
      </c>
      <c r="BY9" s="53" t="e">
        <f t="shared" si="14"/>
        <v>#DIV/0!</v>
      </c>
      <c r="BZ9" s="53" t="e">
        <f t="shared" si="15"/>
        <v>#DIV/0!</v>
      </c>
      <c r="CA9" s="53" t="e">
        <f t="shared" si="16"/>
        <v>#DIV/0!</v>
      </c>
      <c r="CB9" s="53" t="e">
        <f t="shared" si="17"/>
        <v>#DIV/0!</v>
      </c>
      <c r="CC9" s="53" t="e">
        <f t="shared" si="18"/>
        <v>#DIV/0!</v>
      </c>
      <c r="CD9" s="53" t="e">
        <f t="shared" si="19"/>
        <v>#DIV/0!</v>
      </c>
      <c r="CE9" s="55">
        <f t="shared" si="22"/>
        <v>0</v>
      </c>
      <c r="CF9" s="55">
        <f t="shared" si="20"/>
        <v>0</v>
      </c>
      <c r="CG9" s="55">
        <f t="shared" si="20"/>
        <v>0</v>
      </c>
      <c r="CH9" s="55">
        <f t="shared" si="20"/>
        <v>0</v>
      </c>
      <c r="CI9" s="55">
        <f t="shared" si="20"/>
        <v>0</v>
      </c>
      <c r="CJ9" s="55">
        <f t="shared" si="20"/>
        <v>0</v>
      </c>
      <c r="CK9" s="55">
        <f t="shared" si="20"/>
        <v>0</v>
      </c>
      <c r="CL9" s="55">
        <f t="shared" si="20"/>
        <v>0</v>
      </c>
      <c r="CM9" s="55">
        <f t="shared" si="20"/>
        <v>0</v>
      </c>
    </row>
    <row r="10" spans="1:91" x14ac:dyDescent="0.15">
      <c r="A10" s="42">
        <v>8</v>
      </c>
      <c r="B10" s="45">
        <f t="shared" si="21"/>
        <v>1</v>
      </c>
      <c r="C10" s="45">
        <f t="shared" si="1"/>
        <v>1</v>
      </c>
      <c r="D10" s="45">
        <f t="shared" si="1"/>
        <v>1</v>
      </c>
      <c r="E10" s="45">
        <f t="shared" si="1"/>
        <v>1</v>
      </c>
      <c r="F10" s="45">
        <f t="shared" si="1"/>
        <v>1</v>
      </c>
      <c r="G10" s="45">
        <f t="shared" si="1"/>
        <v>1</v>
      </c>
      <c r="H10" s="45">
        <f t="shared" si="1"/>
        <v>1</v>
      </c>
      <c r="I10" s="45">
        <f t="shared" si="1"/>
        <v>1</v>
      </c>
      <c r="J10" s="45">
        <f t="shared" si="1"/>
        <v>1</v>
      </c>
      <c r="K10" s="45" t="e">
        <f>K9+ATM_Conf!$C$5*(T9-AC9)</f>
        <v>#DIV/0!</v>
      </c>
      <c r="L10" s="45" t="e">
        <f>L9+ATM_Conf!$C$5*(U9-AD9)</f>
        <v>#DIV/0!</v>
      </c>
      <c r="M10" s="45" t="e">
        <f>M9+ATM_Conf!$C$5*(V9-AE9)</f>
        <v>#DIV/0!</v>
      </c>
      <c r="N10" s="45" t="e">
        <f>N9+ATM_Conf!$C$5*(W9-AF9)</f>
        <v>#DIV/0!</v>
      </c>
      <c r="O10" s="45" t="e">
        <f>O9+ATM_Conf!$C$5*(X9-AG9)</f>
        <v>#DIV/0!</v>
      </c>
      <c r="P10" s="45" t="e">
        <f>P9+ATM_Conf!$C$5*(Y9-AH9)</f>
        <v>#DIV/0!</v>
      </c>
      <c r="Q10" s="45" t="e">
        <f>Q9+ATM_Conf!$C$5*(Z9-AI9)</f>
        <v>#DIV/0!</v>
      </c>
      <c r="R10" s="45" t="e">
        <f>R9+ATM_Conf!$C$5*(AA9-AJ9)</f>
        <v>#DIV/0!</v>
      </c>
      <c r="S10" s="45" t="e">
        <f>S9+ATM_Conf!$C$5*(AB9-AK9)</f>
        <v>#DIV/0!</v>
      </c>
      <c r="T10" s="45"/>
      <c r="U10" s="45"/>
      <c r="V10" s="45"/>
      <c r="W10" s="45"/>
      <c r="X10" s="45"/>
      <c r="Y10" s="45"/>
      <c r="Z10" s="45"/>
      <c r="AA10" s="45"/>
      <c r="AB10" s="45"/>
      <c r="AC10" s="45" t="e">
        <f t="shared" si="2"/>
        <v>#DIV/0!</v>
      </c>
      <c r="AD10" s="45" t="e">
        <f t="shared" si="3"/>
        <v>#DIV/0!</v>
      </c>
      <c r="AE10" s="45" t="e">
        <f t="shared" si="4"/>
        <v>#DIV/0!</v>
      </c>
      <c r="AF10" s="45" t="e">
        <f t="shared" si="5"/>
        <v>#DIV/0!</v>
      </c>
      <c r="AG10" s="45" t="e">
        <f t="shared" si="6"/>
        <v>#DIV/0!</v>
      </c>
      <c r="AH10" s="45" t="e">
        <f t="shared" si="7"/>
        <v>#DIV/0!</v>
      </c>
      <c r="AI10" s="45" t="e">
        <f t="shared" si="8"/>
        <v>#DIV/0!</v>
      </c>
      <c r="AJ10" s="45" t="e">
        <f t="shared" si="9"/>
        <v>#DIV/0!</v>
      </c>
      <c r="AK10" s="45" t="e">
        <f t="shared" si="10"/>
        <v>#DIV/0!</v>
      </c>
      <c r="AL10" s="45" t="e">
        <f>T$3+K10/ATM_Conf!$C$5</f>
        <v>#DIV/0!</v>
      </c>
      <c r="AM10" s="45" t="e">
        <f>U$3+L10/ATM_Conf!$C$5</f>
        <v>#DIV/0!</v>
      </c>
      <c r="AN10" s="45" t="e">
        <f>V$3+M10/ATM_Conf!$C$5</f>
        <v>#DIV/0!</v>
      </c>
      <c r="AO10" s="45" t="e">
        <f>W$3+N10/ATM_Conf!$C$5</f>
        <v>#DIV/0!</v>
      </c>
      <c r="AP10" s="45" t="e">
        <f>X$3+O10/ATM_Conf!$C$5</f>
        <v>#DIV/0!</v>
      </c>
      <c r="AQ10" s="45" t="e">
        <f>Y$3+P10/ATM_Conf!$C$5</f>
        <v>#DIV/0!</v>
      </c>
      <c r="AR10" s="45" t="e">
        <f>Z$3+Q10/ATM_Conf!$C$5</f>
        <v>#DIV/0!</v>
      </c>
      <c r="AS10" s="45" t="e">
        <f>AA$3+R10/ATM_Conf!$C$5</f>
        <v>#DIV/0!</v>
      </c>
      <c r="AT10" s="45" t="e">
        <f>AB$3+S10/ATM_Conf!$C$5</f>
        <v>#DIV/0!</v>
      </c>
      <c r="AU10" s="45" t="e">
        <f>BD$3*MIN(1,(ATM_Conf!$C$6-Links!F10)/(ATM_Conf!$C$6-ATM_Conf!$C$7))</f>
        <v>#DIV/0!</v>
      </c>
      <c r="AV10" s="45" t="e">
        <f>BE$3*MIN(1,(ATM_Conf!$C$6-Links!G10)/(ATM_Conf!$C$6-ATM_Conf!$C$7))</f>
        <v>#DIV/0!</v>
      </c>
      <c r="AW10" s="45" t="e">
        <f>BF$3*MIN(1,(ATM_Conf!$C$6-Links!H10)/(ATM_Conf!$C$6-ATM_Conf!$C$7))</f>
        <v>#DIV/0!</v>
      </c>
      <c r="AX10" s="45" t="e">
        <f>BG$3*MIN(1,(ATM_Conf!$C$6-Links!I10)/(ATM_Conf!$C$6-ATM_Conf!$C$7))</f>
        <v>#DIV/0!</v>
      </c>
      <c r="AY10" s="45" t="e">
        <f>BH$3*MIN(1,(ATM_Conf!$C$6-Links!J10)/(ATM_Conf!$C$6-ATM_Conf!$C$7))</f>
        <v>#DIV/0!</v>
      </c>
      <c r="AZ10" s="45" t="e">
        <f>BI$3*MIN(1,(ATM_Conf!$C$6-Links!K10)/(ATM_Conf!$C$6-ATM_Conf!$C$7))</f>
        <v>#DIV/0!</v>
      </c>
      <c r="BA10" s="45" t="e">
        <f>BJ$3*MIN(1,(ATM_Conf!$C$6-Links!L10)/(ATM_Conf!$C$6-ATM_Conf!$C$7))</f>
        <v>#DIV/0!</v>
      </c>
      <c r="BB10" s="45" t="e">
        <f>BK$3*MIN(1,(ATM_Conf!$C$6-Links!M10)/(ATM_Conf!$C$6-ATM_Conf!$C$7))</f>
        <v>#DIV/0!</v>
      </c>
      <c r="BC10" s="45" t="e">
        <f>BL$3*MIN(1,(ATM_Conf!$C$6-Links!N10)/(ATM_Conf!$C$6-ATM_Conf!$C$7))</f>
        <v>#DIV/0!</v>
      </c>
      <c r="BD10" s="45"/>
      <c r="BE10" s="45"/>
      <c r="BF10" s="45"/>
      <c r="BG10" s="45"/>
      <c r="BH10" s="45"/>
      <c r="BI10" s="45"/>
      <c r="BJ10" s="45"/>
      <c r="BK10" s="45"/>
      <c r="BL10" s="45"/>
      <c r="BM10" s="53"/>
      <c r="BN10" s="53"/>
      <c r="BO10" s="53"/>
      <c r="BP10" s="53"/>
      <c r="BQ10" s="53"/>
      <c r="BR10" s="53"/>
      <c r="BS10" s="53"/>
      <c r="BT10" s="53"/>
      <c r="BU10" s="53"/>
      <c r="BV10" s="53" t="e">
        <f t="shared" si="11"/>
        <v>#DIV/0!</v>
      </c>
      <c r="BW10" s="53" t="e">
        <f t="shared" si="12"/>
        <v>#DIV/0!</v>
      </c>
      <c r="BX10" s="53" t="e">
        <f t="shared" si="13"/>
        <v>#DIV/0!</v>
      </c>
      <c r="BY10" s="53" t="e">
        <f t="shared" si="14"/>
        <v>#DIV/0!</v>
      </c>
      <c r="BZ10" s="53" t="e">
        <f t="shared" si="15"/>
        <v>#DIV/0!</v>
      </c>
      <c r="CA10" s="53" t="e">
        <f t="shared" si="16"/>
        <v>#DIV/0!</v>
      </c>
      <c r="CB10" s="53" t="e">
        <f t="shared" si="17"/>
        <v>#DIV/0!</v>
      </c>
      <c r="CC10" s="53" t="e">
        <f t="shared" si="18"/>
        <v>#DIV/0!</v>
      </c>
      <c r="CD10" s="53" t="e">
        <f t="shared" si="19"/>
        <v>#DIV/0!</v>
      </c>
      <c r="CE10" s="55">
        <f t="shared" si="22"/>
        <v>0</v>
      </c>
      <c r="CF10" s="55">
        <f t="shared" si="20"/>
        <v>0</v>
      </c>
      <c r="CG10" s="55">
        <f t="shared" si="20"/>
        <v>0</v>
      </c>
      <c r="CH10" s="55">
        <f t="shared" si="20"/>
        <v>0</v>
      </c>
      <c r="CI10" s="55">
        <f t="shared" si="20"/>
        <v>0</v>
      </c>
      <c r="CJ10" s="55">
        <f t="shared" si="20"/>
        <v>0</v>
      </c>
      <c r="CK10" s="55">
        <f t="shared" si="20"/>
        <v>0</v>
      </c>
      <c r="CL10" s="55">
        <f t="shared" si="20"/>
        <v>0</v>
      </c>
      <c r="CM10" s="55">
        <f t="shared" si="20"/>
        <v>0</v>
      </c>
    </row>
    <row r="11" spans="1:91" x14ac:dyDescent="0.15">
      <c r="A11" s="42">
        <v>9</v>
      </c>
      <c r="B11" s="45">
        <f t="shared" si="21"/>
        <v>1</v>
      </c>
      <c r="C11" s="45">
        <f t="shared" si="1"/>
        <v>1</v>
      </c>
      <c r="D11" s="45">
        <f t="shared" si="1"/>
        <v>1</v>
      </c>
      <c r="E11" s="45">
        <f t="shared" si="1"/>
        <v>1</v>
      </c>
      <c r="F11" s="45">
        <f t="shared" si="1"/>
        <v>1</v>
      </c>
      <c r="G11" s="45">
        <f t="shared" si="1"/>
        <v>1</v>
      </c>
      <c r="H11" s="45">
        <f t="shared" si="1"/>
        <v>1</v>
      </c>
      <c r="I11" s="45">
        <f t="shared" si="1"/>
        <v>1</v>
      </c>
      <c r="J11" s="45">
        <f t="shared" si="1"/>
        <v>1</v>
      </c>
      <c r="K11" s="45" t="e">
        <f>K10+ATM_Conf!$C$5*(T10-AC10)</f>
        <v>#DIV/0!</v>
      </c>
      <c r="L11" s="45" t="e">
        <f>L10+ATM_Conf!$C$5*(U10-AD10)</f>
        <v>#DIV/0!</v>
      </c>
      <c r="M11" s="45" t="e">
        <f>M10+ATM_Conf!$C$5*(V10-AE10)</f>
        <v>#DIV/0!</v>
      </c>
      <c r="N11" s="45" t="e">
        <f>N10+ATM_Conf!$C$5*(W10-AF10)</f>
        <v>#DIV/0!</v>
      </c>
      <c r="O11" s="45" t="e">
        <f>O10+ATM_Conf!$C$5*(X10-AG10)</f>
        <v>#DIV/0!</v>
      </c>
      <c r="P11" s="45" t="e">
        <f>P10+ATM_Conf!$C$5*(Y10-AH10)</f>
        <v>#DIV/0!</v>
      </c>
      <c r="Q11" s="45" t="e">
        <f>Q10+ATM_Conf!$C$5*(Z10-AI10)</f>
        <v>#DIV/0!</v>
      </c>
      <c r="R11" s="45" t="e">
        <f>R10+ATM_Conf!$C$5*(AA10-AJ10)</f>
        <v>#DIV/0!</v>
      </c>
      <c r="S11" s="45" t="e">
        <f>S10+ATM_Conf!$C$5*(AB10-AK10)</f>
        <v>#DIV/0!</v>
      </c>
      <c r="T11" s="45"/>
      <c r="U11" s="45"/>
      <c r="V11" s="45"/>
      <c r="W11" s="45"/>
      <c r="X11" s="45"/>
      <c r="Y11" s="45"/>
      <c r="Z11" s="45"/>
      <c r="AA11" s="45"/>
      <c r="AB11" s="45"/>
      <c r="AC11" s="45" t="e">
        <f t="shared" si="2"/>
        <v>#DIV/0!</v>
      </c>
      <c r="AD11" s="45" t="e">
        <f t="shared" si="3"/>
        <v>#DIV/0!</v>
      </c>
      <c r="AE11" s="45" t="e">
        <f t="shared" si="4"/>
        <v>#DIV/0!</v>
      </c>
      <c r="AF11" s="45" t="e">
        <f t="shared" si="5"/>
        <v>#DIV/0!</v>
      </c>
      <c r="AG11" s="45" t="e">
        <f t="shared" si="6"/>
        <v>#DIV/0!</v>
      </c>
      <c r="AH11" s="45" t="e">
        <f t="shared" si="7"/>
        <v>#DIV/0!</v>
      </c>
      <c r="AI11" s="45" t="e">
        <f t="shared" si="8"/>
        <v>#DIV/0!</v>
      </c>
      <c r="AJ11" s="45" t="e">
        <f t="shared" si="9"/>
        <v>#DIV/0!</v>
      </c>
      <c r="AK11" s="45" t="e">
        <f t="shared" si="10"/>
        <v>#DIV/0!</v>
      </c>
      <c r="AL11" s="45" t="e">
        <f>T$3+K11/ATM_Conf!$C$5</f>
        <v>#DIV/0!</v>
      </c>
      <c r="AM11" s="45" t="e">
        <f>U$3+L11/ATM_Conf!$C$5</f>
        <v>#DIV/0!</v>
      </c>
      <c r="AN11" s="45" t="e">
        <f>V$3+M11/ATM_Conf!$C$5</f>
        <v>#DIV/0!</v>
      </c>
      <c r="AO11" s="45" t="e">
        <f>W$3+N11/ATM_Conf!$C$5</f>
        <v>#DIV/0!</v>
      </c>
      <c r="AP11" s="45" t="e">
        <f>X$3+O11/ATM_Conf!$C$5</f>
        <v>#DIV/0!</v>
      </c>
      <c r="AQ11" s="45" t="e">
        <f>Y$3+P11/ATM_Conf!$C$5</f>
        <v>#DIV/0!</v>
      </c>
      <c r="AR11" s="45" t="e">
        <f>Z$3+Q11/ATM_Conf!$C$5</f>
        <v>#DIV/0!</v>
      </c>
      <c r="AS11" s="45" t="e">
        <f>AA$3+R11/ATM_Conf!$C$5</f>
        <v>#DIV/0!</v>
      </c>
      <c r="AT11" s="45" t="e">
        <f>AB$3+S11/ATM_Conf!$C$5</f>
        <v>#DIV/0!</v>
      </c>
      <c r="AU11" s="45" t="e">
        <f>BD$3*MIN(1,(ATM_Conf!$C$6-Links!F11)/(ATM_Conf!$C$6-ATM_Conf!$C$7))</f>
        <v>#DIV/0!</v>
      </c>
      <c r="AV11" s="45" t="e">
        <f>BE$3*MIN(1,(ATM_Conf!$C$6-Links!G11)/(ATM_Conf!$C$6-ATM_Conf!$C$7))</f>
        <v>#DIV/0!</v>
      </c>
      <c r="AW11" s="45" t="e">
        <f>BF$3*MIN(1,(ATM_Conf!$C$6-Links!H11)/(ATM_Conf!$C$6-ATM_Conf!$C$7))</f>
        <v>#DIV/0!</v>
      </c>
      <c r="AX11" s="45" t="e">
        <f>BG$3*MIN(1,(ATM_Conf!$C$6-Links!I11)/(ATM_Conf!$C$6-ATM_Conf!$C$7))</f>
        <v>#DIV/0!</v>
      </c>
      <c r="AY11" s="45" t="e">
        <f>BH$3*MIN(1,(ATM_Conf!$C$6-Links!J11)/(ATM_Conf!$C$6-ATM_Conf!$C$7))</f>
        <v>#DIV/0!</v>
      </c>
      <c r="AZ11" s="45" t="e">
        <f>BI$3*MIN(1,(ATM_Conf!$C$6-Links!K11)/(ATM_Conf!$C$6-ATM_Conf!$C$7))</f>
        <v>#DIV/0!</v>
      </c>
      <c r="BA11" s="45" t="e">
        <f>BJ$3*MIN(1,(ATM_Conf!$C$6-Links!L11)/(ATM_Conf!$C$6-ATM_Conf!$C$7))</f>
        <v>#DIV/0!</v>
      </c>
      <c r="BB11" s="45" t="e">
        <f>BK$3*MIN(1,(ATM_Conf!$C$6-Links!M11)/(ATM_Conf!$C$6-ATM_Conf!$C$7))</f>
        <v>#DIV/0!</v>
      </c>
      <c r="BC11" s="45" t="e">
        <f>BL$3*MIN(1,(ATM_Conf!$C$6-Links!N11)/(ATM_Conf!$C$6-ATM_Conf!$C$7))</f>
        <v>#DIV/0!</v>
      </c>
      <c r="BD11" s="45"/>
      <c r="BE11" s="45"/>
      <c r="BF11" s="45"/>
      <c r="BG11" s="45"/>
      <c r="BH11" s="45"/>
      <c r="BI11" s="45"/>
      <c r="BJ11" s="45"/>
      <c r="BK11" s="45"/>
      <c r="BL11" s="45"/>
      <c r="BM11" s="53"/>
      <c r="BN11" s="53"/>
      <c r="BO11" s="53"/>
      <c r="BP11" s="53"/>
      <c r="BQ11" s="53"/>
      <c r="BR11" s="53"/>
      <c r="BS11" s="53"/>
      <c r="BT11" s="53"/>
      <c r="BU11" s="53"/>
      <c r="BV11" s="53" t="e">
        <f t="shared" si="11"/>
        <v>#DIV/0!</v>
      </c>
      <c r="BW11" s="53" t="e">
        <f t="shared" si="12"/>
        <v>#DIV/0!</v>
      </c>
      <c r="BX11" s="53" t="e">
        <f t="shared" si="13"/>
        <v>#DIV/0!</v>
      </c>
      <c r="BY11" s="53" t="e">
        <f t="shared" si="14"/>
        <v>#DIV/0!</v>
      </c>
      <c r="BZ11" s="53" t="e">
        <f t="shared" si="15"/>
        <v>#DIV/0!</v>
      </c>
      <c r="CA11" s="53" t="e">
        <f t="shared" si="16"/>
        <v>#DIV/0!</v>
      </c>
      <c r="CB11" s="53" t="e">
        <f t="shared" si="17"/>
        <v>#DIV/0!</v>
      </c>
      <c r="CC11" s="53" t="e">
        <f t="shared" si="18"/>
        <v>#DIV/0!</v>
      </c>
      <c r="CD11" s="53" t="e">
        <f t="shared" si="19"/>
        <v>#DIV/0!</v>
      </c>
      <c r="CE11" s="55">
        <f t="shared" si="22"/>
        <v>0</v>
      </c>
      <c r="CF11" s="55">
        <f t="shared" si="20"/>
        <v>0</v>
      </c>
      <c r="CG11" s="55">
        <f t="shared" si="20"/>
        <v>0</v>
      </c>
      <c r="CH11" s="55">
        <f t="shared" si="20"/>
        <v>0</v>
      </c>
      <c r="CI11" s="55">
        <f t="shared" si="20"/>
        <v>0</v>
      </c>
      <c r="CJ11" s="55">
        <f t="shared" si="20"/>
        <v>0</v>
      </c>
      <c r="CK11" s="55">
        <f t="shared" si="20"/>
        <v>0</v>
      </c>
      <c r="CL11" s="55">
        <f t="shared" si="20"/>
        <v>0</v>
      </c>
      <c r="CM11" s="55">
        <f t="shared" si="20"/>
        <v>0</v>
      </c>
    </row>
    <row r="12" spans="1:91" x14ac:dyDescent="0.15">
      <c r="A12" s="42">
        <v>10</v>
      </c>
      <c r="B12" s="45">
        <f t="shared" si="21"/>
        <v>1</v>
      </c>
      <c r="C12" s="45">
        <f t="shared" si="1"/>
        <v>1</v>
      </c>
      <c r="D12" s="45">
        <f t="shared" si="1"/>
        <v>1</v>
      </c>
      <c r="E12" s="45">
        <f t="shared" si="1"/>
        <v>1</v>
      </c>
      <c r="F12" s="45">
        <f t="shared" si="1"/>
        <v>1</v>
      </c>
      <c r="G12" s="45">
        <f t="shared" si="1"/>
        <v>1</v>
      </c>
      <c r="H12" s="45">
        <f t="shared" si="1"/>
        <v>1</v>
      </c>
      <c r="I12" s="45">
        <f t="shared" si="1"/>
        <v>1</v>
      </c>
      <c r="J12" s="45">
        <f t="shared" si="1"/>
        <v>1</v>
      </c>
      <c r="K12" s="45" t="e">
        <f>K11+ATM_Conf!$C$5*(T11-AC11)</f>
        <v>#DIV/0!</v>
      </c>
      <c r="L12" s="45" t="e">
        <f>L11+ATM_Conf!$C$5*(U11-AD11)</f>
        <v>#DIV/0!</v>
      </c>
      <c r="M12" s="45" t="e">
        <f>M11+ATM_Conf!$C$5*(V11-AE11)</f>
        <v>#DIV/0!</v>
      </c>
      <c r="N12" s="45" t="e">
        <f>N11+ATM_Conf!$C$5*(W11-AF11)</f>
        <v>#DIV/0!</v>
      </c>
      <c r="O12" s="45" t="e">
        <f>O11+ATM_Conf!$C$5*(X11-AG11)</f>
        <v>#DIV/0!</v>
      </c>
      <c r="P12" s="45" t="e">
        <f>P11+ATM_Conf!$C$5*(Y11-AH11)</f>
        <v>#DIV/0!</v>
      </c>
      <c r="Q12" s="45" t="e">
        <f>Q11+ATM_Conf!$C$5*(Z11-AI11)</f>
        <v>#DIV/0!</v>
      </c>
      <c r="R12" s="45" t="e">
        <f>R11+ATM_Conf!$C$5*(AA11-AJ11)</f>
        <v>#DIV/0!</v>
      </c>
      <c r="S12" s="45" t="e">
        <f>S11+ATM_Conf!$C$5*(AB11-AK11)</f>
        <v>#DIV/0!</v>
      </c>
      <c r="T12" s="45"/>
      <c r="U12" s="45"/>
      <c r="V12" s="45"/>
      <c r="W12" s="45"/>
      <c r="X12" s="45"/>
      <c r="Y12" s="45"/>
      <c r="Z12" s="45"/>
      <c r="AA12" s="45"/>
      <c r="AB12" s="45"/>
      <c r="AC12" s="45" t="e">
        <f t="shared" si="2"/>
        <v>#DIV/0!</v>
      </c>
      <c r="AD12" s="45" t="e">
        <f t="shared" si="3"/>
        <v>#DIV/0!</v>
      </c>
      <c r="AE12" s="45" t="e">
        <f t="shared" si="4"/>
        <v>#DIV/0!</v>
      </c>
      <c r="AF12" s="45" t="e">
        <f t="shared" si="5"/>
        <v>#DIV/0!</v>
      </c>
      <c r="AG12" s="45" t="e">
        <f t="shared" si="6"/>
        <v>#DIV/0!</v>
      </c>
      <c r="AH12" s="45" t="e">
        <f t="shared" si="7"/>
        <v>#DIV/0!</v>
      </c>
      <c r="AI12" s="45" t="e">
        <f t="shared" si="8"/>
        <v>#DIV/0!</v>
      </c>
      <c r="AJ12" s="45" t="e">
        <f t="shared" si="9"/>
        <v>#DIV/0!</v>
      </c>
      <c r="AK12" s="45" t="e">
        <f t="shared" si="10"/>
        <v>#DIV/0!</v>
      </c>
      <c r="AL12" s="45" t="e">
        <f>T$3+K12/ATM_Conf!$C$5</f>
        <v>#DIV/0!</v>
      </c>
      <c r="AM12" s="45" t="e">
        <f>U$3+L12/ATM_Conf!$C$5</f>
        <v>#DIV/0!</v>
      </c>
      <c r="AN12" s="45" t="e">
        <f>V$3+M12/ATM_Conf!$C$5</f>
        <v>#DIV/0!</v>
      </c>
      <c r="AO12" s="45" t="e">
        <f>W$3+N12/ATM_Conf!$C$5</f>
        <v>#DIV/0!</v>
      </c>
      <c r="AP12" s="45" t="e">
        <f>X$3+O12/ATM_Conf!$C$5</f>
        <v>#DIV/0!</v>
      </c>
      <c r="AQ12" s="45" t="e">
        <f>Y$3+P12/ATM_Conf!$C$5</f>
        <v>#DIV/0!</v>
      </c>
      <c r="AR12" s="45" t="e">
        <f>Z$3+Q12/ATM_Conf!$C$5</f>
        <v>#DIV/0!</v>
      </c>
      <c r="AS12" s="45" t="e">
        <f>AA$3+R12/ATM_Conf!$C$5</f>
        <v>#DIV/0!</v>
      </c>
      <c r="AT12" s="45" t="e">
        <f>AB$3+S12/ATM_Conf!$C$5</f>
        <v>#DIV/0!</v>
      </c>
      <c r="AU12" s="45" t="e">
        <f>BD$3*MIN(1,(ATM_Conf!$C$6-Links!F12)/(ATM_Conf!$C$6-ATM_Conf!$C$7))</f>
        <v>#DIV/0!</v>
      </c>
      <c r="AV12" s="45" t="e">
        <f>BE$3*MIN(1,(ATM_Conf!$C$6-Links!G12)/(ATM_Conf!$C$6-ATM_Conf!$C$7))</f>
        <v>#DIV/0!</v>
      </c>
      <c r="AW12" s="45" t="e">
        <f>BF$3*MIN(1,(ATM_Conf!$C$6-Links!H12)/(ATM_Conf!$C$6-ATM_Conf!$C$7))</f>
        <v>#DIV/0!</v>
      </c>
      <c r="AX12" s="45" t="e">
        <f>BG$3*MIN(1,(ATM_Conf!$C$6-Links!I12)/(ATM_Conf!$C$6-ATM_Conf!$C$7))</f>
        <v>#DIV/0!</v>
      </c>
      <c r="AY12" s="45" t="e">
        <f>BH$3*MIN(1,(ATM_Conf!$C$6-Links!J12)/(ATM_Conf!$C$6-ATM_Conf!$C$7))</f>
        <v>#DIV/0!</v>
      </c>
      <c r="AZ12" s="45" t="e">
        <f>BI$3*MIN(1,(ATM_Conf!$C$6-Links!K12)/(ATM_Conf!$C$6-ATM_Conf!$C$7))</f>
        <v>#DIV/0!</v>
      </c>
      <c r="BA12" s="45" t="e">
        <f>BJ$3*MIN(1,(ATM_Conf!$C$6-Links!L12)/(ATM_Conf!$C$6-ATM_Conf!$C$7))</f>
        <v>#DIV/0!</v>
      </c>
      <c r="BB12" s="45" t="e">
        <f>BK$3*MIN(1,(ATM_Conf!$C$6-Links!M12)/(ATM_Conf!$C$6-ATM_Conf!$C$7))</f>
        <v>#DIV/0!</v>
      </c>
      <c r="BC12" s="45" t="e">
        <f>BL$3*MIN(1,(ATM_Conf!$C$6-Links!N12)/(ATM_Conf!$C$6-ATM_Conf!$C$7))</f>
        <v>#DIV/0!</v>
      </c>
      <c r="BD12" s="45"/>
      <c r="BE12" s="45"/>
      <c r="BF12" s="45"/>
      <c r="BG12" s="45"/>
      <c r="BH12" s="45"/>
      <c r="BI12" s="45"/>
      <c r="BJ12" s="45"/>
      <c r="BK12" s="45"/>
      <c r="BL12" s="45"/>
      <c r="BM12" s="53"/>
      <c r="BN12" s="53"/>
      <c r="BO12" s="53"/>
      <c r="BP12" s="53"/>
      <c r="BQ12" s="53"/>
      <c r="BR12" s="53"/>
      <c r="BS12" s="53"/>
      <c r="BT12" s="53"/>
      <c r="BU12" s="53"/>
      <c r="BV12" s="53" t="e">
        <f t="shared" si="11"/>
        <v>#DIV/0!</v>
      </c>
      <c r="BW12" s="53" t="e">
        <f t="shared" si="12"/>
        <v>#DIV/0!</v>
      </c>
      <c r="BX12" s="53" t="e">
        <f t="shared" si="13"/>
        <v>#DIV/0!</v>
      </c>
      <c r="BY12" s="53" t="e">
        <f t="shared" si="14"/>
        <v>#DIV/0!</v>
      </c>
      <c r="BZ12" s="53" t="e">
        <f t="shared" si="15"/>
        <v>#DIV/0!</v>
      </c>
      <c r="CA12" s="53" t="e">
        <f t="shared" si="16"/>
        <v>#DIV/0!</v>
      </c>
      <c r="CB12" s="53" t="e">
        <f t="shared" si="17"/>
        <v>#DIV/0!</v>
      </c>
      <c r="CC12" s="53" t="e">
        <f t="shared" si="18"/>
        <v>#DIV/0!</v>
      </c>
      <c r="CD12" s="53" t="e">
        <f t="shared" si="19"/>
        <v>#DIV/0!</v>
      </c>
      <c r="CE12" s="55">
        <f t="shared" si="22"/>
        <v>0</v>
      </c>
      <c r="CF12" s="55">
        <f t="shared" si="20"/>
        <v>0</v>
      </c>
      <c r="CG12" s="55">
        <f t="shared" si="20"/>
        <v>0</v>
      </c>
      <c r="CH12" s="55">
        <f t="shared" si="20"/>
        <v>0</v>
      </c>
      <c r="CI12" s="55">
        <f t="shared" si="20"/>
        <v>0</v>
      </c>
      <c r="CJ12" s="55">
        <f t="shared" si="20"/>
        <v>0</v>
      </c>
      <c r="CK12" s="55">
        <f t="shared" si="20"/>
        <v>0</v>
      </c>
      <c r="CL12" s="55">
        <f t="shared" si="20"/>
        <v>0</v>
      </c>
      <c r="CM12" s="55">
        <f t="shared" si="20"/>
        <v>0</v>
      </c>
    </row>
    <row r="13" spans="1:91" x14ac:dyDescent="0.15">
      <c r="A13" s="42">
        <v>11</v>
      </c>
      <c r="B13" s="45">
        <f t="shared" si="21"/>
        <v>1</v>
      </c>
      <c r="C13" s="45">
        <f t="shared" si="1"/>
        <v>1</v>
      </c>
      <c r="D13" s="45">
        <f t="shared" si="1"/>
        <v>1</v>
      </c>
      <c r="E13" s="45">
        <f t="shared" si="1"/>
        <v>1</v>
      </c>
      <c r="F13" s="45">
        <f t="shared" si="1"/>
        <v>1</v>
      </c>
      <c r="G13" s="45">
        <f t="shared" si="1"/>
        <v>1</v>
      </c>
      <c r="H13" s="45">
        <f t="shared" si="1"/>
        <v>1</v>
      </c>
      <c r="I13" s="45">
        <f t="shared" si="1"/>
        <v>1</v>
      </c>
      <c r="J13" s="45">
        <f t="shared" si="1"/>
        <v>1</v>
      </c>
      <c r="K13" s="45" t="e">
        <f>K12+ATM_Conf!$C$5*(T12-AC12)</f>
        <v>#DIV/0!</v>
      </c>
      <c r="L13" s="45" t="e">
        <f>L12+ATM_Conf!$C$5*(U12-AD12)</f>
        <v>#DIV/0!</v>
      </c>
      <c r="M13" s="45" t="e">
        <f>M12+ATM_Conf!$C$5*(V12-AE12)</f>
        <v>#DIV/0!</v>
      </c>
      <c r="N13" s="45" t="e">
        <f>N12+ATM_Conf!$C$5*(W12-AF12)</f>
        <v>#DIV/0!</v>
      </c>
      <c r="O13" s="45" t="e">
        <f>O12+ATM_Conf!$C$5*(X12-AG12)</f>
        <v>#DIV/0!</v>
      </c>
      <c r="P13" s="45" t="e">
        <f>P12+ATM_Conf!$C$5*(Y12-AH12)</f>
        <v>#DIV/0!</v>
      </c>
      <c r="Q13" s="45" t="e">
        <f>Q12+ATM_Conf!$C$5*(Z12-AI12)</f>
        <v>#DIV/0!</v>
      </c>
      <c r="R13" s="45" t="e">
        <f>R12+ATM_Conf!$C$5*(AA12-AJ12)</f>
        <v>#DIV/0!</v>
      </c>
      <c r="S13" s="45" t="e">
        <f>S12+ATM_Conf!$C$5*(AB12-AK12)</f>
        <v>#DIV/0!</v>
      </c>
      <c r="T13" s="45"/>
      <c r="U13" s="45"/>
      <c r="V13" s="45"/>
      <c r="W13" s="45"/>
      <c r="X13" s="45"/>
      <c r="Y13" s="45"/>
      <c r="Z13" s="45"/>
      <c r="AA13" s="45"/>
      <c r="AB13" s="45"/>
      <c r="AC13" s="45" t="e">
        <f t="shared" si="2"/>
        <v>#DIV/0!</v>
      </c>
      <c r="AD13" s="45" t="e">
        <f t="shared" si="3"/>
        <v>#DIV/0!</v>
      </c>
      <c r="AE13" s="45" t="e">
        <f t="shared" si="4"/>
        <v>#DIV/0!</v>
      </c>
      <c r="AF13" s="45" t="e">
        <f t="shared" si="5"/>
        <v>#DIV/0!</v>
      </c>
      <c r="AG13" s="45" t="e">
        <f t="shared" si="6"/>
        <v>#DIV/0!</v>
      </c>
      <c r="AH13" s="45" t="e">
        <f t="shared" si="7"/>
        <v>#DIV/0!</v>
      </c>
      <c r="AI13" s="45" t="e">
        <f t="shared" si="8"/>
        <v>#DIV/0!</v>
      </c>
      <c r="AJ13" s="45" t="e">
        <f t="shared" si="9"/>
        <v>#DIV/0!</v>
      </c>
      <c r="AK13" s="45" t="e">
        <f t="shared" si="10"/>
        <v>#DIV/0!</v>
      </c>
      <c r="AL13" s="45" t="e">
        <f>T$3+K13/ATM_Conf!$C$5</f>
        <v>#DIV/0!</v>
      </c>
      <c r="AM13" s="45" t="e">
        <f>U$3+L13/ATM_Conf!$C$5</f>
        <v>#DIV/0!</v>
      </c>
      <c r="AN13" s="45" t="e">
        <f>V$3+M13/ATM_Conf!$C$5</f>
        <v>#DIV/0!</v>
      </c>
      <c r="AO13" s="45" t="e">
        <f>W$3+N13/ATM_Conf!$C$5</f>
        <v>#DIV/0!</v>
      </c>
      <c r="AP13" s="45" t="e">
        <f>X$3+O13/ATM_Conf!$C$5</f>
        <v>#DIV/0!</v>
      </c>
      <c r="AQ13" s="45" t="e">
        <f>Y$3+P13/ATM_Conf!$C$5</f>
        <v>#DIV/0!</v>
      </c>
      <c r="AR13" s="45" t="e">
        <f>Z$3+Q13/ATM_Conf!$C$5</f>
        <v>#DIV/0!</v>
      </c>
      <c r="AS13" s="45" t="e">
        <f>AA$3+R13/ATM_Conf!$C$5</f>
        <v>#DIV/0!</v>
      </c>
      <c r="AT13" s="45" t="e">
        <f>AB$3+S13/ATM_Conf!$C$5</f>
        <v>#DIV/0!</v>
      </c>
      <c r="AU13" s="45" t="e">
        <f>BD$3*MIN(1,(ATM_Conf!$C$6-Links!F13)/(ATM_Conf!$C$6-ATM_Conf!$C$7))</f>
        <v>#DIV/0!</v>
      </c>
      <c r="AV13" s="45" t="e">
        <f>BE$3*MIN(1,(ATM_Conf!$C$6-Links!G13)/(ATM_Conf!$C$6-ATM_Conf!$C$7))</f>
        <v>#DIV/0!</v>
      </c>
      <c r="AW13" s="45" t="e">
        <f>BF$3*MIN(1,(ATM_Conf!$C$6-Links!H13)/(ATM_Conf!$C$6-ATM_Conf!$C$7))</f>
        <v>#DIV/0!</v>
      </c>
      <c r="AX13" s="45" t="e">
        <f>BG$3*MIN(1,(ATM_Conf!$C$6-Links!I13)/(ATM_Conf!$C$6-ATM_Conf!$C$7))</f>
        <v>#DIV/0!</v>
      </c>
      <c r="AY13" s="45" t="e">
        <f>BH$3*MIN(1,(ATM_Conf!$C$6-Links!J13)/(ATM_Conf!$C$6-ATM_Conf!$C$7))</f>
        <v>#DIV/0!</v>
      </c>
      <c r="AZ13" s="45" t="e">
        <f>BI$3*MIN(1,(ATM_Conf!$C$6-Links!K13)/(ATM_Conf!$C$6-ATM_Conf!$C$7))</f>
        <v>#DIV/0!</v>
      </c>
      <c r="BA13" s="45" t="e">
        <f>BJ$3*MIN(1,(ATM_Conf!$C$6-Links!L13)/(ATM_Conf!$C$6-ATM_Conf!$C$7))</f>
        <v>#DIV/0!</v>
      </c>
      <c r="BB13" s="45" t="e">
        <f>BK$3*MIN(1,(ATM_Conf!$C$6-Links!M13)/(ATM_Conf!$C$6-ATM_Conf!$C$7))</f>
        <v>#DIV/0!</v>
      </c>
      <c r="BC13" s="45" t="e">
        <f>BL$3*MIN(1,(ATM_Conf!$C$6-Links!N13)/(ATM_Conf!$C$6-ATM_Conf!$C$7))</f>
        <v>#DIV/0!</v>
      </c>
      <c r="BD13" s="45"/>
      <c r="BE13" s="45"/>
      <c r="BF13" s="45"/>
      <c r="BG13" s="45"/>
      <c r="BH13" s="45"/>
      <c r="BI13" s="45"/>
      <c r="BJ13" s="45"/>
      <c r="BK13" s="45"/>
      <c r="BL13" s="45"/>
      <c r="BM13" s="53"/>
      <c r="BN13" s="53"/>
      <c r="BO13" s="53"/>
      <c r="BP13" s="53"/>
      <c r="BQ13" s="53"/>
      <c r="BR13" s="53"/>
      <c r="BS13" s="53"/>
      <c r="BT13" s="53"/>
      <c r="BU13" s="53"/>
      <c r="BV13" s="53" t="e">
        <f t="shared" si="11"/>
        <v>#DIV/0!</v>
      </c>
      <c r="BW13" s="53" t="e">
        <f t="shared" si="12"/>
        <v>#DIV/0!</v>
      </c>
      <c r="BX13" s="53" t="e">
        <f t="shared" si="13"/>
        <v>#DIV/0!</v>
      </c>
      <c r="BY13" s="53" t="e">
        <f t="shared" si="14"/>
        <v>#DIV/0!</v>
      </c>
      <c r="BZ13" s="53" t="e">
        <f t="shared" si="15"/>
        <v>#DIV/0!</v>
      </c>
      <c r="CA13" s="53" t="e">
        <f t="shared" si="16"/>
        <v>#DIV/0!</v>
      </c>
      <c r="CB13" s="53" t="e">
        <f t="shared" si="17"/>
        <v>#DIV/0!</v>
      </c>
      <c r="CC13" s="53" t="e">
        <f t="shared" si="18"/>
        <v>#DIV/0!</v>
      </c>
      <c r="CD13" s="53" t="e">
        <f t="shared" si="19"/>
        <v>#DIV/0!</v>
      </c>
      <c r="CE13" s="55">
        <f t="shared" si="22"/>
        <v>0</v>
      </c>
      <c r="CF13" s="55">
        <f t="shared" si="20"/>
        <v>0</v>
      </c>
      <c r="CG13" s="55">
        <f t="shared" si="20"/>
        <v>0</v>
      </c>
      <c r="CH13" s="55">
        <f t="shared" si="20"/>
        <v>0</v>
      </c>
      <c r="CI13" s="55">
        <f t="shared" si="20"/>
        <v>0</v>
      </c>
      <c r="CJ13" s="55">
        <f t="shared" si="20"/>
        <v>0</v>
      </c>
      <c r="CK13" s="55">
        <f t="shared" si="20"/>
        <v>0</v>
      </c>
      <c r="CL13" s="55">
        <f t="shared" si="20"/>
        <v>0</v>
      </c>
      <c r="CM13" s="55">
        <f t="shared" si="20"/>
        <v>0</v>
      </c>
    </row>
    <row r="14" spans="1:91" x14ac:dyDescent="0.15">
      <c r="A14" s="42">
        <v>12</v>
      </c>
      <c r="B14" s="45">
        <f t="shared" si="21"/>
        <v>1</v>
      </c>
      <c r="C14" s="45">
        <f t="shared" si="1"/>
        <v>1</v>
      </c>
      <c r="D14" s="45">
        <f t="shared" si="1"/>
        <v>1</v>
      </c>
      <c r="E14" s="45">
        <f t="shared" si="1"/>
        <v>1</v>
      </c>
      <c r="F14" s="45">
        <f t="shared" si="1"/>
        <v>1</v>
      </c>
      <c r="G14" s="45">
        <f t="shared" si="1"/>
        <v>1</v>
      </c>
      <c r="H14" s="45">
        <f t="shared" si="1"/>
        <v>1</v>
      </c>
      <c r="I14" s="45">
        <f t="shared" si="1"/>
        <v>1</v>
      </c>
      <c r="J14" s="45">
        <f t="shared" si="1"/>
        <v>1</v>
      </c>
      <c r="K14" s="45" t="e">
        <f>K13+ATM_Conf!$C$5*(T13-AC13)</f>
        <v>#DIV/0!</v>
      </c>
      <c r="L14" s="45" t="e">
        <f>L13+ATM_Conf!$C$5*(U13-AD13)</f>
        <v>#DIV/0!</v>
      </c>
      <c r="M14" s="45" t="e">
        <f>M13+ATM_Conf!$C$5*(V13-AE13)</f>
        <v>#DIV/0!</v>
      </c>
      <c r="N14" s="45" t="e">
        <f>N13+ATM_Conf!$C$5*(W13-AF13)</f>
        <v>#DIV/0!</v>
      </c>
      <c r="O14" s="45" t="e">
        <f>O13+ATM_Conf!$C$5*(X13-AG13)</f>
        <v>#DIV/0!</v>
      </c>
      <c r="P14" s="45" t="e">
        <f>P13+ATM_Conf!$C$5*(Y13-AH13)</f>
        <v>#DIV/0!</v>
      </c>
      <c r="Q14" s="45" t="e">
        <f>Q13+ATM_Conf!$C$5*(Z13-AI13)</f>
        <v>#DIV/0!</v>
      </c>
      <c r="R14" s="45" t="e">
        <f>R13+ATM_Conf!$C$5*(AA13-AJ13)</f>
        <v>#DIV/0!</v>
      </c>
      <c r="S14" s="45" t="e">
        <f>S13+ATM_Conf!$C$5*(AB13-AK13)</f>
        <v>#DIV/0!</v>
      </c>
      <c r="T14" s="45"/>
      <c r="U14" s="45"/>
      <c r="V14" s="45"/>
      <c r="W14" s="45"/>
      <c r="X14" s="45"/>
      <c r="Y14" s="45"/>
      <c r="Z14" s="45"/>
      <c r="AA14" s="45"/>
      <c r="AB14" s="45"/>
      <c r="AC14" s="45" t="e">
        <f t="shared" si="2"/>
        <v>#DIV/0!</v>
      </c>
      <c r="AD14" s="45" t="e">
        <f t="shared" si="3"/>
        <v>#DIV/0!</v>
      </c>
      <c r="AE14" s="45" t="e">
        <f t="shared" si="4"/>
        <v>#DIV/0!</v>
      </c>
      <c r="AF14" s="45" t="e">
        <f t="shared" si="5"/>
        <v>#DIV/0!</v>
      </c>
      <c r="AG14" s="45" t="e">
        <f t="shared" si="6"/>
        <v>#DIV/0!</v>
      </c>
      <c r="AH14" s="45" t="e">
        <f t="shared" si="7"/>
        <v>#DIV/0!</v>
      </c>
      <c r="AI14" s="45" t="e">
        <f t="shared" si="8"/>
        <v>#DIV/0!</v>
      </c>
      <c r="AJ14" s="45" t="e">
        <f t="shared" si="9"/>
        <v>#DIV/0!</v>
      </c>
      <c r="AK14" s="45" t="e">
        <f t="shared" si="10"/>
        <v>#DIV/0!</v>
      </c>
      <c r="AL14" s="45" t="e">
        <f>T$3+K14/ATM_Conf!$C$5</f>
        <v>#DIV/0!</v>
      </c>
      <c r="AM14" s="45" t="e">
        <f>U$3+L14/ATM_Conf!$C$5</f>
        <v>#DIV/0!</v>
      </c>
      <c r="AN14" s="45" t="e">
        <f>V$3+M14/ATM_Conf!$C$5</f>
        <v>#DIV/0!</v>
      </c>
      <c r="AO14" s="45" t="e">
        <f>W$3+N14/ATM_Conf!$C$5</f>
        <v>#DIV/0!</v>
      </c>
      <c r="AP14" s="45" t="e">
        <f>X$3+O14/ATM_Conf!$C$5</f>
        <v>#DIV/0!</v>
      </c>
      <c r="AQ14" s="45" t="e">
        <f>Y$3+P14/ATM_Conf!$C$5</f>
        <v>#DIV/0!</v>
      </c>
      <c r="AR14" s="45" t="e">
        <f>Z$3+Q14/ATM_Conf!$C$5</f>
        <v>#DIV/0!</v>
      </c>
      <c r="AS14" s="45" t="e">
        <f>AA$3+R14/ATM_Conf!$C$5</f>
        <v>#DIV/0!</v>
      </c>
      <c r="AT14" s="45" t="e">
        <f>AB$3+S14/ATM_Conf!$C$5</f>
        <v>#DIV/0!</v>
      </c>
      <c r="AU14" s="45" t="e">
        <f>BD$3*MIN(1,(ATM_Conf!$C$6-Links!F14)/(ATM_Conf!$C$6-ATM_Conf!$C$7))</f>
        <v>#DIV/0!</v>
      </c>
      <c r="AV14" s="45" t="e">
        <f>BE$3*MIN(1,(ATM_Conf!$C$6-Links!G14)/(ATM_Conf!$C$6-ATM_Conf!$C$7))</f>
        <v>#DIV/0!</v>
      </c>
      <c r="AW14" s="45" t="e">
        <f>BF$3*MIN(1,(ATM_Conf!$C$6-Links!H14)/(ATM_Conf!$C$6-ATM_Conf!$C$7))</f>
        <v>#DIV/0!</v>
      </c>
      <c r="AX14" s="45" t="e">
        <f>BG$3*MIN(1,(ATM_Conf!$C$6-Links!I14)/(ATM_Conf!$C$6-ATM_Conf!$C$7))</f>
        <v>#DIV/0!</v>
      </c>
      <c r="AY14" s="45" t="e">
        <f>BH$3*MIN(1,(ATM_Conf!$C$6-Links!J14)/(ATM_Conf!$C$6-ATM_Conf!$C$7))</f>
        <v>#DIV/0!</v>
      </c>
      <c r="AZ14" s="45" t="e">
        <f>BI$3*MIN(1,(ATM_Conf!$C$6-Links!K14)/(ATM_Conf!$C$6-ATM_Conf!$C$7))</f>
        <v>#DIV/0!</v>
      </c>
      <c r="BA14" s="45" t="e">
        <f>BJ$3*MIN(1,(ATM_Conf!$C$6-Links!L14)/(ATM_Conf!$C$6-ATM_Conf!$C$7))</f>
        <v>#DIV/0!</v>
      </c>
      <c r="BB14" s="45" t="e">
        <f>BK$3*MIN(1,(ATM_Conf!$C$6-Links!M14)/(ATM_Conf!$C$6-ATM_Conf!$C$7))</f>
        <v>#DIV/0!</v>
      </c>
      <c r="BC14" s="45" t="e">
        <f>BL$3*MIN(1,(ATM_Conf!$C$6-Links!N14)/(ATM_Conf!$C$6-ATM_Conf!$C$7))</f>
        <v>#DIV/0!</v>
      </c>
      <c r="BD14" s="45"/>
      <c r="BE14" s="45"/>
      <c r="BF14" s="45"/>
      <c r="BG14" s="45"/>
      <c r="BH14" s="45"/>
      <c r="BI14" s="45"/>
      <c r="BJ14" s="45"/>
      <c r="BK14" s="45"/>
      <c r="BL14" s="45"/>
      <c r="BM14" s="53"/>
      <c r="BN14" s="53"/>
      <c r="BO14" s="53"/>
      <c r="BP14" s="53"/>
      <c r="BQ14" s="53"/>
      <c r="BR14" s="53"/>
      <c r="BS14" s="53"/>
      <c r="BT14" s="53"/>
      <c r="BU14" s="53"/>
      <c r="BV14" s="53" t="e">
        <f t="shared" si="11"/>
        <v>#DIV/0!</v>
      </c>
      <c r="BW14" s="53" t="e">
        <f t="shared" si="12"/>
        <v>#DIV/0!</v>
      </c>
      <c r="BX14" s="53" t="e">
        <f t="shared" si="13"/>
        <v>#DIV/0!</v>
      </c>
      <c r="BY14" s="53" t="e">
        <f t="shared" si="14"/>
        <v>#DIV/0!</v>
      </c>
      <c r="BZ14" s="53" t="e">
        <f t="shared" si="15"/>
        <v>#DIV/0!</v>
      </c>
      <c r="CA14" s="53" t="e">
        <f t="shared" si="16"/>
        <v>#DIV/0!</v>
      </c>
      <c r="CB14" s="53" t="e">
        <f t="shared" si="17"/>
        <v>#DIV/0!</v>
      </c>
      <c r="CC14" s="53" t="e">
        <f t="shared" si="18"/>
        <v>#DIV/0!</v>
      </c>
      <c r="CD14" s="53" t="e">
        <f t="shared" si="19"/>
        <v>#DIV/0!</v>
      </c>
      <c r="CE14" s="55">
        <f t="shared" si="22"/>
        <v>0</v>
      </c>
      <c r="CF14" s="55">
        <f t="shared" si="20"/>
        <v>0</v>
      </c>
      <c r="CG14" s="55">
        <f t="shared" si="20"/>
        <v>0</v>
      </c>
      <c r="CH14" s="55">
        <f t="shared" si="20"/>
        <v>0</v>
      </c>
      <c r="CI14" s="55">
        <f t="shared" si="20"/>
        <v>0</v>
      </c>
      <c r="CJ14" s="55">
        <f t="shared" si="20"/>
        <v>0</v>
      </c>
      <c r="CK14" s="55">
        <f t="shared" si="20"/>
        <v>0</v>
      </c>
      <c r="CL14" s="55">
        <f t="shared" si="20"/>
        <v>0</v>
      </c>
      <c r="CM14" s="55">
        <f t="shared" si="20"/>
        <v>0</v>
      </c>
    </row>
    <row r="15" spans="1:91" x14ac:dyDescent="0.15">
      <c r="A15" s="42">
        <v>13</v>
      </c>
      <c r="B15" s="47">
        <v>1</v>
      </c>
      <c r="C15" s="47">
        <v>1</v>
      </c>
      <c r="D15" s="47">
        <v>1</v>
      </c>
      <c r="E15" s="47">
        <v>1</v>
      </c>
      <c r="F15" s="47">
        <v>1</v>
      </c>
      <c r="G15" s="47">
        <v>1</v>
      </c>
      <c r="H15" s="47">
        <v>1</v>
      </c>
      <c r="I15" s="47">
        <v>1</v>
      </c>
      <c r="J15" s="47">
        <v>1</v>
      </c>
      <c r="K15" s="45" t="e">
        <f>K14+ATM_Conf!$C$5*(T14-AC14)</f>
        <v>#DIV/0!</v>
      </c>
      <c r="L15" s="45" t="e">
        <f>L14+ATM_Conf!$C$5*(U14-AD14)</f>
        <v>#DIV/0!</v>
      </c>
      <c r="M15" s="45" t="e">
        <f>M14+ATM_Conf!$C$5*(V14-AE14)</f>
        <v>#DIV/0!</v>
      </c>
      <c r="N15" s="45" t="e">
        <f>N14+ATM_Conf!$C$5*(W14-AF14)</f>
        <v>#DIV/0!</v>
      </c>
      <c r="O15" s="45" t="e">
        <f>O14+ATM_Conf!$C$5*(X14-AG14)</f>
        <v>#DIV/0!</v>
      </c>
      <c r="P15" s="45" t="e">
        <f>P14+ATM_Conf!$C$5*(Y14-AH14)</f>
        <v>#DIV/0!</v>
      </c>
      <c r="Q15" s="45" t="e">
        <f>Q14+ATM_Conf!$C$5*(Z14-AI14)</f>
        <v>#DIV/0!</v>
      </c>
      <c r="R15" s="45" t="e">
        <f>R14+ATM_Conf!$C$5*(AA14-AJ14)</f>
        <v>#DIV/0!</v>
      </c>
      <c r="S15" s="45" t="e">
        <f>S14+ATM_Conf!$C$5*(AB14-AK14)</f>
        <v>#DIV/0!</v>
      </c>
      <c r="T15" s="45"/>
      <c r="U15" s="45"/>
      <c r="V15" s="45"/>
      <c r="W15" s="45"/>
      <c r="X15" s="45"/>
      <c r="Y15" s="45"/>
      <c r="Z15" s="45"/>
      <c r="AA15" s="45"/>
      <c r="AB15" s="45"/>
      <c r="AC15" s="45" t="e">
        <f t="shared" si="2"/>
        <v>#DIV/0!</v>
      </c>
      <c r="AD15" s="45" t="e">
        <f t="shared" si="3"/>
        <v>#DIV/0!</v>
      </c>
      <c r="AE15" s="45" t="e">
        <f t="shared" si="4"/>
        <v>#DIV/0!</v>
      </c>
      <c r="AF15" s="45" t="e">
        <f t="shared" si="5"/>
        <v>#DIV/0!</v>
      </c>
      <c r="AG15" s="45" t="e">
        <f t="shared" si="6"/>
        <v>#DIV/0!</v>
      </c>
      <c r="AH15" s="45" t="e">
        <f t="shared" si="7"/>
        <v>#DIV/0!</v>
      </c>
      <c r="AI15" s="45" t="e">
        <f t="shared" si="8"/>
        <v>#DIV/0!</v>
      </c>
      <c r="AJ15" s="45" t="e">
        <f t="shared" si="9"/>
        <v>#DIV/0!</v>
      </c>
      <c r="AK15" s="45" t="e">
        <f t="shared" si="10"/>
        <v>#DIV/0!</v>
      </c>
      <c r="AL15" s="45" t="e">
        <f>T$3+K15/ATM_Conf!$C$5</f>
        <v>#DIV/0!</v>
      </c>
      <c r="AM15" s="45" t="e">
        <f>U$3+L15/ATM_Conf!$C$5</f>
        <v>#DIV/0!</v>
      </c>
      <c r="AN15" s="45" t="e">
        <f>V$3+M15/ATM_Conf!$C$5</f>
        <v>#DIV/0!</v>
      </c>
      <c r="AO15" s="45" t="e">
        <f>W$3+N15/ATM_Conf!$C$5</f>
        <v>#DIV/0!</v>
      </c>
      <c r="AP15" s="45" t="e">
        <f>X$3+O15/ATM_Conf!$C$5</f>
        <v>#DIV/0!</v>
      </c>
      <c r="AQ15" s="45" t="e">
        <f>Y$3+P15/ATM_Conf!$C$5</f>
        <v>#DIV/0!</v>
      </c>
      <c r="AR15" s="45" t="e">
        <f>Z$3+Q15/ATM_Conf!$C$5</f>
        <v>#DIV/0!</v>
      </c>
      <c r="AS15" s="45" t="e">
        <f>AA$3+R15/ATM_Conf!$C$5</f>
        <v>#DIV/0!</v>
      </c>
      <c r="AT15" s="45" t="e">
        <f>AB$3+S15/ATM_Conf!$C$5</f>
        <v>#DIV/0!</v>
      </c>
      <c r="AU15" s="45" t="e">
        <f>BD$3*MIN(1,(ATM_Conf!$C$6-Links!F15)/(ATM_Conf!$C$6-ATM_Conf!$C$7))</f>
        <v>#DIV/0!</v>
      </c>
      <c r="AV15" s="45" t="e">
        <f>BE$3*MIN(1,(ATM_Conf!$C$6-Links!G15)/(ATM_Conf!$C$6-ATM_Conf!$C$7))</f>
        <v>#DIV/0!</v>
      </c>
      <c r="AW15" s="45" t="e">
        <f>BF$3*MIN(1,(ATM_Conf!$C$6-Links!H15)/(ATM_Conf!$C$6-ATM_Conf!$C$7))</f>
        <v>#DIV/0!</v>
      </c>
      <c r="AX15" s="45" t="e">
        <f>BG$3*MIN(1,(ATM_Conf!$C$6-Links!I15)/(ATM_Conf!$C$6-ATM_Conf!$C$7))</f>
        <v>#DIV/0!</v>
      </c>
      <c r="AY15" s="45" t="e">
        <f>BH$3*MIN(1,(ATM_Conf!$C$6-Links!J15)/(ATM_Conf!$C$6-ATM_Conf!$C$7))</f>
        <v>#DIV/0!</v>
      </c>
      <c r="AZ15" s="45" t="e">
        <f>BI$3*MIN(1,(ATM_Conf!$C$6-Links!K15)/(ATM_Conf!$C$6-ATM_Conf!$C$7))</f>
        <v>#DIV/0!</v>
      </c>
      <c r="BA15" s="45" t="e">
        <f>BJ$3*MIN(1,(ATM_Conf!$C$6-Links!L15)/(ATM_Conf!$C$6-ATM_Conf!$C$7))</f>
        <v>#DIV/0!</v>
      </c>
      <c r="BB15" s="45" t="e">
        <f>BK$3*MIN(1,(ATM_Conf!$C$6-Links!M15)/(ATM_Conf!$C$6-ATM_Conf!$C$7))</f>
        <v>#DIV/0!</v>
      </c>
      <c r="BC15" s="45" t="e">
        <f>BL$3*MIN(1,(ATM_Conf!$C$6-Links!N15)/(ATM_Conf!$C$6-ATM_Conf!$C$7))</f>
        <v>#DIV/0!</v>
      </c>
      <c r="BD15" s="45"/>
      <c r="BE15" s="45"/>
      <c r="BF15" s="45"/>
      <c r="BG15" s="45"/>
      <c r="BH15" s="45"/>
      <c r="BI15" s="45"/>
      <c r="BJ15" s="45"/>
      <c r="BK15" s="45"/>
      <c r="BL15" s="45"/>
      <c r="BM15" s="53">
        <f>(B15-B3)^2</f>
        <v>0</v>
      </c>
      <c r="BN15" s="53">
        <f t="shared" ref="BN15:BU15" si="23">(C15-C3)^2</f>
        <v>0</v>
      </c>
      <c r="BO15" s="53">
        <f t="shared" si="23"/>
        <v>0</v>
      </c>
      <c r="BP15" s="53">
        <f t="shared" si="23"/>
        <v>0</v>
      </c>
      <c r="BQ15" s="53">
        <f t="shared" si="23"/>
        <v>0</v>
      </c>
      <c r="BR15" s="53">
        <f t="shared" si="23"/>
        <v>0</v>
      </c>
      <c r="BS15" s="53">
        <f t="shared" si="23"/>
        <v>0</v>
      </c>
      <c r="BT15" s="53">
        <f t="shared" si="23"/>
        <v>0</v>
      </c>
      <c r="BU15" s="53">
        <f t="shared" si="23"/>
        <v>0</v>
      </c>
      <c r="BV15" s="53" t="e">
        <f t="shared" si="11"/>
        <v>#DIV/0!</v>
      </c>
      <c r="BW15" s="53" t="e">
        <f t="shared" si="12"/>
        <v>#DIV/0!</v>
      </c>
      <c r="BX15" s="53" t="e">
        <f t="shared" si="13"/>
        <v>#DIV/0!</v>
      </c>
      <c r="BY15" s="53" t="e">
        <f t="shared" si="14"/>
        <v>#DIV/0!</v>
      </c>
      <c r="BZ15" s="53" t="e">
        <f t="shared" si="15"/>
        <v>#DIV/0!</v>
      </c>
      <c r="CA15" s="53" t="e">
        <f t="shared" si="16"/>
        <v>#DIV/0!</v>
      </c>
      <c r="CB15" s="53" t="e">
        <f t="shared" si="17"/>
        <v>#DIV/0!</v>
      </c>
      <c r="CC15" s="53" t="e">
        <f t="shared" si="18"/>
        <v>#DIV/0!</v>
      </c>
      <c r="CD15" s="53" t="e">
        <f t="shared" si="19"/>
        <v>#DIV/0!</v>
      </c>
      <c r="CE15" s="55">
        <f t="shared" si="22"/>
        <v>0</v>
      </c>
      <c r="CF15" s="55">
        <f t="shared" si="20"/>
        <v>0</v>
      </c>
      <c r="CG15" s="55">
        <f t="shared" si="20"/>
        <v>0</v>
      </c>
      <c r="CH15" s="55">
        <f t="shared" si="20"/>
        <v>0</v>
      </c>
      <c r="CI15" s="55">
        <f t="shared" si="20"/>
        <v>0</v>
      </c>
      <c r="CJ15" s="55">
        <f t="shared" si="20"/>
        <v>0</v>
      </c>
      <c r="CK15" s="55">
        <f t="shared" si="20"/>
        <v>0</v>
      </c>
      <c r="CL15" s="55">
        <f t="shared" si="20"/>
        <v>0</v>
      </c>
      <c r="CM15" s="55">
        <f t="shared" si="20"/>
        <v>0</v>
      </c>
    </row>
    <row r="16" spans="1:91" x14ac:dyDescent="0.15">
      <c r="A16" s="42">
        <v>14</v>
      </c>
      <c r="B16" s="45">
        <f>B$15</f>
        <v>1</v>
      </c>
      <c r="C16" s="45">
        <f t="shared" ref="C16:J26" si="24">C$15</f>
        <v>1</v>
      </c>
      <c r="D16" s="45">
        <f t="shared" si="24"/>
        <v>1</v>
      </c>
      <c r="E16" s="45">
        <f t="shared" si="24"/>
        <v>1</v>
      </c>
      <c r="F16" s="45">
        <f t="shared" si="24"/>
        <v>1</v>
      </c>
      <c r="G16" s="45">
        <f t="shared" si="24"/>
        <v>1</v>
      </c>
      <c r="H16" s="45">
        <f t="shared" si="24"/>
        <v>1</v>
      </c>
      <c r="I16" s="45">
        <f t="shared" si="24"/>
        <v>1</v>
      </c>
      <c r="J16" s="45">
        <f t="shared" si="24"/>
        <v>1</v>
      </c>
      <c r="K16" s="45" t="e">
        <f>K15+ATM_Conf!$C$5*(T15-AC15)</f>
        <v>#DIV/0!</v>
      </c>
      <c r="L16" s="45" t="e">
        <f>L15+ATM_Conf!$C$5*(U15-AD15)</f>
        <v>#DIV/0!</v>
      </c>
      <c r="M16" s="45" t="e">
        <f>M15+ATM_Conf!$C$5*(V15-AE15)</f>
        <v>#DIV/0!</v>
      </c>
      <c r="N16" s="45" t="e">
        <f>N15+ATM_Conf!$C$5*(W15-AF15)</f>
        <v>#DIV/0!</v>
      </c>
      <c r="O16" s="45" t="e">
        <f>O15+ATM_Conf!$C$5*(X15-AG15)</f>
        <v>#DIV/0!</v>
      </c>
      <c r="P16" s="45" t="e">
        <f>P15+ATM_Conf!$C$5*(Y15-AH15)</f>
        <v>#DIV/0!</v>
      </c>
      <c r="Q16" s="45" t="e">
        <f>Q15+ATM_Conf!$C$5*(Z15-AI15)</f>
        <v>#DIV/0!</v>
      </c>
      <c r="R16" s="45" t="e">
        <f>R15+ATM_Conf!$C$5*(AA15-AJ15)</f>
        <v>#DIV/0!</v>
      </c>
      <c r="S16" s="45" t="e">
        <f>S15+ATM_Conf!$C$5*(AB15-AK15)</f>
        <v>#DIV/0!</v>
      </c>
      <c r="T16" s="45"/>
      <c r="U16" s="45"/>
      <c r="V16" s="45"/>
      <c r="W16" s="45"/>
      <c r="X16" s="45"/>
      <c r="Y16" s="45"/>
      <c r="Z16" s="45"/>
      <c r="AA16" s="45"/>
      <c r="AB16" s="45"/>
      <c r="AC16" s="45" t="e">
        <f t="shared" si="2"/>
        <v>#DIV/0!</v>
      </c>
      <c r="AD16" s="45" t="e">
        <f t="shared" si="3"/>
        <v>#DIV/0!</v>
      </c>
      <c r="AE16" s="45" t="e">
        <f t="shared" si="4"/>
        <v>#DIV/0!</v>
      </c>
      <c r="AF16" s="45" t="e">
        <f t="shared" si="5"/>
        <v>#DIV/0!</v>
      </c>
      <c r="AG16" s="45" t="e">
        <f t="shared" si="6"/>
        <v>#DIV/0!</v>
      </c>
      <c r="AH16" s="45" t="e">
        <f t="shared" si="7"/>
        <v>#DIV/0!</v>
      </c>
      <c r="AI16" s="45" t="e">
        <f t="shared" si="8"/>
        <v>#DIV/0!</v>
      </c>
      <c r="AJ16" s="45" t="e">
        <f t="shared" si="9"/>
        <v>#DIV/0!</v>
      </c>
      <c r="AK16" s="45" t="e">
        <f t="shared" si="10"/>
        <v>#DIV/0!</v>
      </c>
      <c r="AL16" s="45" t="e">
        <f>T$3+K16/ATM_Conf!$C$5</f>
        <v>#DIV/0!</v>
      </c>
      <c r="AM16" s="45" t="e">
        <f>U$3+L16/ATM_Conf!$C$5</f>
        <v>#DIV/0!</v>
      </c>
      <c r="AN16" s="45" t="e">
        <f>V$3+M16/ATM_Conf!$C$5</f>
        <v>#DIV/0!</v>
      </c>
      <c r="AO16" s="45" t="e">
        <f>W$3+N16/ATM_Conf!$C$5</f>
        <v>#DIV/0!</v>
      </c>
      <c r="AP16" s="45" t="e">
        <f>X$3+O16/ATM_Conf!$C$5</f>
        <v>#DIV/0!</v>
      </c>
      <c r="AQ16" s="45" t="e">
        <f>Y$3+P16/ATM_Conf!$C$5</f>
        <v>#DIV/0!</v>
      </c>
      <c r="AR16" s="45" t="e">
        <f>Z$3+Q16/ATM_Conf!$C$5</f>
        <v>#DIV/0!</v>
      </c>
      <c r="AS16" s="45" t="e">
        <f>AA$3+R16/ATM_Conf!$C$5</f>
        <v>#DIV/0!</v>
      </c>
      <c r="AT16" s="45" t="e">
        <f>AB$3+S16/ATM_Conf!$C$5</f>
        <v>#DIV/0!</v>
      </c>
      <c r="AU16" s="45" t="e">
        <f>BD$3*MIN(1,(ATM_Conf!$C$6-Links!F16)/(ATM_Conf!$C$6-ATM_Conf!$C$7))</f>
        <v>#DIV/0!</v>
      </c>
      <c r="AV16" s="45" t="e">
        <f>BE$3*MIN(1,(ATM_Conf!$C$6-Links!G16)/(ATM_Conf!$C$6-ATM_Conf!$C$7))</f>
        <v>#DIV/0!</v>
      </c>
      <c r="AW16" s="45" t="e">
        <f>BF$3*MIN(1,(ATM_Conf!$C$6-Links!H16)/(ATM_Conf!$C$6-ATM_Conf!$C$7))</f>
        <v>#DIV/0!</v>
      </c>
      <c r="AX16" s="45" t="e">
        <f>BG$3*MIN(1,(ATM_Conf!$C$6-Links!I16)/(ATM_Conf!$C$6-ATM_Conf!$C$7))</f>
        <v>#DIV/0!</v>
      </c>
      <c r="AY16" s="45" t="e">
        <f>BH$3*MIN(1,(ATM_Conf!$C$6-Links!J16)/(ATM_Conf!$C$6-ATM_Conf!$C$7))</f>
        <v>#DIV/0!</v>
      </c>
      <c r="AZ16" s="45" t="e">
        <f>BI$3*MIN(1,(ATM_Conf!$C$6-Links!K16)/(ATM_Conf!$C$6-ATM_Conf!$C$7))</f>
        <v>#DIV/0!</v>
      </c>
      <c r="BA16" s="45" t="e">
        <f>BJ$3*MIN(1,(ATM_Conf!$C$6-Links!L16)/(ATM_Conf!$C$6-ATM_Conf!$C$7))</f>
        <v>#DIV/0!</v>
      </c>
      <c r="BB16" s="45" t="e">
        <f>BK$3*MIN(1,(ATM_Conf!$C$6-Links!M16)/(ATM_Conf!$C$6-ATM_Conf!$C$7))</f>
        <v>#DIV/0!</v>
      </c>
      <c r="BC16" s="45" t="e">
        <f>BL$3*MIN(1,(ATM_Conf!$C$6-Links!N16)/(ATM_Conf!$C$6-ATM_Conf!$C$7))</f>
        <v>#DIV/0!</v>
      </c>
      <c r="BD16" s="45"/>
      <c r="BE16" s="45"/>
      <c r="BF16" s="45"/>
      <c r="BG16" s="45"/>
      <c r="BH16" s="45"/>
      <c r="BI16" s="45"/>
      <c r="BJ16" s="45"/>
      <c r="BK16" s="45"/>
      <c r="BL16" s="45"/>
      <c r="BM16" s="53"/>
      <c r="BN16" s="53"/>
      <c r="BO16" s="53"/>
      <c r="BP16" s="53"/>
      <c r="BQ16" s="53"/>
      <c r="BR16" s="53"/>
      <c r="BS16" s="53"/>
      <c r="BT16" s="53"/>
      <c r="BU16" s="53"/>
      <c r="BV16" s="53" t="e">
        <f t="shared" si="11"/>
        <v>#DIV/0!</v>
      </c>
      <c r="BW16" s="53" t="e">
        <f t="shared" si="12"/>
        <v>#DIV/0!</v>
      </c>
      <c r="BX16" s="53" t="e">
        <f t="shared" si="13"/>
        <v>#DIV/0!</v>
      </c>
      <c r="BY16" s="53" t="e">
        <f t="shared" si="14"/>
        <v>#DIV/0!</v>
      </c>
      <c r="BZ16" s="53" t="e">
        <f t="shared" si="15"/>
        <v>#DIV/0!</v>
      </c>
      <c r="CA16" s="53" t="e">
        <f t="shared" si="16"/>
        <v>#DIV/0!</v>
      </c>
      <c r="CB16" s="53" t="e">
        <f t="shared" si="17"/>
        <v>#DIV/0!</v>
      </c>
      <c r="CC16" s="53" t="e">
        <f t="shared" si="18"/>
        <v>#DIV/0!</v>
      </c>
      <c r="CD16" s="53" t="e">
        <f t="shared" si="19"/>
        <v>#DIV/0!</v>
      </c>
      <c r="CE16" s="55">
        <f t="shared" si="22"/>
        <v>0</v>
      </c>
      <c r="CF16" s="55">
        <f t="shared" si="20"/>
        <v>0</v>
      </c>
      <c r="CG16" s="55">
        <f t="shared" si="20"/>
        <v>0</v>
      </c>
      <c r="CH16" s="55">
        <f t="shared" si="20"/>
        <v>0</v>
      </c>
      <c r="CI16" s="55">
        <f t="shared" si="20"/>
        <v>0</v>
      </c>
      <c r="CJ16" s="55">
        <f t="shared" si="20"/>
        <v>0</v>
      </c>
      <c r="CK16" s="55">
        <f t="shared" si="20"/>
        <v>0</v>
      </c>
      <c r="CL16" s="55">
        <f t="shared" si="20"/>
        <v>0</v>
      </c>
      <c r="CM16" s="55">
        <f t="shared" si="20"/>
        <v>0</v>
      </c>
    </row>
    <row r="17" spans="1:91" x14ac:dyDescent="0.15">
      <c r="A17" s="42">
        <v>15</v>
      </c>
      <c r="B17" s="45">
        <f t="shared" ref="B17:B26" si="25">B$15</f>
        <v>1</v>
      </c>
      <c r="C17" s="45">
        <f t="shared" si="24"/>
        <v>1</v>
      </c>
      <c r="D17" s="45">
        <f t="shared" si="24"/>
        <v>1</v>
      </c>
      <c r="E17" s="45">
        <f t="shared" si="24"/>
        <v>1</v>
      </c>
      <c r="F17" s="45">
        <f t="shared" si="24"/>
        <v>1</v>
      </c>
      <c r="G17" s="45">
        <f t="shared" si="24"/>
        <v>1</v>
      </c>
      <c r="H17" s="45">
        <f t="shared" si="24"/>
        <v>1</v>
      </c>
      <c r="I17" s="45">
        <f t="shared" si="24"/>
        <v>1</v>
      </c>
      <c r="J17" s="45">
        <f t="shared" si="24"/>
        <v>1</v>
      </c>
      <c r="K17" s="45" t="e">
        <f>K16+ATM_Conf!$C$5*(T16-AC16)</f>
        <v>#DIV/0!</v>
      </c>
      <c r="L17" s="45" t="e">
        <f>L16+ATM_Conf!$C$5*(U16-AD16)</f>
        <v>#DIV/0!</v>
      </c>
      <c r="M17" s="45" t="e">
        <f>M16+ATM_Conf!$C$5*(V16-AE16)</f>
        <v>#DIV/0!</v>
      </c>
      <c r="N17" s="45" t="e">
        <f>N16+ATM_Conf!$C$5*(W16-AF16)</f>
        <v>#DIV/0!</v>
      </c>
      <c r="O17" s="45" t="e">
        <f>O16+ATM_Conf!$C$5*(X16-AG16)</f>
        <v>#DIV/0!</v>
      </c>
      <c r="P17" s="45" t="e">
        <f>P16+ATM_Conf!$C$5*(Y16-AH16)</f>
        <v>#DIV/0!</v>
      </c>
      <c r="Q17" s="45" t="e">
        <f>Q16+ATM_Conf!$C$5*(Z16-AI16)</f>
        <v>#DIV/0!</v>
      </c>
      <c r="R17" s="45" t="e">
        <f>R16+ATM_Conf!$C$5*(AA16-AJ16)</f>
        <v>#DIV/0!</v>
      </c>
      <c r="S17" s="45" t="e">
        <f>S16+ATM_Conf!$C$5*(AB16-AK16)</f>
        <v>#DIV/0!</v>
      </c>
      <c r="T17" s="45"/>
      <c r="U17" s="45"/>
      <c r="V17" s="45"/>
      <c r="W17" s="45"/>
      <c r="X17" s="45"/>
      <c r="Y17" s="45"/>
      <c r="Z17" s="45"/>
      <c r="AA17" s="45"/>
      <c r="AB17" s="45"/>
      <c r="AC17" s="45" t="e">
        <f t="shared" si="2"/>
        <v>#DIV/0!</v>
      </c>
      <c r="AD17" s="45" t="e">
        <f t="shared" si="3"/>
        <v>#DIV/0!</v>
      </c>
      <c r="AE17" s="45" t="e">
        <f t="shared" si="4"/>
        <v>#DIV/0!</v>
      </c>
      <c r="AF17" s="45" t="e">
        <f t="shared" si="5"/>
        <v>#DIV/0!</v>
      </c>
      <c r="AG17" s="45" t="e">
        <f t="shared" si="6"/>
        <v>#DIV/0!</v>
      </c>
      <c r="AH17" s="45" t="e">
        <f t="shared" si="7"/>
        <v>#DIV/0!</v>
      </c>
      <c r="AI17" s="45" t="e">
        <f t="shared" si="8"/>
        <v>#DIV/0!</v>
      </c>
      <c r="AJ17" s="45" t="e">
        <f t="shared" si="9"/>
        <v>#DIV/0!</v>
      </c>
      <c r="AK17" s="45" t="e">
        <f t="shared" si="10"/>
        <v>#DIV/0!</v>
      </c>
      <c r="AL17" s="45" t="e">
        <f>T$3+K17/ATM_Conf!$C$5</f>
        <v>#DIV/0!</v>
      </c>
      <c r="AM17" s="45" t="e">
        <f>U$3+L17/ATM_Conf!$C$5</f>
        <v>#DIV/0!</v>
      </c>
      <c r="AN17" s="45" t="e">
        <f>V$3+M17/ATM_Conf!$C$5</f>
        <v>#DIV/0!</v>
      </c>
      <c r="AO17" s="45" t="e">
        <f>W$3+N17/ATM_Conf!$C$5</f>
        <v>#DIV/0!</v>
      </c>
      <c r="AP17" s="45" t="e">
        <f>X$3+O17/ATM_Conf!$C$5</f>
        <v>#DIV/0!</v>
      </c>
      <c r="AQ17" s="45" t="e">
        <f>Y$3+P17/ATM_Conf!$C$5</f>
        <v>#DIV/0!</v>
      </c>
      <c r="AR17" s="45" t="e">
        <f>Z$3+Q17/ATM_Conf!$C$5</f>
        <v>#DIV/0!</v>
      </c>
      <c r="AS17" s="45" t="e">
        <f>AA$3+R17/ATM_Conf!$C$5</f>
        <v>#DIV/0!</v>
      </c>
      <c r="AT17" s="45" t="e">
        <f>AB$3+S17/ATM_Conf!$C$5</f>
        <v>#DIV/0!</v>
      </c>
      <c r="AU17" s="45" t="e">
        <f>BD$3*MIN(1,(ATM_Conf!$C$6-Links!F17)/(ATM_Conf!$C$6-ATM_Conf!$C$7))</f>
        <v>#DIV/0!</v>
      </c>
      <c r="AV17" s="45" t="e">
        <f>BE$3*MIN(1,(ATM_Conf!$C$6-Links!G17)/(ATM_Conf!$C$6-ATM_Conf!$C$7))</f>
        <v>#DIV/0!</v>
      </c>
      <c r="AW17" s="45" t="e">
        <f>BF$3*MIN(1,(ATM_Conf!$C$6-Links!H17)/(ATM_Conf!$C$6-ATM_Conf!$C$7))</f>
        <v>#DIV/0!</v>
      </c>
      <c r="AX17" s="45" t="e">
        <f>BG$3*MIN(1,(ATM_Conf!$C$6-Links!I17)/(ATM_Conf!$C$6-ATM_Conf!$C$7))</f>
        <v>#DIV/0!</v>
      </c>
      <c r="AY17" s="45" t="e">
        <f>BH$3*MIN(1,(ATM_Conf!$C$6-Links!J17)/(ATM_Conf!$C$6-ATM_Conf!$C$7))</f>
        <v>#DIV/0!</v>
      </c>
      <c r="AZ17" s="45" t="e">
        <f>BI$3*MIN(1,(ATM_Conf!$C$6-Links!K17)/(ATM_Conf!$C$6-ATM_Conf!$C$7))</f>
        <v>#DIV/0!</v>
      </c>
      <c r="BA17" s="45" t="e">
        <f>BJ$3*MIN(1,(ATM_Conf!$C$6-Links!L17)/(ATM_Conf!$C$6-ATM_Conf!$C$7))</f>
        <v>#DIV/0!</v>
      </c>
      <c r="BB17" s="45" t="e">
        <f>BK$3*MIN(1,(ATM_Conf!$C$6-Links!M17)/(ATM_Conf!$C$6-ATM_Conf!$C$7))</f>
        <v>#DIV/0!</v>
      </c>
      <c r="BC17" s="45" t="e">
        <f>BL$3*MIN(1,(ATM_Conf!$C$6-Links!N17)/(ATM_Conf!$C$6-ATM_Conf!$C$7))</f>
        <v>#DIV/0!</v>
      </c>
      <c r="BD17" s="45"/>
      <c r="BE17" s="45"/>
      <c r="BF17" s="45"/>
      <c r="BG17" s="45"/>
      <c r="BH17" s="45"/>
      <c r="BI17" s="45"/>
      <c r="BJ17" s="45"/>
      <c r="BK17" s="45"/>
      <c r="BL17" s="45"/>
      <c r="BM17" s="53"/>
      <c r="BN17" s="53"/>
      <c r="BO17" s="53"/>
      <c r="BP17" s="53"/>
      <c r="BQ17" s="53"/>
      <c r="BR17" s="53"/>
      <c r="BS17" s="53"/>
      <c r="BT17" s="53"/>
      <c r="BU17" s="53"/>
      <c r="BV17" s="53" t="e">
        <f t="shared" si="11"/>
        <v>#DIV/0!</v>
      </c>
      <c r="BW17" s="53" t="e">
        <f t="shared" si="12"/>
        <v>#DIV/0!</v>
      </c>
      <c r="BX17" s="53" t="e">
        <f t="shared" si="13"/>
        <v>#DIV/0!</v>
      </c>
      <c r="BY17" s="53" t="e">
        <f t="shared" si="14"/>
        <v>#DIV/0!</v>
      </c>
      <c r="BZ17" s="53" t="e">
        <f t="shared" si="15"/>
        <v>#DIV/0!</v>
      </c>
      <c r="CA17" s="53" t="e">
        <f t="shared" si="16"/>
        <v>#DIV/0!</v>
      </c>
      <c r="CB17" s="53" t="e">
        <f t="shared" si="17"/>
        <v>#DIV/0!</v>
      </c>
      <c r="CC17" s="53" t="e">
        <f t="shared" si="18"/>
        <v>#DIV/0!</v>
      </c>
      <c r="CD17" s="53" t="e">
        <f t="shared" si="19"/>
        <v>#DIV/0!</v>
      </c>
      <c r="CE17" s="55">
        <f t="shared" si="22"/>
        <v>0</v>
      </c>
      <c r="CF17" s="55">
        <f t="shared" si="20"/>
        <v>0</v>
      </c>
      <c r="CG17" s="55">
        <f t="shared" si="20"/>
        <v>0</v>
      </c>
      <c r="CH17" s="55">
        <f t="shared" si="20"/>
        <v>0</v>
      </c>
      <c r="CI17" s="55">
        <f t="shared" si="20"/>
        <v>0</v>
      </c>
      <c r="CJ17" s="55">
        <f t="shared" si="20"/>
        <v>0</v>
      </c>
      <c r="CK17" s="55">
        <f t="shared" si="20"/>
        <v>0</v>
      </c>
      <c r="CL17" s="55">
        <f t="shared" si="20"/>
        <v>0</v>
      </c>
      <c r="CM17" s="55">
        <f t="shared" si="20"/>
        <v>0</v>
      </c>
    </row>
    <row r="18" spans="1:91" x14ac:dyDescent="0.15">
      <c r="A18" s="42">
        <v>16</v>
      </c>
      <c r="B18" s="45">
        <f t="shared" si="25"/>
        <v>1</v>
      </c>
      <c r="C18" s="45">
        <f t="shared" si="24"/>
        <v>1</v>
      </c>
      <c r="D18" s="45">
        <f t="shared" si="24"/>
        <v>1</v>
      </c>
      <c r="E18" s="45">
        <f t="shared" si="24"/>
        <v>1</v>
      </c>
      <c r="F18" s="45">
        <f t="shared" si="24"/>
        <v>1</v>
      </c>
      <c r="G18" s="45">
        <f t="shared" si="24"/>
        <v>1</v>
      </c>
      <c r="H18" s="45">
        <f t="shared" si="24"/>
        <v>1</v>
      </c>
      <c r="I18" s="45">
        <f t="shared" si="24"/>
        <v>1</v>
      </c>
      <c r="J18" s="45">
        <f t="shared" si="24"/>
        <v>1</v>
      </c>
      <c r="K18" s="45" t="e">
        <f>K17+ATM_Conf!$C$5*(T17-AC17)</f>
        <v>#DIV/0!</v>
      </c>
      <c r="L18" s="45" t="e">
        <f>L17+ATM_Conf!$C$5*(U17-AD17)</f>
        <v>#DIV/0!</v>
      </c>
      <c r="M18" s="45" t="e">
        <f>M17+ATM_Conf!$C$5*(V17-AE17)</f>
        <v>#DIV/0!</v>
      </c>
      <c r="N18" s="45" t="e">
        <f>N17+ATM_Conf!$C$5*(W17-AF17)</f>
        <v>#DIV/0!</v>
      </c>
      <c r="O18" s="45" t="e">
        <f>O17+ATM_Conf!$C$5*(X17-AG17)</f>
        <v>#DIV/0!</v>
      </c>
      <c r="P18" s="45" t="e">
        <f>P17+ATM_Conf!$C$5*(Y17-AH17)</f>
        <v>#DIV/0!</v>
      </c>
      <c r="Q18" s="45" t="e">
        <f>Q17+ATM_Conf!$C$5*(Z17-AI17)</f>
        <v>#DIV/0!</v>
      </c>
      <c r="R18" s="45" t="e">
        <f>R17+ATM_Conf!$C$5*(AA17-AJ17)</f>
        <v>#DIV/0!</v>
      </c>
      <c r="S18" s="45" t="e">
        <f>S17+ATM_Conf!$C$5*(AB17-AK17)</f>
        <v>#DIV/0!</v>
      </c>
      <c r="T18" s="45"/>
      <c r="U18" s="45"/>
      <c r="V18" s="45"/>
      <c r="W18" s="45"/>
      <c r="X18" s="45"/>
      <c r="Y18" s="45"/>
      <c r="Z18" s="45"/>
      <c r="AA18" s="45"/>
      <c r="AB18" s="45"/>
      <c r="AC18" s="45" t="e">
        <f t="shared" si="2"/>
        <v>#DIV/0!</v>
      </c>
      <c r="AD18" s="45" t="e">
        <f t="shared" si="3"/>
        <v>#DIV/0!</v>
      </c>
      <c r="AE18" s="45" t="e">
        <f t="shared" si="4"/>
        <v>#DIV/0!</v>
      </c>
      <c r="AF18" s="45" t="e">
        <f t="shared" si="5"/>
        <v>#DIV/0!</v>
      </c>
      <c r="AG18" s="45" t="e">
        <f t="shared" si="6"/>
        <v>#DIV/0!</v>
      </c>
      <c r="AH18" s="45" t="e">
        <f t="shared" si="7"/>
        <v>#DIV/0!</v>
      </c>
      <c r="AI18" s="45" t="e">
        <f t="shared" si="8"/>
        <v>#DIV/0!</v>
      </c>
      <c r="AJ18" s="45" t="e">
        <f t="shared" si="9"/>
        <v>#DIV/0!</v>
      </c>
      <c r="AK18" s="45" t="e">
        <f t="shared" si="10"/>
        <v>#DIV/0!</v>
      </c>
      <c r="AL18" s="45" t="e">
        <f>T$3+K18/ATM_Conf!$C$5</f>
        <v>#DIV/0!</v>
      </c>
      <c r="AM18" s="45" t="e">
        <f>U$3+L18/ATM_Conf!$C$5</f>
        <v>#DIV/0!</v>
      </c>
      <c r="AN18" s="45" t="e">
        <f>V$3+M18/ATM_Conf!$C$5</f>
        <v>#DIV/0!</v>
      </c>
      <c r="AO18" s="45" t="e">
        <f>W$3+N18/ATM_Conf!$C$5</f>
        <v>#DIV/0!</v>
      </c>
      <c r="AP18" s="45" t="e">
        <f>X$3+O18/ATM_Conf!$C$5</f>
        <v>#DIV/0!</v>
      </c>
      <c r="AQ18" s="45" t="e">
        <f>Y$3+P18/ATM_Conf!$C$5</f>
        <v>#DIV/0!</v>
      </c>
      <c r="AR18" s="45" t="e">
        <f>Z$3+Q18/ATM_Conf!$C$5</f>
        <v>#DIV/0!</v>
      </c>
      <c r="AS18" s="45" t="e">
        <f>AA$3+R18/ATM_Conf!$C$5</f>
        <v>#DIV/0!</v>
      </c>
      <c r="AT18" s="45" t="e">
        <f>AB$3+S18/ATM_Conf!$C$5</f>
        <v>#DIV/0!</v>
      </c>
      <c r="AU18" s="45" t="e">
        <f>BD$3*MIN(1,(ATM_Conf!$C$6-Links!F18)/(ATM_Conf!$C$6-ATM_Conf!$C$7))</f>
        <v>#DIV/0!</v>
      </c>
      <c r="AV18" s="45" t="e">
        <f>BE$3*MIN(1,(ATM_Conf!$C$6-Links!G18)/(ATM_Conf!$C$6-ATM_Conf!$C$7))</f>
        <v>#DIV/0!</v>
      </c>
      <c r="AW18" s="45" t="e">
        <f>BF$3*MIN(1,(ATM_Conf!$C$6-Links!H18)/(ATM_Conf!$C$6-ATM_Conf!$C$7))</f>
        <v>#DIV/0!</v>
      </c>
      <c r="AX18" s="45" t="e">
        <f>BG$3*MIN(1,(ATM_Conf!$C$6-Links!I18)/(ATM_Conf!$C$6-ATM_Conf!$C$7))</f>
        <v>#DIV/0!</v>
      </c>
      <c r="AY18" s="45" t="e">
        <f>BH$3*MIN(1,(ATM_Conf!$C$6-Links!J18)/(ATM_Conf!$C$6-ATM_Conf!$C$7))</f>
        <v>#DIV/0!</v>
      </c>
      <c r="AZ18" s="45" t="e">
        <f>BI$3*MIN(1,(ATM_Conf!$C$6-Links!K18)/(ATM_Conf!$C$6-ATM_Conf!$C$7))</f>
        <v>#DIV/0!</v>
      </c>
      <c r="BA18" s="45" t="e">
        <f>BJ$3*MIN(1,(ATM_Conf!$C$6-Links!L18)/(ATM_Conf!$C$6-ATM_Conf!$C$7))</f>
        <v>#DIV/0!</v>
      </c>
      <c r="BB18" s="45" t="e">
        <f>BK$3*MIN(1,(ATM_Conf!$C$6-Links!M18)/(ATM_Conf!$C$6-ATM_Conf!$C$7))</f>
        <v>#DIV/0!</v>
      </c>
      <c r="BC18" s="45" t="e">
        <f>BL$3*MIN(1,(ATM_Conf!$C$6-Links!N18)/(ATM_Conf!$C$6-ATM_Conf!$C$7))</f>
        <v>#DIV/0!</v>
      </c>
      <c r="BD18" s="45"/>
      <c r="BE18" s="45"/>
      <c r="BF18" s="45"/>
      <c r="BG18" s="45"/>
      <c r="BH18" s="45"/>
      <c r="BI18" s="45"/>
      <c r="BJ18" s="45"/>
      <c r="BK18" s="45"/>
      <c r="BL18" s="45"/>
      <c r="BM18" s="53"/>
      <c r="BN18" s="53"/>
      <c r="BO18" s="53"/>
      <c r="BP18" s="53"/>
      <c r="BQ18" s="53"/>
      <c r="BR18" s="53"/>
      <c r="BS18" s="53"/>
      <c r="BT18" s="53"/>
      <c r="BU18" s="53"/>
      <c r="BV18" s="53" t="e">
        <f t="shared" si="11"/>
        <v>#DIV/0!</v>
      </c>
      <c r="BW18" s="53" t="e">
        <f t="shared" si="12"/>
        <v>#DIV/0!</v>
      </c>
      <c r="BX18" s="53" t="e">
        <f t="shared" si="13"/>
        <v>#DIV/0!</v>
      </c>
      <c r="BY18" s="53" t="e">
        <f t="shared" si="14"/>
        <v>#DIV/0!</v>
      </c>
      <c r="BZ18" s="53" t="e">
        <f t="shared" si="15"/>
        <v>#DIV/0!</v>
      </c>
      <c r="CA18" s="53" t="e">
        <f t="shared" si="16"/>
        <v>#DIV/0!</v>
      </c>
      <c r="CB18" s="53" t="e">
        <f t="shared" si="17"/>
        <v>#DIV/0!</v>
      </c>
      <c r="CC18" s="53" t="e">
        <f t="shared" si="18"/>
        <v>#DIV/0!</v>
      </c>
      <c r="CD18" s="53" t="e">
        <f t="shared" si="19"/>
        <v>#DIV/0!</v>
      </c>
      <c r="CE18" s="55">
        <f t="shared" si="22"/>
        <v>0</v>
      </c>
      <c r="CF18" s="55">
        <f t="shared" si="20"/>
        <v>0</v>
      </c>
      <c r="CG18" s="55">
        <f t="shared" si="20"/>
        <v>0</v>
      </c>
      <c r="CH18" s="55">
        <f t="shared" si="20"/>
        <v>0</v>
      </c>
      <c r="CI18" s="55">
        <f t="shared" si="20"/>
        <v>0</v>
      </c>
      <c r="CJ18" s="55">
        <f t="shared" si="20"/>
        <v>0</v>
      </c>
      <c r="CK18" s="55">
        <f t="shared" si="20"/>
        <v>0</v>
      </c>
      <c r="CL18" s="55">
        <f t="shared" si="20"/>
        <v>0</v>
      </c>
      <c r="CM18" s="55">
        <f t="shared" si="20"/>
        <v>0</v>
      </c>
    </row>
    <row r="19" spans="1:91" x14ac:dyDescent="0.15">
      <c r="A19" s="42">
        <v>17</v>
      </c>
      <c r="B19" s="45">
        <f t="shared" si="25"/>
        <v>1</v>
      </c>
      <c r="C19" s="45">
        <f t="shared" si="24"/>
        <v>1</v>
      </c>
      <c r="D19" s="45">
        <f t="shared" si="24"/>
        <v>1</v>
      </c>
      <c r="E19" s="45">
        <f t="shared" si="24"/>
        <v>1</v>
      </c>
      <c r="F19" s="45">
        <f t="shared" si="24"/>
        <v>1</v>
      </c>
      <c r="G19" s="45">
        <f t="shared" si="24"/>
        <v>1</v>
      </c>
      <c r="H19" s="45">
        <f t="shared" si="24"/>
        <v>1</v>
      </c>
      <c r="I19" s="45">
        <f t="shared" si="24"/>
        <v>1</v>
      </c>
      <c r="J19" s="45">
        <f t="shared" si="24"/>
        <v>1</v>
      </c>
      <c r="K19" s="45" t="e">
        <f>K18+ATM_Conf!$C$5*(T18-AC18)</f>
        <v>#DIV/0!</v>
      </c>
      <c r="L19" s="45" t="e">
        <f>L18+ATM_Conf!$C$5*(U18-AD18)</f>
        <v>#DIV/0!</v>
      </c>
      <c r="M19" s="45" t="e">
        <f>M18+ATM_Conf!$C$5*(V18-AE18)</f>
        <v>#DIV/0!</v>
      </c>
      <c r="N19" s="45" t="e">
        <f>N18+ATM_Conf!$C$5*(W18-AF18)</f>
        <v>#DIV/0!</v>
      </c>
      <c r="O19" s="45" t="e">
        <f>O18+ATM_Conf!$C$5*(X18-AG18)</f>
        <v>#DIV/0!</v>
      </c>
      <c r="P19" s="45" t="e">
        <f>P18+ATM_Conf!$C$5*(Y18-AH18)</f>
        <v>#DIV/0!</v>
      </c>
      <c r="Q19" s="45" t="e">
        <f>Q18+ATM_Conf!$C$5*(Z18-AI18)</f>
        <v>#DIV/0!</v>
      </c>
      <c r="R19" s="45" t="e">
        <f>R18+ATM_Conf!$C$5*(AA18-AJ18)</f>
        <v>#DIV/0!</v>
      </c>
      <c r="S19" s="45" t="e">
        <f>S18+ATM_Conf!$C$5*(AB18-AK18)</f>
        <v>#DIV/0!</v>
      </c>
      <c r="T19" s="45"/>
      <c r="U19" s="45"/>
      <c r="V19" s="45"/>
      <c r="W19" s="45"/>
      <c r="X19" s="45"/>
      <c r="Y19" s="45"/>
      <c r="Z19" s="45"/>
      <c r="AA19" s="45"/>
      <c r="AB19" s="45"/>
      <c r="AC19" s="45" t="e">
        <f t="shared" si="2"/>
        <v>#DIV/0!</v>
      </c>
      <c r="AD19" s="45" t="e">
        <f t="shared" si="3"/>
        <v>#DIV/0!</v>
      </c>
      <c r="AE19" s="45" t="e">
        <f t="shared" si="4"/>
        <v>#DIV/0!</v>
      </c>
      <c r="AF19" s="45" t="e">
        <f t="shared" si="5"/>
        <v>#DIV/0!</v>
      </c>
      <c r="AG19" s="45" t="e">
        <f t="shared" si="6"/>
        <v>#DIV/0!</v>
      </c>
      <c r="AH19" s="45" t="e">
        <f t="shared" si="7"/>
        <v>#DIV/0!</v>
      </c>
      <c r="AI19" s="45" t="e">
        <f t="shared" si="8"/>
        <v>#DIV/0!</v>
      </c>
      <c r="AJ19" s="45" t="e">
        <f t="shared" si="9"/>
        <v>#DIV/0!</v>
      </c>
      <c r="AK19" s="45" t="e">
        <f t="shared" si="10"/>
        <v>#DIV/0!</v>
      </c>
      <c r="AL19" s="45" t="e">
        <f>T$3+K19/ATM_Conf!$C$5</f>
        <v>#DIV/0!</v>
      </c>
      <c r="AM19" s="45" t="e">
        <f>U$3+L19/ATM_Conf!$C$5</f>
        <v>#DIV/0!</v>
      </c>
      <c r="AN19" s="45" t="e">
        <f>V$3+M19/ATM_Conf!$C$5</f>
        <v>#DIV/0!</v>
      </c>
      <c r="AO19" s="45" t="e">
        <f>W$3+N19/ATM_Conf!$C$5</f>
        <v>#DIV/0!</v>
      </c>
      <c r="AP19" s="45" t="e">
        <f>X$3+O19/ATM_Conf!$C$5</f>
        <v>#DIV/0!</v>
      </c>
      <c r="AQ19" s="45" t="e">
        <f>Y$3+P19/ATM_Conf!$C$5</f>
        <v>#DIV/0!</v>
      </c>
      <c r="AR19" s="45" t="e">
        <f>Z$3+Q19/ATM_Conf!$C$5</f>
        <v>#DIV/0!</v>
      </c>
      <c r="AS19" s="45" t="e">
        <f>AA$3+R19/ATM_Conf!$C$5</f>
        <v>#DIV/0!</v>
      </c>
      <c r="AT19" s="45" t="e">
        <f>AB$3+S19/ATM_Conf!$C$5</f>
        <v>#DIV/0!</v>
      </c>
      <c r="AU19" s="45" t="e">
        <f>BD$3*MIN(1,(ATM_Conf!$C$6-Links!F19)/(ATM_Conf!$C$6-ATM_Conf!$C$7))</f>
        <v>#DIV/0!</v>
      </c>
      <c r="AV19" s="45" t="e">
        <f>BE$3*MIN(1,(ATM_Conf!$C$6-Links!G19)/(ATM_Conf!$C$6-ATM_Conf!$C$7))</f>
        <v>#DIV/0!</v>
      </c>
      <c r="AW19" s="45" t="e">
        <f>BF$3*MIN(1,(ATM_Conf!$C$6-Links!H19)/(ATM_Conf!$C$6-ATM_Conf!$C$7))</f>
        <v>#DIV/0!</v>
      </c>
      <c r="AX19" s="45" t="e">
        <f>BG$3*MIN(1,(ATM_Conf!$C$6-Links!I19)/(ATM_Conf!$C$6-ATM_Conf!$C$7))</f>
        <v>#DIV/0!</v>
      </c>
      <c r="AY19" s="45" t="e">
        <f>BH$3*MIN(1,(ATM_Conf!$C$6-Links!J19)/(ATM_Conf!$C$6-ATM_Conf!$C$7))</f>
        <v>#DIV/0!</v>
      </c>
      <c r="AZ19" s="45" t="e">
        <f>BI$3*MIN(1,(ATM_Conf!$C$6-Links!K19)/(ATM_Conf!$C$6-ATM_Conf!$C$7))</f>
        <v>#DIV/0!</v>
      </c>
      <c r="BA19" s="45" t="e">
        <f>BJ$3*MIN(1,(ATM_Conf!$C$6-Links!L19)/(ATM_Conf!$C$6-ATM_Conf!$C$7))</f>
        <v>#DIV/0!</v>
      </c>
      <c r="BB19" s="45" t="e">
        <f>BK$3*MIN(1,(ATM_Conf!$C$6-Links!M19)/(ATM_Conf!$C$6-ATM_Conf!$C$7))</f>
        <v>#DIV/0!</v>
      </c>
      <c r="BC19" s="45" t="e">
        <f>BL$3*MIN(1,(ATM_Conf!$C$6-Links!N19)/(ATM_Conf!$C$6-ATM_Conf!$C$7))</f>
        <v>#DIV/0!</v>
      </c>
      <c r="BD19" s="45"/>
      <c r="BE19" s="45"/>
      <c r="BF19" s="45"/>
      <c r="BG19" s="45"/>
      <c r="BH19" s="45"/>
      <c r="BI19" s="45"/>
      <c r="BJ19" s="45"/>
      <c r="BK19" s="45"/>
      <c r="BL19" s="45"/>
      <c r="BM19" s="53"/>
      <c r="BN19" s="53"/>
      <c r="BO19" s="53"/>
      <c r="BP19" s="53"/>
      <c r="BQ19" s="53"/>
      <c r="BR19" s="53"/>
      <c r="BS19" s="53"/>
      <c r="BT19" s="53"/>
      <c r="BU19" s="53"/>
      <c r="BV19" s="53" t="e">
        <f t="shared" si="11"/>
        <v>#DIV/0!</v>
      </c>
      <c r="BW19" s="53" t="e">
        <f t="shared" si="12"/>
        <v>#DIV/0!</v>
      </c>
      <c r="BX19" s="53" t="e">
        <f t="shared" si="13"/>
        <v>#DIV/0!</v>
      </c>
      <c r="BY19" s="53" t="e">
        <f t="shared" si="14"/>
        <v>#DIV/0!</v>
      </c>
      <c r="BZ19" s="53" t="e">
        <f t="shared" si="15"/>
        <v>#DIV/0!</v>
      </c>
      <c r="CA19" s="53" t="e">
        <f t="shared" si="16"/>
        <v>#DIV/0!</v>
      </c>
      <c r="CB19" s="53" t="e">
        <f t="shared" si="17"/>
        <v>#DIV/0!</v>
      </c>
      <c r="CC19" s="53" t="e">
        <f t="shared" si="18"/>
        <v>#DIV/0!</v>
      </c>
      <c r="CD19" s="53" t="e">
        <f t="shared" si="19"/>
        <v>#DIV/0!</v>
      </c>
      <c r="CE19" s="55">
        <f t="shared" si="22"/>
        <v>0</v>
      </c>
      <c r="CF19" s="55">
        <f t="shared" si="20"/>
        <v>0</v>
      </c>
      <c r="CG19" s="55">
        <f t="shared" si="20"/>
        <v>0</v>
      </c>
      <c r="CH19" s="55">
        <f t="shared" si="20"/>
        <v>0</v>
      </c>
      <c r="CI19" s="55">
        <f t="shared" si="20"/>
        <v>0</v>
      </c>
      <c r="CJ19" s="55">
        <f t="shared" si="20"/>
        <v>0</v>
      </c>
      <c r="CK19" s="55">
        <f t="shared" si="20"/>
        <v>0</v>
      </c>
      <c r="CL19" s="55">
        <f t="shared" si="20"/>
        <v>0</v>
      </c>
      <c r="CM19" s="55">
        <f t="shared" si="20"/>
        <v>0</v>
      </c>
    </row>
    <row r="20" spans="1:91" x14ac:dyDescent="0.15">
      <c r="A20" s="42">
        <v>18</v>
      </c>
      <c r="B20" s="45">
        <f t="shared" si="25"/>
        <v>1</v>
      </c>
      <c r="C20" s="45">
        <f t="shared" si="24"/>
        <v>1</v>
      </c>
      <c r="D20" s="45">
        <f t="shared" si="24"/>
        <v>1</v>
      </c>
      <c r="E20" s="45">
        <f t="shared" si="24"/>
        <v>1</v>
      </c>
      <c r="F20" s="45">
        <f t="shared" si="24"/>
        <v>1</v>
      </c>
      <c r="G20" s="45">
        <f t="shared" si="24"/>
        <v>1</v>
      </c>
      <c r="H20" s="45">
        <f t="shared" si="24"/>
        <v>1</v>
      </c>
      <c r="I20" s="45">
        <f t="shared" si="24"/>
        <v>1</v>
      </c>
      <c r="J20" s="45">
        <f t="shared" si="24"/>
        <v>1</v>
      </c>
      <c r="K20" s="45" t="e">
        <f>K19+ATM_Conf!$C$5*(T19-AC19)</f>
        <v>#DIV/0!</v>
      </c>
      <c r="L20" s="45" t="e">
        <f>L19+ATM_Conf!$C$5*(U19-AD19)</f>
        <v>#DIV/0!</v>
      </c>
      <c r="M20" s="45" t="e">
        <f>M19+ATM_Conf!$C$5*(V19-AE19)</f>
        <v>#DIV/0!</v>
      </c>
      <c r="N20" s="45" t="e">
        <f>N19+ATM_Conf!$C$5*(W19-AF19)</f>
        <v>#DIV/0!</v>
      </c>
      <c r="O20" s="45" t="e">
        <f>O19+ATM_Conf!$C$5*(X19-AG19)</f>
        <v>#DIV/0!</v>
      </c>
      <c r="P20" s="45" t="e">
        <f>P19+ATM_Conf!$C$5*(Y19-AH19)</f>
        <v>#DIV/0!</v>
      </c>
      <c r="Q20" s="45" t="e">
        <f>Q19+ATM_Conf!$C$5*(Z19-AI19)</f>
        <v>#DIV/0!</v>
      </c>
      <c r="R20" s="45" t="e">
        <f>R19+ATM_Conf!$C$5*(AA19-AJ19)</f>
        <v>#DIV/0!</v>
      </c>
      <c r="S20" s="45" t="e">
        <f>S19+ATM_Conf!$C$5*(AB19-AK19)</f>
        <v>#DIV/0!</v>
      </c>
      <c r="T20" s="45"/>
      <c r="U20" s="45"/>
      <c r="V20" s="45"/>
      <c r="W20" s="45"/>
      <c r="X20" s="45"/>
      <c r="Y20" s="45"/>
      <c r="Z20" s="45"/>
      <c r="AA20" s="45"/>
      <c r="AB20" s="45"/>
      <c r="AC20" s="45" t="e">
        <f t="shared" si="2"/>
        <v>#DIV/0!</v>
      </c>
      <c r="AD20" s="45" t="e">
        <f t="shared" si="3"/>
        <v>#DIV/0!</v>
      </c>
      <c r="AE20" s="45" t="e">
        <f t="shared" si="4"/>
        <v>#DIV/0!</v>
      </c>
      <c r="AF20" s="45" t="e">
        <f t="shared" si="5"/>
        <v>#DIV/0!</v>
      </c>
      <c r="AG20" s="45" t="e">
        <f t="shared" si="6"/>
        <v>#DIV/0!</v>
      </c>
      <c r="AH20" s="45" t="e">
        <f t="shared" si="7"/>
        <v>#DIV/0!</v>
      </c>
      <c r="AI20" s="45" t="e">
        <f t="shared" si="8"/>
        <v>#DIV/0!</v>
      </c>
      <c r="AJ20" s="45" t="e">
        <f t="shared" si="9"/>
        <v>#DIV/0!</v>
      </c>
      <c r="AK20" s="45" t="e">
        <f t="shared" si="10"/>
        <v>#DIV/0!</v>
      </c>
      <c r="AL20" s="45" t="e">
        <f>T$3+K20/ATM_Conf!$C$5</f>
        <v>#DIV/0!</v>
      </c>
      <c r="AM20" s="45" t="e">
        <f>U$3+L20/ATM_Conf!$C$5</f>
        <v>#DIV/0!</v>
      </c>
      <c r="AN20" s="45" t="e">
        <f>V$3+M20/ATM_Conf!$C$5</f>
        <v>#DIV/0!</v>
      </c>
      <c r="AO20" s="45" t="e">
        <f>W$3+N20/ATM_Conf!$C$5</f>
        <v>#DIV/0!</v>
      </c>
      <c r="AP20" s="45" t="e">
        <f>X$3+O20/ATM_Conf!$C$5</f>
        <v>#DIV/0!</v>
      </c>
      <c r="AQ20" s="45" t="e">
        <f>Y$3+P20/ATM_Conf!$C$5</f>
        <v>#DIV/0!</v>
      </c>
      <c r="AR20" s="45" t="e">
        <f>Z$3+Q20/ATM_Conf!$C$5</f>
        <v>#DIV/0!</v>
      </c>
      <c r="AS20" s="45" t="e">
        <f>AA$3+R20/ATM_Conf!$C$5</f>
        <v>#DIV/0!</v>
      </c>
      <c r="AT20" s="45" t="e">
        <f>AB$3+S20/ATM_Conf!$C$5</f>
        <v>#DIV/0!</v>
      </c>
      <c r="AU20" s="45" t="e">
        <f>BD$3*MIN(1,(ATM_Conf!$C$6-Links!F20)/(ATM_Conf!$C$6-ATM_Conf!$C$7))</f>
        <v>#DIV/0!</v>
      </c>
      <c r="AV20" s="45" t="e">
        <f>BE$3*MIN(1,(ATM_Conf!$C$6-Links!G20)/(ATM_Conf!$C$6-ATM_Conf!$C$7))</f>
        <v>#DIV/0!</v>
      </c>
      <c r="AW20" s="45" t="e">
        <f>BF$3*MIN(1,(ATM_Conf!$C$6-Links!H20)/(ATM_Conf!$C$6-ATM_Conf!$C$7))</f>
        <v>#DIV/0!</v>
      </c>
      <c r="AX20" s="45" t="e">
        <f>BG$3*MIN(1,(ATM_Conf!$C$6-Links!I20)/(ATM_Conf!$C$6-ATM_Conf!$C$7))</f>
        <v>#DIV/0!</v>
      </c>
      <c r="AY20" s="45" t="e">
        <f>BH$3*MIN(1,(ATM_Conf!$C$6-Links!J20)/(ATM_Conf!$C$6-ATM_Conf!$C$7))</f>
        <v>#DIV/0!</v>
      </c>
      <c r="AZ20" s="45" t="e">
        <f>BI$3*MIN(1,(ATM_Conf!$C$6-Links!K20)/(ATM_Conf!$C$6-ATM_Conf!$C$7))</f>
        <v>#DIV/0!</v>
      </c>
      <c r="BA20" s="45" t="e">
        <f>BJ$3*MIN(1,(ATM_Conf!$C$6-Links!L20)/(ATM_Conf!$C$6-ATM_Conf!$C$7))</f>
        <v>#DIV/0!</v>
      </c>
      <c r="BB20" s="45" t="e">
        <f>BK$3*MIN(1,(ATM_Conf!$C$6-Links!M20)/(ATM_Conf!$C$6-ATM_Conf!$C$7))</f>
        <v>#DIV/0!</v>
      </c>
      <c r="BC20" s="45" t="e">
        <f>BL$3*MIN(1,(ATM_Conf!$C$6-Links!N20)/(ATM_Conf!$C$6-ATM_Conf!$C$7))</f>
        <v>#DIV/0!</v>
      </c>
      <c r="BD20" s="45"/>
      <c r="BE20" s="45"/>
      <c r="BF20" s="45"/>
      <c r="BG20" s="45"/>
      <c r="BH20" s="45"/>
      <c r="BI20" s="45"/>
      <c r="BJ20" s="45"/>
      <c r="BK20" s="45"/>
      <c r="BL20" s="45"/>
      <c r="BM20" s="53"/>
      <c r="BN20" s="53"/>
      <c r="BO20" s="53"/>
      <c r="BP20" s="53"/>
      <c r="BQ20" s="53"/>
      <c r="BR20" s="53"/>
      <c r="BS20" s="53"/>
      <c r="BT20" s="53"/>
      <c r="BU20" s="53"/>
      <c r="BV20" s="53" t="e">
        <f t="shared" si="11"/>
        <v>#DIV/0!</v>
      </c>
      <c r="BW20" s="53" t="e">
        <f t="shared" si="12"/>
        <v>#DIV/0!</v>
      </c>
      <c r="BX20" s="53" t="e">
        <f t="shared" si="13"/>
        <v>#DIV/0!</v>
      </c>
      <c r="BY20" s="53" t="e">
        <f t="shared" si="14"/>
        <v>#DIV/0!</v>
      </c>
      <c r="BZ20" s="53" t="e">
        <f t="shared" si="15"/>
        <v>#DIV/0!</v>
      </c>
      <c r="CA20" s="53" t="e">
        <f t="shared" si="16"/>
        <v>#DIV/0!</v>
      </c>
      <c r="CB20" s="53" t="e">
        <f t="shared" si="17"/>
        <v>#DIV/0!</v>
      </c>
      <c r="CC20" s="53" t="e">
        <f t="shared" si="18"/>
        <v>#DIV/0!</v>
      </c>
      <c r="CD20" s="53" t="e">
        <f t="shared" si="19"/>
        <v>#DIV/0!</v>
      </c>
      <c r="CE20" s="55">
        <f t="shared" si="22"/>
        <v>0</v>
      </c>
      <c r="CF20" s="55">
        <f t="shared" si="22"/>
        <v>0</v>
      </c>
      <c r="CG20" s="55">
        <f t="shared" si="22"/>
        <v>0</v>
      </c>
      <c r="CH20" s="55">
        <f t="shared" si="22"/>
        <v>0</v>
      </c>
      <c r="CI20" s="55">
        <f t="shared" si="22"/>
        <v>0</v>
      </c>
      <c r="CJ20" s="55">
        <f t="shared" si="22"/>
        <v>0</v>
      </c>
      <c r="CK20" s="55">
        <f t="shared" si="22"/>
        <v>0</v>
      </c>
      <c r="CL20" s="55">
        <f t="shared" si="22"/>
        <v>0</v>
      </c>
      <c r="CM20" s="55">
        <f t="shared" si="22"/>
        <v>0</v>
      </c>
    </row>
    <row r="21" spans="1:91" x14ac:dyDescent="0.15">
      <c r="A21" s="42">
        <v>19</v>
      </c>
      <c r="B21" s="45">
        <f t="shared" si="25"/>
        <v>1</v>
      </c>
      <c r="C21" s="45">
        <f t="shared" si="24"/>
        <v>1</v>
      </c>
      <c r="D21" s="45">
        <f t="shared" si="24"/>
        <v>1</v>
      </c>
      <c r="E21" s="45">
        <f t="shared" si="24"/>
        <v>1</v>
      </c>
      <c r="F21" s="45">
        <f t="shared" si="24"/>
        <v>1</v>
      </c>
      <c r="G21" s="45">
        <f t="shared" si="24"/>
        <v>1</v>
      </c>
      <c r="H21" s="45">
        <f t="shared" si="24"/>
        <v>1</v>
      </c>
      <c r="I21" s="45">
        <f t="shared" si="24"/>
        <v>1</v>
      </c>
      <c r="J21" s="45">
        <f t="shared" si="24"/>
        <v>1</v>
      </c>
      <c r="K21" s="45" t="e">
        <f>K20+ATM_Conf!$C$5*(T20-AC20)</f>
        <v>#DIV/0!</v>
      </c>
      <c r="L21" s="45" t="e">
        <f>L20+ATM_Conf!$C$5*(U20-AD20)</f>
        <v>#DIV/0!</v>
      </c>
      <c r="M21" s="45" t="e">
        <f>M20+ATM_Conf!$C$5*(V20-AE20)</f>
        <v>#DIV/0!</v>
      </c>
      <c r="N21" s="45" t="e">
        <f>N20+ATM_Conf!$C$5*(W20-AF20)</f>
        <v>#DIV/0!</v>
      </c>
      <c r="O21" s="45" t="e">
        <f>O20+ATM_Conf!$C$5*(X20-AG20)</f>
        <v>#DIV/0!</v>
      </c>
      <c r="P21" s="45" t="e">
        <f>P20+ATM_Conf!$C$5*(Y20-AH20)</f>
        <v>#DIV/0!</v>
      </c>
      <c r="Q21" s="45" t="e">
        <f>Q20+ATM_Conf!$C$5*(Z20-AI20)</f>
        <v>#DIV/0!</v>
      </c>
      <c r="R21" s="45" t="e">
        <f>R20+ATM_Conf!$C$5*(AA20-AJ20)</f>
        <v>#DIV/0!</v>
      </c>
      <c r="S21" s="45" t="e">
        <f>S20+ATM_Conf!$C$5*(AB20-AK20)</f>
        <v>#DIV/0!</v>
      </c>
      <c r="T21" s="45"/>
      <c r="U21" s="45"/>
      <c r="V21" s="45"/>
      <c r="W21" s="45"/>
      <c r="X21" s="45"/>
      <c r="Y21" s="45"/>
      <c r="Z21" s="45"/>
      <c r="AA21" s="45"/>
      <c r="AB21" s="45"/>
      <c r="AC21" s="45" t="e">
        <f t="shared" si="2"/>
        <v>#DIV/0!</v>
      </c>
      <c r="AD21" s="45" t="e">
        <f t="shared" si="3"/>
        <v>#DIV/0!</v>
      </c>
      <c r="AE21" s="45" t="e">
        <f t="shared" si="4"/>
        <v>#DIV/0!</v>
      </c>
      <c r="AF21" s="45" t="e">
        <f t="shared" si="5"/>
        <v>#DIV/0!</v>
      </c>
      <c r="AG21" s="45" t="e">
        <f t="shared" si="6"/>
        <v>#DIV/0!</v>
      </c>
      <c r="AH21" s="45" t="e">
        <f t="shared" si="7"/>
        <v>#DIV/0!</v>
      </c>
      <c r="AI21" s="45" t="e">
        <f t="shared" si="8"/>
        <v>#DIV/0!</v>
      </c>
      <c r="AJ21" s="45" t="e">
        <f t="shared" si="9"/>
        <v>#DIV/0!</v>
      </c>
      <c r="AK21" s="45" t="e">
        <f t="shared" si="10"/>
        <v>#DIV/0!</v>
      </c>
      <c r="AL21" s="45" t="e">
        <f>T$3+K21/ATM_Conf!$C$5</f>
        <v>#DIV/0!</v>
      </c>
      <c r="AM21" s="45" t="e">
        <f>U$3+L21/ATM_Conf!$C$5</f>
        <v>#DIV/0!</v>
      </c>
      <c r="AN21" s="45" t="e">
        <f>V$3+M21/ATM_Conf!$C$5</f>
        <v>#DIV/0!</v>
      </c>
      <c r="AO21" s="45" t="e">
        <f>W$3+N21/ATM_Conf!$C$5</f>
        <v>#DIV/0!</v>
      </c>
      <c r="AP21" s="45" t="e">
        <f>X$3+O21/ATM_Conf!$C$5</f>
        <v>#DIV/0!</v>
      </c>
      <c r="AQ21" s="45" t="e">
        <f>Y$3+P21/ATM_Conf!$C$5</f>
        <v>#DIV/0!</v>
      </c>
      <c r="AR21" s="45" t="e">
        <f>Z$3+Q21/ATM_Conf!$C$5</f>
        <v>#DIV/0!</v>
      </c>
      <c r="AS21" s="45" t="e">
        <f>AA$3+R21/ATM_Conf!$C$5</f>
        <v>#DIV/0!</v>
      </c>
      <c r="AT21" s="45" t="e">
        <f>AB$3+S21/ATM_Conf!$C$5</f>
        <v>#DIV/0!</v>
      </c>
      <c r="AU21" s="45" t="e">
        <f>BD$3*MIN(1,(ATM_Conf!$C$6-Links!F21)/(ATM_Conf!$C$6-ATM_Conf!$C$7))</f>
        <v>#DIV/0!</v>
      </c>
      <c r="AV21" s="45" t="e">
        <f>BE$3*MIN(1,(ATM_Conf!$C$6-Links!G21)/(ATM_Conf!$C$6-ATM_Conf!$C$7))</f>
        <v>#DIV/0!</v>
      </c>
      <c r="AW21" s="45" t="e">
        <f>BF$3*MIN(1,(ATM_Conf!$C$6-Links!H21)/(ATM_Conf!$C$6-ATM_Conf!$C$7))</f>
        <v>#DIV/0!</v>
      </c>
      <c r="AX21" s="45" t="e">
        <f>BG$3*MIN(1,(ATM_Conf!$C$6-Links!I21)/(ATM_Conf!$C$6-ATM_Conf!$C$7))</f>
        <v>#DIV/0!</v>
      </c>
      <c r="AY21" s="45" t="e">
        <f>BH$3*MIN(1,(ATM_Conf!$C$6-Links!J21)/(ATM_Conf!$C$6-ATM_Conf!$C$7))</f>
        <v>#DIV/0!</v>
      </c>
      <c r="AZ21" s="45" t="e">
        <f>BI$3*MIN(1,(ATM_Conf!$C$6-Links!K21)/(ATM_Conf!$C$6-ATM_Conf!$C$7))</f>
        <v>#DIV/0!</v>
      </c>
      <c r="BA21" s="45" t="e">
        <f>BJ$3*MIN(1,(ATM_Conf!$C$6-Links!L21)/(ATM_Conf!$C$6-ATM_Conf!$C$7))</f>
        <v>#DIV/0!</v>
      </c>
      <c r="BB21" s="45" t="e">
        <f>BK$3*MIN(1,(ATM_Conf!$C$6-Links!M21)/(ATM_Conf!$C$6-ATM_Conf!$C$7))</f>
        <v>#DIV/0!</v>
      </c>
      <c r="BC21" s="45" t="e">
        <f>BL$3*MIN(1,(ATM_Conf!$C$6-Links!N21)/(ATM_Conf!$C$6-ATM_Conf!$C$7))</f>
        <v>#DIV/0!</v>
      </c>
      <c r="BD21" s="45"/>
      <c r="BE21" s="45"/>
      <c r="BF21" s="45"/>
      <c r="BG21" s="45"/>
      <c r="BH21" s="45"/>
      <c r="BI21" s="45"/>
      <c r="BJ21" s="45"/>
      <c r="BK21" s="45"/>
      <c r="BL21" s="45"/>
      <c r="BM21" s="53"/>
      <c r="BN21" s="53"/>
      <c r="BO21" s="53"/>
      <c r="BP21" s="53"/>
      <c r="BQ21" s="53"/>
      <c r="BR21" s="53"/>
      <c r="BS21" s="53"/>
      <c r="BT21" s="53"/>
      <c r="BU21" s="53"/>
      <c r="BV21" s="53" t="e">
        <f t="shared" si="11"/>
        <v>#DIV/0!</v>
      </c>
      <c r="BW21" s="53" t="e">
        <f t="shared" si="12"/>
        <v>#DIV/0!</v>
      </c>
      <c r="BX21" s="53" t="e">
        <f t="shared" si="13"/>
        <v>#DIV/0!</v>
      </c>
      <c r="BY21" s="53" t="e">
        <f t="shared" si="14"/>
        <v>#DIV/0!</v>
      </c>
      <c r="BZ21" s="53" t="e">
        <f t="shared" si="15"/>
        <v>#DIV/0!</v>
      </c>
      <c r="CA21" s="53" t="e">
        <f t="shared" si="16"/>
        <v>#DIV/0!</v>
      </c>
      <c r="CB21" s="53" t="e">
        <f t="shared" si="17"/>
        <v>#DIV/0!</v>
      </c>
      <c r="CC21" s="53" t="e">
        <f t="shared" si="18"/>
        <v>#DIV/0!</v>
      </c>
      <c r="CD21" s="53" t="e">
        <f t="shared" si="19"/>
        <v>#DIV/0!</v>
      </c>
      <c r="CE21" s="55">
        <f t="shared" si="22"/>
        <v>0</v>
      </c>
      <c r="CF21" s="55">
        <f t="shared" si="22"/>
        <v>0</v>
      </c>
      <c r="CG21" s="55">
        <f t="shared" si="22"/>
        <v>0</v>
      </c>
      <c r="CH21" s="55">
        <f t="shared" si="22"/>
        <v>0</v>
      </c>
      <c r="CI21" s="55">
        <f t="shared" si="22"/>
        <v>0</v>
      </c>
      <c r="CJ21" s="55">
        <f t="shared" si="22"/>
        <v>0</v>
      </c>
      <c r="CK21" s="55">
        <f t="shared" si="22"/>
        <v>0</v>
      </c>
      <c r="CL21" s="55">
        <f t="shared" si="22"/>
        <v>0</v>
      </c>
      <c r="CM21" s="55">
        <f t="shared" si="22"/>
        <v>0</v>
      </c>
    </row>
    <row r="22" spans="1:91" x14ac:dyDescent="0.15">
      <c r="A22" s="42">
        <v>20</v>
      </c>
      <c r="B22" s="45">
        <f t="shared" si="25"/>
        <v>1</v>
      </c>
      <c r="C22" s="45">
        <f t="shared" si="24"/>
        <v>1</v>
      </c>
      <c r="D22" s="45">
        <f t="shared" si="24"/>
        <v>1</v>
      </c>
      <c r="E22" s="45">
        <f t="shared" si="24"/>
        <v>1</v>
      </c>
      <c r="F22" s="45">
        <f t="shared" si="24"/>
        <v>1</v>
      </c>
      <c r="G22" s="45">
        <f t="shared" si="24"/>
        <v>1</v>
      </c>
      <c r="H22" s="45">
        <f t="shared" si="24"/>
        <v>1</v>
      </c>
      <c r="I22" s="45">
        <f t="shared" si="24"/>
        <v>1</v>
      </c>
      <c r="J22" s="45">
        <f t="shared" si="24"/>
        <v>1</v>
      </c>
      <c r="K22" s="45" t="e">
        <f>K21+ATM_Conf!$C$5*(T21-AC21)</f>
        <v>#DIV/0!</v>
      </c>
      <c r="L22" s="45" t="e">
        <f>L21+ATM_Conf!$C$5*(U21-AD21)</f>
        <v>#DIV/0!</v>
      </c>
      <c r="M22" s="45" t="e">
        <f>M21+ATM_Conf!$C$5*(V21-AE21)</f>
        <v>#DIV/0!</v>
      </c>
      <c r="N22" s="45" t="e">
        <f>N21+ATM_Conf!$C$5*(W21-AF21)</f>
        <v>#DIV/0!</v>
      </c>
      <c r="O22" s="45" t="e">
        <f>O21+ATM_Conf!$C$5*(X21-AG21)</f>
        <v>#DIV/0!</v>
      </c>
      <c r="P22" s="45" t="e">
        <f>P21+ATM_Conf!$C$5*(Y21-AH21)</f>
        <v>#DIV/0!</v>
      </c>
      <c r="Q22" s="45" t="e">
        <f>Q21+ATM_Conf!$C$5*(Z21-AI21)</f>
        <v>#DIV/0!</v>
      </c>
      <c r="R22" s="45" t="e">
        <f>R21+ATM_Conf!$C$5*(AA21-AJ21)</f>
        <v>#DIV/0!</v>
      </c>
      <c r="S22" s="45" t="e">
        <f>S21+ATM_Conf!$C$5*(AB21-AK21)</f>
        <v>#DIV/0!</v>
      </c>
      <c r="T22" s="45"/>
      <c r="U22" s="45"/>
      <c r="V22" s="45"/>
      <c r="W22" s="45"/>
      <c r="X22" s="45"/>
      <c r="Y22" s="45"/>
      <c r="Z22" s="45"/>
      <c r="AA22" s="45"/>
      <c r="AB22" s="45"/>
      <c r="AC22" s="45" t="e">
        <f t="shared" si="2"/>
        <v>#DIV/0!</v>
      </c>
      <c r="AD22" s="45" t="e">
        <f t="shared" si="3"/>
        <v>#DIV/0!</v>
      </c>
      <c r="AE22" s="45" t="e">
        <f t="shared" si="4"/>
        <v>#DIV/0!</v>
      </c>
      <c r="AF22" s="45" t="e">
        <f t="shared" si="5"/>
        <v>#DIV/0!</v>
      </c>
      <c r="AG22" s="45" t="e">
        <f t="shared" si="6"/>
        <v>#DIV/0!</v>
      </c>
      <c r="AH22" s="45" t="e">
        <f t="shared" si="7"/>
        <v>#DIV/0!</v>
      </c>
      <c r="AI22" s="45" t="e">
        <f t="shared" si="8"/>
        <v>#DIV/0!</v>
      </c>
      <c r="AJ22" s="45" t="e">
        <f t="shared" si="9"/>
        <v>#DIV/0!</v>
      </c>
      <c r="AK22" s="45" t="e">
        <f t="shared" si="10"/>
        <v>#DIV/0!</v>
      </c>
      <c r="AL22" s="45" t="e">
        <f>T$3+K22/ATM_Conf!$C$5</f>
        <v>#DIV/0!</v>
      </c>
      <c r="AM22" s="45" t="e">
        <f>U$3+L22/ATM_Conf!$C$5</f>
        <v>#DIV/0!</v>
      </c>
      <c r="AN22" s="45" t="e">
        <f>V$3+M22/ATM_Conf!$C$5</f>
        <v>#DIV/0!</v>
      </c>
      <c r="AO22" s="45" t="e">
        <f>W$3+N22/ATM_Conf!$C$5</f>
        <v>#DIV/0!</v>
      </c>
      <c r="AP22" s="45" t="e">
        <f>X$3+O22/ATM_Conf!$C$5</f>
        <v>#DIV/0!</v>
      </c>
      <c r="AQ22" s="45" t="e">
        <f>Y$3+P22/ATM_Conf!$C$5</f>
        <v>#DIV/0!</v>
      </c>
      <c r="AR22" s="45" t="e">
        <f>Z$3+Q22/ATM_Conf!$C$5</f>
        <v>#DIV/0!</v>
      </c>
      <c r="AS22" s="45" t="e">
        <f>AA$3+R22/ATM_Conf!$C$5</f>
        <v>#DIV/0!</v>
      </c>
      <c r="AT22" s="45" t="e">
        <f>AB$3+S22/ATM_Conf!$C$5</f>
        <v>#DIV/0!</v>
      </c>
      <c r="AU22" s="45" t="e">
        <f>BD$3*MIN(1,(ATM_Conf!$C$6-Links!F22)/(ATM_Conf!$C$6-ATM_Conf!$C$7))</f>
        <v>#DIV/0!</v>
      </c>
      <c r="AV22" s="45" t="e">
        <f>BE$3*MIN(1,(ATM_Conf!$C$6-Links!G22)/(ATM_Conf!$C$6-ATM_Conf!$C$7))</f>
        <v>#DIV/0!</v>
      </c>
      <c r="AW22" s="45" t="e">
        <f>BF$3*MIN(1,(ATM_Conf!$C$6-Links!H22)/(ATM_Conf!$C$6-ATM_Conf!$C$7))</f>
        <v>#DIV/0!</v>
      </c>
      <c r="AX22" s="45" t="e">
        <f>BG$3*MIN(1,(ATM_Conf!$C$6-Links!I22)/(ATM_Conf!$C$6-ATM_Conf!$C$7))</f>
        <v>#DIV/0!</v>
      </c>
      <c r="AY22" s="45" t="e">
        <f>BH$3*MIN(1,(ATM_Conf!$C$6-Links!J22)/(ATM_Conf!$C$6-ATM_Conf!$C$7))</f>
        <v>#DIV/0!</v>
      </c>
      <c r="AZ22" s="45" t="e">
        <f>BI$3*MIN(1,(ATM_Conf!$C$6-Links!K22)/(ATM_Conf!$C$6-ATM_Conf!$C$7))</f>
        <v>#DIV/0!</v>
      </c>
      <c r="BA22" s="45" t="e">
        <f>BJ$3*MIN(1,(ATM_Conf!$C$6-Links!L22)/(ATM_Conf!$C$6-ATM_Conf!$C$7))</f>
        <v>#DIV/0!</v>
      </c>
      <c r="BB22" s="45" t="e">
        <f>BK$3*MIN(1,(ATM_Conf!$C$6-Links!M22)/(ATM_Conf!$C$6-ATM_Conf!$C$7))</f>
        <v>#DIV/0!</v>
      </c>
      <c r="BC22" s="45" t="e">
        <f>BL$3*MIN(1,(ATM_Conf!$C$6-Links!N22)/(ATM_Conf!$C$6-ATM_Conf!$C$7))</f>
        <v>#DIV/0!</v>
      </c>
      <c r="BD22" s="45"/>
      <c r="BE22" s="45"/>
      <c r="BF22" s="45"/>
      <c r="BG22" s="45"/>
      <c r="BH22" s="45"/>
      <c r="BI22" s="45"/>
      <c r="BJ22" s="45"/>
      <c r="BK22" s="45"/>
      <c r="BL22" s="45"/>
      <c r="BM22" s="53"/>
      <c r="BN22" s="53"/>
      <c r="BO22" s="53"/>
      <c r="BP22" s="53"/>
      <c r="BQ22" s="53"/>
      <c r="BR22" s="53"/>
      <c r="BS22" s="53"/>
      <c r="BT22" s="53"/>
      <c r="BU22" s="53"/>
      <c r="BV22" s="53" t="e">
        <f t="shared" si="11"/>
        <v>#DIV/0!</v>
      </c>
      <c r="BW22" s="53" t="e">
        <f t="shared" si="12"/>
        <v>#DIV/0!</v>
      </c>
      <c r="BX22" s="53" t="e">
        <f t="shared" si="13"/>
        <v>#DIV/0!</v>
      </c>
      <c r="BY22" s="53" t="e">
        <f t="shared" si="14"/>
        <v>#DIV/0!</v>
      </c>
      <c r="BZ22" s="53" t="e">
        <f t="shared" si="15"/>
        <v>#DIV/0!</v>
      </c>
      <c r="CA22" s="53" t="e">
        <f t="shared" si="16"/>
        <v>#DIV/0!</v>
      </c>
      <c r="CB22" s="53" t="e">
        <f t="shared" si="17"/>
        <v>#DIV/0!</v>
      </c>
      <c r="CC22" s="53" t="e">
        <f t="shared" si="18"/>
        <v>#DIV/0!</v>
      </c>
      <c r="CD22" s="53" t="e">
        <f t="shared" si="19"/>
        <v>#DIV/0!</v>
      </c>
      <c r="CE22" s="55">
        <f t="shared" si="22"/>
        <v>0</v>
      </c>
      <c r="CF22" s="55">
        <f t="shared" si="22"/>
        <v>0</v>
      </c>
      <c r="CG22" s="55">
        <f t="shared" si="22"/>
        <v>0</v>
      </c>
      <c r="CH22" s="55">
        <f t="shared" si="22"/>
        <v>0</v>
      </c>
      <c r="CI22" s="55">
        <f t="shared" si="22"/>
        <v>0</v>
      </c>
      <c r="CJ22" s="55">
        <f t="shared" si="22"/>
        <v>0</v>
      </c>
      <c r="CK22" s="55">
        <f t="shared" si="22"/>
        <v>0</v>
      </c>
      <c r="CL22" s="55">
        <f t="shared" si="22"/>
        <v>0</v>
      </c>
      <c r="CM22" s="55">
        <f t="shared" si="22"/>
        <v>0</v>
      </c>
    </row>
    <row r="23" spans="1:91" x14ac:dyDescent="0.15">
      <c r="A23" s="42">
        <v>21</v>
      </c>
      <c r="B23" s="45">
        <f t="shared" si="25"/>
        <v>1</v>
      </c>
      <c r="C23" s="45">
        <f t="shared" si="24"/>
        <v>1</v>
      </c>
      <c r="D23" s="45">
        <f t="shared" si="24"/>
        <v>1</v>
      </c>
      <c r="E23" s="45">
        <f t="shared" si="24"/>
        <v>1</v>
      </c>
      <c r="F23" s="45">
        <f t="shared" si="24"/>
        <v>1</v>
      </c>
      <c r="G23" s="45">
        <f t="shared" si="24"/>
        <v>1</v>
      </c>
      <c r="H23" s="45">
        <f t="shared" si="24"/>
        <v>1</v>
      </c>
      <c r="I23" s="45">
        <f t="shared" si="24"/>
        <v>1</v>
      </c>
      <c r="J23" s="45">
        <f t="shared" si="24"/>
        <v>1</v>
      </c>
      <c r="K23" s="45" t="e">
        <f>K22+ATM_Conf!$C$5*(T22-AC22)</f>
        <v>#DIV/0!</v>
      </c>
      <c r="L23" s="45" t="e">
        <f>L22+ATM_Conf!$C$5*(U22-AD22)</f>
        <v>#DIV/0!</v>
      </c>
      <c r="M23" s="45" t="e">
        <f>M22+ATM_Conf!$C$5*(V22-AE22)</f>
        <v>#DIV/0!</v>
      </c>
      <c r="N23" s="45" t="e">
        <f>N22+ATM_Conf!$C$5*(W22-AF22)</f>
        <v>#DIV/0!</v>
      </c>
      <c r="O23" s="45" t="e">
        <f>O22+ATM_Conf!$C$5*(X22-AG22)</f>
        <v>#DIV/0!</v>
      </c>
      <c r="P23" s="45" t="e">
        <f>P22+ATM_Conf!$C$5*(Y22-AH22)</f>
        <v>#DIV/0!</v>
      </c>
      <c r="Q23" s="45" t="e">
        <f>Q22+ATM_Conf!$C$5*(Z22-AI22)</f>
        <v>#DIV/0!</v>
      </c>
      <c r="R23" s="45" t="e">
        <f>R22+ATM_Conf!$C$5*(AA22-AJ22)</f>
        <v>#DIV/0!</v>
      </c>
      <c r="S23" s="45" t="e">
        <f>S22+ATM_Conf!$C$5*(AB22-AK22)</f>
        <v>#DIV/0!</v>
      </c>
      <c r="T23" s="45"/>
      <c r="U23" s="45"/>
      <c r="V23" s="45"/>
      <c r="W23" s="45"/>
      <c r="X23" s="45"/>
      <c r="Y23" s="45"/>
      <c r="Z23" s="45"/>
      <c r="AA23" s="45"/>
      <c r="AB23" s="45"/>
      <c r="AC23" s="45" t="e">
        <f t="shared" si="2"/>
        <v>#DIV/0!</v>
      </c>
      <c r="AD23" s="45" t="e">
        <f t="shared" si="3"/>
        <v>#DIV/0!</v>
      </c>
      <c r="AE23" s="45" t="e">
        <f t="shared" si="4"/>
        <v>#DIV/0!</v>
      </c>
      <c r="AF23" s="45" t="e">
        <f t="shared" si="5"/>
        <v>#DIV/0!</v>
      </c>
      <c r="AG23" s="45" t="e">
        <f t="shared" si="6"/>
        <v>#DIV/0!</v>
      </c>
      <c r="AH23" s="45" t="e">
        <f t="shared" si="7"/>
        <v>#DIV/0!</v>
      </c>
      <c r="AI23" s="45" t="e">
        <f t="shared" si="8"/>
        <v>#DIV/0!</v>
      </c>
      <c r="AJ23" s="45" t="e">
        <f t="shared" si="9"/>
        <v>#DIV/0!</v>
      </c>
      <c r="AK23" s="45" t="e">
        <f t="shared" si="10"/>
        <v>#DIV/0!</v>
      </c>
      <c r="AL23" s="45" t="e">
        <f>T$3+K23/ATM_Conf!$C$5</f>
        <v>#DIV/0!</v>
      </c>
      <c r="AM23" s="45" t="e">
        <f>U$3+L23/ATM_Conf!$C$5</f>
        <v>#DIV/0!</v>
      </c>
      <c r="AN23" s="45" t="e">
        <f>V$3+M23/ATM_Conf!$C$5</f>
        <v>#DIV/0!</v>
      </c>
      <c r="AO23" s="45" t="e">
        <f>W$3+N23/ATM_Conf!$C$5</f>
        <v>#DIV/0!</v>
      </c>
      <c r="AP23" s="45" t="e">
        <f>X$3+O23/ATM_Conf!$C$5</f>
        <v>#DIV/0!</v>
      </c>
      <c r="AQ23" s="45" t="e">
        <f>Y$3+P23/ATM_Conf!$C$5</f>
        <v>#DIV/0!</v>
      </c>
      <c r="AR23" s="45" t="e">
        <f>Z$3+Q23/ATM_Conf!$C$5</f>
        <v>#DIV/0!</v>
      </c>
      <c r="AS23" s="45" t="e">
        <f>AA$3+R23/ATM_Conf!$C$5</f>
        <v>#DIV/0!</v>
      </c>
      <c r="AT23" s="45" t="e">
        <f>AB$3+S23/ATM_Conf!$C$5</f>
        <v>#DIV/0!</v>
      </c>
      <c r="AU23" s="45" t="e">
        <f>BD$3*MIN(1,(ATM_Conf!$C$6-Links!F23)/(ATM_Conf!$C$6-ATM_Conf!$C$7))</f>
        <v>#DIV/0!</v>
      </c>
      <c r="AV23" s="45" t="e">
        <f>BE$3*MIN(1,(ATM_Conf!$C$6-Links!G23)/(ATM_Conf!$C$6-ATM_Conf!$C$7))</f>
        <v>#DIV/0!</v>
      </c>
      <c r="AW23" s="45" t="e">
        <f>BF$3*MIN(1,(ATM_Conf!$C$6-Links!H23)/(ATM_Conf!$C$6-ATM_Conf!$C$7))</f>
        <v>#DIV/0!</v>
      </c>
      <c r="AX23" s="45" t="e">
        <f>BG$3*MIN(1,(ATM_Conf!$C$6-Links!I23)/(ATM_Conf!$C$6-ATM_Conf!$C$7))</f>
        <v>#DIV/0!</v>
      </c>
      <c r="AY23" s="45" t="e">
        <f>BH$3*MIN(1,(ATM_Conf!$C$6-Links!J23)/(ATM_Conf!$C$6-ATM_Conf!$C$7))</f>
        <v>#DIV/0!</v>
      </c>
      <c r="AZ23" s="45" t="e">
        <f>BI$3*MIN(1,(ATM_Conf!$C$6-Links!K23)/(ATM_Conf!$C$6-ATM_Conf!$C$7))</f>
        <v>#DIV/0!</v>
      </c>
      <c r="BA23" s="45" t="e">
        <f>BJ$3*MIN(1,(ATM_Conf!$C$6-Links!L23)/(ATM_Conf!$C$6-ATM_Conf!$C$7))</f>
        <v>#DIV/0!</v>
      </c>
      <c r="BB23" s="45" t="e">
        <f>BK$3*MIN(1,(ATM_Conf!$C$6-Links!M23)/(ATM_Conf!$C$6-ATM_Conf!$C$7))</f>
        <v>#DIV/0!</v>
      </c>
      <c r="BC23" s="45" t="e">
        <f>BL$3*MIN(1,(ATM_Conf!$C$6-Links!N23)/(ATM_Conf!$C$6-ATM_Conf!$C$7))</f>
        <v>#DIV/0!</v>
      </c>
      <c r="BD23" s="45"/>
      <c r="BE23" s="45"/>
      <c r="BF23" s="45"/>
      <c r="BG23" s="45"/>
      <c r="BH23" s="45"/>
      <c r="BI23" s="45"/>
      <c r="BJ23" s="45"/>
      <c r="BK23" s="45"/>
      <c r="BL23" s="45"/>
      <c r="BM23" s="53"/>
      <c r="BN23" s="53"/>
      <c r="BO23" s="53"/>
      <c r="BP23" s="53"/>
      <c r="BQ23" s="53"/>
      <c r="BR23" s="53"/>
      <c r="BS23" s="53"/>
      <c r="BT23" s="53"/>
      <c r="BU23" s="53"/>
      <c r="BV23" s="53" t="e">
        <f t="shared" si="11"/>
        <v>#DIV/0!</v>
      </c>
      <c r="BW23" s="53" t="e">
        <f t="shared" si="12"/>
        <v>#DIV/0!</v>
      </c>
      <c r="BX23" s="53" t="e">
        <f t="shared" si="13"/>
        <v>#DIV/0!</v>
      </c>
      <c r="BY23" s="53" t="e">
        <f t="shared" si="14"/>
        <v>#DIV/0!</v>
      </c>
      <c r="BZ23" s="53" t="e">
        <f t="shared" si="15"/>
        <v>#DIV/0!</v>
      </c>
      <c r="CA23" s="53" t="e">
        <f t="shared" si="16"/>
        <v>#DIV/0!</v>
      </c>
      <c r="CB23" s="53" t="e">
        <f t="shared" si="17"/>
        <v>#DIV/0!</v>
      </c>
      <c r="CC23" s="53" t="e">
        <f t="shared" si="18"/>
        <v>#DIV/0!</v>
      </c>
      <c r="CD23" s="53" t="e">
        <f t="shared" si="19"/>
        <v>#DIV/0!</v>
      </c>
      <c r="CE23" s="55">
        <f t="shared" si="22"/>
        <v>0</v>
      </c>
      <c r="CF23" s="55">
        <f t="shared" si="22"/>
        <v>0</v>
      </c>
      <c r="CG23" s="55">
        <f t="shared" si="22"/>
        <v>0</v>
      </c>
      <c r="CH23" s="55">
        <f t="shared" si="22"/>
        <v>0</v>
      </c>
      <c r="CI23" s="55">
        <f t="shared" si="22"/>
        <v>0</v>
      </c>
      <c r="CJ23" s="55">
        <f t="shared" si="22"/>
        <v>0</v>
      </c>
      <c r="CK23" s="55">
        <f t="shared" si="22"/>
        <v>0</v>
      </c>
      <c r="CL23" s="55">
        <f t="shared" si="22"/>
        <v>0</v>
      </c>
      <c r="CM23" s="55">
        <f t="shared" si="22"/>
        <v>0</v>
      </c>
    </row>
    <row r="24" spans="1:91" x14ac:dyDescent="0.15">
      <c r="A24" s="42">
        <v>22</v>
      </c>
      <c r="B24" s="45">
        <f t="shared" si="25"/>
        <v>1</v>
      </c>
      <c r="C24" s="45">
        <f t="shared" si="24"/>
        <v>1</v>
      </c>
      <c r="D24" s="45">
        <f t="shared" si="24"/>
        <v>1</v>
      </c>
      <c r="E24" s="45">
        <f t="shared" si="24"/>
        <v>1</v>
      </c>
      <c r="F24" s="45">
        <f t="shared" si="24"/>
        <v>1</v>
      </c>
      <c r="G24" s="45">
        <f t="shared" si="24"/>
        <v>1</v>
      </c>
      <c r="H24" s="45">
        <f t="shared" si="24"/>
        <v>1</v>
      </c>
      <c r="I24" s="45">
        <f t="shared" si="24"/>
        <v>1</v>
      </c>
      <c r="J24" s="45">
        <f t="shared" si="24"/>
        <v>1</v>
      </c>
      <c r="K24" s="45" t="e">
        <f>K23+ATM_Conf!$C$5*(T23-AC23)</f>
        <v>#DIV/0!</v>
      </c>
      <c r="L24" s="45" t="e">
        <f>L23+ATM_Conf!$C$5*(U23-AD23)</f>
        <v>#DIV/0!</v>
      </c>
      <c r="M24" s="45" t="e">
        <f>M23+ATM_Conf!$C$5*(V23-AE23)</f>
        <v>#DIV/0!</v>
      </c>
      <c r="N24" s="45" t="e">
        <f>N23+ATM_Conf!$C$5*(W23-AF23)</f>
        <v>#DIV/0!</v>
      </c>
      <c r="O24" s="45" t="e">
        <f>O23+ATM_Conf!$C$5*(X23-AG23)</f>
        <v>#DIV/0!</v>
      </c>
      <c r="P24" s="45" t="e">
        <f>P23+ATM_Conf!$C$5*(Y23-AH23)</f>
        <v>#DIV/0!</v>
      </c>
      <c r="Q24" s="45" t="e">
        <f>Q23+ATM_Conf!$C$5*(Z23-AI23)</f>
        <v>#DIV/0!</v>
      </c>
      <c r="R24" s="45" t="e">
        <f>R23+ATM_Conf!$C$5*(AA23-AJ23)</f>
        <v>#DIV/0!</v>
      </c>
      <c r="S24" s="45" t="e">
        <f>S23+ATM_Conf!$C$5*(AB23-AK23)</f>
        <v>#DIV/0!</v>
      </c>
      <c r="T24" s="45"/>
      <c r="U24" s="45"/>
      <c r="V24" s="45"/>
      <c r="W24" s="45"/>
      <c r="X24" s="45"/>
      <c r="Y24" s="45"/>
      <c r="Z24" s="45"/>
      <c r="AA24" s="45"/>
      <c r="AB24" s="45"/>
      <c r="AC24" s="45" t="e">
        <f t="shared" si="2"/>
        <v>#DIV/0!</v>
      </c>
      <c r="AD24" s="45" t="e">
        <f t="shared" si="3"/>
        <v>#DIV/0!</v>
      </c>
      <c r="AE24" s="45" t="e">
        <f t="shared" si="4"/>
        <v>#DIV/0!</v>
      </c>
      <c r="AF24" s="45" t="e">
        <f t="shared" si="5"/>
        <v>#DIV/0!</v>
      </c>
      <c r="AG24" s="45" t="e">
        <f t="shared" si="6"/>
        <v>#DIV/0!</v>
      </c>
      <c r="AH24" s="45" t="e">
        <f t="shared" si="7"/>
        <v>#DIV/0!</v>
      </c>
      <c r="AI24" s="45" t="e">
        <f t="shared" si="8"/>
        <v>#DIV/0!</v>
      </c>
      <c r="AJ24" s="45" t="e">
        <f t="shared" si="9"/>
        <v>#DIV/0!</v>
      </c>
      <c r="AK24" s="45" t="e">
        <f t="shared" si="10"/>
        <v>#DIV/0!</v>
      </c>
      <c r="AL24" s="45" t="e">
        <f>T$3+K24/ATM_Conf!$C$5</f>
        <v>#DIV/0!</v>
      </c>
      <c r="AM24" s="45" t="e">
        <f>U$3+L24/ATM_Conf!$C$5</f>
        <v>#DIV/0!</v>
      </c>
      <c r="AN24" s="45" t="e">
        <f>V$3+M24/ATM_Conf!$C$5</f>
        <v>#DIV/0!</v>
      </c>
      <c r="AO24" s="45" t="e">
        <f>W$3+N24/ATM_Conf!$C$5</f>
        <v>#DIV/0!</v>
      </c>
      <c r="AP24" s="45" t="e">
        <f>X$3+O24/ATM_Conf!$C$5</f>
        <v>#DIV/0!</v>
      </c>
      <c r="AQ24" s="45" t="e">
        <f>Y$3+P24/ATM_Conf!$C$5</f>
        <v>#DIV/0!</v>
      </c>
      <c r="AR24" s="45" t="e">
        <f>Z$3+Q24/ATM_Conf!$C$5</f>
        <v>#DIV/0!</v>
      </c>
      <c r="AS24" s="45" t="e">
        <f>AA$3+R24/ATM_Conf!$C$5</f>
        <v>#DIV/0!</v>
      </c>
      <c r="AT24" s="45" t="e">
        <f>AB$3+S24/ATM_Conf!$C$5</f>
        <v>#DIV/0!</v>
      </c>
      <c r="AU24" s="45" t="e">
        <f>BD$3*MIN(1,(ATM_Conf!$C$6-Links!F24)/(ATM_Conf!$C$6-ATM_Conf!$C$7))</f>
        <v>#DIV/0!</v>
      </c>
      <c r="AV24" s="45" t="e">
        <f>BE$3*MIN(1,(ATM_Conf!$C$6-Links!G24)/(ATM_Conf!$C$6-ATM_Conf!$C$7))</f>
        <v>#DIV/0!</v>
      </c>
      <c r="AW24" s="45" t="e">
        <f>BF$3*MIN(1,(ATM_Conf!$C$6-Links!H24)/(ATM_Conf!$C$6-ATM_Conf!$C$7))</f>
        <v>#DIV/0!</v>
      </c>
      <c r="AX24" s="45" t="e">
        <f>BG$3*MIN(1,(ATM_Conf!$C$6-Links!I24)/(ATM_Conf!$C$6-ATM_Conf!$C$7))</f>
        <v>#DIV/0!</v>
      </c>
      <c r="AY24" s="45" t="e">
        <f>BH$3*MIN(1,(ATM_Conf!$C$6-Links!J24)/(ATM_Conf!$C$6-ATM_Conf!$C$7))</f>
        <v>#DIV/0!</v>
      </c>
      <c r="AZ24" s="45" t="e">
        <f>BI$3*MIN(1,(ATM_Conf!$C$6-Links!K24)/(ATM_Conf!$C$6-ATM_Conf!$C$7))</f>
        <v>#DIV/0!</v>
      </c>
      <c r="BA24" s="45" t="e">
        <f>BJ$3*MIN(1,(ATM_Conf!$C$6-Links!L24)/(ATM_Conf!$C$6-ATM_Conf!$C$7))</f>
        <v>#DIV/0!</v>
      </c>
      <c r="BB24" s="45" t="e">
        <f>BK$3*MIN(1,(ATM_Conf!$C$6-Links!M24)/(ATM_Conf!$C$6-ATM_Conf!$C$7))</f>
        <v>#DIV/0!</v>
      </c>
      <c r="BC24" s="45" t="e">
        <f>BL$3*MIN(1,(ATM_Conf!$C$6-Links!N24)/(ATM_Conf!$C$6-ATM_Conf!$C$7))</f>
        <v>#DIV/0!</v>
      </c>
      <c r="BD24" s="45"/>
      <c r="BE24" s="45"/>
      <c r="BF24" s="45"/>
      <c r="BG24" s="45"/>
      <c r="BH24" s="45"/>
      <c r="BI24" s="45"/>
      <c r="BJ24" s="45"/>
      <c r="BK24" s="45"/>
      <c r="BL24" s="45"/>
      <c r="BM24" s="53"/>
      <c r="BN24" s="53"/>
      <c r="BO24" s="53"/>
      <c r="BP24" s="53"/>
      <c r="BQ24" s="53"/>
      <c r="BR24" s="53"/>
      <c r="BS24" s="53"/>
      <c r="BT24" s="53"/>
      <c r="BU24" s="53"/>
      <c r="BV24" s="53" t="e">
        <f t="shared" si="11"/>
        <v>#DIV/0!</v>
      </c>
      <c r="BW24" s="53" t="e">
        <f t="shared" si="12"/>
        <v>#DIV/0!</v>
      </c>
      <c r="BX24" s="53" t="e">
        <f t="shared" si="13"/>
        <v>#DIV/0!</v>
      </c>
      <c r="BY24" s="53" t="e">
        <f t="shared" si="14"/>
        <v>#DIV/0!</v>
      </c>
      <c r="BZ24" s="53" t="e">
        <f t="shared" si="15"/>
        <v>#DIV/0!</v>
      </c>
      <c r="CA24" s="53" t="e">
        <f t="shared" si="16"/>
        <v>#DIV/0!</v>
      </c>
      <c r="CB24" s="53" t="e">
        <f t="shared" si="17"/>
        <v>#DIV/0!</v>
      </c>
      <c r="CC24" s="53" t="e">
        <f t="shared" si="18"/>
        <v>#DIV/0!</v>
      </c>
      <c r="CD24" s="53" t="e">
        <f t="shared" si="19"/>
        <v>#DIV/0!</v>
      </c>
      <c r="CE24" s="55">
        <f t="shared" si="22"/>
        <v>0</v>
      </c>
      <c r="CF24" s="55">
        <f t="shared" si="22"/>
        <v>0</v>
      </c>
      <c r="CG24" s="55">
        <f t="shared" si="22"/>
        <v>0</v>
      </c>
      <c r="CH24" s="55">
        <f t="shared" si="22"/>
        <v>0</v>
      </c>
      <c r="CI24" s="55">
        <f t="shared" si="22"/>
        <v>0</v>
      </c>
      <c r="CJ24" s="55">
        <f t="shared" si="22"/>
        <v>0</v>
      </c>
      <c r="CK24" s="55">
        <f t="shared" si="22"/>
        <v>0</v>
      </c>
      <c r="CL24" s="55">
        <f t="shared" si="22"/>
        <v>0</v>
      </c>
      <c r="CM24" s="55">
        <f t="shared" si="22"/>
        <v>0</v>
      </c>
    </row>
    <row r="25" spans="1:91" x14ac:dyDescent="0.15">
      <c r="A25" s="42">
        <v>23</v>
      </c>
      <c r="B25" s="45">
        <f t="shared" si="25"/>
        <v>1</v>
      </c>
      <c r="C25" s="45">
        <f t="shared" si="24"/>
        <v>1</v>
      </c>
      <c r="D25" s="45">
        <f t="shared" si="24"/>
        <v>1</v>
      </c>
      <c r="E25" s="45">
        <f t="shared" si="24"/>
        <v>1</v>
      </c>
      <c r="F25" s="45">
        <f t="shared" si="24"/>
        <v>1</v>
      </c>
      <c r="G25" s="45">
        <f t="shared" si="24"/>
        <v>1</v>
      </c>
      <c r="H25" s="45">
        <f t="shared" si="24"/>
        <v>1</v>
      </c>
      <c r="I25" s="45">
        <f t="shared" si="24"/>
        <v>1</v>
      </c>
      <c r="J25" s="45">
        <f t="shared" si="24"/>
        <v>1</v>
      </c>
      <c r="K25" s="45" t="e">
        <f>K24+ATM_Conf!$C$5*(T24-AC24)</f>
        <v>#DIV/0!</v>
      </c>
      <c r="L25" s="45" t="e">
        <f>L24+ATM_Conf!$C$5*(U24-AD24)</f>
        <v>#DIV/0!</v>
      </c>
      <c r="M25" s="45" t="e">
        <f>M24+ATM_Conf!$C$5*(V24-AE24)</f>
        <v>#DIV/0!</v>
      </c>
      <c r="N25" s="45" t="e">
        <f>N24+ATM_Conf!$C$5*(W24-AF24)</f>
        <v>#DIV/0!</v>
      </c>
      <c r="O25" s="45" t="e">
        <f>O24+ATM_Conf!$C$5*(X24-AG24)</f>
        <v>#DIV/0!</v>
      </c>
      <c r="P25" s="45" t="e">
        <f>P24+ATM_Conf!$C$5*(Y24-AH24)</f>
        <v>#DIV/0!</v>
      </c>
      <c r="Q25" s="45" t="e">
        <f>Q24+ATM_Conf!$C$5*(Z24-AI24)</f>
        <v>#DIV/0!</v>
      </c>
      <c r="R25" s="45" t="e">
        <f>R24+ATM_Conf!$C$5*(AA24-AJ24)</f>
        <v>#DIV/0!</v>
      </c>
      <c r="S25" s="45" t="e">
        <f>S24+ATM_Conf!$C$5*(AB24-AK24)</f>
        <v>#DIV/0!</v>
      </c>
      <c r="T25" s="45"/>
      <c r="U25" s="45"/>
      <c r="V25" s="45"/>
      <c r="W25" s="45"/>
      <c r="X25" s="45"/>
      <c r="Y25" s="45"/>
      <c r="Z25" s="45"/>
      <c r="AA25" s="45"/>
      <c r="AB25" s="45"/>
      <c r="AC25" s="45" t="e">
        <f t="shared" si="2"/>
        <v>#DIV/0!</v>
      </c>
      <c r="AD25" s="45" t="e">
        <f t="shared" si="3"/>
        <v>#DIV/0!</v>
      </c>
      <c r="AE25" s="45" t="e">
        <f t="shared" si="4"/>
        <v>#DIV/0!</v>
      </c>
      <c r="AF25" s="45" t="e">
        <f t="shared" si="5"/>
        <v>#DIV/0!</v>
      </c>
      <c r="AG25" s="45" t="e">
        <f t="shared" si="6"/>
        <v>#DIV/0!</v>
      </c>
      <c r="AH25" s="45" t="e">
        <f t="shared" si="7"/>
        <v>#DIV/0!</v>
      </c>
      <c r="AI25" s="45" t="e">
        <f t="shared" si="8"/>
        <v>#DIV/0!</v>
      </c>
      <c r="AJ25" s="45" t="e">
        <f t="shared" si="9"/>
        <v>#DIV/0!</v>
      </c>
      <c r="AK25" s="45" t="e">
        <f t="shared" si="10"/>
        <v>#DIV/0!</v>
      </c>
      <c r="AL25" s="45" t="e">
        <f>T$3+K25/ATM_Conf!$C$5</f>
        <v>#DIV/0!</v>
      </c>
      <c r="AM25" s="45" t="e">
        <f>U$3+L25/ATM_Conf!$C$5</f>
        <v>#DIV/0!</v>
      </c>
      <c r="AN25" s="45" t="e">
        <f>V$3+M25/ATM_Conf!$C$5</f>
        <v>#DIV/0!</v>
      </c>
      <c r="AO25" s="45" t="e">
        <f>W$3+N25/ATM_Conf!$C$5</f>
        <v>#DIV/0!</v>
      </c>
      <c r="AP25" s="45" t="e">
        <f>X$3+O25/ATM_Conf!$C$5</f>
        <v>#DIV/0!</v>
      </c>
      <c r="AQ25" s="45" t="e">
        <f>Y$3+P25/ATM_Conf!$C$5</f>
        <v>#DIV/0!</v>
      </c>
      <c r="AR25" s="45" t="e">
        <f>Z$3+Q25/ATM_Conf!$C$5</f>
        <v>#DIV/0!</v>
      </c>
      <c r="AS25" s="45" t="e">
        <f>AA$3+R25/ATM_Conf!$C$5</f>
        <v>#DIV/0!</v>
      </c>
      <c r="AT25" s="45" t="e">
        <f>AB$3+S25/ATM_Conf!$C$5</f>
        <v>#DIV/0!</v>
      </c>
      <c r="AU25" s="45" t="e">
        <f>BD$3*MIN(1,(ATM_Conf!$C$6-Links!F25)/(ATM_Conf!$C$6-ATM_Conf!$C$7))</f>
        <v>#DIV/0!</v>
      </c>
      <c r="AV25" s="45" t="e">
        <f>BE$3*MIN(1,(ATM_Conf!$C$6-Links!G25)/(ATM_Conf!$C$6-ATM_Conf!$C$7))</f>
        <v>#DIV/0!</v>
      </c>
      <c r="AW25" s="45" t="e">
        <f>BF$3*MIN(1,(ATM_Conf!$C$6-Links!H25)/(ATM_Conf!$C$6-ATM_Conf!$C$7))</f>
        <v>#DIV/0!</v>
      </c>
      <c r="AX25" s="45" t="e">
        <f>BG$3*MIN(1,(ATM_Conf!$C$6-Links!I25)/(ATM_Conf!$C$6-ATM_Conf!$C$7))</f>
        <v>#DIV/0!</v>
      </c>
      <c r="AY25" s="45" t="e">
        <f>BH$3*MIN(1,(ATM_Conf!$C$6-Links!J25)/(ATM_Conf!$C$6-ATM_Conf!$C$7))</f>
        <v>#DIV/0!</v>
      </c>
      <c r="AZ25" s="45" t="e">
        <f>BI$3*MIN(1,(ATM_Conf!$C$6-Links!K25)/(ATM_Conf!$C$6-ATM_Conf!$C$7))</f>
        <v>#DIV/0!</v>
      </c>
      <c r="BA25" s="45" t="e">
        <f>BJ$3*MIN(1,(ATM_Conf!$C$6-Links!L25)/(ATM_Conf!$C$6-ATM_Conf!$C$7))</f>
        <v>#DIV/0!</v>
      </c>
      <c r="BB25" s="45" t="e">
        <f>BK$3*MIN(1,(ATM_Conf!$C$6-Links!M25)/(ATM_Conf!$C$6-ATM_Conf!$C$7))</f>
        <v>#DIV/0!</v>
      </c>
      <c r="BC25" s="45" t="e">
        <f>BL$3*MIN(1,(ATM_Conf!$C$6-Links!N25)/(ATM_Conf!$C$6-ATM_Conf!$C$7))</f>
        <v>#DIV/0!</v>
      </c>
      <c r="BD25" s="45"/>
      <c r="BE25" s="45"/>
      <c r="BF25" s="45"/>
      <c r="BG25" s="45"/>
      <c r="BH25" s="45"/>
      <c r="BI25" s="45"/>
      <c r="BJ25" s="45"/>
      <c r="BK25" s="45"/>
      <c r="BL25" s="45"/>
      <c r="BM25" s="53"/>
      <c r="BN25" s="53"/>
      <c r="BO25" s="53"/>
      <c r="BP25" s="53"/>
      <c r="BQ25" s="53"/>
      <c r="BR25" s="53"/>
      <c r="BS25" s="53"/>
      <c r="BT25" s="53"/>
      <c r="BU25" s="53"/>
      <c r="BV25" s="53" t="e">
        <f t="shared" si="11"/>
        <v>#DIV/0!</v>
      </c>
      <c r="BW25" s="53" t="e">
        <f t="shared" si="12"/>
        <v>#DIV/0!</v>
      </c>
      <c r="BX25" s="53" t="e">
        <f t="shared" si="13"/>
        <v>#DIV/0!</v>
      </c>
      <c r="BY25" s="53" t="e">
        <f t="shared" si="14"/>
        <v>#DIV/0!</v>
      </c>
      <c r="BZ25" s="53" t="e">
        <f t="shared" si="15"/>
        <v>#DIV/0!</v>
      </c>
      <c r="CA25" s="53" t="e">
        <f t="shared" si="16"/>
        <v>#DIV/0!</v>
      </c>
      <c r="CB25" s="53" t="e">
        <f t="shared" si="17"/>
        <v>#DIV/0!</v>
      </c>
      <c r="CC25" s="53" t="e">
        <f t="shared" si="18"/>
        <v>#DIV/0!</v>
      </c>
      <c r="CD25" s="53" t="e">
        <f t="shared" si="19"/>
        <v>#DIV/0!</v>
      </c>
      <c r="CE25" s="55">
        <f t="shared" si="22"/>
        <v>0</v>
      </c>
      <c r="CF25" s="55">
        <f t="shared" si="22"/>
        <v>0</v>
      </c>
      <c r="CG25" s="55">
        <f t="shared" si="22"/>
        <v>0</v>
      </c>
      <c r="CH25" s="55">
        <f t="shared" si="22"/>
        <v>0</v>
      </c>
      <c r="CI25" s="55">
        <f t="shared" si="22"/>
        <v>0</v>
      </c>
      <c r="CJ25" s="55">
        <f t="shared" si="22"/>
        <v>0</v>
      </c>
      <c r="CK25" s="55">
        <f t="shared" si="22"/>
        <v>0</v>
      </c>
      <c r="CL25" s="55">
        <f t="shared" si="22"/>
        <v>0</v>
      </c>
      <c r="CM25" s="55">
        <f t="shared" si="22"/>
        <v>0</v>
      </c>
    </row>
    <row r="26" spans="1:91" x14ac:dyDescent="0.15">
      <c r="A26" s="42">
        <v>24</v>
      </c>
      <c r="B26" s="45">
        <f t="shared" si="25"/>
        <v>1</v>
      </c>
      <c r="C26" s="45">
        <f t="shared" si="24"/>
        <v>1</v>
      </c>
      <c r="D26" s="45">
        <f t="shared" si="24"/>
        <v>1</v>
      </c>
      <c r="E26" s="45">
        <f t="shared" si="24"/>
        <v>1</v>
      </c>
      <c r="F26" s="45">
        <f t="shared" si="24"/>
        <v>1</v>
      </c>
      <c r="G26" s="45">
        <f t="shared" si="24"/>
        <v>1</v>
      </c>
      <c r="H26" s="45">
        <f t="shared" si="24"/>
        <v>1</v>
      </c>
      <c r="I26" s="45">
        <f t="shared" si="24"/>
        <v>1</v>
      </c>
      <c r="J26" s="45">
        <f t="shared" si="24"/>
        <v>1</v>
      </c>
      <c r="K26" s="45" t="e">
        <f>K25+ATM_Conf!$C$5*(T25-AC25)</f>
        <v>#DIV/0!</v>
      </c>
      <c r="L26" s="45" t="e">
        <f>L25+ATM_Conf!$C$5*(U25-AD25)</f>
        <v>#DIV/0!</v>
      </c>
      <c r="M26" s="45" t="e">
        <f>M25+ATM_Conf!$C$5*(V25-AE25)</f>
        <v>#DIV/0!</v>
      </c>
      <c r="N26" s="45" t="e">
        <f>N25+ATM_Conf!$C$5*(W25-AF25)</f>
        <v>#DIV/0!</v>
      </c>
      <c r="O26" s="45" t="e">
        <f>O25+ATM_Conf!$C$5*(X25-AG25)</f>
        <v>#DIV/0!</v>
      </c>
      <c r="P26" s="45" t="e">
        <f>P25+ATM_Conf!$C$5*(Y25-AH25)</f>
        <v>#DIV/0!</v>
      </c>
      <c r="Q26" s="45" t="e">
        <f>Q25+ATM_Conf!$C$5*(Z25-AI25)</f>
        <v>#DIV/0!</v>
      </c>
      <c r="R26" s="45" t="e">
        <f>R25+ATM_Conf!$C$5*(AA25-AJ25)</f>
        <v>#DIV/0!</v>
      </c>
      <c r="S26" s="45" t="e">
        <f>S25+ATM_Conf!$C$5*(AB25-AK25)</f>
        <v>#DIV/0!</v>
      </c>
      <c r="T26" s="45"/>
      <c r="U26" s="45"/>
      <c r="V26" s="45"/>
      <c r="W26" s="45"/>
      <c r="X26" s="45"/>
      <c r="Y26" s="45"/>
      <c r="Z26" s="45"/>
      <c r="AA26" s="45"/>
      <c r="AB26" s="45"/>
      <c r="AC26" s="45" t="e">
        <f t="shared" si="2"/>
        <v>#DIV/0!</v>
      </c>
      <c r="AD26" s="45" t="e">
        <f t="shared" si="3"/>
        <v>#DIV/0!</v>
      </c>
      <c r="AE26" s="45" t="e">
        <f t="shared" si="4"/>
        <v>#DIV/0!</v>
      </c>
      <c r="AF26" s="45" t="e">
        <f t="shared" si="5"/>
        <v>#DIV/0!</v>
      </c>
      <c r="AG26" s="45" t="e">
        <f t="shared" si="6"/>
        <v>#DIV/0!</v>
      </c>
      <c r="AH26" s="45" t="e">
        <f t="shared" si="7"/>
        <v>#DIV/0!</v>
      </c>
      <c r="AI26" s="45" t="e">
        <f t="shared" si="8"/>
        <v>#DIV/0!</v>
      </c>
      <c r="AJ26" s="45" t="e">
        <f t="shared" si="9"/>
        <v>#DIV/0!</v>
      </c>
      <c r="AK26" s="45" t="e">
        <f t="shared" si="10"/>
        <v>#DIV/0!</v>
      </c>
      <c r="AL26" s="45" t="e">
        <f>T$3+K26/ATM_Conf!$C$5</f>
        <v>#DIV/0!</v>
      </c>
      <c r="AM26" s="45" t="e">
        <f>U$3+L26/ATM_Conf!$C$5</f>
        <v>#DIV/0!</v>
      </c>
      <c r="AN26" s="45" t="e">
        <f>V$3+M26/ATM_Conf!$C$5</f>
        <v>#DIV/0!</v>
      </c>
      <c r="AO26" s="45" t="e">
        <f>W$3+N26/ATM_Conf!$C$5</f>
        <v>#DIV/0!</v>
      </c>
      <c r="AP26" s="45" t="e">
        <f>X$3+O26/ATM_Conf!$C$5</f>
        <v>#DIV/0!</v>
      </c>
      <c r="AQ26" s="45" t="e">
        <f>Y$3+P26/ATM_Conf!$C$5</f>
        <v>#DIV/0!</v>
      </c>
      <c r="AR26" s="45" t="e">
        <f>Z$3+Q26/ATM_Conf!$C$5</f>
        <v>#DIV/0!</v>
      </c>
      <c r="AS26" s="45" t="e">
        <f>AA$3+R26/ATM_Conf!$C$5</f>
        <v>#DIV/0!</v>
      </c>
      <c r="AT26" s="45" t="e">
        <f>AB$3+S26/ATM_Conf!$C$5</f>
        <v>#DIV/0!</v>
      </c>
      <c r="AU26" s="45" t="e">
        <f>BD$3*MIN(1,(ATM_Conf!$C$6-Links!F26)/(ATM_Conf!$C$6-ATM_Conf!$C$7))</f>
        <v>#DIV/0!</v>
      </c>
      <c r="AV26" s="45" t="e">
        <f>BE$3*MIN(1,(ATM_Conf!$C$6-Links!G26)/(ATM_Conf!$C$6-ATM_Conf!$C$7))</f>
        <v>#DIV/0!</v>
      </c>
      <c r="AW26" s="45" t="e">
        <f>BF$3*MIN(1,(ATM_Conf!$C$6-Links!H26)/(ATM_Conf!$C$6-ATM_Conf!$C$7))</f>
        <v>#DIV/0!</v>
      </c>
      <c r="AX26" s="45" t="e">
        <f>BG$3*MIN(1,(ATM_Conf!$C$6-Links!I26)/(ATM_Conf!$C$6-ATM_Conf!$C$7))</f>
        <v>#DIV/0!</v>
      </c>
      <c r="AY26" s="45" t="e">
        <f>BH$3*MIN(1,(ATM_Conf!$C$6-Links!J26)/(ATM_Conf!$C$6-ATM_Conf!$C$7))</f>
        <v>#DIV/0!</v>
      </c>
      <c r="AZ26" s="45" t="e">
        <f>BI$3*MIN(1,(ATM_Conf!$C$6-Links!K26)/(ATM_Conf!$C$6-ATM_Conf!$C$7))</f>
        <v>#DIV/0!</v>
      </c>
      <c r="BA26" s="45" t="e">
        <f>BJ$3*MIN(1,(ATM_Conf!$C$6-Links!L26)/(ATM_Conf!$C$6-ATM_Conf!$C$7))</f>
        <v>#DIV/0!</v>
      </c>
      <c r="BB26" s="45" t="e">
        <f>BK$3*MIN(1,(ATM_Conf!$C$6-Links!M26)/(ATM_Conf!$C$6-ATM_Conf!$C$7))</f>
        <v>#DIV/0!</v>
      </c>
      <c r="BC26" s="45" t="e">
        <f>BL$3*MIN(1,(ATM_Conf!$C$6-Links!N26)/(ATM_Conf!$C$6-ATM_Conf!$C$7))</f>
        <v>#DIV/0!</v>
      </c>
      <c r="BD26" s="45"/>
      <c r="BE26" s="45"/>
      <c r="BF26" s="45"/>
      <c r="BG26" s="45"/>
      <c r="BH26" s="45"/>
      <c r="BI26" s="45"/>
      <c r="BJ26" s="45"/>
      <c r="BK26" s="45"/>
      <c r="BL26" s="45"/>
      <c r="BM26" s="53"/>
      <c r="BN26" s="53"/>
      <c r="BO26" s="53"/>
      <c r="BP26" s="53"/>
      <c r="BQ26" s="53"/>
      <c r="BR26" s="53"/>
      <c r="BS26" s="53"/>
      <c r="BT26" s="53"/>
      <c r="BU26" s="53"/>
      <c r="BV26" s="53" t="e">
        <f t="shared" si="11"/>
        <v>#DIV/0!</v>
      </c>
      <c r="BW26" s="53" t="e">
        <f t="shared" si="12"/>
        <v>#DIV/0!</v>
      </c>
      <c r="BX26" s="53" t="e">
        <f t="shared" si="13"/>
        <v>#DIV/0!</v>
      </c>
      <c r="BY26" s="53" t="e">
        <f t="shared" si="14"/>
        <v>#DIV/0!</v>
      </c>
      <c r="BZ26" s="53" t="e">
        <f t="shared" si="15"/>
        <v>#DIV/0!</v>
      </c>
      <c r="CA26" s="53" t="e">
        <f t="shared" si="16"/>
        <v>#DIV/0!</v>
      </c>
      <c r="CB26" s="53" t="e">
        <f t="shared" si="17"/>
        <v>#DIV/0!</v>
      </c>
      <c r="CC26" s="53" t="e">
        <f t="shared" si="18"/>
        <v>#DIV/0!</v>
      </c>
      <c r="CD26" s="53" t="e">
        <f t="shared" si="19"/>
        <v>#DIV/0!</v>
      </c>
      <c r="CE26" s="55">
        <f t="shared" si="22"/>
        <v>0</v>
      </c>
      <c r="CF26" s="55">
        <f t="shared" si="22"/>
        <v>0</v>
      </c>
      <c r="CG26" s="55">
        <f t="shared" si="22"/>
        <v>0</v>
      </c>
      <c r="CH26" s="55">
        <f t="shared" si="22"/>
        <v>0</v>
      </c>
      <c r="CI26" s="55">
        <f t="shared" si="22"/>
        <v>0</v>
      </c>
      <c r="CJ26" s="55">
        <f t="shared" si="22"/>
        <v>0</v>
      </c>
      <c r="CK26" s="55">
        <f t="shared" si="22"/>
        <v>0</v>
      </c>
      <c r="CL26" s="55">
        <f t="shared" si="22"/>
        <v>0</v>
      </c>
      <c r="CM26" s="55">
        <f t="shared" si="22"/>
        <v>0</v>
      </c>
    </row>
    <row r="27" spans="1:91" x14ac:dyDescent="0.15">
      <c r="A27" s="42">
        <v>25</v>
      </c>
      <c r="B27" s="47">
        <v>1</v>
      </c>
      <c r="C27" s="47">
        <v>1</v>
      </c>
      <c r="D27" s="47">
        <v>1</v>
      </c>
      <c r="E27" s="47">
        <v>1</v>
      </c>
      <c r="F27" s="47">
        <v>1</v>
      </c>
      <c r="G27" s="47">
        <v>1</v>
      </c>
      <c r="H27" s="47">
        <v>1</v>
      </c>
      <c r="I27" s="47">
        <v>1</v>
      </c>
      <c r="J27" s="47">
        <v>1</v>
      </c>
      <c r="K27" s="45" t="e">
        <f>K26+ATM_Conf!$C$5*(T26-AC26)</f>
        <v>#DIV/0!</v>
      </c>
      <c r="L27" s="45" t="e">
        <f>L26+ATM_Conf!$C$5*(U26-AD26)</f>
        <v>#DIV/0!</v>
      </c>
      <c r="M27" s="45" t="e">
        <f>M26+ATM_Conf!$C$5*(V26-AE26)</f>
        <v>#DIV/0!</v>
      </c>
      <c r="N27" s="45" t="e">
        <f>N26+ATM_Conf!$C$5*(W26-AF26)</f>
        <v>#DIV/0!</v>
      </c>
      <c r="O27" s="45" t="e">
        <f>O26+ATM_Conf!$C$5*(X26-AG26)</f>
        <v>#DIV/0!</v>
      </c>
      <c r="P27" s="45" t="e">
        <f>P26+ATM_Conf!$C$5*(Y26-AH26)</f>
        <v>#DIV/0!</v>
      </c>
      <c r="Q27" s="45" t="e">
        <f>Q26+ATM_Conf!$C$5*(Z26-AI26)</f>
        <v>#DIV/0!</v>
      </c>
      <c r="R27" s="45" t="e">
        <f>R26+ATM_Conf!$C$5*(AA26-AJ26)</f>
        <v>#DIV/0!</v>
      </c>
      <c r="S27" s="45" t="e">
        <f>S26+ATM_Conf!$C$5*(AB26-AK26)</f>
        <v>#DIV/0!</v>
      </c>
      <c r="T27" s="45"/>
      <c r="U27" s="45"/>
      <c r="V27" s="45"/>
      <c r="W27" s="45"/>
      <c r="X27" s="45"/>
      <c r="Y27" s="45"/>
      <c r="Z27" s="45"/>
      <c r="AA27" s="45"/>
      <c r="AB27" s="45"/>
      <c r="AC27" s="45" t="e">
        <f t="shared" si="2"/>
        <v>#DIV/0!</v>
      </c>
      <c r="AD27" s="45" t="e">
        <f t="shared" si="3"/>
        <v>#DIV/0!</v>
      </c>
      <c r="AE27" s="45" t="e">
        <f t="shared" si="4"/>
        <v>#DIV/0!</v>
      </c>
      <c r="AF27" s="45" t="e">
        <f t="shared" si="5"/>
        <v>#DIV/0!</v>
      </c>
      <c r="AG27" s="45" t="e">
        <f t="shared" si="6"/>
        <v>#DIV/0!</v>
      </c>
      <c r="AH27" s="45" t="e">
        <f t="shared" si="7"/>
        <v>#DIV/0!</v>
      </c>
      <c r="AI27" s="45" t="e">
        <f t="shared" si="8"/>
        <v>#DIV/0!</v>
      </c>
      <c r="AJ27" s="45" t="e">
        <f t="shared" si="9"/>
        <v>#DIV/0!</v>
      </c>
      <c r="AK27" s="45" t="e">
        <f t="shared" si="10"/>
        <v>#DIV/0!</v>
      </c>
      <c r="AL27" s="45" t="e">
        <f>T$3+K27/ATM_Conf!$C$5</f>
        <v>#DIV/0!</v>
      </c>
      <c r="AM27" s="45" t="e">
        <f>U$3+L27/ATM_Conf!$C$5</f>
        <v>#DIV/0!</v>
      </c>
      <c r="AN27" s="45" t="e">
        <f>V$3+M27/ATM_Conf!$C$5</f>
        <v>#DIV/0!</v>
      </c>
      <c r="AO27" s="45" t="e">
        <f>W$3+N27/ATM_Conf!$C$5</f>
        <v>#DIV/0!</v>
      </c>
      <c r="AP27" s="45" t="e">
        <f>X$3+O27/ATM_Conf!$C$5</f>
        <v>#DIV/0!</v>
      </c>
      <c r="AQ27" s="45" t="e">
        <f>Y$3+P27/ATM_Conf!$C$5</f>
        <v>#DIV/0!</v>
      </c>
      <c r="AR27" s="45" t="e">
        <f>Z$3+Q27/ATM_Conf!$C$5</f>
        <v>#DIV/0!</v>
      </c>
      <c r="AS27" s="45" t="e">
        <f>AA$3+R27/ATM_Conf!$C$5</f>
        <v>#DIV/0!</v>
      </c>
      <c r="AT27" s="45" t="e">
        <f>AB$3+S27/ATM_Conf!$C$5</f>
        <v>#DIV/0!</v>
      </c>
      <c r="AU27" s="45" t="e">
        <f>BD$3*MIN(1,(ATM_Conf!$C$6-Links!F27)/(ATM_Conf!$C$6-ATM_Conf!$C$7))</f>
        <v>#DIV/0!</v>
      </c>
      <c r="AV27" s="45" t="e">
        <f>BE$3*MIN(1,(ATM_Conf!$C$6-Links!G27)/(ATM_Conf!$C$6-ATM_Conf!$C$7))</f>
        <v>#DIV/0!</v>
      </c>
      <c r="AW27" s="45" t="e">
        <f>BF$3*MIN(1,(ATM_Conf!$C$6-Links!H27)/(ATM_Conf!$C$6-ATM_Conf!$C$7))</f>
        <v>#DIV/0!</v>
      </c>
      <c r="AX27" s="45" t="e">
        <f>BG$3*MIN(1,(ATM_Conf!$C$6-Links!I27)/(ATM_Conf!$C$6-ATM_Conf!$C$7))</f>
        <v>#DIV/0!</v>
      </c>
      <c r="AY27" s="45" t="e">
        <f>BH$3*MIN(1,(ATM_Conf!$C$6-Links!J27)/(ATM_Conf!$C$6-ATM_Conf!$C$7))</f>
        <v>#DIV/0!</v>
      </c>
      <c r="AZ27" s="45" t="e">
        <f>BI$3*MIN(1,(ATM_Conf!$C$6-Links!K27)/(ATM_Conf!$C$6-ATM_Conf!$C$7))</f>
        <v>#DIV/0!</v>
      </c>
      <c r="BA27" s="45" t="e">
        <f>BJ$3*MIN(1,(ATM_Conf!$C$6-Links!L27)/(ATM_Conf!$C$6-ATM_Conf!$C$7))</f>
        <v>#DIV/0!</v>
      </c>
      <c r="BB27" s="45" t="e">
        <f>BK$3*MIN(1,(ATM_Conf!$C$6-Links!M27)/(ATM_Conf!$C$6-ATM_Conf!$C$7))</f>
        <v>#DIV/0!</v>
      </c>
      <c r="BC27" s="45" t="e">
        <f>BL$3*MIN(1,(ATM_Conf!$C$6-Links!N27)/(ATM_Conf!$C$6-ATM_Conf!$C$7))</f>
        <v>#DIV/0!</v>
      </c>
      <c r="BD27" s="45"/>
      <c r="BE27" s="45"/>
      <c r="BF27" s="45"/>
      <c r="BG27" s="45"/>
      <c r="BH27" s="45"/>
      <c r="BI27" s="45"/>
      <c r="BJ27" s="45"/>
      <c r="BK27" s="45"/>
      <c r="BL27" s="45"/>
      <c r="BM27" s="53">
        <f>(B27-B15)^2</f>
        <v>0</v>
      </c>
      <c r="BN27" s="53">
        <f t="shared" ref="BN27:BU27" si="26">(C27-C15)^2</f>
        <v>0</v>
      </c>
      <c r="BO27" s="53">
        <f t="shared" si="26"/>
        <v>0</v>
      </c>
      <c r="BP27" s="53">
        <f t="shared" si="26"/>
        <v>0</v>
      </c>
      <c r="BQ27" s="53">
        <f t="shared" si="26"/>
        <v>0</v>
      </c>
      <c r="BR27" s="53">
        <f t="shared" si="26"/>
        <v>0</v>
      </c>
      <c r="BS27" s="53">
        <f t="shared" si="26"/>
        <v>0</v>
      </c>
      <c r="BT27" s="53">
        <f t="shared" si="26"/>
        <v>0</v>
      </c>
      <c r="BU27" s="53">
        <f t="shared" si="26"/>
        <v>0</v>
      </c>
      <c r="BV27" s="53" t="e">
        <f t="shared" si="11"/>
        <v>#DIV/0!</v>
      </c>
      <c r="BW27" s="53" t="e">
        <f t="shared" si="12"/>
        <v>#DIV/0!</v>
      </c>
      <c r="BX27" s="53" t="e">
        <f t="shared" si="13"/>
        <v>#DIV/0!</v>
      </c>
      <c r="BY27" s="53" t="e">
        <f t="shared" si="14"/>
        <v>#DIV/0!</v>
      </c>
      <c r="BZ27" s="53" t="e">
        <f t="shared" si="15"/>
        <v>#DIV/0!</v>
      </c>
      <c r="CA27" s="53" t="e">
        <f t="shared" si="16"/>
        <v>#DIV/0!</v>
      </c>
      <c r="CB27" s="53" t="e">
        <f t="shared" si="17"/>
        <v>#DIV/0!</v>
      </c>
      <c r="CC27" s="53" t="e">
        <f t="shared" si="18"/>
        <v>#DIV/0!</v>
      </c>
      <c r="CD27" s="53" t="e">
        <f t="shared" si="19"/>
        <v>#DIV/0!</v>
      </c>
      <c r="CE27" s="55">
        <f t="shared" si="22"/>
        <v>0</v>
      </c>
      <c r="CF27" s="55">
        <f t="shared" si="22"/>
        <v>0</v>
      </c>
      <c r="CG27" s="55">
        <f t="shared" si="22"/>
        <v>0</v>
      </c>
      <c r="CH27" s="55">
        <f t="shared" si="22"/>
        <v>0</v>
      </c>
      <c r="CI27" s="55">
        <f t="shared" si="22"/>
        <v>0</v>
      </c>
      <c r="CJ27" s="55">
        <f t="shared" si="22"/>
        <v>0</v>
      </c>
      <c r="CK27" s="55">
        <f t="shared" si="22"/>
        <v>0</v>
      </c>
      <c r="CL27" s="55">
        <f t="shared" si="22"/>
        <v>0</v>
      </c>
      <c r="CM27" s="55">
        <f t="shared" si="22"/>
        <v>0</v>
      </c>
    </row>
    <row r="28" spans="1:91" x14ac:dyDescent="0.15">
      <c r="A28" s="42">
        <v>26</v>
      </c>
      <c r="B28" s="45">
        <f>B$27</f>
        <v>1</v>
      </c>
      <c r="C28" s="45">
        <f t="shared" ref="C28:J28" si="27">C$27</f>
        <v>1</v>
      </c>
      <c r="D28" s="45">
        <f t="shared" si="27"/>
        <v>1</v>
      </c>
      <c r="E28" s="45">
        <f t="shared" si="27"/>
        <v>1</v>
      </c>
      <c r="F28" s="45">
        <f t="shared" si="27"/>
        <v>1</v>
      </c>
      <c r="G28" s="45">
        <f t="shared" si="27"/>
        <v>1</v>
      </c>
      <c r="H28" s="45">
        <f t="shared" si="27"/>
        <v>1</v>
      </c>
      <c r="I28" s="45">
        <f t="shared" si="27"/>
        <v>1</v>
      </c>
      <c r="J28" s="45">
        <f t="shared" si="27"/>
        <v>1</v>
      </c>
      <c r="K28" s="45" t="e">
        <f>K27+ATM_Conf!$C$5*(T27-AC27)</f>
        <v>#DIV/0!</v>
      </c>
      <c r="L28" s="45" t="e">
        <f>L27+ATM_Conf!$C$5*(U27-AD27)</f>
        <v>#DIV/0!</v>
      </c>
      <c r="M28" s="45" t="e">
        <f>M27+ATM_Conf!$C$5*(V27-AE27)</f>
        <v>#DIV/0!</v>
      </c>
      <c r="N28" s="45" t="e">
        <f>N27+ATM_Conf!$C$5*(W27-AF27)</f>
        <v>#DIV/0!</v>
      </c>
      <c r="O28" s="45" t="e">
        <f>O27+ATM_Conf!$C$5*(X27-AG27)</f>
        <v>#DIV/0!</v>
      </c>
      <c r="P28" s="45" t="e">
        <f>P27+ATM_Conf!$C$5*(Y27-AH27)</f>
        <v>#DIV/0!</v>
      </c>
      <c r="Q28" s="45" t="e">
        <f>Q27+ATM_Conf!$C$5*(Z27-AI27)</f>
        <v>#DIV/0!</v>
      </c>
      <c r="R28" s="45" t="e">
        <f>R27+ATM_Conf!$C$5*(AA27-AJ27)</f>
        <v>#DIV/0!</v>
      </c>
      <c r="S28" s="45" t="e">
        <f>S27+ATM_Conf!$C$5*(AB27-AK27)</f>
        <v>#DIV/0!</v>
      </c>
      <c r="T28" s="45"/>
      <c r="U28" s="45"/>
      <c r="V28" s="45"/>
      <c r="W28" s="45"/>
      <c r="X28" s="45"/>
      <c r="Y28" s="45"/>
      <c r="Z28" s="45"/>
      <c r="AA28" s="45"/>
      <c r="AB28" s="45"/>
      <c r="AC28" s="45" t="e">
        <f t="shared" si="2"/>
        <v>#DIV/0!</v>
      </c>
      <c r="AD28" s="45" t="e">
        <f t="shared" si="3"/>
        <v>#DIV/0!</v>
      </c>
      <c r="AE28" s="45" t="e">
        <f t="shared" si="4"/>
        <v>#DIV/0!</v>
      </c>
      <c r="AF28" s="45" t="e">
        <f t="shared" si="5"/>
        <v>#DIV/0!</v>
      </c>
      <c r="AG28" s="45" t="e">
        <f t="shared" si="6"/>
        <v>#DIV/0!</v>
      </c>
      <c r="AH28" s="45" t="e">
        <f t="shared" si="7"/>
        <v>#DIV/0!</v>
      </c>
      <c r="AI28" s="45" t="e">
        <f t="shared" si="8"/>
        <v>#DIV/0!</v>
      </c>
      <c r="AJ28" s="45" t="e">
        <f t="shared" si="9"/>
        <v>#DIV/0!</v>
      </c>
      <c r="AK28" s="45" t="e">
        <f t="shared" si="10"/>
        <v>#DIV/0!</v>
      </c>
      <c r="AL28" s="45" t="e">
        <f>T$3+K28/ATM_Conf!$C$5</f>
        <v>#DIV/0!</v>
      </c>
      <c r="AM28" s="45" t="e">
        <f>U$3+L28/ATM_Conf!$C$5</f>
        <v>#DIV/0!</v>
      </c>
      <c r="AN28" s="45" t="e">
        <f>V$3+M28/ATM_Conf!$C$5</f>
        <v>#DIV/0!</v>
      </c>
      <c r="AO28" s="45" t="e">
        <f>W$3+N28/ATM_Conf!$C$5</f>
        <v>#DIV/0!</v>
      </c>
      <c r="AP28" s="45" t="e">
        <f>X$3+O28/ATM_Conf!$C$5</f>
        <v>#DIV/0!</v>
      </c>
      <c r="AQ28" s="45" t="e">
        <f>Y$3+P28/ATM_Conf!$C$5</f>
        <v>#DIV/0!</v>
      </c>
      <c r="AR28" s="45" t="e">
        <f>Z$3+Q28/ATM_Conf!$C$5</f>
        <v>#DIV/0!</v>
      </c>
      <c r="AS28" s="45" t="e">
        <f>AA$3+R28/ATM_Conf!$C$5</f>
        <v>#DIV/0!</v>
      </c>
      <c r="AT28" s="45" t="e">
        <f>AB$3+S28/ATM_Conf!$C$5</f>
        <v>#DIV/0!</v>
      </c>
      <c r="AU28" s="45" t="e">
        <f>BD$3*MIN(1,(ATM_Conf!$C$6-Links!F28)/(ATM_Conf!$C$6-ATM_Conf!$C$7))</f>
        <v>#DIV/0!</v>
      </c>
      <c r="AV28" s="45" t="e">
        <f>BE$3*MIN(1,(ATM_Conf!$C$6-Links!G28)/(ATM_Conf!$C$6-ATM_Conf!$C$7))</f>
        <v>#DIV/0!</v>
      </c>
      <c r="AW28" s="45" t="e">
        <f>BF$3*MIN(1,(ATM_Conf!$C$6-Links!H28)/(ATM_Conf!$C$6-ATM_Conf!$C$7))</f>
        <v>#DIV/0!</v>
      </c>
      <c r="AX28" s="45" t="e">
        <f>BG$3*MIN(1,(ATM_Conf!$C$6-Links!I28)/(ATM_Conf!$C$6-ATM_Conf!$C$7))</f>
        <v>#DIV/0!</v>
      </c>
      <c r="AY28" s="45" t="e">
        <f>BH$3*MIN(1,(ATM_Conf!$C$6-Links!J28)/(ATM_Conf!$C$6-ATM_Conf!$C$7))</f>
        <v>#DIV/0!</v>
      </c>
      <c r="AZ28" s="45" t="e">
        <f>BI$3*MIN(1,(ATM_Conf!$C$6-Links!K28)/(ATM_Conf!$C$6-ATM_Conf!$C$7))</f>
        <v>#DIV/0!</v>
      </c>
      <c r="BA28" s="45" t="e">
        <f>BJ$3*MIN(1,(ATM_Conf!$C$6-Links!L28)/(ATM_Conf!$C$6-ATM_Conf!$C$7))</f>
        <v>#DIV/0!</v>
      </c>
      <c r="BB28" s="45" t="e">
        <f>BK$3*MIN(1,(ATM_Conf!$C$6-Links!M28)/(ATM_Conf!$C$6-ATM_Conf!$C$7))</f>
        <v>#DIV/0!</v>
      </c>
      <c r="BC28" s="45" t="e">
        <f>BL$3*MIN(1,(ATM_Conf!$C$6-Links!N28)/(ATM_Conf!$C$6-ATM_Conf!$C$7))</f>
        <v>#DIV/0!</v>
      </c>
      <c r="BD28" s="45"/>
      <c r="BE28" s="45"/>
      <c r="BF28" s="45"/>
      <c r="BG28" s="45"/>
      <c r="BH28" s="45"/>
      <c r="BI28" s="45"/>
      <c r="BJ28" s="45"/>
      <c r="BK28" s="45"/>
      <c r="BL28" s="45"/>
      <c r="BM28" s="53"/>
      <c r="BN28" s="53"/>
      <c r="BO28" s="53"/>
      <c r="BP28" s="53"/>
      <c r="BQ28" s="53"/>
      <c r="BR28" s="53"/>
      <c r="BS28" s="53"/>
      <c r="BT28" s="53"/>
      <c r="BU28" s="53"/>
      <c r="BV28" s="53" t="e">
        <f t="shared" si="11"/>
        <v>#DIV/0!</v>
      </c>
      <c r="BW28" s="53" t="e">
        <f t="shared" si="12"/>
        <v>#DIV/0!</v>
      </c>
      <c r="BX28" s="53" t="e">
        <f t="shared" si="13"/>
        <v>#DIV/0!</v>
      </c>
      <c r="BY28" s="53" t="e">
        <f t="shared" si="14"/>
        <v>#DIV/0!</v>
      </c>
      <c r="BZ28" s="53" t="e">
        <f t="shared" si="15"/>
        <v>#DIV/0!</v>
      </c>
      <c r="CA28" s="53" t="e">
        <f t="shared" si="16"/>
        <v>#DIV/0!</v>
      </c>
      <c r="CB28" s="53" t="e">
        <f t="shared" si="17"/>
        <v>#DIV/0!</v>
      </c>
      <c r="CC28" s="53" t="e">
        <f t="shared" si="18"/>
        <v>#DIV/0!</v>
      </c>
      <c r="CD28" s="53" t="e">
        <f t="shared" si="19"/>
        <v>#DIV/0!</v>
      </c>
      <c r="CE28" s="55">
        <f t="shared" si="22"/>
        <v>0</v>
      </c>
      <c r="CF28" s="55">
        <f t="shared" si="22"/>
        <v>0</v>
      </c>
      <c r="CG28" s="55">
        <f t="shared" si="22"/>
        <v>0</v>
      </c>
      <c r="CH28" s="55">
        <f t="shared" si="22"/>
        <v>0</v>
      </c>
      <c r="CI28" s="55">
        <f t="shared" si="22"/>
        <v>0</v>
      </c>
      <c r="CJ28" s="55">
        <f t="shared" si="22"/>
        <v>0</v>
      </c>
      <c r="CK28" s="55">
        <f t="shared" si="22"/>
        <v>0</v>
      </c>
      <c r="CL28" s="55">
        <f t="shared" si="22"/>
        <v>0</v>
      </c>
      <c r="CM28" s="55">
        <f t="shared" si="22"/>
        <v>0</v>
      </c>
    </row>
    <row r="29" spans="1:91" x14ac:dyDescent="0.15">
      <c r="A29" s="42">
        <v>27</v>
      </c>
      <c r="B29" s="45">
        <f t="shared" ref="B29:J38" si="28">B$27</f>
        <v>1</v>
      </c>
      <c r="C29" s="45">
        <f t="shared" si="28"/>
        <v>1</v>
      </c>
      <c r="D29" s="45">
        <f t="shared" si="28"/>
        <v>1</v>
      </c>
      <c r="E29" s="45">
        <f t="shared" si="28"/>
        <v>1</v>
      </c>
      <c r="F29" s="45">
        <f t="shared" si="28"/>
        <v>1</v>
      </c>
      <c r="G29" s="45">
        <f t="shared" si="28"/>
        <v>1</v>
      </c>
      <c r="H29" s="45">
        <f t="shared" si="28"/>
        <v>1</v>
      </c>
      <c r="I29" s="45">
        <f t="shared" si="28"/>
        <v>1</v>
      </c>
      <c r="J29" s="45">
        <f t="shared" si="28"/>
        <v>1</v>
      </c>
      <c r="K29" s="45" t="e">
        <f>K28+ATM_Conf!$C$5*(T28-AC28)</f>
        <v>#DIV/0!</v>
      </c>
      <c r="L29" s="45" t="e">
        <f>L28+ATM_Conf!$C$5*(U28-AD28)</f>
        <v>#DIV/0!</v>
      </c>
      <c r="M29" s="45" t="e">
        <f>M28+ATM_Conf!$C$5*(V28-AE28)</f>
        <v>#DIV/0!</v>
      </c>
      <c r="N29" s="45" t="e">
        <f>N28+ATM_Conf!$C$5*(W28-AF28)</f>
        <v>#DIV/0!</v>
      </c>
      <c r="O29" s="45" t="e">
        <f>O28+ATM_Conf!$C$5*(X28-AG28)</f>
        <v>#DIV/0!</v>
      </c>
      <c r="P29" s="45" t="e">
        <f>P28+ATM_Conf!$C$5*(Y28-AH28)</f>
        <v>#DIV/0!</v>
      </c>
      <c r="Q29" s="45" t="e">
        <f>Q28+ATM_Conf!$C$5*(Z28-AI28)</f>
        <v>#DIV/0!</v>
      </c>
      <c r="R29" s="45" t="e">
        <f>R28+ATM_Conf!$C$5*(AA28-AJ28)</f>
        <v>#DIV/0!</v>
      </c>
      <c r="S29" s="45" t="e">
        <f>S28+ATM_Conf!$C$5*(AB28-AK28)</f>
        <v>#DIV/0!</v>
      </c>
      <c r="T29" s="45"/>
      <c r="U29" s="45"/>
      <c r="V29" s="45"/>
      <c r="W29" s="45"/>
      <c r="X29" s="45"/>
      <c r="Y29" s="45"/>
      <c r="Z29" s="45"/>
      <c r="AA29" s="45"/>
      <c r="AB29" s="45"/>
      <c r="AC29" s="45" t="e">
        <f t="shared" si="2"/>
        <v>#DIV/0!</v>
      </c>
      <c r="AD29" s="45" t="e">
        <f t="shared" si="3"/>
        <v>#DIV/0!</v>
      </c>
      <c r="AE29" s="45" t="e">
        <f t="shared" si="4"/>
        <v>#DIV/0!</v>
      </c>
      <c r="AF29" s="45" t="e">
        <f t="shared" si="5"/>
        <v>#DIV/0!</v>
      </c>
      <c r="AG29" s="45" t="e">
        <f t="shared" si="6"/>
        <v>#DIV/0!</v>
      </c>
      <c r="AH29" s="45" t="e">
        <f t="shared" si="7"/>
        <v>#DIV/0!</v>
      </c>
      <c r="AI29" s="45" t="e">
        <f t="shared" si="8"/>
        <v>#DIV/0!</v>
      </c>
      <c r="AJ29" s="45" t="e">
        <f t="shared" si="9"/>
        <v>#DIV/0!</v>
      </c>
      <c r="AK29" s="45" t="e">
        <f t="shared" si="10"/>
        <v>#DIV/0!</v>
      </c>
      <c r="AL29" s="45" t="e">
        <f>T$3+K29/ATM_Conf!$C$5</f>
        <v>#DIV/0!</v>
      </c>
      <c r="AM29" s="45" t="e">
        <f>U$3+L29/ATM_Conf!$C$5</f>
        <v>#DIV/0!</v>
      </c>
      <c r="AN29" s="45" t="e">
        <f>V$3+M29/ATM_Conf!$C$5</f>
        <v>#DIV/0!</v>
      </c>
      <c r="AO29" s="45" t="e">
        <f>W$3+N29/ATM_Conf!$C$5</f>
        <v>#DIV/0!</v>
      </c>
      <c r="AP29" s="45" t="e">
        <f>X$3+O29/ATM_Conf!$C$5</f>
        <v>#DIV/0!</v>
      </c>
      <c r="AQ29" s="45" t="e">
        <f>Y$3+P29/ATM_Conf!$C$5</f>
        <v>#DIV/0!</v>
      </c>
      <c r="AR29" s="45" t="e">
        <f>Z$3+Q29/ATM_Conf!$C$5</f>
        <v>#DIV/0!</v>
      </c>
      <c r="AS29" s="45" t="e">
        <f>AA$3+R29/ATM_Conf!$C$5</f>
        <v>#DIV/0!</v>
      </c>
      <c r="AT29" s="45" t="e">
        <f>AB$3+S29/ATM_Conf!$C$5</f>
        <v>#DIV/0!</v>
      </c>
      <c r="AU29" s="45" t="e">
        <f>BD$3*MIN(1,(ATM_Conf!$C$6-Links!F29)/(ATM_Conf!$C$6-ATM_Conf!$C$7))</f>
        <v>#DIV/0!</v>
      </c>
      <c r="AV29" s="45" t="e">
        <f>BE$3*MIN(1,(ATM_Conf!$C$6-Links!G29)/(ATM_Conf!$C$6-ATM_Conf!$C$7))</f>
        <v>#DIV/0!</v>
      </c>
      <c r="AW29" s="45" t="e">
        <f>BF$3*MIN(1,(ATM_Conf!$C$6-Links!H29)/(ATM_Conf!$C$6-ATM_Conf!$C$7))</f>
        <v>#DIV/0!</v>
      </c>
      <c r="AX29" s="45" t="e">
        <f>BG$3*MIN(1,(ATM_Conf!$C$6-Links!I29)/(ATM_Conf!$C$6-ATM_Conf!$C$7))</f>
        <v>#DIV/0!</v>
      </c>
      <c r="AY29" s="45" t="e">
        <f>BH$3*MIN(1,(ATM_Conf!$C$6-Links!J29)/(ATM_Conf!$C$6-ATM_Conf!$C$7))</f>
        <v>#DIV/0!</v>
      </c>
      <c r="AZ29" s="45" t="e">
        <f>BI$3*MIN(1,(ATM_Conf!$C$6-Links!K29)/(ATM_Conf!$C$6-ATM_Conf!$C$7))</f>
        <v>#DIV/0!</v>
      </c>
      <c r="BA29" s="45" t="e">
        <f>BJ$3*MIN(1,(ATM_Conf!$C$6-Links!L29)/(ATM_Conf!$C$6-ATM_Conf!$C$7))</f>
        <v>#DIV/0!</v>
      </c>
      <c r="BB29" s="45" t="e">
        <f>BK$3*MIN(1,(ATM_Conf!$C$6-Links!M29)/(ATM_Conf!$C$6-ATM_Conf!$C$7))</f>
        <v>#DIV/0!</v>
      </c>
      <c r="BC29" s="45" t="e">
        <f>BL$3*MIN(1,(ATM_Conf!$C$6-Links!N29)/(ATM_Conf!$C$6-ATM_Conf!$C$7))</f>
        <v>#DIV/0!</v>
      </c>
      <c r="BD29" s="45"/>
      <c r="BE29" s="45"/>
      <c r="BF29" s="45"/>
      <c r="BG29" s="45"/>
      <c r="BH29" s="45"/>
      <c r="BI29" s="45"/>
      <c r="BJ29" s="45"/>
      <c r="BK29" s="45"/>
      <c r="BL29" s="45"/>
      <c r="BM29" s="53"/>
      <c r="BN29" s="53"/>
      <c r="BO29" s="53"/>
      <c r="BP29" s="53"/>
      <c r="BQ29" s="53"/>
      <c r="BR29" s="53"/>
      <c r="BS29" s="53"/>
      <c r="BT29" s="53"/>
      <c r="BU29" s="53"/>
      <c r="BV29" s="53" t="e">
        <f t="shared" si="11"/>
        <v>#DIV/0!</v>
      </c>
      <c r="BW29" s="53" t="e">
        <f t="shared" si="12"/>
        <v>#DIV/0!</v>
      </c>
      <c r="BX29" s="53" t="e">
        <f t="shared" si="13"/>
        <v>#DIV/0!</v>
      </c>
      <c r="BY29" s="53" t="e">
        <f t="shared" si="14"/>
        <v>#DIV/0!</v>
      </c>
      <c r="BZ29" s="53" t="e">
        <f t="shared" si="15"/>
        <v>#DIV/0!</v>
      </c>
      <c r="CA29" s="53" t="e">
        <f t="shared" si="16"/>
        <v>#DIV/0!</v>
      </c>
      <c r="CB29" s="53" t="e">
        <f t="shared" si="17"/>
        <v>#DIV/0!</v>
      </c>
      <c r="CC29" s="53" t="e">
        <f t="shared" si="18"/>
        <v>#DIV/0!</v>
      </c>
      <c r="CD29" s="53" t="e">
        <f t="shared" si="19"/>
        <v>#DIV/0!</v>
      </c>
      <c r="CE29" s="55">
        <f t="shared" si="22"/>
        <v>0</v>
      </c>
      <c r="CF29" s="55">
        <f t="shared" si="22"/>
        <v>0</v>
      </c>
      <c r="CG29" s="55">
        <f t="shared" si="22"/>
        <v>0</v>
      </c>
      <c r="CH29" s="55">
        <f t="shared" si="22"/>
        <v>0</v>
      </c>
      <c r="CI29" s="55">
        <f t="shared" si="22"/>
        <v>0</v>
      </c>
      <c r="CJ29" s="55">
        <f t="shared" si="22"/>
        <v>0</v>
      </c>
      <c r="CK29" s="55">
        <f t="shared" si="22"/>
        <v>0</v>
      </c>
      <c r="CL29" s="55">
        <f t="shared" si="22"/>
        <v>0</v>
      </c>
      <c r="CM29" s="55">
        <f t="shared" si="22"/>
        <v>0</v>
      </c>
    </row>
    <row r="30" spans="1:91" x14ac:dyDescent="0.15">
      <c r="A30" s="42">
        <v>28</v>
      </c>
      <c r="B30" s="45">
        <f t="shared" si="28"/>
        <v>1</v>
      </c>
      <c r="C30" s="45">
        <f t="shared" si="28"/>
        <v>1</v>
      </c>
      <c r="D30" s="45">
        <f t="shared" si="28"/>
        <v>1</v>
      </c>
      <c r="E30" s="45">
        <f t="shared" si="28"/>
        <v>1</v>
      </c>
      <c r="F30" s="45">
        <f t="shared" si="28"/>
        <v>1</v>
      </c>
      <c r="G30" s="45">
        <f t="shared" si="28"/>
        <v>1</v>
      </c>
      <c r="H30" s="45">
        <f t="shared" si="28"/>
        <v>1</v>
      </c>
      <c r="I30" s="45">
        <f t="shared" si="28"/>
        <v>1</v>
      </c>
      <c r="J30" s="45">
        <f t="shared" si="28"/>
        <v>1</v>
      </c>
      <c r="K30" s="45" t="e">
        <f>K29+ATM_Conf!$C$5*(T29-AC29)</f>
        <v>#DIV/0!</v>
      </c>
      <c r="L30" s="45" t="e">
        <f>L29+ATM_Conf!$C$5*(U29-AD29)</f>
        <v>#DIV/0!</v>
      </c>
      <c r="M30" s="45" t="e">
        <f>M29+ATM_Conf!$C$5*(V29-AE29)</f>
        <v>#DIV/0!</v>
      </c>
      <c r="N30" s="45" t="e">
        <f>N29+ATM_Conf!$C$5*(W29-AF29)</f>
        <v>#DIV/0!</v>
      </c>
      <c r="O30" s="45" t="e">
        <f>O29+ATM_Conf!$C$5*(X29-AG29)</f>
        <v>#DIV/0!</v>
      </c>
      <c r="P30" s="45" t="e">
        <f>P29+ATM_Conf!$C$5*(Y29-AH29)</f>
        <v>#DIV/0!</v>
      </c>
      <c r="Q30" s="45" t="e">
        <f>Q29+ATM_Conf!$C$5*(Z29-AI29)</f>
        <v>#DIV/0!</v>
      </c>
      <c r="R30" s="45" t="e">
        <f>R29+ATM_Conf!$C$5*(AA29-AJ29)</f>
        <v>#DIV/0!</v>
      </c>
      <c r="S30" s="45" t="e">
        <f>S29+ATM_Conf!$C$5*(AB29-AK29)</f>
        <v>#DIV/0!</v>
      </c>
      <c r="T30" s="45"/>
      <c r="U30" s="45"/>
      <c r="V30" s="45"/>
      <c r="W30" s="45"/>
      <c r="X30" s="45"/>
      <c r="Y30" s="45"/>
      <c r="Z30" s="45"/>
      <c r="AA30" s="45"/>
      <c r="AB30" s="45"/>
      <c r="AC30" s="45" t="e">
        <f t="shared" si="2"/>
        <v>#DIV/0!</v>
      </c>
      <c r="AD30" s="45" t="e">
        <f t="shared" si="3"/>
        <v>#DIV/0!</v>
      </c>
      <c r="AE30" s="45" t="e">
        <f t="shared" si="4"/>
        <v>#DIV/0!</v>
      </c>
      <c r="AF30" s="45" t="e">
        <f t="shared" si="5"/>
        <v>#DIV/0!</v>
      </c>
      <c r="AG30" s="45" t="e">
        <f t="shared" si="6"/>
        <v>#DIV/0!</v>
      </c>
      <c r="AH30" s="45" t="e">
        <f t="shared" si="7"/>
        <v>#DIV/0!</v>
      </c>
      <c r="AI30" s="45" t="e">
        <f t="shared" si="8"/>
        <v>#DIV/0!</v>
      </c>
      <c r="AJ30" s="45" t="e">
        <f t="shared" si="9"/>
        <v>#DIV/0!</v>
      </c>
      <c r="AK30" s="45" t="e">
        <f t="shared" si="10"/>
        <v>#DIV/0!</v>
      </c>
      <c r="AL30" s="45" t="e">
        <f>T$3+K30/ATM_Conf!$C$5</f>
        <v>#DIV/0!</v>
      </c>
      <c r="AM30" s="45" t="e">
        <f>U$3+L30/ATM_Conf!$C$5</f>
        <v>#DIV/0!</v>
      </c>
      <c r="AN30" s="45" t="e">
        <f>V$3+M30/ATM_Conf!$C$5</f>
        <v>#DIV/0!</v>
      </c>
      <c r="AO30" s="45" t="e">
        <f>W$3+N30/ATM_Conf!$C$5</f>
        <v>#DIV/0!</v>
      </c>
      <c r="AP30" s="45" t="e">
        <f>X$3+O30/ATM_Conf!$C$5</f>
        <v>#DIV/0!</v>
      </c>
      <c r="AQ30" s="45" t="e">
        <f>Y$3+P30/ATM_Conf!$C$5</f>
        <v>#DIV/0!</v>
      </c>
      <c r="AR30" s="45" t="e">
        <f>Z$3+Q30/ATM_Conf!$C$5</f>
        <v>#DIV/0!</v>
      </c>
      <c r="AS30" s="45" t="e">
        <f>AA$3+R30/ATM_Conf!$C$5</f>
        <v>#DIV/0!</v>
      </c>
      <c r="AT30" s="45" t="e">
        <f>AB$3+S30/ATM_Conf!$C$5</f>
        <v>#DIV/0!</v>
      </c>
      <c r="AU30" s="45" t="e">
        <f>BD$3*MIN(1,(ATM_Conf!$C$6-Links!F30)/(ATM_Conf!$C$6-ATM_Conf!$C$7))</f>
        <v>#DIV/0!</v>
      </c>
      <c r="AV30" s="45" t="e">
        <f>BE$3*MIN(1,(ATM_Conf!$C$6-Links!G30)/(ATM_Conf!$C$6-ATM_Conf!$C$7))</f>
        <v>#DIV/0!</v>
      </c>
      <c r="AW30" s="45" t="e">
        <f>BF$3*MIN(1,(ATM_Conf!$C$6-Links!H30)/(ATM_Conf!$C$6-ATM_Conf!$C$7))</f>
        <v>#DIV/0!</v>
      </c>
      <c r="AX30" s="45" t="e">
        <f>BG$3*MIN(1,(ATM_Conf!$C$6-Links!I30)/(ATM_Conf!$C$6-ATM_Conf!$C$7))</f>
        <v>#DIV/0!</v>
      </c>
      <c r="AY30" s="45" t="e">
        <f>BH$3*MIN(1,(ATM_Conf!$C$6-Links!J30)/(ATM_Conf!$C$6-ATM_Conf!$C$7))</f>
        <v>#DIV/0!</v>
      </c>
      <c r="AZ30" s="45" t="e">
        <f>BI$3*MIN(1,(ATM_Conf!$C$6-Links!K30)/(ATM_Conf!$C$6-ATM_Conf!$C$7))</f>
        <v>#DIV/0!</v>
      </c>
      <c r="BA30" s="45" t="e">
        <f>BJ$3*MIN(1,(ATM_Conf!$C$6-Links!L30)/(ATM_Conf!$C$6-ATM_Conf!$C$7))</f>
        <v>#DIV/0!</v>
      </c>
      <c r="BB30" s="45" t="e">
        <f>BK$3*MIN(1,(ATM_Conf!$C$6-Links!M30)/(ATM_Conf!$C$6-ATM_Conf!$C$7))</f>
        <v>#DIV/0!</v>
      </c>
      <c r="BC30" s="45" t="e">
        <f>BL$3*MIN(1,(ATM_Conf!$C$6-Links!N30)/(ATM_Conf!$C$6-ATM_Conf!$C$7))</f>
        <v>#DIV/0!</v>
      </c>
      <c r="BD30" s="45"/>
      <c r="BE30" s="45"/>
      <c r="BF30" s="45"/>
      <c r="BG30" s="45"/>
      <c r="BH30" s="45"/>
      <c r="BI30" s="45"/>
      <c r="BJ30" s="45"/>
      <c r="BK30" s="45"/>
      <c r="BL30" s="45"/>
      <c r="BM30" s="53"/>
      <c r="BN30" s="53"/>
      <c r="BO30" s="53"/>
      <c r="BP30" s="53"/>
      <c r="BQ30" s="53"/>
      <c r="BR30" s="53"/>
      <c r="BS30" s="53"/>
      <c r="BT30" s="53"/>
      <c r="BU30" s="53"/>
      <c r="BV30" s="53" t="e">
        <f t="shared" si="11"/>
        <v>#DIV/0!</v>
      </c>
      <c r="BW30" s="53" t="e">
        <f t="shared" si="12"/>
        <v>#DIV/0!</v>
      </c>
      <c r="BX30" s="53" t="e">
        <f t="shared" si="13"/>
        <v>#DIV/0!</v>
      </c>
      <c r="BY30" s="53" t="e">
        <f t="shared" si="14"/>
        <v>#DIV/0!</v>
      </c>
      <c r="BZ30" s="53" t="e">
        <f t="shared" si="15"/>
        <v>#DIV/0!</v>
      </c>
      <c r="CA30" s="53" t="e">
        <f t="shared" si="16"/>
        <v>#DIV/0!</v>
      </c>
      <c r="CB30" s="53" t="e">
        <f t="shared" si="17"/>
        <v>#DIV/0!</v>
      </c>
      <c r="CC30" s="53" t="e">
        <f t="shared" si="18"/>
        <v>#DIV/0!</v>
      </c>
      <c r="CD30" s="53" t="e">
        <f t="shared" si="19"/>
        <v>#DIV/0!</v>
      </c>
      <c r="CE30" s="55">
        <f t="shared" si="22"/>
        <v>0</v>
      </c>
      <c r="CF30" s="55">
        <f t="shared" si="22"/>
        <v>0</v>
      </c>
      <c r="CG30" s="55">
        <f t="shared" si="22"/>
        <v>0</v>
      </c>
      <c r="CH30" s="55">
        <f t="shared" si="22"/>
        <v>0</v>
      </c>
      <c r="CI30" s="55">
        <f t="shared" si="22"/>
        <v>0</v>
      </c>
      <c r="CJ30" s="55">
        <f t="shared" si="22"/>
        <v>0</v>
      </c>
      <c r="CK30" s="55">
        <f t="shared" si="22"/>
        <v>0</v>
      </c>
      <c r="CL30" s="55">
        <f t="shared" si="22"/>
        <v>0</v>
      </c>
      <c r="CM30" s="55">
        <f t="shared" si="22"/>
        <v>0</v>
      </c>
    </row>
    <row r="31" spans="1:91" x14ac:dyDescent="0.15">
      <c r="A31" s="42">
        <v>29</v>
      </c>
      <c r="B31" s="45">
        <f t="shared" si="28"/>
        <v>1</v>
      </c>
      <c r="C31" s="45">
        <f t="shared" si="28"/>
        <v>1</v>
      </c>
      <c r="D31" s="45">
        <f t="shared" si="28"/>
        <v>1</v>
      </c>
      <c r="E31" s="45">
        <f t="shared" si="28"/>
        <v>1</v>
      </c>
      <c r="F31" s="45">
        <f t="shared" si="28"/>
        <v>1</v>
      </c>
      <c r="G31" s="45">
        <f t="shared" si="28"/>
        <v>1</v>
      </c>
      <c r="H31" s="45">
        <f t="shared" si="28"/>
        <v>1</v>
      </c>
      <c r="I31" s="45">
        <f t="shared" si="28"/>
        <v>1</v>
      </c>
      <c r="J31" s="45">
        <f t="shared" si="28"/>
        <v>1</v>
      </c>
      <c r="K31" s="45" t="e">
        <f>K30+ATM_Conf!$C$5*(T30-AC30)</f>
        <v>#DIV/0!</v>
      </c>
      <c r="L31" s="45" t="e">
        <f>L30+ATM_Conf!$C$5*(U30-AD30)</f>
        <v>#DIV/0!</v>
      </c>
      <c r="M31" s="45" t="e">
        <f>M30+ATM_Conf!$C$5*(V30-AE30)</f>
        <v>#DIV/0!</v>
      </c>
      <c r="N31" s="45" t="e">
        <f>N30+ATM_Conf!$C$5*(W30-AF30)</f>
        <v>#DIV/0!</v>
      </c>
      <c r="O31" s="45" t="e">
        <f>O30+ATM_Conf!$C$5*(X30-AG30)</f>
        <v>#DIV/0!</v>
      </c>
      <c r="P31" s="45" t="e">
        <f>P30+ATM_Conf!$C$5*(Y30-AH30)</f>
        <v>#DIV/0!</v>
      </c>
      <c r="Q31" s="45" t="e">
        <f>Q30+ATM_Conf!$C$5*(Z30-AI30)</f>
        <v>#DIV/0!</v>
      </c>
      <c r="R31" s="45" t="e">
        <f>R30+ATM_Conf!$C$5*(AA30-AJ30)</f>
        <v>#DIV/0!</v>
      </c>
      <c r="S31" s="45" t="e">
        <f>S30+ATM_Conf!$C$5*(AB30-AK30)</f>
        <v>#DIV/0!</v>
      </c>
      <c r="T31" s="45"/>
      <c r="U31" s="45"/>
      <c r="V31" s="45"/>
      <c r="W31" s="45"/>
      <c r="X31" s="45"/>
      <c r="Y31" s="45"/>
      <c r="Z31" s="45"/>
      <c r="AA31" s="45"/>
      <c r="AB31" s="45"/>
      <c r="AC31" s="45" t="e">
        <f t="shared" si="2"/>
        <v>#DIV/0!</v>
      </c>
      <c r="AD31" s="45" t="e">
        <f t="shared" si="3"/>
        <v>#DIV/0!</v>
      </c>
      <c r="AE31" s="45" t="e">
        <f t="shared" si="4"/>
        <v>#DIV/0!</v>
      </c>
      <c r="AF31" s="45" t="e">
        <f t="shared" si="5"/>
        <v>#DIV/0!</v>
      </c>
      <c r="AG31" s="45" t="e">
        <f t="shared" si="6"/>
        <v>#DIV/0!</v>
      </c>
      <c r="AH31" s="45" t="e">
        <f t="shared" si="7"/>
        <v>#DIV/0!</v>
      </c>
      <c r="AI31" s="45" t="e">
        <f t="shared" si="8"/>
        <v>#DIV/0!</v>
      </c>
      <c r="AJ31" s="45" t="e">
        <f t="shared" si="9"/>
        <v>#DIV/0!</v>
      </c>
      <c r="AK31" s="45" t="e">
        <f t="shared" si="10"/>
        <v>#DIV/0!</v>
      </c>
      <c r="AL31" s="45" t="e">
        <f>T$3+K31/ATM_Conf!$C$5</f>
        <v>#DIV/0!</v>
      </c>
      <c r="AM31" s="45" t="e">
        <f>U$3+L31/ATM_Conf!$C$5</f>
        <v>#DIV/0!</v>
      </c>
      <c r="AN31" s="45" t="e">
        <f>V$3+M31/ATM_Conf!$C$5</f>
        <v>#DIV/0!</v>
      </c>
      <c r="AO31" s="45" t="e">
        <f>W$3+N31/ATM_Conf!$C$5</f>
        <v>#DIV/0!</v>
      </c>
      <c r="AP31" s="45" t="e">
        <f>X$3+O31/ATM_Conf!$C$5</f>
        <v>#DIV/0!</v>
      </c>
      <c r="AQ31" s="45" t="e">
        <f>Y$3+P31/ATM_Conf!$C$5</f>
        <v>#DIV/0!</v>
      </c>
      <c r="AR31" s="45" t="e">
        <f>Z$3+Q31/ATM_Conf!$C$5</f>
        <v>#DIV/0!</v>
      </c>
      <c r="AS31" s="45" t="e">
        <f>AA$3+R31/ATM_Conf!$C$5</f>
        <v>#DIV/0!</v>
      </c>
      <c r="AT31" s="45" t="e">
        <f>AB$3+S31/ATM_Conf!$C$5</f>
        <v>#DIV/0!</v>
      </c>
      <c r="AU31" s="45" t="e">
        <f>BD$3*MIN(1,(ATM_Conf!$C$6-Links!F31)/(ATM_Conf!$C$6-ATM_Conf!$C$7))</f>
        <v>#DIV/0!</v>
      </c>
      <c r="AV31" s="45" t="e">
        <f>BE$3*MIN(1,(ATM_Conf!$C$6-Links!G31)/(ATM_Conf!$C$6-ATM_Conf!$C$7))</f>
        <v>#DIV/0!</v>
      </c>
      <c r="AW31" s="45" t="e">
        <f>BF$3*MIN(1,(ATM_Conf!$C$6-Links!H31)/(ATM_Conf!$C$6-ATM_Conf!$C$7))</f>
        <v>#DIV/0!</v>
      </c>
      <c r="AX31" s="45" t="e">
        <f>BG$3*MIN(1,(ATM_Conf!$C$6-Links!I31)/(ATM_Conf!$C$6-ATM_Conf!$C$7))</f>
        <v>#DIV/0!</v>
      </c>
      <c r="AY31" s="45" t="e">
        <f>BH$3*MIN(1,(ATM_Conf!$C$6-Links!J31)/(ATM_Conf!$C$6-ATM_Conf!$C$7))</f>
        <v>#DIV/0!</v>
      </c>
      <c r="AZ31" s="45" t="e">
        <f>BI$3*MIN(1,(ATM_Conf!$C$6-Links!K31)/(ATM_Conf!$C$6-ATM_Conf!$C$7))</f>
        <v>#DIV/0!</v>
      </c>
      <c r="BA31" s="45" t="e">
        <f>BJ$3*MIN(1,(ATM_Conf!$C$6-Links!L31)/(ATM_Conf!$C$6-ATM_Conf!$C$7))</f>
        <v>#DIV/0!</v>
      </c>
      <c r="BB31" s="45" t="e">
        <f>BK$3*MIN(1,(ATM_Conf!$C$6-Links!M31)/(ATM_Conf!$C$6-ATM_Conf!$C$7))</f>
        <v>#DIV/0!</v>
      </c>
      <c r="BC31" s="45" t="e">
        <f>BL$3*MIN(1,(ATM_Conf!$C$6-Links!N31)/(ATM_Conf!$C$6-ATM_Conf!$C$7))</f>
        <v>#DIV/0!</v>
      </c>
      <c r="BD31" s="45"/>
      <c r="BE31" s="45"/>
      <c r="BF31" s="45"/>
      <c r="BG31" s="45"/>
      <c r="BH31" s="45"/>
      <c r="BI31" s="45"/>
      <c r="BJ31" s="45"/>
      <c r="BK31" s="45"/>
      <c r="BL31" s="45"/>
      <c r="BM31" s="53"/>
      <c r="BN31" s="53"/>
      <c r="BO31" s="53"/>
      <c r="BP31" s="53"/>
      <c r="BQ31" s="53"/>
      <c r="BR31" s="53"/>
      <c r="BS31" s="53"/>
      <c r="BT31" s="53"/>
      <c r="BU31" s="53"/>
      <c r="BV31" s="53" t="e">
        <f t="shared" si="11"/>
        <v>#DIV/0!</v>
      </c>
      <c r="BW31" s="53" t="e">
        <f t="shared" si="12"/>
        <v>#DIV/0!</v>
      </c>
      <c r="BX31" s="53" t="e">
        <f t="shared" si="13"/>
        <v>#DIV/0!</v>
      </c>
      <c r="BY31" s="53" t="e">
        <f t="shared" si="14"/>
        <v>#DIV/0!</v>
      </c>
      <c r="BZ31" s="53" t="e">
        <f t="shared" si="15"/>
        <v>#DIV/0!</v>
      </c>
      <c r="CA31" s="53" t="e">
        <f t="shared" si="16"/>
        <v>#DIV/0!</v>
      </c>
      <c r="CB31" s="53" t="e">
        <f t="shared" si="17"/>
        <v>#DIV/0!</v>
      </c>
      <c r="CC31" s="53" t="e">
        <f t="shared" si="18"/>
        <v>#DIV/0!</v>
      </c>
      <c r="CD31" s="53" t="e">
        <f t="shared" si="19"/>
        <v>#DIV/0!</v>
      </c>
      <c r="CE31" s="55">
        <f t="shared" si="22"/>
        <v>0</v>
      </c>
      <c r="CF31" s="55">
        <f t="shared" si="22"/>
        <v>0</v>
      </c>
      <c r="CG31" s="55">
        <f t="shared" si="22"/>
        <v>0</v>
      </c>
      <c r="CH31" s="55">
        <f t="shared" si="22"/>
        <v>0</v>
      </c>
      <c r="CI31" s="55">
        <f t="shared" si="22"/>
        <v>0</v>
      </c>
      <c r="CJ31" s="55">
        <f t="shared" si="22"/>
        <v>0</v>
      </c>
      <c r="CK31" s="55">
        <f t="shared" si="22"/>
        <v>0</v>
      </c>
      <c r="CL31" s="55">
        <f t="shared" si="22"/>
        <v>0</v>
      </c>
      <c r="CM31" s="55">
        <f t="shared" si="22"/>
        <v>0</v>
      </c>
    </row>
    <row r="32" spans="1:91" x14ac:dyDescent="0.15">
      <c r="A32" s="42">
        <v>30</v>
      </c>
      <c r="B32" s="45">
        <f t="shared" si="28"/>
        <v>1</v>
      </c>
      <c r="C32" s="45">
        <f t="shared" si="28"/>
        <v>1</v>
      </c>
      <c r="D32" s="45">
        <f t="shared" si="28"/>
        <v>1</v>
      </c>
      <c r="E32" s="45">
        <f t="shared" si="28"/>
        <v>1</v>
      </c>
      <c r="F32" s="45">
        <f t="shared" si="28"/>
        <v>1</v>
      </c>
      <c r="G32" s="45">
        <f t="shared" si="28"/>
        <v>1</v>
      </c>
      <c r="H32" s="45">
        <f t="shared" si="28"/>
        <v>1</v>
      </c>
      <c r="I32" s="45">
        <f t="shared" si="28"/>
        <v>1</v>
      </c>
      <c r="J32" s="45">
        <f t="shared" si="28"/>
        <v>1</v>
      </c>
      <c r="K32" s="45" t="e">
        <f>K31+ATM_Conf!$C$5*(T31-AC31)</f>
        <v>#DIV/0!</v>
      </c>
      <c r="L32" s="45" t="e">
        <f>L31+ATM_Conf!$C$5*(U31-AD31)</f>
        <v>#DIV/0!</v>
      </c>
      <c r="M32" s="45" t="e">
        <f>M31+ATM_Conf!$C$5*(V31-AE31)</f>
        <v>#DIV/0!</v>
      </c>
      <c r="N32" s="45" t="e">
        <f>N31+ATM_Conf!$C$5*(W31-AF31)</f>
        <v>#DIV/0!</v>
      </c>
      <c r="O32" s="45" t="e">
        <f>O31+ATM_Conf!$C$5*(X31-AG31)</f>
        <v>#DIV/0!</v>
      </c>
      <c r="P32" s="45" t="e">
        <f>P31+ATM_Conf!$C$5*(Y31-AH31)</f>
        <v>#DIV/0!</v>
      </c>
      <c r="Q32" s="45" t="e">
        <f>Q31+ATM_Conf!$C$5*(Z31-AI31)</f>
        <v>#DIV/0!</v>
      </c>
      <c r="R32" s="45" t="e">
        <f>R31+ATM_Conf!$C$5*(AA31-AJ31)</f>
        <v>#DIV/0!</v>
      </c>
      <c r="S32" s="45" t="e">
        <f>S31+ATM_Conf!$C$5*(AB31-AK31)</f>
        <v>#DIV/0!</v>
      </c>
      <c r="T32" s="45"/>
      <c r="U32" s="45"/>
      <c r="V32" s="45"/>
      <c r="W32" s="45"/>
      <c r="X32" s="45"/>
      <c r="Y32" s="45"/>
      <c r="Z32" s="45"/>
      <c r="AA32" s="45"/>
      <c r="AB32" s="45"/>
      <c r="AC32" s="45" t="e">
        <f t="shared" si="2"/>
        <v>#DIV/0!</v>
      </c>
      <c r="AD32" s="45" t="e">
        <f t="shared" si="3"/>
        <v>#DIV/0!</v>
      </c>
      <c r="AE32" s="45" t="e">
        <f t="shared" si="4"/>
        <v>#DIV/0!</v>
      </c>
      <c r="AF32" s="45" t="e">
        <f t="shared" si="5"/>
        <v>#DIV/0!</v>
      </c>
      <c r="AG32" s="45" t="e">
        <f t="shared" si="6"/>
        <v>#DIV/0!</v>
      </c>
      <c r="AH32" s="45" t="e">
        <f t="shared" si="7"/>
        <v>#DIV/0!</v>
      </c>
      <c r="AI32" s="45" t="e">
        <f t="shared" si="8"/>
        <v>#DIV/0!</v>
      </c>
      <c r="AJ32" s="45" t="e">
        <f t="shared" si="9"/>
        <v>#DIV/0!</v>
      </c>
      <c r="AK32" s="45" t="e">
        <f t="shared" si="10"/>
        <v>#DIV/0!</v>
      </c>
      <c r="AL32" s="45" t="e">
        <f>T$3+K32/ATM_Conf!$C$5</f>
        <v>#DIV/0!</v>
      </c>
      <c r="AM32" s="45" t="e">
        <f>U$3+L32/ATM_Conf!$C$5</f>
        <v>#DIV/0!</v>
      </c>
      <c r="AN32" s="45" t="e">
        <f>V$3+M32/ATM_Conf!$C$5</f>
        <v>#DIV/0!</v>
      </c>
      <c r="AO32" s="45" t="e">
        <f>W$3+N32/ATM_Conf!$C$5</f>
        <v>#DIV/0!</v>
      </c>
      <c r="AP32" s="45" t="e">
        <f>X$3+O32/ATM_Conf!$C$5</f>
        <v>#DIV/0!</v>
      </c>
      <c r="AQ32" s="45" t="e">
        <f>Y$3+P32/ATM_Conf!$C$5</f>
        <v>#DIV/0!</v>
      </c>
      <c r="AR32" s="45" t="e">
        <f>Z$3+Q32/ATM_Conf!$C$5</f>
        <v>#DIV/0!</v>
      </c>
      <c r="AS32" s="45" t="e">
        <f>AA$3+R32/ATM_Conf!$C$5</f>
        <v>#DIV/0!</v>
      </c>
      <c r="AT32" s="45" t="e">
        <f>AB$3+S32/ATM_Conf!$C$5</f>
        <v>#DIV/0!</v>
      </c>
      <c r="AU32" s="45" t="e">
        <f>BD$3*MIN(1,(ATM_Conf!$C$6-Links!F32)/(ATM_Conf!$C$6-ATM_Conf!$C$7))</f>
        <v>#DIV/0!</v>
      </c>
      <c r="AV32" s="45" t="e">
        <f>BE$3*MIN(1,(ATM_Conf!$C$6-Links!G32)/(ATM_Conf!$C$6-ATM_Conf!$C$7))</f>
        <v>#DIV/0!</v>
      </c>
      <c r="AW32" s="45" t="e">
        <f>BF$3*MIN(1,(ATM_Conf!$C$6-Links!H32)/(ATM_Conf!$C$6-ATM_Conf!$C$7))</f>
        <v>#DIV/0!</v>
      </c>
      <c r="AX32" s="45" t="e">
        <f>BG$3*MIN(1,(ATM_Conf!$C$6-Links!I32)/(ATM_Conf!$C$6-ATM_Conf!$C$7))</f>
        <v>#DIV/0!</v>
      </c>
      <c r="AY32" s="45" t="e">
        <f>BH$3*MIN(1,(ATM_Conf!$C$6-Links!J32)/(ATM_Conf!$C$6-ATM_Conf!$C$7))</f>
        <v>#DIV/0!</v>
      </c>
      <c r="AZ32" s="45" t="e">
        <f>BI$3*MIN(1,(ATM_Conf!$C$6-Links!K32)/(ATM_Conf!$C$6-ATM_Conf!$C$7))</f>
        <v>#DIV/0!</v>
      </c>
      <c r="BA32" s="45" t="e">
        <f>BJ$3*MIN(1,(ATM_Conf!$C$6-Links!L32)/(ATM_Conf!$C$6-ATM_Conf!$C$7))</f>
        <v>#DIV/0!</v>
      </c>
      <c r="BB32" s="45" t="e">
        <f>BK$3*MIN(1,(ATM_Conf!$C$6-Links!M32)/(ATM_Conf!$C$6-ATM_Conf!$C$7))</f>
        <v>#DIV/0!</v>
      </c>
      <c r="BC32" s="45" t="e">
        <f>BL$3*MIN(1,(ATM_Conf!$C$6-Links!N32)/(ATM_Conf!$C$6-ATM_Conf!$C$7))</f>
        <v>#DIV/0!</v>
      </c>
      <c r="BD32" s="45"/>
      <c r="BE32" s="45"/>
      <c r="BF32" s="45"/>
      <c r="BG32" s="45"/>
      <c r="BH32" s="45"/>
      <c r="BI32" s="45"/>
      <c r="BJ32" s="45"/>
      <c r="BK32" s="45"/>
      <c r="BL32" s="45"/>
      <c r="BM32" s="53"/>
      <c r="BN32" s="53"/>
      <c r="BO32" s="53"/>
      <c r="BP32" s="53"/>
      <c r="BQ32" s="53"/>
      <c r="BR32" s="53"/>
      <c r="BS32" s="53"/>
      <c r="BT32" s="53"/>
      <c r="BU32" s="53"/>
      <c r="BV32" s="53" t="e">
        <f t="shared" si="11"/>
        <v>#DIV/0!</v>
      </c>
      <c r="BW32" s="53" t="e">
        <f t="shared" si="12"/>
        <v>#DIV/0!</v>
      </c>
      <c r="BX32" s="53" t="e">
        <f t="shared" si="13"/>
        <v>#DIV/0!</v>
      </c>
      <c r="BY32" s="53" t="e">
        <f t="shared" si="14"/>
        <v>#DIV/0!</v>
      </c>
      <c r="BZ32" s="53" t="e">
        <f t="shared" si="15"/>
        <v>#DIV/0!</v>
      </c>
      <c r="CA32" s="53" t="e">
        <f t="shared" si="16"/>
        <v>#DIV/0!</v>
      </c>
      <c r="CB32" s="53" t="e">
        <f t="shared" si="17"/>
        <v>#DIV/0!</v>
      </c>
      <c r="CC32" s="53" t="e">
        <f t="shared" si="18"/>
        <v>#DIV/0!</v>
      </c>
      <c r="CD32" s="53" t="e">
        <f t="shared" si="19"/>
        <v>#DIV/0!</v>
      </c>
      <c r="CE32" s="55">
        <f t="shared" si="22"/>
        <v>0</v>
      </c>
      <c r="CF32" s="55">
        <f t="shared" si="22"/>
        <v>0</v>
      </c>
      <c r="CG32" s="55">
        <f t="shared" si="22"/>
        <v>0</v>
      </c>
      <c r="CH32" s="55">
        <f t="shared" si="22"/>
        <v>0</v>
      </c>
      <c r="CI32" s="55">
        <f t="shared" si="22"/>
        <v>0</v>
      </c>
      <c r="CJ32" s="55">
        <f t="shared" si="22"/>
        <v>0</v>
      </c>
      <c r="CK32" s="55">
        <f t="shared" si="22"/>
        <v>0</v>
      </c>
      <c r="CL32" s="55">
        <f t="shared" si="22"/>
        <v>0</v>
      </c>
      <c r="CM32" s="55">
        <f t="shared" si="22"/>
        <v>0</v>
      </c>
    </row>
    <row r="33" spans="1:91" x14ac:dyDescent="0.15">
      <c r="A33" s="42">
        <v>31</v>
      </c>
      <c r="B33" s="45">
        <f t="shared" si="28"/>
        <v>1</v>
      </c>
      <c r="C33" s="45">
        <f t="shared" si="28"/>
        <v>1</v>
      </c>
      <c r="D33" s="45">
        <f t="shared" si="28"/>
        <v>1</v>
      </c>
      <c r="E33" s="45">
        <f t="shared" si="28"/>
        <v>1</v>
      </c>
      <c r="F33" s="45">
        <f t="shared" si="28"/>
        <v>1</v>
      </c>
      <c r="G33" s="45">
        <f t="shared" si="28"/>
        <v>1</v>
      </c>
      <c r="H33" s="45">
        <f t="shared" si="28"/>
        <v>1</v>
      </c>
      <c r="I33" s="45">
        <f t="shared" si="28"/>
        <v>1</v>
      </c>
      <c r="J33" s="45">
        <f t="shared" si="28"/>
        <v>1</v>
      </c>
      <c r="K33" s="45" t="e">
        <f>K32+ATM_Conf!$C$5*(T32-AC32)</f>
        <v>#DIV/0!</v>
      </c>
      <c r="L33" s="45" t="e">
        <f>L32+ATM_Conf!$C$5*(U32-AD32)</f>
        <v>#DIV/0!</v>
      </c>
      <c r="M33" s="45" t="e">
        <f>M32+ATM_Conf!$C$5*(V32-AE32)</f>
        <v>#DIV/0!</v>
      </c>
      <c r="N33" s="45" t="e">
        <f>N32+ATM_Conf!$C$5*(W32-AF32)</f>
        <v>#DIV/0!</v>
      </c>
      <c r="O33" s="45" t="e">
        <f>O32+ATM_Conf!$C$5*(X32-AG32)</f>
        <v>#DIV/0!</v>
      </c>
      <c r="P33" s="45" t="e">
        <f>P32+ATM_Conf!$C$5*(Y32-AH32)</f>
        <v>#DIV/0!</v>
      </c>
      <c r="Q33" s="45" t="e">
        <f>Q32+ATM_Conf!$C$5*(Z32-AI32)</f>
        <v>#DIV/0!</v>
      </c>
      <c r="R33" s="45" t="e">
        <f>R32+ATM_Conf!$C$5*(AA32-AJ32)</f>
        <v>#DIV/0!</v>
      </c>
      <c r="S33" s="45" t="e">
        <f>S32+ATM_Conf!$C$5*(AB32-AK32)</f>
        <v>#DIV/0!</v>
      </c>
      <c r="T33" s="45"/>
      <c r="U33" s="45"/>
      <c r="V33" s="45"/>
      <c r="W33" s="45"/>
      <c r="X33" s="45"/>
      <c r="Y33" s="45"/>
      <c r="Z33" s="45"/>
      <c r="AA33" s="45"/>
      <c r="AB33" s="45"/>
      <c r="AC33" s="45" t="e">
        <f t="shared" si="2"/>
        <v>#DIV/0!</v>
      </c>
      <c r="AD33" s="45" t="e">
        <f t="shared" si="3"/>
        <v>#DIV/0!</v>
      </c>
      <c r="AE33" s="45" t="e">
        <f t="shared" si="4"/>
        <v>#DIV/0!</v>
      </c>
      <c r="AF33" s="45" t="e">
        <f t="shared" si="5"/>
        <v>#DIV/0!</v>
      </c>
      <c r="AG33" s="45" t="e">
        <f t="shared" si="6"/>
        <v>#DIV/0!</v>
      </c>
      <c r="AH33" s="45" t="e">
        <f t="shared" si="7"/>
        <v>#DIV/0!</v>
      </c>
      <c r="AI33" s="45" t="e">
        <f t="shared" si="8"/>
        <v>#DIV/0!</v>
      </c>
      <c r="AJ33" s="45" t="e">
        <f t="shared" si="9"/>
        <v>#DIV/0!</v>
      </c>
      <c r="AK33" s="45" t="e">
        <f t="shared" si="10"/>
        <v>#DIV/0!</v>
      </c>
      <c r="AL33" s="45" t="e">
        <f>T$3+K33/ATM_Conf!$C$5</f>
        <v>#DIV/0!</v>
      </c>
      <c r="AM33" s="45" t="e">
        <f>U$3+L33/ATM_Conf!$C$5</f>
        <v>#DIV/0!</v>
      </c>
      <c r="AN33" s="45" t="e">
        <f>V$3+M33/ATM_Conf!$C$5</f>
        <v>#DIV/0!</v>
      </c>
      <c r="AO33" s="45" t="e">
        <f>W$3+N33/ATM_Conf!$C$5</f>
        <v>#DIV/0!</v>
      </c>
      <c r="AP33" s="45" t="e">
        <f>X$3+O33/ATM_Conf!$C$5</f>
        <v>#DIV/0!</v>
      </c>
      <c r="AQ33" s="45" t="e">
        <f>Y$3+P33/ATM_Conf!$C$5</f>
        <v>#DIV/0!</v>
      </c>
      <c r="AR33" s="45" t="e">
        <f>Z$3+Q33/ATM_Conf!$C$5</f>
        <v>#DIV/0!</v>
      </c>
      <c r="AS33" s="45" t="e">
        <f>AA$3+R33/ATM_Conf!$C$5</f>
        <v>#DIV/0!</v>
      </c>
      <c r="AT33" s="45" t="e">
        <f>AB$3+S33/ATM_Conf!$C$5</f>
        <v>#DIV/0!</v>
      </c>
      <c r="AU33" s="45" t="e">
        <f>BD$3*MIN(1,(ATM_Conf!$C$6-Links!F33)/(ATM_Conf!$C$6-ATM_Conf!$C$7))</f>
        <v>#DIV/0!</v>
      </c>
      <c r="AV33" s="45" t="e">
        <f>BE$3*MIN(1,(ATM_Conf!$C$6-Links!G33)/(ATM_Conf!$C$6-ATM_Conf!$C$7))</f>
        <v>#DIV/0!</v>
      </c>
      <c r="AW33" s="45" t="e">
        <f>BF$3*MIN(1,(ATM_Conf!$C$6-Links!H33)/(ATM_Conf!$C$6-ATM_Conf!$C$7))</f>
        <v>#DIV/0!</v>
      </c>
      <c r="AX33" s="45" t="e">
        <f>BG$3*MIN(1,(ATM_Conf!$C$6-Links!I33)/(ATM_Conf!$C$6-ATM_Conf!$C$7))</f>
        <v>#DIV/0!</v>
      </c>
      <c r="AY33" s="45" t="e">
        <f>BH$3*MIN(1,(ATM_Conf!$C$6-Links!J33)/(ATM_Conf!$C$6-ATM_Conf!$C$7))</f>
        <v>#DIV/0!</v>
      </c>
      <c r="AZ33" s="45" t="e">
        <f>BI$3*MIN(1,(ATM_Conf!$C$6-Links!K33)/(ATM_Conf!$C$6-ATM_Conf!$C$7))</f>
        <v>#DIV/0!</v>
      </c>
      <c r="BA33" s="45" t="e">
        <f>BJ$3*MIN(1,(ATM_Conf!$C$6-Links!L33)/(ATM_Conf!$C$6-ATM_Conf!$C$7))</f>
        <v>#DIV/0!</v>
      </c>
      <c r="BB33" s="45" t="e">
        <f>BK$3*MIN(1,(ATM_Conf!$C$6-Links!M33)/(ATM_Conf!$C$6-ATM_Conf!$C$7))</f>
        <v>#DIV/0!</v>
      </c>
      <c r="BC33" s="45" t="e">
        <f>BL$3*MIN(1,(ATM_Conf!$C$6-Links!N33)/(ATM_Conf!$C$6-ATM_Conf!$C$7))</f>
        <v>#DIV/0!</v>
      </c>
      <c r="BD33" s="45"/>
      <c r="BE33" s="45"/>
      <c r="BF33" s="45"/>
      <c r="BG33" s="45"/>
      <c r="BH33" s="45"/>
      <c r="BI33" s="45"/>
      <c r="BJ33" s="45"/>
      <c r="BK33" s="45"/>
      <c r="BL33" s="45"/>
      <c r="BM33" s="53"/>
      <c r="BN33" s="53"/>
      <c r="BO33" s="53"/>
      <c r="BP33" s="53"/>
      <c r="BQ33" s="53"/>
      <c r="BR33" s="53"/>
      <c r="BS33" s="53"/>
      <c r="BT33" s="53"/>
      <c r="BU33" s="53"/>
      <c r="BV33" s="53" t="e">
        <f t="shared" si="11"/>
        <v>#DIV/0!</v>
      </c>
      <c r="BW33" s="53" t="e">
        <f t="shared" si="12"/>
        <v>#DIV/0!</v>
      </c>
      <c r="BX33" s="53" t="e">
        <f t="shared" si="13"/>
        <v>#DIV/0!</v>
      </c>
      <c r="BY33" s="53" t="e">
        <f t="shared" si="14"/>
        <v>#DIV/0!</v>
      </c>
      <c r="BZ33" s="53" t="e">
        <f t="shared" si="15"/>
        <v>#DIV/0!</v>
      </c>
      <c r="CA33" s="53" t="e">
        <f t="shared" si="16"/>
        <v>#DIV/0!</v>
      </c>
      <c r="CB33" s="53" t="e">
        <f t="shared" si="17"/>
        <v>#DIV/0!</v>
      </c>
      <c r="CC33" s="53" t="e">
        <f t="shared" si="18"/>
        <v>#DIV/0!</v>
      </c>
      <c r="CD33" s="53" t="e">
        <f t="shared" si="19"/>
        <v>#DIV/0!</v>
      </c>
      <c r="CE33" s="55">
        <f t="shared" si="22"/>
        <v>0</v>
      </c>
      <c r="CF33" s="55">
        <f t="shared" si="22"/>
        <v>0</v>
      </c>
      <c r="CG33" s="55">
        <f t="shared" si="22"/>
        <v>0</v>
      </c>
      <c r="CH33" s="55">
        <f t="shared" si="22"/>
        <v>0</v>
      </c>
      <c r="CI33" s="55">
        <f t="shared" si="22"/>
        <v>0</v>
      </c>
      <c r="CJ33" s="55">
        <f t="shared" si="22"/>
        <v>0</v>
      </c>
      <c r="CK33" s="55">
        <f t="shared" si="22"/>
        <v>0</v>
      </c>
      <c r="CL33" s="55">
        <f t="shared" si="22"/>
        <v>0</v>
      </c>
      <c r="CM33" s="55">
        <f t="shared" si="22"/>
        <v>0</v>
      </c>
    </row>
    <row r="34" spans="1:91" x14ac:dyDescent="0.15">
      <c r="A34" s="42">
        <v>32</v>
      </c>
      <c r="B34" s="45">
        <f t="shared" si="28"/>
        <v>1</v>
      </c>
      <c r="C34" s="45">
        <f t="shared" si="28"/>
        <v>1</v>
      </c>
      <c r="D34" s="45">
        <f t="shared" si="28"/>
        <v>1</v>
      </c>
      <c r="E34" s="45">
        <f t="shared" si="28"/>
        <v>1</v>
      </c>
      <c r="F34" s="45">
        <f t="shared" si="28"/>
        <v>1</v>
      </c>
      <c r="G34" s="45">
        <f t="shared" si="28"/>
        <v>1</v>
      </c>
      <c r="H34" s="45">
        <f t="shared" si="28"/>
        <v>1</v>
      </c>
      <c r="I34" s="45">
        <f t="shared" si="28"/>
        <v>1</v>
      </c>
      <c r="J34" s="45">
        <f t="shared" si="28"/>
        <v>1</v>
      </c>
      <c r="K34" s="45" t="e">
        <f>K33+ATM_Conf!$C$5*(T33-AC33)</f>
        <v>#DIV/0!</v>
      </c>
      <c r="L34" s="45" t="e">
        <f>L33+ATM_Conf!$C$5*(U33-AD33)</f>
        <v>#DIV/0!</v>
      </c>
      <c r="M34" s="45" t="e">
        <f>M33+ATM_Conf!$C$5*(V33-AE33)</f>
        <v>#DIV/0!</v>
      </c>
      <c r="N34" s="45" t="e">
        <f>N33+ATM_Conf!$C$5*(W33-AF33)</f>
        <v>#DIV/0!</v>
      </c>
      <c r="O34" s="45" t="e">
        <f>O33+ATM_Conf!$C$5*(X33-AG33)</f>
        <v>#DIV/0!</v>
      </c>
      <c r="P34" s="45" t="e">
        <f>P33+ATM_Conf!$C$5*(Y33-AH33)</f>
        <v>#DIV/0!</v>
      </c>
      <c r="Q34" s="45" t="e">
        <f>Q33+ATM_Conf!$C$5*(Z33-AI33)</f>
        <v>#DIV/0!</v>
      </c>
      <c r="R34" s="45" t="e">
        <f>R33+ATM_Conf!$C$5*(AA33-AJ33)</f>
        <v>#DIV/0!</v>
      </c>
      <c r="S34" s="45" t="e">
        <f>S33+ATM_Conf!$C$5*(AB33-AK33)</f>
        <v>#DIV/0!</v>
      </c>
      <c r="T34" s="45"/>
      <c r="U34" s="45"/>
      <c r="V34" s="45"/>
      <c r="W34" s="45"/>
      <c r="X34" s="45"/>
      <c r="Y34" s="45"/>
      <c r="Z34" s="45"/>
      <c r="AA34" s="45"/>
      <c r="AB34" s="45"/>
      <c r="AC34" s="45" t="e">
        <f t="shared" si="2"/>
        <v>#DIV/0!</v>
      </c>
      <c r="AD34" s="45" t="e">
        <f t="shared" si="3"/>
        <v>#DIV/0!</v>
      </c>
      <c r="AE34" s="45" t="e">
        <f t="shared" si="4"/>
        <v>#DIV/0!</v>
      </c>
      <c r="AF34" s="45" t="e">
        <f t="shared" si="5"/>
        <v>#DIV/0!</v>
      </c>
      <c r="AG34" s="45" t="e">
        <f t="shared" si="6"/>
        <v>#DIV/0!</v>
      </c>
      <c r="AH34" s="45" t="e">
        <f t="shared" si="7"/>
        <v>#DIV/0!</v>
      </c>
      <c r="AI34" s="45" t="e">
        <f t="shared" si="8"/>
        <v>#DIV/0!</v>
      </c>
      <c r="AJ34" s="45" t="e">
        <f t="shared" si="9"/>
        <v>#DIV/0!</v>
      </c>
      <c r="AK34" s="45" t="e">
        <f t="shared" si="10"/>
        <v>#DIV/0!</v>
      </c>
      <c r="AL34" s="45" t="e">
        <f>T$3+K34/ATM_Conf!$C$5</f>
        <v>#DIV/0!</v>
      </c>
      <c r="AM34" s="45" t="e">
        <f>U$3+L34/ATM_Conf!$C$5</f>
        <v>#DIV/0!</v>
      </c>
      <c r="AN34" s="45" t="e">
        <f>V$3+M34/ATM_Conf!$C$5</f>
        <v>#DIV/0!</v>
      </c>
      <c r="AO34" s="45" t="e">
        <f>W$3+N34/ATM_Conf!$C$5</f>
        <v>#DIV/0!</v>
      </c>
      <c r="AP34" s="45" t="e">
        <f>X$3+O34/ATM_Conf!$C$5</f>
        <v>#DIV/0!</v>
      </c>
      <c r="AQ34" s="45" t="e">
        <f>Y$3+P34/ATM_Conf!$C$5</f>
        <v>#DIV/0!</v>
      </c>
      <c r="AR34" s="45" t="e">
        <f>Z$3+Q34/ATM_Conf!$C$5</f>
        <v>#DIV/0!</v>
      </c>
      <c r="AS34" s="45" t="e">
        <f>AA$3+R34/ATM_Conf!$C$5</f>
        <v>#DIV/0!</v>
      </c>
      <c r="AT34" s="45" t="e">
        <f>AB$3+S34/ATM_Conf!$C$5</f>
        <v>#DIV/0!</v>
      </c>
      <c r="AU34" s="45" t="e">
        <f>BD$3*MIN(1,(ATM_Conf!$C$6-Links!F34)/(ATM_Conf!$C$6-ATM_Conf!$C$7))</f>
        <v>#DIV/0!</v>
      </c>
      <c r="AV34" s="45" t="e">
        <f>BE$3*MIN(1,(ATM_Conf!$C$6-Links!G34)/(ATM_Conf!$C$6-ATM_Conf!$C$7))</f>
        <v>#DIV/0!</v>
      </c>
      <c r="AW34" s="45" t="e">
        <f>BF$3*MIN(1,(ATM_Conf!$C$6-Links!H34)/(ATM_Conf!$C$6-ATM_Conf!$C$7))</f>
        <v>#DIV/0!</v>
      </c>
      <c r="AX34" s="45" t="e">
        <f>BG$3*MIN(1,(ATM_Conf!$C$6-Links!I34)/(ATM_Conf!$C$6-ATM_Conf!$C$7))</f>
        <v>#DIV/0!</v>
      </c>
      <c r="AY34" s="45" t="e">
        <f>BH$3*MIN(1,(ATM_Conf!$C$6-Links!J34)/(ATM_Conf!$C$6-ATM_Conf!$C$7))</f>
        <v>#DIV/0!</v>
      </c>
      <c r="AZ34" s="45" t="e">
        <f>BI$3*MIN(1,(ATM_Conf!$C$6-Links!K34)/(ATM_Conf!$C$6-ATM_Conf!$C$7))</f>
        <v>#DIV/0!</v>
      </c>
      <c r="BA34" s="45" t="e">
        <f>BJ$3*MIN(1,(ATM_Conf!$C$6-Links!L34)/(ATM_Conf!$C$6-ATM_Conf!$C$7))</f>
        <v>#DIV/0!</v>
      </c>
      <c r="BB34" s="45" t="e">
        <f>BK$3*MIN(1,(ATM_Conf!$C$6-Links!M34)/(ATM_Conf!$C$6-ATM_Conf!$C$7))</f>
        <v>#DIV/0!</v>
      </c>
      <c r="BC34" s="45" t="e">
        <f>BL$3*MIN(1,(ATM_Conf!$C$6-Links!N34)/(ATM_Conf!$C$6-ATM_Conf!$C$7))</f>
        <v>#DIV/0!</v>
      </c>
      <c r="BD34" s="45"/>
      <c r="BE34" s="45"/>
      <c r="BF34" s="45"/>
      <c r="BG34" s="45"/>
      <c r="BH34" s="45"/>
      <c r="BI34" s="45"/>
      <c r="BJ34" s="45"/>
      <c r="BK34" s="45"/>
      <c r="BL34" s="45"/>
      <c r="BM34" s="53"/>
      <c r="BN34" s="53"/>
      <c r="BO34" s="53"/>
      <c r="BP34" s="53"/>
      <c r="BQ34" s="53"/>
      <c r="BR34" s="53"/>
      <c r="BS34" s="53"/>
      <c r="BT34" s="53"/>
      <c r="BU34" s="53"/>
      <c r="BV34" s="53" t="e">
        <f t="shared" si="11"/>
        <v>#DIV/0!</v>
      </c>
      <c r="BW34" s="53" t="e">
        <f t="shared" si="12"/>
        <v>#DIV/0!</v>
      </c>
      <c r="BX34" s="53" t="e">
        <f t="shared" si="13"/>
        <v>#DIV/0!</v>
      </c>
      <c r="BY34" s="53" t="e">
        <f t="shared" si="14"/>
        <v>#DIV/0!</v>
      </c>
      <c r="BZ34" s="53" t="e">
        <f t="shared" si="15"/>
        <v>#DIV/0!</v>
      </c>
      <c r="CA34" s="53" t="e">
        <f t="shared" si="16"/>
        <v>#DIV/0!</v>
      </c>
      <c r="CB34" s="53" t="e">
        <f t="shared" si="17"/>
        <v>#DIV/0!</v>
      </c>
      <c r="CC34" s="53" t="e">
        <f t="shared" si="18"/>
        <v>#DIV/0!</v>
      </c>
      <c r="CD34" s="53" t="e">
        <f t="shared" si="19"/>
        <v>#DIV/0!</v>
      </c>
      <c r="CE34" s="55">
        <f t="shared" si="22"/>
        <v>0</v>
      </c>
      <c r="CF34" s="55">
        <f t="shared" si="22"/>
        <v>0</v>
      </c>
      <c r="CG34" s="55">
        <f t="shared" si="22"/>
        <v>0</v>
      </c>
      <c r="CH34" s="55">
        <f t="shared" si="22"/>
        <v>0</v>
      </c>
      <c r="CI34" s="55">
        <f t="shared" si="22"/>
        <v>0</v>
      </c>
      <c r="CJ34" s="55">
        <f t="shared" si="22"/>
        <v>0</v>
      </c>
      <c r="CK34" s="55">
        <f t="shared" si="22"/>
        <v>0</v>
      </c>
      <c r="CL34" s="55">
        <f t="shared" si="22"/>
        <v>0</v>
      </c>
      <c r="CM34" s="55">
        <f t="shared" si="22"/>
        <v>0</v>
      </c>
    </row>
    <row r="35" spans="1:91" x14ac:dyDescent="0.15">
      <c r="A35" s="42">
        <v>33</v>
      </c>
      <c r="B35" s="45">
        <f t="shared" si="28"/>
        <v>1</v>
      </c>
      <c r="C35" s="45">
        <f t="shared" si="28"/>
        <v>1</v>
      </c>
      <c r="D35" s="45">
        <f t="shared" si="28"/>
        <v>1</v>
      </c>
      <c r="E35" s="45">
        <f t="shared" si="28"/>
        <v>1</v>
      </c>
      <c r="F35" s="45">
        <f t="shared" si="28"/>
        <v>1</v>
      </c>
      <c r="G35" s="45">
        <f t="shared" si="28"/>
        <v>1</v>
      </c>
      <c r="H35" s="45">
        <f t="shared" si="28"/>
        <v>1</v>
      </c>
      <c r="I35" s="45">
        <f t="shared" si="28"/>
        <v>1</v>
      </c>
      <c r="J35" s="45">
        <f t="shared" si="28"/>
        <v>1</v>
      </c>
      <c r="K35" s="45" t="e">
        <f>K34+ATM_Conf!$C$5*(T34-AC34)</f>
        <v>#DIV/0!</v>
      </c>
      <c r="L35" s="45" t="e">
        <f>L34+ATM_Conf!$C$5*(U34-AD34)</f>
        <v>#DIV/0!</v>
      </c>
      <c r="M35" s="45" t="e">
        <f>M34+ATM_Conf!$C$5*(V34-AE34)</f>
        <v>#DIV/0!</v>
      </c>
      <c r="N35" s="45" t="e">
        <f>N34+ATM_Conf!$C$5*(W34-AF34)</f>
        <v>#DIV/0!</v>
      </c>
      <c r="O35" s="45" t="e">
        <f>O34+ATM_Conf!$C$5*(X34-AG34)</f>
        <v>#DIV/0!</v>
      </c>
      <c r="P35" s="45" t="e">
        <f>P34+ATM_Conf!$C$5*(Y34-AH34)</f>
        <v>#DIV/0!</v>
      </c>
      <c r="Q35" s="45" t="e">
        <f>Q34+ATM_Conf!$C$5*(Z34-AI34)</f>
        <v>#DIV/0!</v>
      </c>
      <c r="R35" s="45" t="e">
        <f>R34+ATM_Conf!$C$5*(AA34-AJ34)</f>
        <v>#DIV/0!</v>
      </c>
      <c r="S35" s="45" t="e">
        <f>S34+ATM_Conf!$C$5*(AB34-AK34)</f>
        <v>#DIV/0!</v>
      </c>
      <c r="T35" s="45"/>
      <c r="U35" s="45"/>
      <c r="V35" s="45"/>
      <c r="W35" s="45"/>
      <c r="X35" s="45"/>
      <c r="Y35" s="45"/>
      <c r="Z35" s="45"/>
      <c r="AA35" s="45"/>
      <c r="AB35" s="45"/>
      <c r="AC35" s="45" t="e">
        <f t="shared" si="2"/>
        <v>#DIV/0!</v>
      </c>
      <c r="AD35" s="45" t="e">
        <f t="shared" si="3"/>
        <v>#DIV/0!</v>
      </c>
      <c r="AE35" s="45" t="e">
        <f t="shared" si="4"/>
        <v>#DIV/0!</v>
      </c>
      <c r="AF35" s="45" t="e">
        <f t="shared" si="5"/>
        <v>#DIV/0!</v>
      </c>
      <c r="AG35" s="45" t="e">
        <f t="shared" si="6"/>
        <v>#DIV/0!</v>
      </c>
      <c r="AH35" s="45" t="e">
        <f t="shared" si="7"/>
        <v>#DIV/0!</v>
      </c>
      <c r="AI35" s="45" t="e">
        <f t="shared" si="8"/>
        <v>#DIV/0!</v>
      </c>
      <c r="AJ35" s="45" t="e">
        <f t="shared" si="9"/>
        <v>#DIV/0!</v>
      </c>
      <c r="AK35" s="45" t="e">
        <f t="shared" si="10"/>
        <v>#DIV/0!</v>
      </c>
      <c r="AL35" s="45" t="e">
        <f>T$3+K35/ATM_Conf!$C$5</f>
        <v>#DIV/0!</v>
      </c>
      <c r="AM35" s="45" t="e">
        <f>U$3+L35/ATM_Conf!$C$5</f>
        <v>#DIV/0!</v>
      </c>
      <c r="AN35" s="45" t="e">
        <f>V$3+M35/ATM_Conf!$C$5</f>
        <v>#DIV/0!</v>
      </c>
      <c r="AO35" s="45" t="e">
        <f>W$3+N35/ATM_Conf!$C$5</f>
        <v>#DIV/0!</v>
      </c>
      <c r="AP35" s="45" t="e">
        <f>X$3+O35/ATM_Conf!$C$5</f>
        <v>#DIV/0!</v>
      </c>
      <c r="AQ35" s="45" t="e">
        <f>Y$3+P35/ATM_Conf!$C$5</f>
        <v>#DIV/0!</v>
      </c>
      <c r="AR35" s="45" t="e">
        <f>Z$3+Q35/ATM_Conf!$C$5</f>
        <v>#DIV/0!</v>
      </c>
      <c r="AS35" s="45" t="e">
        <f>AA$3+R35/ATM_Conf!$C$5</f>
        <v>#DIV/0!</v>
      </c>
      <c r="AT35" s="45" t="e">
        <f>AB$3+S35/ATM_Conf!$C$5</f>
        <v>#DIV/0!</v>
      </c>
      <c r="AU35" s="45" t="e">
        <f>BD$3*MIN(1,(ATM_Conf!$C$6-Links!F35)/(ATM_Conf!$C$6-ATM_Conf!$C$7))</f>
        <v>#DIV/0!</v>
      </c>
      <c r="AV35" s="45" t="e">
        <f>BE$3*MIN(1,(ATM_Conf!$C$6-Links!G35)/(ATM_Conf!$C$6-ATM_Conf!$C$7))</f>
        <v>#DIV/0!</v>
      </c>
      <c r="AW35" s="45" t="e">
        <f>BF$3*MIN(1,(ATM_Conf!$C$6-Links!H35)/(ATM_Conf!$C$6-ATM_Conf!$C$7))</f>
        <v>#DIV/0!</v>
      </c>
      <c r="AX35" s="45" t="e">
        <f>BG$3*MIN(1,(ATM_Conf!$C$6-Links!I35)/(ATM_Conf!$C$6-ATM_Conf!$C$7))</f>
        <v>#DIV/0!</v>
      </c>
      <c r="AY35" s="45" t="e">
        <f>BH$3*MIN(1,(ATM_Conf!$C$6-Links!J35)/(ATM_Conf!$C$6-ATM_Conf!$C$7))</f>
        <v>#DIV/0!</v>
      </c>
      <c r="AZ35" s="45" t="e">
        <f>BI$3*MIN(1,(ATM_Conf!$C$6-Links!K35)/(ATM_Conf!$C$6-ATM_Conf!$C$7))</f>
        <v>#DIV/0!</v>
      </c>
      <c r="BA35" s="45" t="e">
        <f>BJ$3*MIN(1,(ATM_Conf!$C$6-Links!L35)/(ATM_Conf!$C$6-ATM_Conf!$C$7))</f>
        <v>#DIV/0!</v>
      </c>
      <c r="BB35" s="45" t="e">
        <f>BK$3*MIN(1,(ATM_Conf!$C$6-Links!M35)/(ATM_Conf!$C$6-ATM_Conf!$C$7))</f>
        <v>#DIV/0!</v>
      </c>
      <c r="BC35" s="45" t="e">
        <f>BL$3*MIN(1,(ATM_Conf!$C$6-Links!N35)/(ATM_Conf!$C$6-ATM_Conf!$C$7))</f>
        <v>#DIV/0!</v>
      </c>
      <c r="BD35" s="45"/>
      <c r="BE35" s="45"/>
      <c r="BF35" s="45"/>
      <c r="BG35" s="45"/>
      <c r="BH35" s="45"/>
      <c r="BI35" s="45"/>
      <c r="BJ35" s="45"/>
      <c r="BK35" s="45"/>
      <c r="BL35" s="45"/>
      <c r="BM35" s="53"/>
      <c r="BN35" s="53"/>
      <c r="BO35" s="53"/>
      <c r="BP35" s="53"/>
      <c r="BQ35" s="53"/>
      <c r="BR35" s="53"/>
      <c r="BS35" s="53"/>
      <c r="BT35" s="53"/>
      <c r="BU35" s="53"/>
      <c r="BV35" s="53" t="e">
        <f t="shared" si="11"/>
        <v>#DIV/0!</v>
      </c>
      <c r="BW35" s="53" t="e">
        <f t="shared" si="12"/>
        <v>#DIV/0!</v>
      </c>
      <c r="BX35" s="53" t="e">
        <f t="shared" si="13"/>
        <v>#DIV/0!</v>
      </c>
      <c r="BY35" s="53" t="e">
        <f t="shared" si="14"/>
        <v>#DIV/0!</v>
      </c>
      <c r="BZ35" s="53" t="e">
        <f t="shared" si="15"/>
        <v>#DIV/0!</v>
      </c>
      <c r="CA35" s="53" t="e">
        <f t="shared" si="16"/>
        <v>#DIV/0!</v>
      </c>
      <c r="CB35" s="53" t="e">
        <f t="shared" si="17"/>
        <v>#DIV/0!</v>
      </c>
      <c r="CC35" s="53" t="e">
        <f t="shared" si="18"/>
        <v>#DIV/0!</v>
      </c>
      <c r="CD35" s="53" t="e">
        <f t="shared" si="19"/>
        <v>#DIV/0!</v>
      </c>
      <c r="CE35" s="55">
        <f t="shared" si="22"/>
        <v>0</v>
      </c>
      <c r="CF35" s="55">
        <f t="shared" si="22"/>
        <v>0</v>
      </c>
      <c r="CG35" s="55">
        <f t="shared" si="22"/>
        <v>0</v>
      </c>
      <c r="CH35" s="55">
        <f t="shared" si="22"/>
        <v>0</v>
      </c>
      <c r="CI35" s="55">
        <f t="shared" si="22"/>
        <v>0</v>
      </c>
      <c r="CJ35" s="55">
        <f t="shared" si="22"/>
        <v>0</v>
      </c>
      <c r="CK35" s="55">
        <f t="shared" si="22"/>
        <v>0</v>
      </c>
      <c r="CL35" s="55">
        <f t="shared" si="22"/>
        <v>0</v>
      </c>
      <c r="CM35" s="55">
        <f t="shared" si="22"/>
        <v>0</v>
      </c>
    </row>
    <row r="36" spans="1:91" x14ac:dyDescent="0.15">
      <c r="A36" s="42">
        <v>34</v>
      </c>
      <c r="B36" s="45">
        <f t="shared" si="28"/>
        <v>1</v>
      </c>
      <c r="C36" s="45">
        <f t="shared" si="28"/>
        <v>1</v>
      </c>
      <c r="D36" s="45">
        <f t="shared" si="28"/>
        <v>1</v>
      </c>
      <c r="E36" s="45">
        <f t="shared" si="28"/>
        <v>1</v>
      </c>
      <c r="F36" s="45">
        <f t="shared" si="28"/>
        <v>1</v>
      </c>
      <c r="G36" s="45">
        <f t="shared" si="28"/>
        <v>1</v>
      </c>
      <c r="H36" s="45">
        <f t="shared" si="28"/>
        <v>1</v>
      </c>
      <c r="I36" s="45">
        <f t="shared" si="28"/>
        <v>1</v>
      </c>
      <c r="J36" s="45">
        <f t="shared" si="28"/>
        <v>1</v>
      </c>
      <c r="K36" s="45" t="e">
        <f>K35+ATM_Conf!$C$5*(T35-AC35)</f>
        <v>#DIV/0!</v>
      </c>
      <c r="L36" s="45" t="e">
        <f>L35+ATM_Conf!$C$5*(U35-AD35)</f>
        <v>#DIV/0!</v>
      </c>
      <c r="M36" s="45" t="e">
        <f>M35+ATM_Conf!$C$5*(V35-AE35)</f>
        <v>#DIV/0!</v>
      </c>
      <c r="N36" s="45" t="e">
        <f>N35+ATM_Conf!$C$5*(W35-AF35)</f>
        <v>#DIV/0!</v>
      </c>
      <c r="O36" s="45" t="e">
        <f>O35+ATM_Conf!$C$5*(X35-AG35)</f>
        <v>#DIV/0!</v>
      </c>
      <c r="P36" s="45" t="e">
        <f>P35+ATM_Conf!$C$5*(Y35-AH35)</f>
        <v>#DIV/0!</v>
      </c>
      <c r="Q36" s="45" t="e">
        <f>Q35+ATM_Conf!$C$5*(Z35-AI35)</f>
        <v>#DIV/0!</v>
      </c>
      <c r="R36" s="45" t="e">
        <f>R35+ATM_Conf!$C$5*(AA35-AJ35)</f>
        <v>#DIV/0!</v>
      </c>
      <c r="S36" s="45" t="e">
        <f>S35+ATM_Conf!$C$5*(AB35-AK35)</f>
        <v>#DIV/0!</v>
      </c>
      <c r="T36" s="45"/>
      <c r="U36" s="45"/>
      <c r="V36" s="45"/>
      <c r="W36" s="45"/>
      <c r="X36" s="45"/>
      <c r="Y36" s="45"/>
      <c r="Z36" s="45"/>
      <c r="AA36" s="45"/>
      <c r="AB36" s="45"/>
      <c r="AC36" s="45" t="e">
        <f t="shared" si="2"/>
        <v>#DIV/0!</v>
      </c>
      <c r="AD36" s="45" t="e">
        <f t="shared" si="3"/>
        <v>#DIV/0!</v>
      </c>
      <c r="AE36" s="45" t="e">
        <f t="shared" si="4"/>
        <v>#DIV/0!</v>
      </c>
      <c r="AF36" s="45" t="e">
        <f t="shared" si="5"/>
        <v>#DIV/0!</v>
      </c>
      <c r="AG36" s="45" t="e">
        <f t="shared" si="6"/>
        <v>#DIV/0!</v>
      </c>
      <c r="AH36" s="45" t="e">
        <f t="shared" si="7"/>
        <v>#DIV/0!</v>
      </c>
      <c r="AI36" s="45" t="e">
        <f t="shared" si="8"/>
        <v>#DIV/0!</v>
      </c>
      <c r="AJ36" s="45" t="e">
        <f t="shared" si="9"/>
        <v>#DIV/0!</v>
      </c>
      <c r="AK36" s="45" t="e">
        <f t="shared" si="10"/>
        <v>#DIV/0!</v>
      </c>
      <c r="AL36" s="45" t="e">
        <f>T$3+K36/ATM_Conf!$C$5</f>
        <v>#DIV/0!</v>
      </c>
      <c r="AM36" s="45" t="e">
        <f>U$3+L36/ATM_Conf!$C$5</f>
        <v>#DIV/0!</v>
      </c>
      <c r="AN36" s="45" t="e">
        <f>V$3+M36/ATM_Conf!$C$5</f>
        <v>#DIV/0!</v>
      </c>
      <c r="AO36" s="45" t="e">
        <f>W$3+N36/ATM_Conf!$C$5</f>
        <v>#DIV/0!</v>
      </c>
      <c r="AP36" s="45" t="e">
        <f>X$3+O36/ATM_Conf!$C$5</f>
        <v>#DIV/0!</v>
      </c>
      <c r="AQ36" s="45" t="e">
        <f>Y$3+P36/ATM_Conf!$C$5</f>
        <v>#DIV/0!</v>
      </c>
      <c r="AR36" s="45" t="e">
        <f>Z$3+Q36/ATM_Conf!$C$5</f>
        <v>#DIV/0!</v>
      </c>
      <c r="AS36" s="45" t="e">
        <f>AA$3+R36/ATM_Conf!$C$5</f>
        <v>#DIV/0!</v>
      </c>
      <c r="AT36" s="45" t="e">
        <f>AB$3+S36/ATM_Conf!$C$5</f>
        <v>#DIV/0!</v>
      </c>
      <c r="AU36" s="45" t="e">
        <f>BD$3*MIN(1,(ATM_Conf!$C$6-Links!F36)/(ATM_Conf!$C$6-ATM_Conf!$C$7))</f>
        <v>#DIV/0!</v>
      </c>
      <c r="AV36" s="45" t="e">
        <f>BE$3*MIN(1,(ATM_Conf!$C$6-Links!G36)/(ATM_Conf!$C$6-ATM_Conf!$C$7))</f>
        <v>#DIV/0!</v>
      </c>
      <c r="AW36" s="45" t="e">
        <f>BF$3*MIN(1,(ATM_Conf!$C$6-Links!H36)/(ATM_Conf!$C$6-ATM_Conf!$C$7))</f>
        <v>#DIV/0!</v>
      </c>
      <c r="AX36" s="45" t="e">
        <f>BG$3*MIN(1,(ATM_Conf!$C$6-Links!I36)/(ATM_Conf!$C$6-ATM_Conf!$C$7))</f>
        <v>#DIV/0!</v>
      </c>
      <c r="AY36" s="45" t="e">
        <f>BH$3*MIN(1,(ATM_Conf!$C$6-Links!J36)/(ATM_Conf!$C$6-ATM_Conf!$C$7))</f>
        <v>#DIV/0!</v>
      </c>
      <c r="AZ36" s="45" t="e">
        <f>BI$3*MIN(1,(ATM_Conf!$C$6-Links!K36)/(ATM_Conf!$C$6-ATM_Conf!$C$7))</f>
        <v>#DIV/0!</v>
      </c>
      <c r="BA36" s="45" t="e">
        <f>BJ$3*MIN(1,(ATM_Conf!$C$6-Links!L36)/(ATM_Conf!$C$6-ATM_Conf!$C$7))</f>
        <v>#DIV/0!</v>
      </c>
      <c r="BB36" s="45" t="e">
        <f>BK$3*MIN(1,(ATM_Conf!$C$6-Links!M36)/(ATM_Conf!$C$6-ATM_Conf!$C$7))</f>
        <v>#DIV/0!</v>
      </c>
      <c r="BC36" s="45" t="e">
        <f>BL$3*MIN(1,(ATM_Conf!$C$6-Links!N36)/(ATM_Conf!$C$6-ATM_Conf!$C$7))</f>
        <v>#DIV/0!</v>
      </c>
      <c r="BD36" s="45"/>
      <c r="BE36" s="45"/>
      <c r="BF36" s="45"/>
      <c r="BG36" s="45"/>
      <c r="BH36" s="45"/>
      <c r="BI36" s="45"/>
      <c r="BJ36" s="45"/>
      <c r="BK36" s="45"/>
      <c r="BL36" s="45"/>
      <c r="BM36" s="53"/>
      <c r="BN36" s="53"/>
      <c r="BO36" s="53"/>
      <c r="BP36" s="53"/>
      <c r="BQ36" s="53"/>
      <c r="BR36" s="53"/>
      <c r="BS36" s="53"/>
      <c r="BT36" s="53"/>
      <c r="BU36" s="53"/>
      <c r="BV36" s="53" t="e">
        <f t="shared" si="11"/>
        <v>#DIV/0!</v>
      </c>
      <c r="BW36" s="53" t="e">
        <f t="shared" si="12"/>
        <v>#DIV/0!</v>
      </c>
      <c r="BX36" s="53" t="e">
        <f t="shared" si="13"/>
        <v>#DIV/0!</v>
      </c>
      <c r="BY36" s="53" t="e">
        <f t="shared" si="14"/>
        <v>#DIV/0!</v>
      </c>
      <c r="BZ36" s="53" t="e">
        <f t="shared" si="15"/>
        <v>#DIV/0!</v>
      </c>
      <c r="CA36" s="53" t="e">
        <f t="shared" si="16"/>
        <v>#DIV/0!</v>
      </c>
      <c r="CB36" s="53" t="e">
        <f t="shared" si="17"/>
        <v>#DIV/0!</v>
      </c>
      <c r="CC36" s="53" t="e">
        <f t="shared" si="18"/>
        <v>#DIV/0!</v>
      </c>
      <c r="CD36" s="53" t="e">
        <f t="shared" si="19"/>
        <v>#DIV/0!</v>
      </c>
      <c r="CE36" s="55">
        <f t="shared" si="22"/>
        <v>0</v>
      </c>
      <c r="CF36" s="55">
        <f t="shared" si="22"/>
        <v>0</v>
      </c>
      <c r="CG36" s="55">
        <f t="shared" si="22"/>
        <v>0</v>
      </c>
      <c r="CH36" s="55">
        <f t="shared" si="22"/>
        <v>0</v>
      </c>
      <c r="CI36" s="55">
        <f t="shared" si="22"/>
        <v>0</v>
      </c>
      <c r="CJ36" s="55">
        <f t="shared" si="22"/>
        <v>0</v>
      </c>
      <c r="CK36" s="55">
        <f t="shared" si="22"/>
        <v>0</v>
      </c>
      <c r="CL36" s="55">
        <f t="shared" si="22"/>
        <v>0</v>
      </c>
      <c r="CM36" s="55">
        <f t="shared" si="22"/>
        <v>0</v>
      </c>
    </row>
    <row r="37" spans="1:91" x14ac:dyDescent="0.15">
      <c r="A37" s="42">
        <v>35</v>
      </c>
      <c r="B37" s="45">
        <f t="shared" si="28"/>
        <v>1</v>
      </c>
      <c r="C37" s="45">
        <f t="shared" si="28"/>
        <v>1</v>
      </c>
      <c r="D37" s="45">
        <f t="shared" si="28"/>
        <v>1</v>
      </c>
      <c r="E37" s="45">
        <f t="shared" si="28"/>
        <v>1</v>
      </c>
      <c r="F37" s="45">
        <f t="shared" si="28"/>
        <v>1</v>
      </c>
      <c r="G37" s="45">
        <f t="shared" si="28"/>
        <v>1</v>
      </c>
      <c r="H37" s="45">
        <f t="shared" si="28"/>
        <v>1</v>
      </c>
      <c r="I37" s="45">
        <f t="shared" si="28"/>
        <v>1</v>
      </c>
      <c r="J37" s="45">
        <f t="shared" si="28"/>
        <v>1</v>
      </c>
      <c r="K37" s="45" t="e">
        <f>K36+ATM_Conf!$C$5*(T36-AC36)</f>
        <v>#DIV/0!</v>
      </c>
      <c r="L37" s="45" t="e">
        <f>L36+ATM_Conf!$C$5*(U36-AD36)</f>
        <v>#DIV/0!</v>
      </c>
      <c r="M37" s="45" t="e">
        <f>M36+ATM_Conf!$C$5*(V36-AE36)</f>
        <v>#DIV/0!</v>
      </c>
      <c r="N37" s="45" t="e">
        <f>N36+ATM_Conf!$C$5*(W36-AF36)</f>
        <v>#DIV/0!</v>
      </c>
      <c r="O37" s="45" t="e">
        <f>O36+ATM_Conf!$C$5*(X36-AG36)</f>
        <v>#DIV/0!</v>
      </c>
      <c r="P37" s="45" t="e">
        <f>P36+ATM_Conf!$C$5*(Y36-AH36)</f>
        <v>#DIV/0!</v>
      </c>
      <c r="Q37" s="45" t="e">
        <f>Q36+ATM_Conf!$C$5*(Z36-AI36)</f>
        <v>#DIV/0!</v>
      </c>
      <c r="R37" s="45" t="e">
        <f>R36+ATM_Conf!$C$5*(AA36-AJ36)</f>
        <v>#DIV/0!</v>
      </c>
      <c r="S37" s="45" t="e">
        <f>S36+ATM_Conf!$C$5*(AB36-AK36)</f>
        <v>#DIV/0!</v>
      </c>
      <c r="T37" s="45"/>
      <c r="U37" s="45"/>
      <c r="V37" s="45"/>
      <c r="W37" s="45"/>
      <c r="X37" s="45"/>
      <c r="Y37" s="45"/>
      <c r="Z37" s="45"/>
      <c r="AA37" s="45"/>
      <c r="AB37" s="45"/>
      <c r="AC37" s="45" t="e">
        <f t="shared" si="2"/>
        <v>#DIV/0!</v>
      </c>
      <c r="AD37" s="45" t="e">
        <f t="shared" si="3"/>
        <v>#DIV/0!</v>
      </c>
      <c r="AE37" s="45" t="e">
        <f t="shared" si="4"/>
        <v>#DIV/0!</v>
      </c>
      <c r="AF37" s="45" t="e">
        <f t="shared" si="5"/>
        <v>#DIV/0!</v>
      </c>
      <c r="AG37" s="45" t="e">
        <f t="shared" si="6"/>
        <v>#DIV/0!</v>
      </c>
      <c r="AH37" s="45" t="e">
        <f t="shared" si="7"/>
        <v>#DIV/0!</v>
      </c>
      <c r="AI37" s="45" t="e">
        <f t="shared" si="8"/>
        <v>#DIV/0!</v>
      </c>
      <c r="AJ37" s="45" t="e">
        <f t="shared" si="9"/>
        <v>#DIV/0!</v>
      </c>
      <c r="AK37" s="45" t="e">
        <f t="shared" si="10"/>
        <v>#DIV/0!</v>
      </c>
      <c r="AL37" s="45" t="e">
        <f>T$3+K37/ATM_Conf!$C$5</f>
        <v>#DIV/0!</v>
      </c>
      <c r="AM37" s="45" t="e">
        <f>U$3+L37/ATM_Conf!$C$5</f>
        <v>#DIV/0!</v>
      </c>
      <c r="AN37" s="45" t="e">
        <f>V$3+M37/ATM_Conf!$C$5</f>
        <v>#DIV/0!</v>
      </c>
      <c r="AO37" s="45" t="e">
        <f>W$3+N37/ATM_Conf!$C$5</f>
        <v>#DIV/0!</v>
      </c>
      <c r="AP37" s="45" t="e">
        <f>X$3+O37/ATM_Conf!$C$5</f>
        <v>#DIV/0!</v>
      </c>
      <c r="AQ37" s="45" t="e">
        <f>Y$3+P37/ATM_Conf!$C$5</f>
        <v>#DIV/0!</v>
      </c>
      <c r="AR37" s="45" t="e">
        <f>Z$3+Q37/ATM_Conf!$C$5</f>
        <v>#DIV/0!</v>
      </c>
      <c r="AS37" s="45" t="e">
        <f>AA$3+R37/ATM_Conf!$C$5</f>
        <v>#DIV/0!</v>
      </c>
      <c r="AT37" s="45" t="e">
        <f>AB$3+S37/ATM_Conf!$C$5</f>
        <v>#DIV/0!</v>
      </c>
      <c r="AU37" s="45" t="e">
        <f>BD$3*MIN(1,(ATM_Conf!$C$6-Links!F37)/(ATM_Conf!$C$6-ATM_Conf!$C$7))</f>
        <v>#DIV/0!</v>
      </c>
      <c r="AV37" s="45" t="e">
        <f>BE$3*MIN(1,(ATM_Conf!$C$6-Links!G37)/(ATM_Conf!$C$6-ATM_Conf!$C$7))</f>
        <v>#DIV/0!</v>
      </c>
      <c r="AW37" s="45" t="e">
        <f>BF$3*MIN(1,(ATM_Conf!$C$6-Links!H37)/(ATM_Conf!$C$6-ATM_Conf!$C$7))</f>
        <v>#DIV/0!</v>
      </c>
      <c r="AX37" s="45" t="e">
        <f>BG$3*MIN(1,(ATM_Conf!$C$6-Links!I37)/(ATM_Conf!$C$6-ATM_Conf!$C$7))</f>
        <v>#DIV/0!</v>
      </c>
      <c r="AY37" s="45" t="e">
        <f>BH$3*MIN(1,(ATM_Conf!$C$6-Links!J37)/(ATM_Conf!$C$6-ATM_Conf!$C$7))</f>
        <v>#DIV/0!</v>
      </c>
      <c r="AZ37" s="45" t="e">
        <f>BI$3*MIN(1,(ATM_Conf!$C$6-Links!K37)/(ATM_Conf!$C$6-ATM_Conf!$C$7))</f>
        <v>#DIV/0!</v>
      </c>
      <c r="BA37" s="45" t="e">
        <f>BJ$3*MIN(1,(ATM_Conf!$C$6-Links!L37)/(ATM_Conf!$C$6-ATM_Conf!$C$7))</f>
        <v>#DIV/0!</v>
      </c>
      <c r="BB37" s="45" t="e">
        <f>BK$3*MIN(1,(ATM_Conf!$C$6-Links!M37)/(ATM_Conf!$C$6-ATM_Conf!$C$7))</f>
        <v>#DIV/0!</v>
      </c>
      <c r="BC37" s="45" t="e">
        <f>BL$3*MIN(1,(ATM_Conf!$C$6-Links!N37)/(ATM_Conf!$C$6-ATM_Conf!$C$7))</f>
        <v>#DIV/0!</v>
      </c>
      <c r="BD37" s="45"/>
      <c r="BE37" s="45"/>
      <c r="BF37" s="45"/>
      <c r="BG37" s="45"/>
      <c r="BH37" s="45"/>
      <c r="BI37" s="45"/>
      <c r="BJ37" s="45"/>
      <c r="BK37" s="45"/>
      <c r="BL37" s="45"/>
      <c r="BM37" s="53"/>
      <c r="BN37" s="53"/>
      <c r="BO37" s="53"/>
      <c r="BP37" s="53"/>
      <c r="BQ37" s="53"/>
      <c r="BR37" s="53"/>
      <c r="BS37" s="53"/>
      <c r="BT37" s="53"/>
      <c r="BU37" s="53"/>
      <c r="BV37" s="53" t="e">
        <f t="shared" si="11"/>
        <v>#DIV/0!</v>
      </c>
      <c r="BW37" s="53" t="e">
        <f t="shared" si="12"/>
        <v>#DIV/0!</v>
      </c>
      <c r="BX37" s="53" t="e">
        <f t="shared" si="13"/>
        <v>#DIV/0!</v>
      </c>
      <c r="BY37" s="53" t="e">
        <f t="shared" si="14"/>
        <v>#DIV/0!</v>
      </c>
      <c r="BZ37" s="53" t="e">
        <f t="shared" si="15"/>
        <v>#DIV/0!</v>
      </c>
      <c r="CA37" s="53" t="e">
        <f t="shared" si="16"/>
        <v>#DIV/0!</v>
      </c>
      <c r="CB37" s="53" t="e">
        <f t="shared" si="17"/>
        <v>#DIV/0!</v>
      </c>
      <c r="CC37" s="53" t="e">
        <f t="shared" si="18"/>
        <v>#DIV/0!</v>
      </c>
      <c r="CD37" s="53" t="e">
        <f t="shared" si="19"/>
        <v>#DIV/0!</v>
      </c>
      <c r="CE37" s="55">
        <f t="shared" ref="CE37:CM65" si="29">CE$3</f>
        <v>0</v>
      </c>
      <c r="CF37" s="55">
        <f t="shared" si="29"/>
        <v>0</v>
      </c>
      <c r="CG37" s="55">
        <f t="shared" si="29"/>
        <v>0</v>
      </c>
      <c r="CH37" s="55">
        <f t="shared" si="29"/>
        <v>0</v>
      </c>
      <c r="CI37" s="55">
        <f t="shared" si="29"/>
        <v>0</v>
      </c>
      <c r="CJ37" s="55">
        <f t="shared" si="29"/>
        <v>0</v>
      </c>
      <c r="CK37" s="55">
        <f t="shared" si="29"/>
        <v>0</v>
      </c>
      <c r="CL37" s="55">
        <f t="shared" si="29"/>
        <v>0</v>
      </c>
      <c r="CM37" s="55">
        <f t="shared" si="29"/>
        <v>0</v>
      </c>
    </row>
    <row r="38" spans="1:91" x14ac:dyDescent="0.15">
      <c r="A38" s="42">
        <v>36</v>
      </c>
      <c r="B38" s="45">
        <f t="shared" si="28"/>
        <v>1</v>
      </c>
      <c r="C38" s="45">
        <f t="shared" si="28"/>
        <v>1</v>
      </c>
      <c r="D38" s="45">
        <f t="shared" si="28"/>
        <v>1</v>
      </c>
      <c r="E38" s="45">
        <f t="shared" si="28"/>
        <v>1</v>
      </c>
      <c r="F38" s="45">
        <f t="shared" si="28"/>
        <v>1</v>
      </c>
      <c r="G38" s="45">
        <f t="shared" si="28"/>
        <v>1</v>
      </c>
      <c r="H38" s="45">
        <f t="shared" si="28"/>
        <v>1</v>
      </c>
      <c r="I38" s="45">
        <f t="shared" si="28"/>
        <v>1</v>
      </c>
      <c r="J38" s="45">
        <f t="shared" si="28"/>
        <v>1</v>
      </c>
      <c r="K38" s="45" t="e">
        <f>K37+ATM_Conf!$C$5*(T37-AC37)</f>
        <v>#DIV/0!</v>
      </c>
      <c r="L38" s="45" t="e">
        <f>L37+ATM_Conf!$C$5*(U37-AD37)</f>
        <v>#DIV/0!</v>
      </c>
      <c r="M38" s="45" t="e">
        <f>M37+ATM_Conf!$C$5*(V37-AE37)</f>
        <v>#DIV/0!</v>
      </c>
      <c r="N38" s="45" t="e">
        <f>N37+ATM_Conf!$C$5*(W37-AF37)</f>
        <v>#DIV/0!</v>
      </c>
      <c r="O38" s="45" t="e">
        <f>O37+ATM_Conf!$C$5*(X37-AG37)</f>
        <v>#DIV/0!</v>
      </c>
      <c r="P38" s="45" t="e">
        <f>P37+ATM_Conf!$C$5*(Y37-AH37)</f>
        <v>#DIV/0!</v>
      </c>
      <c r="Q38" s="45" t="e">
        <f>Q37+ATM_Conf!$C$5*(Z37-AI37)</f>
        <v>#DIV/0!</v>
      </c>
      <c r="R38" s="45" t="e">
        <f>R37+ATM_Conf!$C$5*(AA37-AJ37)</f>
        <v>#DIV/0!</v>
      </c>
      <c r="S38" s="45" t="e">
        <f>S37+ATM_Conf!$C$5*(AB37-AK37)</f>
        <v>#DIV/0!</v>
      </c>
      <c r="T38" s="45"/>
      <c r="U38" s="45"/>
      <c r="V38" s="45"/>
      <c r="W38" s="45"/>
      <c r="X38" s="45"/>
      <c r="Y38" s="45"/>
      <c r="Z38" s="45"/>
      <c r="AA38" s="45"/>
      <c r="AB38" s="45"/>
      <c r="AC38" s="45" t="e">
        <f t="shared" si="2"/>
        <v>#DIV/0!</v>
      </c>
      <c r="AD38" s="45" t="e">
        <f t="shared" si="3"/>
        <v>#DIV/0!</v>
      </c>
      <c r="AE38" s="45" t="e">
        <f t="shared" si="4"/>
        <v>#DIV/0!</v>
      </c>
      <c r="AF38" s="45" t="e">
        <f t="shared" si="5"/>
        <v>#DIV/0!</v>
      </c>
      <c r="AG38" s="45" t="e">
        <f t="shared" si="6"/>
        <v>#DIV/0!</v>
      </c>
      <c r="AH38" s="45" t="e">
        <f t="shared" si="7"/>
        <v>#DIV/0!</v>
      </c>
      <c r="AI38" s="45" t="e">
        <f t="shared" si="8"/>
        <v>#DIV/0!</v>
      </c>
      <c r="AJ38" s="45" t="e">
        <f t="shared" si="9"/>
        <v>#DIV/0!</v>
      </c>
      <c r="AK38" s="45" t="e">
        <f t="shared" si="10"/>
        <v>#DIV/0!</v>
      </c>
      <c r="AL38" s="45" t="e">
        <f>T$3+K38/ATM_Conf!$C$5</f>
        <v>#DIV/0!</v>
      </c>
      <c r="AM38" s="45" t="e">
        <f>U$3+L38/ATM_Conf!$C$5</f>
        <v>#DIV/0!</v>
      </c>
      <c r="AN38" s="45" t="e">
        <f>V$3+M38/ATM_Conf!$C$5</f>
        <v>#DIV/0!</v>
      </c>
      <c r="AO38" s="45" t="e">
        <f>W$3+N38/ATM_Conf!$C$5</f>
        <v>#DIV/0!</v>
      </c>
      <c r="AP38" s="45" t="e">
        <f>X$3+O38/ATM_Conf!$C$5</f>
        <v>#DIV/0!</v>
      </c>
      <c r="AQ38" s="45" t="e">
        <f>Y$3+P38/ATM_Conf!$C$5</f>
        <v>#DIV/0!</v>
      </c>
      <c r="AR38" s="45" t="e">
        <f>Z$3+Q38/ATM_Conf!$C$5</f>
        <v>#DIV/0!</v>
      </c>
      <c r="AS38" s="45" t="e">
        <f>AA$3+R38/ATM_Conf!$C$5</f>
        <v>#DIV/0!</v>
      </c>
      <c r="AT38" s="45" t="e">
        <f>AB$3+S38/ATM_Conf!$C$5</f>
        <v>#DIV/0!</v>
      </c>
      <c r="AU38" s="45" t="e">
        <f>BD$3*MIN(1,(ATM_Conf!$C$6-Links!F38)/(ATM_Conf!$C$6-ATM_Conf!$C$7))</f>
        <v>#DIV/0!</v>
      </c>
      <c r="AV38" s="45" t="e">
        <f>BE$3*MIN(1,(ATM_Conf!$C$6-Links!G38)/(ATM_Conf!$C$6-ATM_Conf!$C$7))</f>
        <v>#DIV/0!</v>
      </c>
      <c r="AW38" s="45" t="e">
        <f>BF$3*MIN(1,(ATM_Conf!$C$6-Links!H38)/(ATM_Conf!$C$6-ATM_Conf!$C$7))</f>
        <v>#DIV/0!</v>
      </c>
      <c r="AX38" s="45" t="e">
        <f>BG$3*MIN(1,(ATM_Conf!$C$6-Links!I38)/(ATM_Conf!$C$6-ATM_Conf!$C$7))</f>
        <v>#DIV/0!</v>
      </c>
      <c r="AY38" s="45" t="e">
        <f>BH$3*MIN(1,(ATM_Conf!$C$6-Links!J38)/(ATM_Conf!$C$6-ATM_Conf!$C$7))</f>
        <v>#DIV/0!</v>
      </c>
      <c r="AZ38" s="45" t="e">
        <f>BI$3*MIN(1,(ATM_Conf!$C$6-Links!K38)/(ATM_Conf!$C$6-ATM_Conf!$C$7))</f>
        <v>#DIV/0!</v>
      </c>
      <c r="BA38" s="45" t="e">
        <f>BJ$3*MIN(1,(ATM_Conf!$C$6-Links!L38)/(ATM_Conf!$C$6-ATM_Conf!$C$7))</f>
        <v>#DIV/0!</v>
      </c>
      <c r="BB38" s="45" t="e">
        <f>BK$3*MIN(1,(ATM_Conf!$C$6-Links!M38)/(ATM_Conf!$C$6-ATM_Conf!$C$7))</f>
        <v>#DIV/0!</v>
      </c>
      <c r="BC38" s="45" t="e">
        <f>BL$3*MIN(1,(ATM_Conf!$C$6-Links!N38)/(ATM_Conf!$C$6-ATM_Conf!$C$7))</f>
        <v>#DIV/0!</v>
      </c>
      <c r="BD38" s="45"/>
      <c r="BE38" s="45"/>
      <c r="BF38" s="45"/>
      <c r="BG38" s="45"/>
      <c r="BH38" s="45"/>
      <c r="BI38" s="45"/>
      <c r="BJ38" s="45"/>
      <c r="BK38" s="45"/>
      <c r="BL38" s="45"/>
      <c r="BM38" s="53"/>
      <c r="BN38" s="53"/>
      <c r="BO38" s="53"/>
      <c r="BP38" s="53"/>
      <c r="BQ38" s="53"/>
      <c r="BR38" s="53"/>
      <c r="BS38" s="53"/>
      <c r="BT38" s="53"/>
      <c r="BU38" s="53"/>
      <c r="BV38" s="53" t="e">
        <f t="shared" si="11"/>
        <v>#DIV/0!</v>
      </c>
      <c r="BW38" s="53" t="e">
        <f t="shared" si="12"/>
        <v>#DIV/0!</v>
      </c>
      <c r="BX38" s="53" t="e">
        <f t="shared" si="13"/>
        <v>#DIV/0!</v>
      </c>
      <c r="BY38" s="53" t="e">
        <f t="shared" si="14"/>
        <v>#DIV/0!</v>
      </c>
      <c r="BZ38" s="53" t="e">
        <f t="shared" si="15"/>
        <v>#DIV/0!</v>
      </c>
      <c r="CA38" s="53" t="e">
        <f t="shared" si="16"/>
        <v>#DIV/0!</v>
      </c>
      <c r="CB38" s="53" t="e">
        <f t="shared" si="17"/>
        <v>#DIV/0!</v>
      </c>
      <c r="CC38" s="53" t="e">
        <f t="shared" si="18"/>
        <v>#DIV/0!</v>
      </c>
      <c r="CD38" s="53" t="e">
        <f t="shared" si="19"/>
        <v>#DIV/0!</v>
      </c>
      <c r="CE38" s="55">
        <f t="shared" si="29"/>
        <v>0</v>
      </c>
      <c r="CF38" s="55">
        <f t="shared" si="29"/>
        <v>0</v>
      </c>
      <c r="CG38" s="55">
        <f t="shared" si="29"/>
        <v>0</v>
      </c>
      <c r="CH38" s="55">
        <f t="shared" si="29"/>
        <v>0</v>
      </c>
      <c r="CI38" s="55">
        <f t="shared" si="29"/>
        <v>0</v>
      </c>
      <c r="CJ38" s="55">
        <f t="shared" si="29"/>
        <v>0</v>
      </c>
      <c r="CK38" s="55">
        <f t="shared" si="29"/>
        <v>0</v>
      </c>
      <c r="CL38" s="55">
        <f t="shared" si="29"/>
        <v>0</v>
      </c>
      <c r="CM38" s="55">
        <f t="shared" si="29"/>
        <v>0</v>
      </c>
    </row>
    <row r="39" spans="1:91" x14ac:dyDescent="0.15">
      <c r="A39" s="42">
        <v>37</v>
      </c>
      <c r="B39" s="47">
        <v>1</v>
      </c>
      <c r="C39" s="47">
        <v>1</v>
      </c>
      <c r="D39" s="47">
        <v>1</v>
      </c>
      <c r="E39" s="47">
        <v>1</v>
      </c>
      <c r="F39" s="47">
        <v>1</v>
      </c>
      <c r="G39" s="47">
        <v>1</v>
      </c>
      <c r="H39" s="47">
        <v>1</v>
      </c>
      <c r="I39" s="47">
        <v>1</v>
      </c>
      <c r="J39" s="47">
        <v>1</v>
      </c>
      <c r="K39" s="45" t="e">
        <f>K38+ATM_Conf!$C$5*(T38-AC38)</f>
        <v>#DIV/0!</v>
      </c>
      <c r="L39" s="45" t="e">
        <f>L38+ATM_Conf!$C$5*(U38-AD38)</f>
        <v>#DIV/0!</v>
      </c>
      <c r="M39" s="45" t="e">
        <f>M38+ATM_Conf!$C$5*(V38-AE38)</f>
        <v>#DIV/0!</v>
      </c>
      <c r="N39" s="45" t="e">
        <f>N38+ATM_Conf!$C$5*(W38-AF38)</f>
        <v>#DIV/0!</v>
      </c>
      <c r="O39" s="45" t="e">
        <f>O38+ATM_Conf!$C$5*(X38-AG38)</f>
        <v>#DIV/0!</v>
      </c>
      <c r="P39" s="45" t="e">
        <f>P38+ATM_Conf!$C$5*(Y38-AH38)</f>
        <v>#DIV/0!</v>
      </c>
      <c r="Q39" s="45" t="e">
        <f>Q38+ATM_Conf!$C$5*(Z38-AI38)</f>
        <v>#DIV/0!</v>
      </c>
      <c r="R39" s="45" t="e">
        <f>R38+ATM_Conf!$C$5*(AA38-AJ38)</f>
        <v>#DIV/0!</v>
      </c>
      <c r="S39" s="45" t="e">
        <f>S38+ATM_Conf!$C$5*(AB38-AK38)</f>
        <v>#DIV/0!</v>
      </c>
      <c r="T39" s="45"/>
      <c r="U39" s="45"/>
      <c r="V39" s="45"/>
      <c r="W39" s="45"/>
      <c r="X39" s="45"/>
      <c r="Y39" s="45"/>
      <c r="Z39" s="45"/>
      <c r="AA39" s="45"/>
      <c r="AB39" s="45"/>
      <c r="AC39" s="45" t="e">
        <f t="shared" si="2"/>
        <v>#DIV/0!</v>
      </c>
      <c r="AD39" s="45" t="e">
        <f t="shared" si="3"/>
        <v>#DIV/0!</v>
      </c>
      <c r="AE39" s="45" t="e">
        <f t="shared" si="4"/>
        <v>#DIV/0!</v>
      </c>
      <c r="AF39" s="45" t="e">
        <f t="shared" si="5"/>
        <v>#DIV/0!</v>
      </c>
      <c r="AG39" s="45" t="e">
        <f t="shared" si="6"/>
        <v>#DIV/0!</v>
      </c>
      <c r="AH39" s="45" t="e">
        <f t="shared" si="7"/>
        <v>#DIV/0!</v>
      </c>
      <c r="AI39" s="45" t="e">
        <f t="shared" si="8"/>
        <v>#DIV/0!</v>
      </c>
      <c r="AJ39" s="45" t="e">
        <f t="shared" si="9"/>
        <v>#DIV/0!</v>
      </c>
      <c r="AK39" s="45" t="e">
        <f t="shared" si="10"/>
        <v>#DIV/0!</v>
      </c>
      <c r="AL39" s="45" t="e">
        <f>T$3+K39/ATM_Conf!$C$5</f>
        <v>#DIV/0!</v>
      </c>
      <c r="AM39" s="45" t="e">
        <f>U$3+L39/ATM_Conf!$C$5</f>
        <v>#DIV/0!</v>
      </c>
      <c r="AN39" s="45" t="e">
        <f>V$3+M39/ATM_Conf!$C$5</f>
        <v>#DIV/0!</v>
      </c>
      <c r="AO39" s="45" t="e">
        <f>W$3+N39/ATM_Conf!$C$5</f>
        <v>#DIV/0!</v>
      </c>
      <c r="AP39" s="45" t="e">
        <f>X$3+O39/ATM_Conf!$C$5</f>
        <v>#DIV/0!</v>
      </c>
      <c r="AQ39" s="45" t="e">
        <f>Y$3+P39/ATM_Conf!$C$5</f>
        <v>#DIV/0!</v>
      </c>
      <c r="AR39" s="45" t="e">
        <f>Z$3+Q39/ATM_Conf!$C$5</f>
        <v>#DIV/0!</v>
      </c>
      <c r="AS39" s="45" t="e">
        <f>AA$3+R39/ATM_Conf!$C$5</f>
        <v>#DIV/0!</v>
      </c>
      <c r="AT39" s="45" t="e">
        <f>AB$3+S39/ATM_Conf!$C$5</f>
        <v>#DIV/0!</v>
      </c>
      <c r="AU39" s="45" t="e">
        <f>BD$3*MIN(1,(ATM_Conf!$C$6-Links!F39)/(ATM_Conf!$C$6-ATM_Conf!$C$7))</f>
        <v>#DIV/0!</v>
      </c>
      <c r="AV39" s="45" t="e">
        <f>BE$3*MIN(1,(ATM_Conf!$C$6-Links!G39)/(ATM_Conf!$C$6-ATM_Conf!$C$7))</f>
        <v>#DIV/0!</v>
      </c>
      <c r="AW39" s="45" t="e">
        <f>BF$3*MIN(1,(ATM_Conf!$C$6-Links!H39)/(ATM_Conf!$C$6-ATM_Conf!$C$7))</f>
        <v>#DIV/0!</v>
      </c>
      <c r="AX39" s="45" t="e">
        <f>BG$3*MIN(1,(ATM_Conf!$C$6-Links!I39)/(ATM_Conf!$C$6-ATM_Conf!$C$7))</f>
        <v>#DIV/0!</v>
      </c>
      <c r="AY39" s="45" t="e">
        <f>BH$3*MIN(1,(ATM_Conf!$C$6-Links!J39)/(ATM_Conf!$C$6-ATM_Conf!$C$7))</f>
        <v>#DIV/0!</v>
      </c>
      <c r="AZ39" s="45" t="e">
        <f>BI$3*MIN(1,(ATM_Conf!$C$6-Links!K39)/(ATM_Conf!$C$6-ATM_Conf!$C$7))</f>
        <v>#DIV/0!</v>
      </c>
      <c r="BA39" s="45" t="e">
        <f>BJ$3*MIN(1,(ATM_Conf!$C$6-Links!L39)/(ATM_Conf!$C$6-ATM_Conf!$C$7))</f>
        <v>#DIV/0!</v>
      </c>
      <c r="BB39" s="45" t="e">
        <f>BK$3*MIN(1,(ATM_Conf!$C$6-Links!M39)/(ATM_Conf!$C$6-ATM_Conf!$C$7))</f>
        <v>#DIV/0!</v>
      </c>
      <c r="BC39" s="45" t="e">
        <f>BL$3*MIN(1,(ATM_Conf!$C$6-Links!N39)/(ATM_Conf!$C$6-ATM_Conf!$C$7))</f>
        <v>#DIV/0!</v>
      </c>
      <c r="BD39" s="45"/>
      <c r="BE39" s="45"/>
      <c r="BF39" s="45"/>
      <c r="BG39" s="45"/>
      <c r="BH39" s="45"/>
      <c r="BI39" s="45"/>
      <c r="BJ39" s="45"/>
      <c r="BK39" s="45"/>
      <c r="BL39" s="45"/>
      <c r="BM39" s="53">
        <f>(B39-B27)^2</f>
        <v>0</v>
      </c>
      <c r="BN39" s="53">
        <f t="shared" ref="BN39:BU39" si="30">(C39-C27)^2</f>
        <v>0</v>
      </c>
      <c r="BO39" s="53">
        <f t="shared" si="30"/>
        <v>0</v>
      </c>
      <c r="BP39" s="53">
        <f t="shared" si="30"/>
        <v>0</v>
      </c>
      <c r="BQ39" s="53">
        <f t="shared" si="30"/>
        <v>0</v>
      </c>
      <c r="BR39" s="53">
        <f t="shared" si="30"/>
        <v>0</v>
      </c>
      <c r="BS39" s="53">
        <f t="shared" si="30"/>
        <v>0</v>
      </c>
      <c r="BT39" s="53">
        <f t="shared" si="30"/>
        <v>0</v>
      </c>
      <c r="BU39" s="53">
        <f t="shared" si="30"/>
        <v>0</v>
      </c>
      <c r="BV39" s="53" t="e">
        <f t="shared" si="11"/>
        <v>#DIV/0!</v>
      </c>
      <c r="BW39" s="53" t="e">
        <f t="shared" si="12"/>
        <v>#DIV/0!</v>
      </c>
      <c r="BX39" s="53" t="e">
        <f t="shared" si="13"/>
        <v>#DIV/0!</v>
      </c>
      <c r="BY39" s="53" t="e">
        <f t="shared" si="14"/>
        <v>#DIV/0!</v>
      </c>
      <c r="BZ39" s="53" t="e">
        <f t="shared" si="15"/>
        <v>#DIV/0!</v>
      </c>
      <c r="CA39" s="53" t="e">
        <f t="shared" si="16"/>
        <v>#DIV/0!</v>
      </c>
      <c r="CB39" s="53" t="e">
        <f t="shared" si="17"/>
        <v>#DIV/0!</v>
      </c>
      <c r="CC39" s="53" t="e">
        <f t="shared" si="18"/>
        <v>#DIV/0!</v>
      </c>
      <c r="CD39" s="53" t="e">
        <f t="shared" si="19"/>
        <v>#DIV/0!</v>
      </c>
      <c r="CE39" s="55">
        <f t="shared" si="29"/>
        <v>0</v>
      </c>
      <c r="CF39" s="55">
        <f t="shared" si="29"/>
        <v>0</v>
      </c>
      <c r="CG39" s="55">
        <f t="shared" si="29"/>
        <v>0</v>
      </c>
      <c r="CH39" s="55">
        <f t="shared" si="29"/>
        <v>0</v>
      </c>
      <c r="CI39" s="55">
        <f t="shared" si="29"/>
        <v>0</v>
      </c>
      <c r="CJ39" s="55">
        <f t="shared" si="29"/>
        <v>0</v>
      </c>
      <c r="CK39" s="55">
        <f t="shared" si="29"/>
        <v>0</v>
      </c>
      <c r="CL39" s="55">
        <f t="shared" si="29"/>
        <v>0</v>
      </c>
      <c r="CM39" s="55">
        <f t="shared" si="29"/>
        <v>0</v>
      </c>
    </row>
    <row r="40" spans="1:91" x14ac:dyDescent="0.15">
      <c r="A40" s="42">
        <v>38</v>
      </c>
      <c r="B40" s="45">
        <f>B$39</f>
        <v>1</v>
      </c>
      <c r="C40" s="45">
        <f t="shared" ref="C40:J50" si="31">C$39</f>
        <v>1</v>
      </c>
      <c r="D40" s="45">
        <f t="shared" si="31"/>
        <v>1</v>
      </c>
      <c r="E40" s="45">
        <f t="shared" si="31"/>
        <v>1</v>
      </c>
      <c r="F40" s="45">
        <f t="shared" si="31"/>
        <v>1</v>
      </c>
      <c r="G40" s="45">
        <f t="shared" si="31"/>
        <v>1</v>
      </c>
      <c r="H40" s="45">
        <f t="shared" si="31"/>
        <v>1</v>
      </c>
      <c r="I40" s="45">
        <f t="shared" si="31"/>
        <v>1</v>
      </c>
      <c r="J40" s="45">
        <f t="shared" si="31"/>
        <v>1</v>
      </c>
      <c r="K40" s="45" t="e">
        <f>K39+ATM_Conf!$C$5*(T39-AC39)</f>
        <v>#DIV/0!</v>
      </c>
      <c r="L40" s="45" t="e">
        <f>L39+ATM_Conf!$C$5*(U39-AD39)</f>
        <v>#DIV/0!</v>
      </c>
      <c r="M40" s="45" t="e">
        <f>M39+ATM_Conf!$C$5*(V39-AE39)</f>
        <v>#DIV/0!</v>
      </c>
      <c r="N40" s="45" t="e">
        <f>N39+ATM_Conf!$C$5*(W39-AF39)</f>
        <v>#DIV/0!</v>
      </c>
      <c r="O40" s="45" t="e">
        <f>O39+ATM_Conf!$C$5*(X39-AG39)</f>
        <v>#DIV/0!</v>
      </c>
      <c r="P40" s="45" t="e">
        <f>P39+ATM_Conf!$C$5*(Y39-AH39)</f>
        <v>#DIV/0!</v>
      </c>
      <c r="Q40" s="45" t="e">
        <f>Q39+ATM_Conf!$C$5*(Z39-AI39)</f>
        <v>#DIV/0!</v>
      </c>
      <c r="R40" s="45" t="e">
        <f>R39+ATM_Conf!$C$5*(AA39-AJ39)</f>
        <v>#DIV/0!</v>
      </c>
      <c r="S40" s="45" t="e">
        <f>S39+ATM_Conf!$C$5*(AB39-AK39)</f>
        <v>#DIV/0!</v>
      </c>
      <c r="T40" s="45"/>
      <c r="U40" s="45"/>
      <c r="V40" s="45"/>
      <c r="W40" s="45"/>
      <c r="X40" s="45"/>
      <c r="Y40" s="45"/>
      <c r="Z40" s="45"/>
      <c r="AA40" s="45"/>
      <c r="AB40" s="45"/>
      <c r="AC40" s="45" t="e">
        <f t="shared" si="2"/>
        <v>#DIV/0!</v>
      </c>
      <c r="AD40" s="45" t="e">
        <f t="shared" si="3"/>
        <v>#DIV/0!</v>
      </c>
      <c r="AE40" s="45" t="e">
        <f t="shared" si="4"/>
        <v>#DIV/0!</v>
      </c>
      <c r="AF40" s="45" t="e">
        <f t="shared" si="5"/>
        <v>#DIV/0!</v>
      </c>
      <c r="AG40" s="45" t="e">
        <f t="shared" si="6"/>
        <v>#DIV/0!</v>
      </c>
      <c r="AH40" s="45" t="e">
        <f t="shared" si="7"/>
        <v>#DIV/0!</v>
      </c>
      <c r="AI40" s="45" t="e">
        <f t="shared" si="8"/>
        <v>#DIV/0!</v>
      </c>
      <c r="AJ40" s="45" t="e">
        <f t="shared" si="9"/>
        <v>#DIV/0!</v>
      </c>
      <c r="AK40" s="45" t="e">
        <f t="shared" si="10"/>
        <v>#DIV/0!</v>
      </c>
      <c r="AL40" s="45" t="e">
        <f>T$3+K40/ATM_Conf!$C$5</f>
        <v>#DIV/0!</v>
      </c>
      <c r="AM40" s="45" t="e">
        <f>U$3+L40/ATM_Conf!$C$5</f>
        <v>#DIV/0!</v>
      </c>
      <c r="AN40" s="45" t="e">
        <f>V$3+M40/ATM_Conf!$C$5</f>
        <v>#DIV/0!</v>
      </c>
      <c r="AO40" s="45" t="e">
        <f>W$3+N40/ATM_Conf!$C$5</f>
        <v>#DIV/0!</v>
      </c>
      <c r="AP40" s="45" t="e">
        <f>X$3+O40/ATM_Conf!$C$5</f>
        <v>#DIV/0!</v>
      </c>
      <c r="AQ40" s="45" t="e">
        <f>Y$3+P40/ATM_Conf!$C$5</f>
        <v>#DIV/0!</v>
      </c>
      <c r="AR40" s="45" t="e">
        <f>Z$3+Q40/ATM_Conf!$C$5</f>
        <v>#DIV/0!</v>
      </c>
      <c r="AS40" s="45" t="e">
        <f>AA$3+R40/ATM_Conf!$C$5</f>
        <v>#DIV/0!</v>
      </c>
      <c r="AT40" s="45" t="e">
        <f>AB$3+S40/ATM_Conf!$C$5</f>
        <v>#DIV/0!</v>
      </c>
      <c r="AU40" s="45" t="e">
        <f>BD$3*MIN(1,(ATM_Conf!$C$6-Links!F40)/(ATM_Conf!$C$6-ATM_Conf!$C$7))</f>
        <v>#DIV/0!</v>
      </c>
      <c r="AV40" s="45" t="e">
        <f>BE$3*MIN(1,(ATM_Conf!$C$6-Links!G40)/(ATM_Conf!$C$6-ATM_Conf!$C$7))</f>
        <v>#DIV/0!</v>
      </c>
      <c r="AW40" s="45" t="e">
        <f>BF$3*MIN(1,(ATM_Conf!$C$6-Links!H40)/(ATM_Conf!$C$6-ATM_Conf!$C$7))</f>
        <v>#DIV/0!</v>
      </c>
      <c r="AX40" s="45" t="e">
        <f>BG$3*MIN(1,(ATM_Conf!$C$6-Links!I40)/(ATM_Conf!$C$6-ATM_Conf!$C$7))</f>
        <v>#DIV/0!</v>
      </c>
      <c r="AY40" s="45" t="e">
        <f>BH$3*MIN(1,(ATM_Conf!$C$6-Links!J40)/(ATM_Conf!$C$6-ATM_Conf!$C$7))</f>
        <v>#DIV/0!</v>
      </c>
      <c r="AZ40" s="45" t="e">
        <f>BI$3*MIN(1,(ATM_Conf!$C$6-Links!K40)/(ATM_Conf!$C$6-ATM_Conf!$C$7))</f>
        <v>#DIV/0!</v>
      </c>
      <c r="BA40" s="45" t="e">
        <f>BJ$3*MIN(1,(ATM_Conf!$C$6-Links!L40)/(ATM_Conf!$C$6-ATM_Conf!$C$7))</f>
        <v>#DIV/0!</v>
      </c>
      <c r="BB40" s="45" t="e">
        <f>BK$3*MIN(1,(ATM_Conf!$C$6-Links!M40)/(ATM_Conf!$C$6-ATM_Conf!$C$7))</f>
        <v>#DIV/0!</v>
      </c>
      <c r="BC40" s="45" t="e">
        <f>BL$3*MIN(1,(ATM_Conf!$C$6-Links!N40)/(ATM_Conf!$C$6-ATM_Conf!$C$7))</f>
        <v>#DIV/0!</v>
      </c>
      <c r="BD40" s="45"/>
      <c r="BE40" s="45"/>
      <c r="BF40" s="45"/>
      <c r="BG40" s="45"/>
      <c r="BH40" s="45"/>
      <c r="BI40" s="45"/>
      <c r="BJ40" s="45"/>
      <c r="BK40" s="45"/>
      <c r="BL40" s="45"/>
      <c r="BM40" s="53"/>
      <c r="BN40" s="53"/>
      <c r="BO40" s="53"/>
      <c r="BP40" s="53"/>
      <c r="BQ40" s="53"/>
      <c r="BR40" s="53"/>
      <c r="BS40" s="53"/>
      <c r="BT40" s="53"/>
      <c r="BU40" s="53"/>
      <c r="BV40" s="53" t="e">
        <f t="shared" si="11"/>
        <v>#DIV/0!</v>
      </c>
      <c r="BW40" s="53" t="e">
        <f t="shared" si="12"/>
        <v>#DIV/0!</v>
      </c>
      <c r="BX40" s="53" t="e">
        <f t="shared" si="13"/>
        <v>#DIV/0!</v>
      </c>
      <c r="BY40" s="53" t="e">
        <f t="shared" si="14"/>
        <v>#DIV/0!</v>
      </c>
      <c r="BZ40" s="53" t="e">
        <f t="shared" si="15"/>
        <v>#DIV/0!</v>
      </c>
      <c r="CA40" s="53" t="e">
        <f t="shared" si="16"/>
        <v>#DIV/0!</v>
      </c>
      <c r="CB40" s="53" t="e">
        <f t="shared" si="17"/>
        <v>#DIV/0!</v>
      </c>
      <c r="CC40" s="53" t="e">
        <f t="shared" si="18"/>
        <v>#DIV/0!</v>
      </c>
      <c r="CD40" s="53" t="e">
        <f t="shared" si="19"/>
        <v>#DIV/0!</v>
      </c>
      <c r="CE40" s="55">
        <f t="shared" si="29"/>
        <v>0</v>
      </c>
      <c r="CF40" s="55">
        <f t="shared" si="29"/>
        <v>0</v>
      </c>
      <c r="CG40" s="55">
        <f t="shared" si="29"/>
        <v>0</v>
      </c>
      <c r="CH40" s="55">
        <f t="shared" si="29"/>
        <v>0</v>
      </c>
      <c r="CI40" s="55">
        <f t="shared" si="29"/>
        <v>0</v>
      </c>
      <c r="CJ40" s="55">
        <f t="shared" si="29"/>
        <v>0</v>
      </c>
      <c r="CK40" s="55">
        <f t="shared" si="29"/>
        <v>0</v>
      </c>
      <c r="CL40" s="55">
        <f t="shared" si="29"/>
        <v>0</v>
      </c>
      <c r="CM40" s="55">
        <f t="shared" si="29"/>
        <v>0</v>
      </c>
    </row>
    <row r="41" spans="1:91" x14ac:dyDescent="0.15">
      <c r="A41" s="42">
        <v>39</v>
      </c>
      <c r="B41" s="45">
        <f t="shared" ref="B41:B50" si="32">B$39</f>
        <v>1</v>
      </c>
      <c r="C41" s="45">
        <f t="shared" si="31"/>
        <v>1</v>
      </c>
      <c r="D41" s="45">
        <f t="shared" si="31"/>
        <v>1</v>
      </c>
      <c r="E41" s="45">
        <f t="shared" si="31"/>
        <v>1</v>
      </c>
      <c r="F41" s="45">
        <f t="shared" si="31"/>
        <v>1</v>
      </c>
      <c r="G41" s="45">
        <f t="shared" si="31"/>
        <v>1</v>
      </c>
      <c r="H41" s="45">
        <f t="shared" si="31"/>
        <v>1</v>
      </c>
      <c r="I41" s="45">
        <f t="shared" si="31"/>
        <v>1</v>
      </c>
      <c r="J41" s="45">
        <f t="shared" si="31"/>
        <v>1</v>
      </c>
      <c r="K41" s="45" t="e">
        <f>K40+ATM_Conf!$C$5*(T40-AC40)</f>
        <v>#DIV/0!</v>
      </c>
      <c r="L41" s="45" t="e">
        <f>L40+ATM_Conf!$C$5*(U40-AD40)</f>
        <v>#DIV/0!</v>
      </c>
      <c r="M41" s="45" t="e">
        <f>M40+ATM_Conf!$C$5*(V40-AE40)</f>
        <v>#DIV/0!</v>
      </c>
      <c r="N41" s="45" t="e">
        <f>N40+ATM_Conf!$C$5*(W40-AF40)</f>
        <v>#DIV/0!</v>
      </c>
      <c r="O41" s="45" t="e">
        <f>O40+ATM_Conf!$C$5*(X40-AG40)</f>
        <v>#DIV/0!</v>
      </c>
      <c r="P41" s="45" t="e">
        <f>P40+ATM_Conf!$C$5*(Y40-AH40)</f>
        <v>#DIV/0!</v>
      </c>
      <c r="Q41" s="45" t="e">
        <f>Q40+ATM_Conf!$C$5*(Z40-AI40)</f>
        <v>#DIV/0!</v>
      </c>
      <c r="R41" s="45" t="e">
        <f>R40+ATM_Conf!$C$5*(AA40-AJ40)</f>
        <v>#DIV/0!</v>
      </c>
      <c r="S41" s="45" t="e">
        <f>S40+ATM_Conf!$C$5*(AB40-AK40)</f>
        <v>#DIV/0!</v>
      </c>
      <c r="T41" s="45"/>
      <c r="U41" s="45"/>
      <c r="V41" s="45"/>
      <c r="W41" s="45"/>
      <c r="X41" s="45"/>
      <c r="Y41" s="45"/>
      <c r="Z41" s="45"/>
      <c r="AA41" s="45"/>
      <c r="AB41" s="45"/>
      <c r="AC41" s="45" t="e">
        <f t="shared" si="2"/>
        <v>#DIV/0!</v>
      </c>
      <c r="AD41" s="45" t="e">
        <f t="shared" si="3"/>
        <v>#DIV/0!</v>
      </c>
      <c r="AE41" s="45" t="e">
        <f t="shared" si="4"/>
        <v>#DIV/0!</v>
      </c>
      <c r="AF41" s="45" t="e">
        <f t="shared" si="5"/>
        <v>#DIV/0!</v>
      </c>
      <c r="AG41" s="45" t="e">
        <f t="shared" si="6"/>
        <v>#DIV/0!</v>
      </c>
      <c r="AH41" s="45" t="e">
        <f t="shared" si="7"/>
        <v>#DIV/0!</v>
      </c>
      <c r="AI41" s="45" t="e">
        <f t="shared" si="8"/>
        <v>#DIV/0!</v>
      </c>
      <c r="AJ41" s="45" t="e">
        <f t="shared" si="9"/>
        <v>#DIV/0!</v>
      </c>
      <c r="AK41" s="45" t="e">
        <f t="shared" si="10"/>
        <v>#DIV/0!</v>
      </c>
      <c r="AL41" s="45" t="e">
        <f>T$3+K41/ATM_Conf!$C$5</f>
        <v>#DIV/0!</v>
      </c>
      <c r="AM41" s="45" t="e">
        <f>U$3+L41/ATM_Conf!$C$5</f>
        <v>#DIV/0!</v>
      </c>
      <c r="AN41" s="45" t="e">
        <f>V$3+M41/ATM_Conf!$C$5</f>
        <v>#DIV/0!</v>
      </c>
      <c r="AO41" s="45" t="e">
        <f>W$3+N41/ATM_Conf!$C$5</f>
        <v>#DIV/0!</v>
      </c>
      <c r="AP41" s="45" t="e">
        <f>X$3+O41/ATM_Conf!$C$5</f>
        <v>#DIV/0!</v>
      </c>
      <c r="AQ41" s="45" t="e">
        <f>Y$3+P41/ATM_Conf!$C$5</f>
        <v>#DIV/0!</v>
      </c>
      <c r="AR41" s="45" t="e">
        <f>Z$3+Q41/ATM_Conf!$C$5</f>
        <v>#DIV/0!</v>
      </c>
      <c r="AS41" s="45" t="e">
        <f>AA$3+R41/ATM_Conf!$C$5</f>
        <v>#DIV/0!</v>
      </c>
      <c r="AT41" s="45" t="e">
        <f>AB$3+S41/ATM_Conf!$C$5</f>
        <v>#DIV/0!</v>
      </c>
      <c r="AU41" s="45" t="e">
        <f>BD$3*MIN(1,(ATM_Conf!$C$6-Links!F41)/(ATM_Conf!$C$6-ATM_Conf!$C$7))</f>
        <v>#DIV/0!</v>
      </c>
      <c r="AV41" s="45" t="e">
        <f>BE$3*MIN(1,(ATM_Conf!$C$6-Links!G41)/(ATM_Conf!$C$6-ATM_Conf!$C$7))</f>
        <v>#DIV/0!</v>
      </c>
      <c r="AW41" s="45" t="e">
        <f>BF$3*MIN(1,(ATM_Conf!$C$6-Links!H41)/(ATM_Conf!$C$6-ATM_Conf!$C$7))</f>
        <v>#DIV/0!</v>
      </c>
      <c r="AX41" s="45" t="e">
        <f>BG$3*MIN(1,(ATM_Conf!$C$6-Links!I41)/(ATM_Conf!$C$6-ATM_Conf!$C$7))</f>
        <v>#DIV/0!</v>
      </c>
      <c r="AY41" s="45" t="e">
        <f>BH$3*MIN(1,(ATM_Conf!$C$6-Links!J41)/(ATM_Conf!$C$6-ATM_Conf!$C$7))</f>
        <v>#DIV/0!</v>
      </c>
      <c r="AZ41" s="45" t="e">
        <f>BI$3*MIN(1,(ATM_Conf!$C$6-Links!K41)/(ATM_Conf!$C$6-ATM_Conf!$C$7))</f>
        <v>#DIV/0!</v>
      </c>
      <c r="BA41" s="45" t="e">
        <f>BJ$3*MIN(1,(ATM_Conf!$C$6-Links!L41)/(ATM_Conf!$C$6-ATM_Conf!$C$7))</f>
        <v>#DIV/0!</v>
      </c>
      <c r="BB41" s="45" t="e">
        <f>BK$3*MIN(1,(ATM_Conf!$C$6-Links!M41)/(ATM_Conf!$C$6-ATM_Conf!$C$7))</f>
        <v>#DIV/0!</v>
      </c>
      <c r="BC41" s="45" t="e">
        <f>BL$3*MIN(1,(ATM_Conf!$C$6-Links!N41)/(ATM_Conf!$C$6-ATM_Conf!$C$7))</f>
        <v>#DIV/0!</v>
      </c>
      <c r="BD41" s="45"/>
      <c r="BE41" s="45"/>
      <c r="BF41" s="45"/>
      <c r="BG41" s="45"/>
      <c r="BH41" s="45"/>
      <c r="BI41" s="45"/>
      <c r="BJ41" s="45"/>
      <c r="BK41" s="45"/>
      <c r="BL41" s="45"/>
      <c r="BM41" s="53"/>
      <c r="BN41" s="53"/>
      <c r="BO41" s="53"/>
      <c r="BP41" s="53"/>
      <c r="BQ41" s="53"/>
      <c r="BR41" s="53"/>
      <c r="BS41" s="53"/>
      <c r="BT41" s="53"/>
      <c r="BU41" s="53"/>
      <c r="BV41" s="53" t="e">
        <f t="shared" si="11"/>
        <v>#DIV/0!</v>
      </c>
      <c r="BW41" s="53" t="e">
        <f t="shared" si="12"/>
        <v>#DIV/0!</v>
      </c>
      <c r="BX41" s="53" t="e">
        <f t="shared" si="13"/>
        <v>#DIV/0!</v>
      </c>
      <c r="BY41" s="53" t="e">
        <f t="shared" si="14"/>
        <v>#DIV/0!</v>
      </c>
      <c r="BZ41" s="53" t="e">
        <f t="shared" si="15"/>
        <v>#DIV/0!</v>
      </c>
      <c r="CA41" s="53" t="e">
        <f t="shared" si="16"/>
        <v>#DIV/0!</v>
      </c>
      <c r="CB41" s="53" t="e">
        <f t="shared" si="17"/>
        <v>#DIV/0!</v>
      </c>
      <c r="CC41" s="53" t="e">
        <f t="shared" si="18"/>
        <v>#DIV/0!</v>
      </c>
      <c r="CD41" s="53" t="e">
        <f t="shared" si="19"/>
        <v>#DIV/0!</v>
      </c>
      <c r="CE41" s="55">
        <f t="shared" si="29"/>
        <v>0</v>
      </c>
      <c r="CF41" s="55">
        <f t="shared" si="29"/>
        <v>0</v>
      </c>
      <c r="CG41" s="55">
        <f t="shared" si="29"/>
        <v>0</v>
      </c>
      <c r="CH41" s="55">
        <f t="shared" si="29"/>
        <v>0</v>
      </c>
      <c r="CI41" s="55">
        <f t="shared" si="29"/>
        <v>0</v>
      </c>
      <c r="CJ41" s="55">
        <f t="shared" si="29"/>
        <v>0</v>
      </c>
      <c r="CK41" s="55">
        <f t="shared" si="29"/>
        <v>0</v>
      </c>
      <c r="CL41" s="55">
        <f t="shared" si="29"/>
        <v>0</v>
      </c>
      <c r="CM41" s="55">
        <f t="shared" si="29"/>
        <v>0</v>
      </c>
    </row>
    <row r="42" spans="1:91" x14ac:dyDescent="0.15">
      <c r="A42" s="42">
        <v>40</v>
      </c>
      <c r="B42" s="45">
        <f t="shared" si="32"/>
        <v>1</v>
      </c>
      <c r="C42" s="45">
        <f t="shared" si="31"/>
        <v>1</v>
      </c>
      <c r="D42" s="45">
        <f t="shared" si="31"/>
        <v>1</v>
      </c>
      <c r="E42" s="45">
        <f t="shared" si="31"/>
        <v>1</v>
      </c>
      <c r="F42" s="45">
        <f t="shared" si="31"/>
        <v>1</v>
      </c>
      <c r="G42" s="45">
        <f t="shared" si="31"/>
        <v>1</v>
      </c>
      <c r="H42" s="45">
        <f t="shared" si="31"/>
        <v>1</v>
      </c>
      <c r="I42" s="45">
        <f t="shared" si="31"/>
        <v>1</v>
      </c>
      <c r="J42" s="45">
        <f t="shared" si="31"/>
        <v>1</v>
      </c>
      <c r="K42" s="45" t="e">
        <f>K41+ATM_Conf!$C$5*(T41-AC41)</f>
        <v>#DIV/0!</v>
      </c>
      <c r="L42" s="45" t="e">
        <f>L41+ATM_Conf!$C$5*(U41-AD41)</f>
        <v>#DIV/0!</v>
      </c>
      <c r="M42" s="45" t="e">
        <f>M41+ATM_Conf!$C$5*(V41-AE41)</f>
        <v>#DIV/0!</v>
      </c>
      <c r="N42" s="45" t="e">
        <f>N41+ATM_Conf!$C$5*(W41-AF41)</f>
        <v>#DIV/0!</v>
      </c>
      <c r="O42" s="45" t="e">
        <f>O41+ATM_Conf!$C$5*(X41-AG41)</f>
        <v>#DIV/0!</v>
      </c>
      <c r="P42" s="45" t="e">
        <f>P41+ATM_Conf!$C$5*(Y41-AH41)</f>
        <v>#DIV/0!</v>
      </c>
      <c r="Q42" s="45" t="e">
        <f>Q41+ATM_Conf!$C$5*(Z41-AI41)</f>
        <v>#DIV/0!</v>
      </c>
      <c r="R42" s="45" t="e">
        <f>R41+ATM_Conf!$C$5*(AA41-AJ41)</f>
        <v>#DIV/0!</v>
      </c>
      <c r="S42" s="45" t="e">
        <f>S41+ATM_Conf!$C$5*(AB41-AK41)</f>
        <v>#DIV/0!</v>
      </c>
      <c r="T42" s="45"/>
      <c r="U42" s="45"/>
      <c r="V42" s="45"/>
      <c r="W42" s="45"/>
      <c r="X42" s="45"/>
      <c r="Y42" s="45"/>
      <c r="Z42" s="45"/>
      <c r="AA42" s="45"/>
      <c r="AB42" s="45"/>
      <c r="AC42" s="45" t="e">
        <f t="shared" si="2"/>
        <v>#DIV/0!</v>
      </c>
      <c r="AD42" s="45" t="e">
        <f t="shared" si="3"/>
        <v>#DIV/0!</v>
      </c>
      <c r="AE42" s="45" t="e">
        <f t="shared" si="4"/>
        <v>#DIV/0!</v>
      </c>
      <c r="AF42" s="45" t="e">
        <f t="shared" si="5"/>
        <v>#DIV/0!</v>
      </c>
      <c r="AG42" s="45" t="e">
        <f t="shared" si="6"/>
        <v>#DIV/0!</v>
      </c>
      <c r="AH42" s="45" t="e">
        <f t="shared" si="7"/>
        <v>#DIV/0!</v>
      </c>
      <c r="AI42" s="45" t="e">
        <f t="shared" si="8"/>
        <v>#DIV/0!</v>
      </c>
      <c r="AJ42" s="45" t="e">
        <f t="shared" si="9"/>
        <v>#DIV/0!</v>
      </c>
      <c r="AK42" s="45" t="e">
        <f t="shared" si="10"/>
        <v>#DIV/0!</v>
      </c>
      <c r="AL42" s="45" t="e">
        <f>T$3+K42/ATM_Conf!$C$5</f>
        <v>#DIV/0!</v>
      </c>
      <c r="AM42" s="45" t="e">
        <f>U$3+L42/ATM_Conf!$C$5</f>
        <v>#DIV/0!</v>
      </c>
      <c r="AN42" s="45" t="e">
        <f>V$3+M42/ATM_Conf!$C$5</f>
        <v>#DIV/0!</v>
      </c>
      <c r="AO42" s="45" t="e">
        <f>W$3+N42/ATM_Conf!$C$5</f>
        <v>#DIV/0!</v>
      </c>
      <c r="AP42" s="45" t="e">
        <f>X$3+O42/ATM_Conf!$C$5</f>
        <v>#DIV/0!</v>
      </c>
      <c r="AQ42" s="45" t="e">
        <f>Y$3+P42/ATM_Conf!$C$5</f>
        <v>#DIV/0!</v>
      </c>
      <c r="AR42" s="45" t="e">
        <f>Z$3+Q42/ATM_Conf!$C$5</f>
        <v>#DIV/0!</v>
      </c>
      <c r="AS42" s="45" t="e">
        <f>AA$3+R42/ATM_Conf!$C$5</f>
        <v>#DIV/0!</v>
      </c>
      <c r="AT42" s="45" t="e">
        <f>AB$3+S42/ATM_Conf!$C$5</f>
        <v>#DIV/0!</v>
      </c>
      <c r="AU42" s="45" t="e">
        <f>BD$3*MIN(1,(ATM_Conf!$C$6-Links!F42)/(ATM_Conf!$C$6-ATM_Conf!$C$7))</f>
        <v>#DIV/0!</v>
      </c>
      <c r="AV42" s="45" t="e">
        <f>BE$3*MIN(1,(ATM_Conf!$C$6-Links!G42)/(ATM_Conf!$C$6-ATM_Conf!$C$7))</f>
        <v>#DIV/0!</v>
      </c>
      <c r="AW42" s="45" t="e">
        <f>BF$3*MIN(1,(ATM_Conf!$C$6-Links!H42)/(ATM_Conf!$C$6-ATM_Conf!$C$7))</f>
        <v>#DIV/0!</v>
      </c>
      <c r="AX42" s="45" t="e">
        <f>BG$3*MIN(1,(ATM_Conf!$C$6-Links!I42)/(ATM_Conf!$C$6-ATM_Conf!$C$7))</f>
        <v>#DIV/0!</v>
      </c>
      <c r="AY42" s="45" t="e">
        <f>BH$3*MIN(1,(ATM_Conf!$C$6-Links!J42)/(ATM_Conf!$C$6-ATM_Conf!$C$7))</f>
        <v>#DIV/0!</v>
      </c>
      <c r="AZ42" s="45" t="e">
        <f>BI$3*MIN(1,(ATM_Conf!$C$6-Links!K42)/(ATM_Conf!$C$6-ATM_Conf!$C$7))</f>
        <v>#DIV/0!</v>
      </c>
      <c r="BA42" s="45" t="e">
        <f>BJ$3*MIN(1,(ATM_Conf!$C$6-Links!L42)/(ATM_Conf!$C$6-ATM_Conf!$C$7))</f>
        <v>#DIV/0!</v>
      </c>
      <c r="BB42" s="45" t="e">
        <f>BK$3*MIN(1,(ATM_Conf!$C$6-Links!M42)/(ATM_Conf!$C$6-ATM_Conf!$C$7))</f>
        <v>#DIV/0!</v>
      </c>
      <c r="BC42" s="45" t="e">
        <f>BL$3*MIN(1,(ATM_Conf!$C$6-Links!N42)/(ATM_Conf!$C$6-ATM_Conf!$C$7))</f>
        <v>#DIV/0!</v>
      </c>
      <c r="BD42" s="45"/>
      <c r="BE42" s="45"/>
      <c r="BF42" s="45"/>
      <c r="BG42" s="45"/>
      <c r="BH42" s="45"/>
      <c r="BI42" s="45"/>
      <c r="BJ42" s="45"/>
      <c r="BK42" s="45"/>
      <c r="BL42" s="45"/>
      <c r="BM42" s="53"/>
      <c r="BN42" s="53"/>
      <c r="BO42" s="53"/>
      <c r="BP42" s="53"/>
      <c r="BQ42" s="53"/>
      <c r="BR42" s="53"/>
      <c r="BS42" s="53"/>
      <c r="BT42" s="53"/>
      <c r="BU42" s="53"/>
      <c r="BV42" s="53" t="e">
        <f t="shared" si="11"/>
        <v>#DIV/0!</v>
      </c>
      <c r="BW42" s="53" t="e">
        <f t="shared" si="12"/>
        <v>#DIV/0!</v>
      </c>
      <c r="BX42" s="53" t="e">
        <f t="shared" si="13"/>
        <v>#DIV/0!</v>
      </c>
      <c r="BY42" s="53" t="e">
        <f t="shared" si="14"/>
        <v>#DIV/0!</v>
      </c>
      <c r="BZ42" s="53" t="e">
        <f t="shared" si="15"/>
        <v>#DIV/0!</v>
      </c>
      <c r="CA42" s="53" t="e">
        <f t="shared" si="16"/>
        <v>#DIV/0!</v>
      </c>
      <c r="CB42" s="53" t="e">
        <f t="shared" si="17"/>
        <v>#DIV/0!</v>
      </c>
      <c r="CC42" s="53" t="e">
        <f t="shared" si="18"/>
        <v>#DIV/0!</v>
      </c>
      <c r="CD42" s="53" t="e">
        <f t="shared" si="19"/>
        <v>#DIV/0!</v>
      </c>
      <c r="CE42" s="55">
        <f t="shared" si="29"/>
        <v>0</v>
      </c>
      <c r="CF42" s="55">
        <f t="shared" si="29"/>
        <v>0</v>
      </c>
      <c r="CG42" s="55">
        <f t="shared" si="29"/>
        <v>0</v>
      </c>
      <c r="CH42" s="55">
        <f t="shared" si="29"/>
        <v>0</v>
      </c>
      <c r="CI42" s="55">
        <f t="shared" si="29"/>
        <v>0</v>
      </c>
      <c r="CJ42" s="55">
        <f t="shared" si="29"/>
        <v>0</v>
      </c>
      <c r="CK42" s="55">
        <f t="shared" si="29"/>
        <v>0</v>
      </c>
      <c r="CL42" s="55">
        <f t="shared" si="29"/>
        <v>0</v>
      </c>
      <c r="CM42" s="55">
        <f t="shared" si="29"/>
        <v>0</v>
      </c>
    </row>
    <row r="43" spans="1:91" x14ac:dyDescent="0.15">
      <c r="A43" s="42">
        <v>41</v>
      </c>
      <c r="B43" s="45">
        <f t="shared" si="32"/>
        <v>1</v>
      </c>
      <c r="C43" s="45">
        <f t="shared" si="31"/>
        <v>1</v>
      </c>
      <c r="D43" s="45">
        <f t="shared" si="31"/>
        <v>1</v>
      </c>
      <c r="E43" s="45">
        <f t="shared" si="31"/>
        <v>1</v>
      </c>
      <c r="F43" s="45">
        <f t="shared" si="31"/>
        <v>1</v>
      </c>
      <c r="G43" s="45">
        <f t="shared" si="31"/>
        <v>1</v>
      </c>
      <c r="H43" s="45">
        <f t="shared" si="31"/>
        <v>1</v>
      </c>
      <c r="I43" s="45">
        <f t="shared" si="31"/>
        <v>1</v>
      </c>
      <c r="J43" s="45">
        <f t="shared" si="31"/>
        <v>1</v>
      </c>
      <c r="K43" s="45" t="e">
        <f>K42+ATM_Conf!$C$5*(T42-AC42)</f>
        <v>#DIV/0!</v>
      </c>
      <c r="L43" s="45" t="e">
        <f>L42+ATM_Conf!$C$5*(U42-AD42)</f>
        <v>#DIV/0!</v>
      </c>
      <c r="M43" s="45" t="e">
        <f>M42+ATM_Conf!$C$5*(V42-AE42)</f>
        <v>#DIV/0!</v>
      </c>
      <c r="N43" s="45" t="e">
        <f>N42+ATM_Conf!$C$5*(W42-AF42)</f>
        <v>#DIV/0!</v>
      </c>
      <c r="O43" s="45" t="e">
        <f>O42+ATM_Conf!$C$5*(X42-AG42)</f>
        <v>#DIV/0!</v>
      </c>
      <c r="P43" s="45" t="e">
        <f>P42+ATM_Conf!$C$5*(Y42-AH42)</f>
        <v>#DIV/0!</v>
      </c>
      <c r="Q43" s="45" t="e">
        <f>Q42+ATM_Conf!$C$5*(Z42-AI42)</f>
        <v>#DIV/0!</v>
      </c>
      <c r="R43" s="45" t="e">
        <f>R42+ATM_Conf!$C$5*(AA42-AJ42)</f>
        <v>#DIV/0!</v>
      </c>
      <c r="S43" s="45" t="e">
        <f>S42+ATM_Conf!$C$5*(AB42-AK42)</f>
        <v>#DIV/0!</v>
      </c>
      <c r="T43" s="45"/>
      <c r="U43" s="45"/>
      <c r="V43" s="45"/>
      <c r="W43" s="45"/>
      <c r="X43" s="45"/>
      <c r="Y43" s="45"/>
      <c r="Z43" s="45"/>
      <c r="AA43" s="45"/>
      <c r="AB43" s="45"/>
      <c r="AC43" s="45" t="e">
        <f t="shared" si="2"/>
        <v>#DIV/0!</v>
      </c>
      <c r="AD43" s="45" t="e">
        <f t="shared" si="3"/>
        <v>#DIV/0!</v>
      </c>
      <c r="AE43" s="45" t="e">
        <f t="shared" si="4"/>
        <v>#DIV/0!</v>
      </c>
      <c r="AF43" s="45" t="e">
        <f t="shared" si="5"/>
        <v>#DIV/0!</v>
      </c>
      <c r="AG43" s="45" t="e">
        <f t="shared" si="6"/>
        <v>#DIV/0!</v>
      </c>
      <c r="AH43" s="45" t="e">
        <f t="shared" si="7"/>
        <v>#DIV/0!</v>
      </c>
      <c r="AI43" s="45" t="e">
        <f t="shared" si="8"/>
        <v>#DIV/0!</v>
      </c>
      <c r="AJ43" s="45" t="e">
        <f t="shared" si="9"/>
        <v>#DIV/0!</v>
      </c>
      <c r="AK43" s="45" t="e">
        <f t="shared" si="10"/>
        <v>#DIV/0!</v>
      </c>
      <c r="AL43" s="45" t="e">
        <f>T$3+K43/ATM_Conf!$C$5</f>
        <v>#DIV/0!</v>
      </c>
      <c r="AM43" s="45" t="e">
        <f>U$3+L43/ATM_Conf!$C$5</f>
        <v>#DIV/0!</v>
      </c>
      <c r="AN43" s="45" t="e">
        <f>V$3+M43/ATM_Conf!$C$5</f>
        <v>#DIV/0!</v>
      </c>
      <c r="AO43" s="45" t="e">
        <f>W$3+N43/ATM_Conf!$C$5</f>
        <v>#DIV/0!</v>
      </c>
      <c r="AP43" s="45" t="e">
        <f>X$3+O43/ATM_Conf!$C$5</f>
        <v>#DIV/0!</v>
      </c>
      <c r="AQ43" s="45" t="e">
        <f>Y$3+P43/ATM_Conf!$C$5</f>
        <v>#DIV/0!</v>
      </c>
      <c r="AR43" s="45" t="e">
        <f>Z$3+Q43/ATM_Conf!$C$5</f>
        <v>#DIV/0!</v>
      </c>
      <c r="AS43" s="45" t="e">
        <f>AA$3+R43/ATM_Conf!$C$5</f>
        <v>#DIV/0!</v>
      </c>
      <c r="AT43" s="45" t="e">
        <f>AB$3+S43/ATM_Conf!$C$5</f>
        <v>#DIV/0!</v>
      </c>
      <c r="AU43" s="45" t="e">
        <f>BD$3*MIN(1,(ATM_Conf!$C$6-Links!F43)/(ATM_Conf!$C$6-ATM_Conf!$C$7))</f>
        <v>#DIV/0!</v>
      </c>
      <c r="AV43" s="45" t="e">
        <f>BE$3*MIN(1,(ATM_Conf!$C$6-Links!G43)/(ATM_Conf!$C$6-ATM_Conf!$C$7))</f>
        <v>#DIV/0!</v>
      </c>
      <c r="AW43" s="45" t="e">
        <f>BF$3*MIN(1,(ATM_Conf!$C$6-Links!H43)/(ATM_Conf!$C$6-ATM_Conf!$C$7))</f>
        <v>#DIV/0!</v>
      </c>
      <c r="AX43" s="45" t="e">
        <f>BG$3*MIN(1,(ATM_Conf!$C$6-Links!I43)/(ATM_Conf!$C$6-ATM_Conf!$C$7))</f>
        <v>#DIV/0!</v>
      </c>
      <c r="AY43" s="45" t="e">
        <f>BH$3*MIN(1,(ATM_Conf!$C$6-Links!J43)/(ATM_Conf!$C$6-ATM_Conf!$C$7))</f>
        <v>#DIV/0!</v>
      </c>
      <c r="AZ43" s="45" t="e">
        <f>BI$3*MIN(1,(ATM_Conf!$C$6-Links!K43)/(ATM_Conf!$C$6-ATM_Conf!$C$7))</f>
        <v>#DIV/0!</v>
      </c>
      <c r="BA43" s="45" t="e">
        <f>BJ$3*MIN(1,(ATM_Conf!$C$6-Links!L43)/(ATM_Conf!$C$6-ATM_Conf!$C$7))</f>
        <v>#DIV/0!</v>
      </c>
      <c r="BB43" s="45" t="e">
        <f>BK$3*MIN(1,(ATM_Conf!$C$6-Links!M43)/(ATM_Conf!$C$6-ATM_Conf!$C$7))</f>
        <v>#DIV/0!</v>
      </c>
      <c r="BC43" s="45" t="e">
        <f>BL$3*MIN(1,(ATM_Conf!$C$6-Links!N43)/(ATM_Conf!$C$6-ATM_Conf!$C$7))</f>
        <v>#DIV/0!</v>
      </c>
      <c r="BD43" s="45"/>
      <c r="BE43" s="45"/>
      <c r="BF43" s="45"/>
      <c r="BG43" s="45"/>
      <c r="BH43" s="45"/>
      <c r="BI43" s="45"/>
      <c r="BJ43" s="45"/>
      <c r="BK43" s="45"/>
      <c r="BL43" s="45"/>
      <c r="BM43" s="53"/>
      <c r="BN43" s="53"/>
      <c r="BO43" s="53"/>
      <c r="BP43" s="53"/>
      <c r="BQ43" s="53"/>
      <c r="BR43" s="53"/>
      <c r="BS43" s="53"/>
      <c r="BT43" s="53"/>
      <c r="BU43" s="53"/>
      <c r="BV43" s="53" t="e">
        <f t="shared" si="11"/>
        <v>#DIV/0!</v>
      </c>
      <c r="BW43" s="53" t="e">
        <f t="shared" si="12"/>
        <v>#DIV/0!</v>
      </c>
      <c r="BX43" s="53" t="e">
        <f t="shared" si="13"/>
        <v>#DIV/0!</v>
      </c>
      <c r="BY43" s="53" t="e">
        <f t="shared" si="14"/>
        <v>#DIV/0!</v>
      </c>
      <c r="BZ43" s="53" t="e">
        <f t="shared" si="15"/>
        <v>#DIV/0!</v>
      </c>
      <c r="CA43" s="53" t="e">
        <f t="shared" si="16"/>
        <v>#DIV/0!</v>
      </c>
      <c r="CB43" s="53" t="e">
        <f t="shared" si="17"/>
        <v>#DIV/0!</v>
      </c>
      <c r="CC43" s="53" t="e">
        <f t="shared" si="18"/>
        <v>#DIV/0!</v>
      </c>
      <c r="CD43" s="53" t="e">
        <f t="shared" si="19"/>
        <v>#DIV/0!</v>
      </c>
      <c r="CE43" s="55">
        <f t="shared" si="29"/>
        <v>0</v>
      </c>
      <c r="CF43" s="55">
        <f t="shared" si="29"/>
        <v>0</v>
      </c>
      <c r="CG43" s="55">
        <f t="shared" si="29"/>
        <v>0</v>
      </c>
      <c r="CH43" s="55">
        <f t="shared" si="29"/>
        <v>0</v>
      </c>
      <c r="CI43" s="55">
        <f t="shared" si="29"/>
        <v>0</v>
      </c>
      <c r="CJ43" s="55">
        <f t="shared" si="29"/>
        <v>0</v>
      </c>
      <c r="CK43" s="55">
        <f t="shared" si="29"/>
        <v>0</v>
      </c>
      <c r="CL43" s="55">
        <f t="shared" si="29"/>
        <v>0</v>
      </c>
      <c r="CM43" s="55">
        <f t="shared" si="29"/>
        <v>0</v>
      </c>
    </row>
    <row r="44" spans="1:91" x14ac:dyDescent="0.15">
      <c r="A44" s="42">
        <v>42</v>
      </c>
      <c r="B44" s="45">
        <f t="shared" si="32"/>
        <v>1</v>
      </c>
      <c r="C44" s="45">
        <f t="shared" si="31"/>
        <v>1</v>
      </c>
      <c r="D44" s="45">
        <f t="shared" si="31"/>
        <v>1</v>
      </c>
      <c r="E44" s="45">
        <f t="shared" si="31"/>
        <v>1</v>
      </c>
      <c r="F44" s="45">
        <f t="shared" si="31"/>
        <v>1</v>
      </c>
      <c r="G44" s="45">
        <f t="shared" si="31"/>
        <v>1</v>
      </c>
      <c r="H44" s="45">
        <f t="shared" si="31"/>
        <v>1</v>
      </c>
      <c r="I44" s="45">
        <f t="shared" si="31"/>
        <v>1</v>
      </c>
      <c r="J44" s="45">
        <f t="shared" si="31"/>
        <v>1</v>
      </c>
      <c r="K44" s="45" t="e">
        <f>K43+ATM_Conf!$C$5*(T43-AC43)</f>
        <v>#DIV/0!</v>
      </c>
      <c r="L44" s="45" t="e">
        <f>L43+ATM_Conf!$C$5*(U43-AD43)</f>
        <v>#DIV/0!</v>
      </c>
      <c r="M44" s="45" t="e">
        <f>M43+ATM_Conf!$C$5*(V43-AE43)</f>
        <v>#DIV/0!</v>
      </c>
      <c r="N44" s="45" t="e">
        <f>N43+ATM_Conf!$C$5*(W43-AF43)</f>
        <v>#DIV/0!</v>
      </c>
      <c r="O44" s="45" t="e">
        <f>O43+ATM_Conf!$C$5*(X43-AG43)</f>
        <v>#DIV/0!</v>
      </c>
      <c r="P44" s="45" t="e">
        <f>P43+ATM_Conf!$C$5*(Y43-AH43)</f>
        <v>#DIV/0!</v>
      </c>
      <c r="Q44" s="45" t="e">
        <f>Q43+ATM_Conf!$C$5*(Z43-AI43)</f>
        <v>#DIV/0!</v>
      </c>
      <c r="R44" s="45" t="e">
        <f>R43+ATM_Conf!$C$5*(AA43-AJ43)</f>
        <v>#DIV/0!</v>
      </c>
      <c r="S44" s="45" t="e">
        <f>S43+ATM_Conf!$C$5*(AB43-AK43)</f>
        <v>#DIV/0!</v>
      </c>
      <c r="T44" s="45"/>
      <c r="U44" s="45"/>
      <c r="V44" s="45"/>
      <c r="W44" s="45"/>
      <c r="X44" s="45"/>
      <c r="Y44" s="45"/>
      <c r="Z44" s="45"/>
      <c r="AA44" s="45"/>
      <c r="AB44" s="45"/>
      <c r="AC44" s="45" t="e">
        <f t="shared" si="2"/>
        <v>#DIV/0!</v>
      </c>
      <c r="AD44" s="45" t="e">
        <f t="shared" si="3"/>
        <v>#DIV/0!</v>
      </c>
      <c r="AE44" s="45" t="e">
        <f t="shared" si="4"/>
        <v>#DIV/0!</v>
      </c>
      <c r="AF44" s="45" t="e">
        <f t="shared" si="5"/>
        <v>#DIV/0!</v>
      </c>
      <c r="AG44" s="45" t="e">
        <f t="shared" si="6"/>
        <v>#DIV/0!</v>
      </c>
      <c r="AH44" s="45" t="e">
        <f t="shared" si="7"/>
        <v>#DIV/0!</v>
      </c>
      <c r="AI44" s="45" t="e">
        <f t="shared" si="8"/>
        <v>#DIV/0!</v>
      </c>
      <c r="AJ44" s="45" t="e">
        <f t="shared" si="9"/>
        <v>#DIV/0!</v>
      </c>
      <c r="AK44" s="45" t="e">
        <f t="shared" si="10"/>
        <v>#DIV/0!</v>
      </c>
      <c r="AL44" s="45" t="e">
        <f>T$3+K44/ATM_Conf!$C$5</f>
        <v>#DIV/0!</v>
      </c>
      <c r="AM44" s="45" t="e">
        <f>U$3+L44/ATM_Conf!$C$5</f>
        <v>#DIV/0!</v>
      </c>
      <c r="AN44" s="45" t="e">
        <f>V$3+M44/ATM_Conf!$C$5</f>
        <v>#DIV/0!</v>
      </c>
      <c r="AO44" s="45" t="e">
        <f>W$3+N44/ATM_Conf!$C$5</f>
        <v>#DIV/0!</v>
      </c>
      <c r="AP44" s="45" t="e">
        <f>X$3+O44/ATM_Conf!$C$5</f>
        <v>#DIV/0!</v>
      </c>
      <c r="AQ44" s="45" t="e">
        <f>Y$3+P44/ATM_Conf!$C$5</f>
        <v>#DIV/0!</v>
      </c>
      <c r="AR44" s="45" t="e">
        <f>Z$3+Q44/ATM_Conf!$C$5</f>
        <v>#DIV/0!</v>
      </c>
      <c r="AS44" s="45" t="e">
        <f>AA$3+R44/ATM_Conf!$C$5</f>
        <v>#DIV/0!</v>
      </c>
      <c r="AT44" s="45" t="e">
        <f>AB$3+S44/ATM_Conf!$C$5</f>
        <v>#DIV/0!</v>
      </c>
      <c r="AU44" s="45" t="e">
        <f>BD$3*MIN(1,(ATM_Conf!$C$6-Links!F44)/(ATM_Conf!$C$6-ATM_Conf!$C$7))</f>
        <v>#DIV/0!</v>
      </c>
      <c r="AV44" s="45" t="e">
        <f>BE$3*MIN(1,(ATM_Conf!$C$6-Links!G44)/(ATM_Conf!$C$6-ATM_Conf!$C$7))</f>
        <v>#DIV/0!</v>
      </c>
      <c r="AW44" s="45" t="e">
        <f>BF$3*MIN(1,(ATM_Conf!$C$6-Links!H44)/(ATM_Conf!$C$6-ATM_Conf!$C$7))</f>
        <v>#DIV/0!</v>
      </c>
      <c r="AX44" s="45" t="e">
        <f>BG$3*MIN(1,(ATM_Conf!$C$6-Links!I44)/(ATM_Conf!$C$6-ATM_Conf!$C$7))</f>
        <v>#DIV/0!</v>
      </c>
      <c r="AY44" s="45" t="e">
        <f>BH$3*MIN(1,(ATM_Conf!$C$6-Links!J44)/(ATM_Conf!$C$6-ATM_Conf!$C$7))</f>
        <v>#DIV/0!</v>
      </c>
      <c r="AZ44" s="45" t="e">
        <f>BI$3*MIN(1,(ATM_Conf!$C$6-Links!K44)/(ATM_Conf!$C$6-ATM_Conf!$C$7))</f>
        <v>#DIV/0!</v>
      </c>
      <c r="BA44" s="45" t="e">
        <f>BJ$3*MIN(1,(ATM_Conf!$C$6-Links!L44)/(ATM_Conf!$C$6-ATM_Conf!$C$7))</f>
        <v>#DIV/0!</v>
      </c>
      <c r="BB44" s="45" t="e">
        <f>BK$3*MIN(1,(ATM_Conf!$C$6-Links!M44)/(ATM_Conf!$C$6-ATM_Conf!$C$7))</f>
        <v>#DIV/0!</v>
      </c>
      <c r="BC44" s="45" t="e">
        <f>BL$3*MIN(1,(ATM_Conf!$C$6-Links!N44)/(ATM_Conf!$C$6-ATM_Conf!$C$7))</f>
        <v>#DIV/0!</v>
      </c>
      <c r="BD44" s="45"/>
      <c r="BE44" s="45"/>
      <c r="BF44" s="45"/>
      <c r="BG44" s="45"/>
      <c r="BH44" s="45"/>
      <c r="BI44" s="45"/>
      <c r="BJ44" s="45"/>
      <c r="BK44" s="45"/>
      <c r="BL44" s="45"/>
      <c r="BM44" s="53"/>
      <c r="BN44" s="53"/>
      <c r="BO44" s="53"/>
      <c r="BP44" s="53"/>
      <c r="BQ44" s="53"/>
      <c r="BR44" s="53"/>
      <c r="BS44" s="53"/>
      <c r="BT44" s="53"/>
      <c r="BU44" s="53"/>
      <c r="BV44" s="53" t="e">
        <f t="shared" si="11"/>
        <v>#DIV/0!</v>
      </c>
      <c r="BW44" s="53" t="e">
        <f t="shared" si="12"/>
        <v>#DIV/0!</v>
      </c>
      <c r="BX44" s="53" t="e">
        <f t="shared" si="13"/>
        <v>#DIV/0!</v>
      </c>
      <c r="BY44" s="53" t="e">
        <f t="shared" si="14"/>
        <v>#DIV/0!</v>
      </c>
      <c r="BZ44" s="53" t="e">
        <f t="shared" si="15"/>
        <v>#DIV/0!</v>
      </c>
      <c r="CA44" s="53" t="e">
        <f t="shared" si="16"/>
        <v>#DIV/0!</v>
      </c>
      <c r="CB44" s="53" t="e">
        <f t="shared" si="17"/>
        <v>#DIV/0!</v>
      </c>
      <c r="CC44" s="53" t="e">
        <f t="shared" si="18"/>
        <v>#DIV/0!</v>
      </c>
      <c r="CD44" s="53" t="e">
        <f t="shared" si="19"/>
        <v>#DIV/0!</v>
      </c>
      <c r="CE44" s="55">
        <f t="shared" si="29"/>
        <v>0</v>
      </c>
      <c r="CF44" s="55">
        <f t="shared" si="29"/>
        <v>0</v>
      </c>
      <c r="CG44" s="55">
        <f t="shared" si="29"/>
        <v>0</v>
      </c>
      <c r="CH44" s="55">
        <f t="shared" si="29"/>
        <v>0</v>
      </c>
      <c r="CI44" s="55">
        <f t="shared" si="29"/>
        <v>0</v>
      </c>
      <c r="CJ44" s="55">
        <f t="shared" si="29"/>
        <v>0</v>
      </c>
      <c r="CK44" s="55">
        <f t="shared" si="29"/>
        <v>0</v>
      </c>
      <c r="CL44" s="55">
        <f t="shared" si="29"/>
        <v>0</v>
      </c>
      <c r="CM44" s="55">
        <f t="shared" si="29"/>
        <v>0</v>
      </c>
    </row>
    <row r="45" spans="1:91" x14ac:dyDescent="0.15">
      <c r="A45" s="42">
        <v>43</v>
      </c>
      <c r="B45" s="45">
        <f t="shared" si="32"/>
        <v>1</v>
      </c>
      <c r="C45" s="45">
        <f t="shared" si="31"/>
        <v>1</v>
      </c>
      <c r="D45" s="45">
        <f t="shared" si="31"/>
        <v>1</v>
      </c>
      <c r="E45" s="45">
        <f t="shared" si="31"/>
        <v>1</v>
      </c>
      <c r="F45" s="45">
        <f t="shared" si="31"/>
        <v>1</v>
      </c>
      <c r="G45" s="45">
        <f t="shared" si="31"/>
        <v>1</v>
      </c>
      <c r="H45" s="45">
        <f t="shared" si="31"/>
        <v>1</v>
      </c>
      <c r="I45" s="45">
        <f t="shared" si="31"/>
        <v>1</v>
      </c>
      <c r="J45" s="45">
        <f t="shared" si="31"/>
        <v>1</v>
      </c>
      <c r="K45" s="45" t="e">
        <f>K44+ATM_Conf!$C$5*(T44-AC44)</f>
        <v>#DIV/0!</v>
      </c>
      <c r="L45" s="45" t="e">
        <f>L44+ATM_Conf!$C$5*(U44-AD44)</f>
        <v>#DIV/0!</v>
      </c>
      <c r="M45" s="45" t="e">
        <f>M44+ATM_Conf!$C$5*(V44-AE44)</f>
        <v>#DIV/0!</v>
      </c>
      <c r="N45" s="45" t="e">
        <f>N44+ATM_Conf!$C$5*(W44-AF44)</f>
        <v>#DIV/0!</v>
      </c>
      <c r="O45" s="45" t="e">
        <f>O44+ATM_Conf!$C$5*(X44-AG44)</f>
        <v>#DIV/0!</v>
      </c>
      <c r="P45" s="45" t="e">
        <f>P44+ATM_Conf!$C$5*(Y44-AH44)</f>
        <v>#DIV/0!</v>
      </c>
      <c r="Q45" s="45" t="e">
        <f>Q44+ATM_Conf!$C$5*(Z44-AI44)</f>
        <v>#DIV/0!</v>
      </c>
      <c r="R45" s="45" t="e">
        <f>R44+ATM_Conf!$C$5*(AA44-AJ44)</f>
        <v>#DIV/0!</v>
      </c>
      <c r="S45" s="45" t="e">
        <f>S44+ATM_Conf!$C$5*(AB44-AK44)</f>
        <v>#DIV/0!</v>
      </c>
      <c r="T45" s="45"/>
      <c r="U45" s="45"/>
      <c r="V45" s="45"/>
      <c r="W45" s="45"/>
      <c r="X45" s="45"/>
      <c r="Y45" s="45"/>
      <c r="Z45" s="45"/>
      <c r="AA45" s="45"/>
      <c r="AB45" s="45"/>
      <c r="AC45" s="45" t="e">
        <f t="shared" si="2"/>
        <v>#DIV/0!</v>
      </c>
      <c r="AD45" s="45" t="e">
        <f t="shared" si="3"/>
        <v>#DIV/0!</v>
      </c>
      <c r="AE45" s="45" t="e">
        <f t="shared" si="4"/>
        <v>#DIV/0!</v>
      </c>
      <c r="AF45" s="45" t="e">
        <f t="shared" si="5"/>
        <v>#DIV/0!</v>
      </c>
      <c r="AG45" s="45" t="e">
        <f t="shared" si="6"/>
        <v>#DIV/0!</v>
      </c>
      <c r="AH45" s="45" t="e">
        <f t="shared" si="7"/>
        <v>#DIV/0!</v>
      </c>
      <c r="AI45" s="45" t="e">
        <f t="shared" si="8"/>
        <v>#DIV/0!</v>
      </c>
      <c r="AJ45" s="45" t="e">
        <f t="shared" si="9"/>
        <v>#DIV/0!</v>
      </c>
      <c r="AK45" s="45" t="e">
        <f t="shared" si="10"/>
        <v>#DIV/0!</v>
      </c>
      <c r="AL45" s="45" t="e">
        <f>T$3+K45/ATM_Conf!$C$5</f>
        <v>#DIV/0!</v>
      </c>
      <c r="AM45" s="45" t="e">
        <f>U$3+L45/ATM_Conf!$C$5</f>
        <v>#DIV/0!</v>
      </c>
      <c r="AN45" s="45" t="e">
        <f>V$3+M45/ATM_Conf!$C$5</f>
        <v>#DIV/0!</v>
      </c>
      <c r="AO45" s="45" t="e">
        <f>W$3+N45/ATM_Conf!$C$5</f>
        <v>#DIV/0!</v>
      </c>
      <c r="AP45" s="45" t="e">
        <f>X$3+O45/ATM_Conf!$C$5</f>
        <v>#DIV/0!</v>
      </c>
      <c r="AQ45" s="45" t="e">
        <f>Y$3+P45/ATM_Conf!$C$5</f>
        <v>#DIV/0!</v>
      </c>
      <c r="AR45" s="45" t="e">
        <f>Z$3+Q45/ATM_Conf!$C$5</f>
        <v>#DIV/0!</v>
      </c>
      <c r="AS45" s="45" t="e">
        <f>AA$3+R45/ATM_Conf!$C$5</f>
        <v>#DIV/0!</v>
      </c>
      <c r="AT45" s="45" t="e">
        <f>AB$3+S45/ATM_Conf!$C$5</f>
        <v>#DIV/0!</v>
      </c>
      <c r="AU45" s="45" t="e">
        <f>BD$3*MIN(1,(ATM_Conf!$C$6-Links!F45)/(ATM_Conf!$C$6-ATM_Conf!$C$7))</f>
        <v>#DIV/0!</v>
      </c>
      <c r="AV45" s="45" t="e">
        <f>BE$3*MIN(1,(ATM_Conf!$C$6-Links!G45)/(ATM_Conf!$C$6-ATM_Conf!$C$7))</f>
        <v>#DIV/0!</v>
      </c>
      <c r="AW45" s="45" t="e">
        <f>BF$3*MIN(1,(ATM_Conf!$C$6-Links!H45)/(ATM_Conf!$C$6-ATM_Conf!$C$7))</f>
        <v>#DIV/0!</v>
      </c>
      <c r="AX45" s="45" t="e">
        <f>BG$3*MIN(1,(ATM_Conf!$C$6-Links!I45)/(ATM_Conf!$C$6-ATM_Conf!$C$7))</f>
        <v>#DIV/0!</v>
      </c>
      <c r="AY45" s="45" t="e">
        <f>BH$3*MIN(1,(ATM_Conf!$C$6-Links!J45)/(ATM_Conf!$C$6-ATM_Conf!$C$7))</f>
        <v>#DIV/0!</v>
      </c>
      <c r="AZ45" s="45" t="e">
        <f>BI$3*MIN(1,(ATM_Conf!$C$6-Links!K45)/(ATM_Conf!$C$6-ATM_Conf!$C$7))</f>
        <v>#DIV/0!</v>
      </c>
      <c r="BA45" s="45" t="e">
        <f>BJ$3*MIN(1,(ATM_Conf!$C$6-Links!L45)/(ATM_Conf!$C$6-ATM_Conf!$C$7))</f>
        <v>#DIV/0!</v>
      </c>
      <c r="BB45" s="45" t="e">
        <f>BK$3*MIN(1,(ATM_Conf!$C$6-Links!M45)/(ATM_Conf!$C$6-ATM_Conf!$C$7))</f>
        <v>#DIV/0!</v>
      </c>
      <c r="BC45" s="45" t="e">
        <f>BL$3*MIN(1,(ATM_Conf!$C$6-Links!N45)/(ATM_Conf!$C$6-ATM_Conf!$C$7))</f>
        <v>#DIV/0!</v>
      </c>
      <c r="BD45" s="45"/>
      <c r="BE45" s="45"/>
      <c r="BF45" s="45"/>
      <c r="BG45" s="45"/>
      <c r="BH45" s="45"/>
      <c r="BI45" s="45"/>
      <c r="BJ45" s="45"/>
      <c r="BK45" s="45"/>
      <c r="BL45" s="45"/>
      <c r="BM45" s="53"/>
      <c r="BN45" s="53"/>
      <c r="BO45" s="53"/>
      <c r="BP45" s="53"/>
      <c r="BQ45" s="53"/>
      <c r="BR45" s="53"/>
      <c r="BS45" s="53"/>
      <c r="BT45" s="53"/>
      <c r="BU45" s="53"/>
      <c r="BV45" s="53" t="e">
        <f t="shared" si="11"/>
        <v>#DIV/0!</v>
      </c>
      <c r="BW45" s="53" t="e">
        <f t="shared" si="12"/>
        <v>#DIV/0!</v>
      </c>
      <c r="BX45" s="53" t="e">
        <f t="shared" si="13"/>
        <v>#DIV/0!</v>
      </c>
      <c r="BY45" s="53" t="e">
        <f t="shared" si="14"/>
        <v>#DIV/0!</v>
      </c>
      <c r="BZ45" s="53" t="e">
        <f t="shared" si="15"/>
        <v>#DIV/0!</v>
      </c>
      <c r="CA45" s="53" t="e">
        <f t="shared" si="16"/>
        <v>#DIV/0!</v>
      </c>
      <c r="CB45" s="53" t="e">
        <f t="shared" si="17"/>
        <v>#DIV/0!</v>
      </c>
      <c r="CC45" s="53" t="e">
        <f t="shared" si="18"/>
        <v>#DIV/0!</v>
      </c>
      <c r="CD45" s="53" t="e">
        <f t="shared" si="19"/>
        <v>#DIV/0!</v>
      </c>
      <c r="CE45" s="55">
        <f t="shared" si="29"/>
        <v>0</v>
      </c>
      <c r="CF45" s="55">
        <f t="shared" si="29"/>
        <v>0</v>
      </c>
      <c r="CG45" s="55">
        <f t="shared" si="29"/>
        <v>0</v>
      </c>
      <c r="CH45" s="55">
        <f t="shared" si="29"/>
        <v>0</v>
      </c>
      <c r="CI45" s="55">
        <f t="shared" si="29"/>
        <v>0</v>
      </c>
      <c r="CJ45" s="55">
        <f t="shared" si="29"/>
        <v>0</v>
      </c>
      <c r="CK45" s="55">
        <f t="shared" si="29"/>
        <v>0</v>
      </c>
      <c r="CL45" s="55">
        <f t="shared" si="29"/>
        <v>0</v>
      </c>
      <c r="CM45" s="55">
        <f t="shared" si="29"/>
        <v>0</v>
      </c>
    </row>
    <row r="46" spans="1:91" x14ac:dyDescent="0.15">
      <c r="A46" s="42">
        <v>44</v>
      </c>
      <c r="B46" s="45">
        <f t="shared" si="32"/>
        <v>1</v>
      </c>
      <c r="C46" s="45">
        <f t="shared" si="31"/>
        <v>1</v>
      </c>
      <c r="D46" s="45">
        <f t="shared" si="31"/>
        <v>1</v>
      </c>
      <c r="E46" s="45">
        <f t="shared" si="31"/>
        <v>1</v>
      </c>
      <c r="F46" s="45">
        <f t="shared" si="31"/>
        <v>1</v>
      </c>
      <c r="G46" s="45">
        <f t="shared" si="31"/>
        <v>1</v>
      </c>
      <c r="H46" s="45">
        <f t="shared" si="31"/>
        <v>1</v>
      </c>
      <c r="I46" s="45">
        <f t="shared" si="31"/>
        <v>1</v>
      </c>
      <c r="J46" s="45">
        <f t="shared" si="31"/>
        <v>1</v>
      </c>
      <c r="K46" s="45" t="e">
        <f>K45+ATM_Conf!$C$5*(T45-AC45)</f>
        <v>#DIV/0!</v>
      </c>
      <c r="L46" s="45" t="e">
        <f>L45+ATM_Conf!$C$5*(U45-AD45)</f>
        <v>#DIV/0!</v>
      </c>
      <c r="M46" s="45" t="e">
        <f>M45+ATM_Conf!$C$5*(V45-AE45)</f>
        <v>#DIV/0!</v>
      </c>
      <c r="N46" s="45" t="e">
        <f>N45+ATM_Conf!$C$5*(W45-AF45)</f>
        <v>#DIV/0!</v>
      </c>
      <c r="O46" s="45" t="e">
        <f>O45+ATM_Conf!$C$5*(X45-AG45)</f>
        <v>#DIV/0!</v>
      </c>
      <c r="P46" s="45" t="e">
        <f>P45+ATM_Conf!$C$5*(Y45-AH45)</f>
        <v>#DIV/0!</v>
      </c>
      <c r="Q46" s="45" t="e">
        <f>Q45+ATM_Conf!$C$5*(Z45-AI45)</f>
        <v>#DIV/0!</v>
      </c>
      <c r="R46" s="45" t="e">
        <f>R45+ATM_Conf!$C$5*(AA45-AJ45)</f>
        <v>#DIV/0!</v>
      </c>
      <c r="S46" s="45" t="e">
        <f>S45+ATM_Conf!$C$5*(AB45-AK45)</f>
        <v>#DIV/0!</v>
      </c>
      <c r="T46" s="45"/>
      <c r="U46" s="45"/>
      <c r="V46" s="45"/>
      <c r="W46" s="45"/>
      <c r="X46" s="45"/>
      <c r="Y46" s="45"/>
      <c r="Z46" s="45"/>
      <c r="AA46" s="45"/>
      <c r="AB46" s="45"/>
      <c r="AC46" s="45" t="e">
        <f t="shared" si="2"/>
        <v>#DIV/0!</v>
      </c>
      <c r="AD46" s="45" t="e">
        <f t="shared" si="3"/>
        <v>#DIV/0!</v>
      </c>
      <c r="AE46" s="45" t="e">
        <f t="shared" si="4"/>
        <v>#DIV/0!</v>
      </c>
      <c r="AF46" s="45" t="e">
        <f t="shared" si="5"/>
        <v>#DIV/0!</v>
      </c>
      <c r="AG46" s="45" t="e">
        <f t="shared" si="6"/>
        <v>#DIV/0!</v>
      </c>
      <c r="AH46" s="45" t="e">
        <f t="shared" si="7"/>
        <v>#DIV/0!</v>
      </c>
      <c r="AI46" s="45" t="e">
        <f t="shared" si="8"/>
        <v>#DIV/0!</v>
      </c>
      <c r="AJ46" s="45" t="e">
        <f t="shared" si="9"/>
        <v>#DIV/0!</v>
      </c>
      <c r="AK46" s="45" t="e">
        <f t="shared" si="10"/>
        <v>#DIV/0!</v>
      </c>
      <c r="AL46" s="45" t="e">
        <f>T$3+K46/ATM_Conf!$C$5</f>
        <v>#DIV/0!</v>
      </c>
      <c r="AM46" s="45" t="e">
        <f>U$3+L46/ATM_Conf!$C$5</f>
        <v>#DIV/0!</v>
      </c>
      <c r="AN46" s="45" t="e">
        <f>V$3+M46/ATM_Conf!$C$5</f>
        <v>#DIV/0!</v>
      </c>
      <c r="AO46" s="45" t="e">
        <f>W$3+N46/ATM_Conf!$C$5</f>
        <v>#DIV/0!</v>
      </c>
      <c r="AP46" s="45" t="e">
        <f>X$3+O46/ATM_Conf!$C$5</f>
        <v>#DIV/0!</v>
      </c>
      <c r="AQ46" s="45" t="e">
        <f>Y$3+P46/ATM_Conf!$C$5</f>
        <v>#DIV/0!</v>
      </c>
      <c r="AR46" s="45" t="e">
        <f>Z$3+Q46/ATM_Conf!$C$5</f>
        <v>#DIV/0!</v>
      </c>
      <c r="AS46" s="45" t="e">
        <f>AA$3+R46/ATM_Conf!$C$5</f>
        <v>#DIV/0!</v>
      </c>
      <c r="AT46" s="45" t="e">
        <f>AB$3+S46/ATM_Conf!$C$5</f>
        <v>#DIV/0!</v>
      </c>
      <c r="AU46" s="45" t="e">
        <f>BD$3*MIN(1,(ATM_Conf!$C$6-Links!F46)/(ATM_Conf!$C$6-ATM_Conf!$C$7))</f>
        <v>#DIV/0!</v>
      </c>
      <c r="AV46" s="45" t="e">
        <f>BE$3*MIN(1,(ATM_Conf!$C$6-Links!G46)/(ATM_Conf!$C$6-ATM_Conf!$C$7))</f>
        <v>#DIV/0!</v>
      </c>
      <c r="AW46" s="45" t="e">
        <f>BF$3*MIN(1,(ATM_Conf!$C$6-Links!H46)/(ATM_Conf!$C$6-ATM_Conf!$C$7))</f>
        <v>#DIV/0!</v>
      </c>
      <c r="AX46" s="45" t="e">
        <f>BG$3*MIN(1,(ATM_Conf!$C$6-Links!I46)/(ATM_Conf!$C$6-ATM_Conf!$C$7))</f>
        <v>#DIV/0!</v>
      </c>
      <c r="AY46" s="45" t="e">
        <f>BH$3*MIN(1,(ATM_Conf!$C$6-Links!J46)/(ATM_Conf!$C$6-ATM_Conf!$C$7))</f>
        <v>#DIV/0!</v>
      </c>
      <c r="AZ46" s="45" t="e">
        <f>BI$3*MIN(1,(ATM_Conf!$C$6-Links!K46)/(ATM_Conf!$C$6-ATM_Conf!$C$7))</f>
        <v>#DIV/0!</v>
      </c>
      <c r="BA46" s="45" t="e">
        <f>BJ$3*MIN(1,(ATM_Conf!$C$6-Links!L46)/(ATM_Conf!$C$6-ATM_Conf!$C$7))</f>
        <v>#DIV/0!</v>
      </c>
      <c r="BB46" s="45" t="e">
        <f>BK$3*MIN(1,(ATM_Conf!$C$6-Links!M46)/(ATM_Conf!$C$6-ATM_Conf!$C$7))</f>
        <v>#DIV/0!</v>
      </c>
      <c r="BC46" s="45" t="e">
        <f>BL$3*MIN(1,(ATM_Conf!$C$6-Links!N46)/(ATM_Conf!$C$6-ATM_Conf!$C$7))</f>
        <v>#DIV/0!</v>
      </c>
      <c r="BD46" s="45"/>
      <c r="BE46" s="45"/>
      <c r="BF46" s="45"/>
      <c r="BG46" s="45"/>
      <c r="BH46" s="45"/>
      <c r="BI46" s="45"/>
      <c r="BJ46" s="45"/>
      <c r="BK46" s="45"/>
      <c r="BL46" s="45"/>
      <c r="BM46" s="53"/>
      <c r="BN46" s="53"/>
      <c r="BO46" s="53"/>
      <c r="BP46" s="53"/>
      <c r="BQ46" s="53"/>
      <c r="BR46" s="53"/>
      <c r="BS46" s="53"/>
      <c r="BT46" s="53"/>
      <c r="BU46" s="53"/>
      <c r="BV46" s="53" t="e">
        <f t="shared" si="11"/>
        <v>#DIV/0!</v>
      </c>
      <c r="BW46" s="53" t="e">
        <f t="shared" si="12"/>
        <v>#DIV/0!</v>
      </c>
      <c r="BX46" s="53" t="e">
        <f t="shared" si="13"/>
        <v>#DIV/0!</v>
      </c>
      <c r="BY46" s="53" t="e">
        <f t="shared" si="14"/>
        <v>#DIV/0!</v>
      </c>
      <c r="BZ46" s="53" t="e">
        <f t="shared" si="15"/>
        <v>#DIV/0!</v>
      </c>
      <c r="CA46" s="53" t="e">
        <f t="shared" si="16"/>
        <v>#DIV/0!</v>
      </c>
      <c r="CB46" s="53" t="e">
        <f t="shared" si="17"/>
        <v>#DIV/0!</v>
      </c>
      <c r="CC46" s="53" t="e">
        <f t="shared" si="18"/>
        <v>#DIV/0!</v>
      </c>
      <c r="CD46" s="53" t="e">
        <f t="shared" si="19"/>
        <v>#DIV/0!</v>
      </c>
      <c r="CE46" s="55">
        <f t="shared" si="29"/>
        <v>0</v>
      </c>
      <c r="CF46" s="55">
        <f t="shared" si="29"/>
        <v>0</v>
      </c>
      <c r="CG46" s="55">
        <f t="shared" si="29"/>
        <v>0</v>
      </c>
      <c r="CH46" s="55">
        <f t="shared" si="29"/>
        <v>0</v>
      </c>
      <c r="CI46" s="55">
        <f t="shared" si="29"/>
        <v>0</v>
      </c>
      <c r="CJ46" s="55">
        <f t="shared" si="29"/>
        <v>0</v>
      </c>
      <c r="CK46" s="55">
        <f t="shared" si="29"/>
        <v>0</v>
      </c>
      <c r="CL46" s="55">
        <f t="shared" si="29"/>
        <v>0</v>
      </c>
      <c r="CM46" s="55">
        <f t="shared" si="29"/>
        <v>0</v>
      </c>
    </row>
    <row r="47" spans="1:91" x14ac:dyDescent="0.15">
      <c r="A47" s="42">
        <v>45</v>
      </c>
      <c r="B47" s="45">
        <f t="shared" si="32"/>
        <v>1</v>
      </c>
      <c r="C47" s="45">
        <f t="shared" si="31"/>
        <v>1</v>
      </c>
      <c r="D47" s="45">
        <f t="shared" si="31"/>
        <v>1</v>
      </c>
      <c r="E47" s="45">
        <f t="shared" si="31"/>
        <v>1</v>
      </c>
      <c r="F47" s="45">
        <f t="shared" si="31"/>
        <v>1</v>
      </c>
      <c r="G47" s="45">
        <f t="shared" si="31"/>
        <v>1</v>
      </c>
      <c r="H47" s="45">
        <f t="shared" si="31"/>
        <v>1</v>
      </c>
      <c r="I47" s="45">
        <f t="shared" si="31"/>
        <v>1</v>
      </c>
      <c r="J47" s="45">
        <f t="shared" si="31"/>
        <v>1</v>
      </c>
      <c r="K47" s="45" t="e">
        <f>K46+ATM_Conf!$C$5*(T46-AC46)</f>
        <v>#DIV/0!</v>
      </c>
      <c r="L47" s="45" t="e">
        <f>L46+ATM_Conf!$C$5*(U46-AD46)</f>
        <v>#DIV/0!</v>
      </c>
      <c r="M47" s="45" t="e">
        <f>M46+ATM_Conf!$C$5*(V46-AE46)</f>
        <v>#DIV/0!</v>
      </c>
      <c r="N47" s="45" t="e">
        <f>N46+ATM_Conf!$C$5*(W46-AF46)</f>
        <v>#DIV/0!</v>
      </c>
      <c r="O47" s="45" t="e">
        <f>O46+ATM_Conf!$C$5*(X46-AG46)</f>
        <v>#DIV/0!</v>
      </c>
      <c r="P47" s="45" t="e">
        <f>P46+ATM_Conf!$C$5*(Y46-AH46)</f>
        <v>#DIV/0!</v>
      </c>
      <c r="Q47" s="45" t="e">
        <f>Q46+ATM_Conf!$C$5*(Z46-AI46)</f>
        <v>#DIV/0!</v>
      </c>
      <c r="R47" s="45" t="e">
        <f>R46+ATM_Conf!$C$5*(AA46-AJ46)</f>
        <v>#DIV/0!</v>
      </c>
      <c r="S47" s="45" t="e">
        <f>S46+ATM_Conf!$C$5*(AB46-AK46)</f>
        <v>#DIV/0!</v>
      </c>
      <c r="T47" s="45"/>
      <c r="U47" s="45"/>
      <c r="V47" s="45"/>
      <c r="W47" s="45"/>
      <c r="X47" s="45"/>
      <c r="Y47" s="45"/>
      <c r="Z47" s="45"/>
      <c r="AA47" s="45"/>
      <c r="AB47" s="45"/>
      <c r="AC47" s="45" t="e">
        <f t="shared" si="2"/>
        <v>#DIV/0!</v>
      </c>
      <c r="AD47" s="45" t="e">
        <f t="shared" si="3"/>
        <v>#DIV/0!</v>
      </c>
      <c r="AE47" s="45" t="e">
        <f t="shared" si="4"/>
        <v>#DIV/0!</v>
      </c>
      <c r="AF47" s="45" t="e">
        <f t="shared" si="5"/>
        <v>#DIV/0!</v>
      </c>
      <c r="AG47" s="45" t="e">
        <f t="shared" si="6"/>
        <v>#DIV/0!</v>
      </c>
      <c r="AH47" s="45" t="e">
        <f t="shared" si="7"/>
        <v>#DIV/0!</v>
      </c>
      <c r="AI47" s="45" t="e">
        <f t="shared" si="8"/>
        <v>#DIV/0!</v>
      </c>
      <c r="AJ47" s="45" t="e">
        <f t="shared" si="9"/>
        <v>#DIV/0!</v>
      </c>
      <c r="AK47" s="45" t="e">
        <f t="shared" si="10"/>
        <v>#DIV/0!</v>
      </c>
      <c r="AL47" s="45" t="e">
        <f>T$3+K47/ATM_Conf!$C$5</f>
        <v>#DIV/0!</v>
      </c>
      <c r="AM47" s="45" t="e">
        <f>U$3+L47/ATM_Conf!$C$5</f>
        <v>#DIV/0!</v>
      </c>
      <c r="AN47" s="45" t="e">
        <f>V$3+M47/ATM_Conf!$C$5</f>
        <v>#DIV/0!</v>
      </c>
      <c r="AO47" s="45" t="e">
        <f>W$3+N47/ATM_Conf!$C$5</f>
        <v>#DIV/0!</v>
      </c>
      <c r="AP47" s="45" t="e">
        <f>X$3+O47/ATM_Conf!$C$5</f>
        <v>#DIV/0!</v>
      </c>
      <c r="AQ47" s="45" t="e">
        <f>Y$3+P47/ATM_Conf!$C$5</f>
        <v>#DIV/0!</v>
      </c>
      <c r="AR47" s="45" t="e">
        <f>Z$3+Q47/ATM_Conf!$C$5</f>
        <v>#DIV/0!</v>
      </c>
      <c r="AS47" s="45" t="e">
        <f>AA$3+R47/ATM_Conf!$C$5</f>
        <v>#DIV/0!</v>
      </c>
      <c r="AT47" s="45" t="e">
        <f>AB$3+S47/ATM_Conf!$C$5</f>
        <v>#DIV/0!</v>
      </c>
      <c r="AU47" s="45" t="e">
        <f>BD$3*MIN(1,(ATM_Conf!$C$6-Links!F47)/(ATM_Conf!$C$6-ATM_Conf!$C$7))</f>
        <v>#DIV/0!</v>
      </c>
      <c r="AV47" s="45" t="e">
        <f>BE$3*MIN(1,(ATM_Conf!$C$6-Links!G47)/(ATM_Conf!$C$6-ATM_Conf!$C$7))</f>
        <v>#DIV/0!</v>
      </c>
      <c r="AW47" s="45" t="e">
        <f>BF$3*MIN(1,(ATM_Conf!$C$6-Links!H47)/(ATM_Conf!$C$6-ATM_Conf!$C$7))</f>
        <v>#DIV/0!</v>
      </c>
      <c r="AX47" s="45" t="e">
        <f>BG$3*MIN(1,(ATM_Conf!$C$6-Links!I47)/(ATM_Conf!$C$6-ATM_Conf!$C$7))</f>
        <v>#DIV/0!</v>
      </c>
      <c r="AY47" s="45" t="e">
        <f>BH$3*MIN(1,(ATM_Conf!$C$6-Links!J47)/(ATM_Conf!$C$6-ATM_Conf!$C$7))</f>
        <v>#DIV/0!</v>
      </c>
      <c r="AZ47" s="45" t="e">
        <f>BI$3*MIN(1,(ATM_Conf!$C$6-Links!K47)/(ATM_Conf!$C$6-ATM_Conf!$C$7))</f>
        <v>#DIV/0!</v>
      </c>
      <c r="BA47" s="45" t="e">
        <f>BJ$3*MIN(1,(ATM_Conf!$C$6-Links!L47)/(ATM_Conf!$C$6-ATM_Conf!$C$7))</f>
        <v>#DIV/0!</v>
      </c>
      <c r="BB47" s="45" t="e">
        <f>BK$3*MIN(1,(ATM_Conf!$C$6-Links!M47)/(ATM_Conf!$C$6-ATM_Conf!$C$7))</f>
        <v>#DIV/0!</v>
      </c>
      <c r="BC47" s="45" t="e">
        <f>BL$3*MIN(1,(ATM_Conf!$C$6-Links!N47)/(ATM_Conf!$C$6-ATM_Conf!$C$7))</f>
        <v>#DIV/0!</v>
      </c>
      <c r="BD47" s="45"/>
      <c r="BE47" s="45"/>
      <c r="BF47" s="45"/>
      <c r="BG47" s="45"/>
      <c r="BH47" s="45"/>
      <c r="BI47" s="45"/>
      <c r="BJ47" s="45"/>
      <c r="BK47" s="45"/>
      <c r="BL47" s="45"/>
      <c r="BM47" s="53"/>
      <c r="BN47" s="53"/>
      <c r="BO47" s="53"/>
      <c r="BP47" s="53"/>
      <c r="BQ47" s="53"/>
      <c r="BR47" s="53"/>
      <c r="BS47" s="53"/>
      <c r="BT47" s="53"/>
      <c r="BU47" s="53"/>
      <c r="BV47" s="53" t="e">
        <f t="shared" si="11"/>
        <v>#DIV/0!</v>
      </c>
      <c r="BW47" s="53" t="e">
        <f t="shared" si="12"/>
        <v>#DIV/0!</v>
      </c>
      <c r="BX47" s="53" t="e">
        <f t="shared" si="13"/>
        <v>#DIV/0!</v>
      </c>
      <c r="BY47" s="53" t="e">
        <f t="shared" si="14"/>
        <v>#DIV/0!</v>
      </c>
      <c r="BZ47" s="53" t="e">
        <f t="shared" si="15"/>
        <v>#DIV/0!</v>
      </c>
      <c r="CA47" s="53" t="e">
        <f t="shared" si="16"/>
        <v>#DIV/0!</v>
      </c>
      <c r="CB47" s="53" t="e">
        <f t="shared" si="17"/>
        <v>#DIV/0!</v>
      </c>
      <c r="CC47" s="53" t="e">
        <f t="shared" si="18"/>
        <v>#DIV/0!</v>
      </c>
      <c r="CD47" s="53" t="e">
        <f t="shared" si="19"/>
        <v>#DIV/0!</v>
      </c>
      <c r="CE47" s="55">
        <f t="shared" si="29"/>
        <v>0</v>
      </c>
      <c r="CF47" s="55">
        <f t="shared" si="29"/>
        <v>0</v>
      </c>
      <c r="CG47" s="55">
        <f t="shared" si="29"/>
        <v>0</v>
      </c>
      <c r="CH47" s="55">
        <f t="shared" si="29"/>
        <v>0</v>
      </c>
      <c r="CI47" s="55">
        <f t="shared" si="29"/>
        <v>0</v>
      </c>
      <c r="CJ47" s="55">
        <f t="shared" si="29"/>
        <v>0</v>
      </c>
      <c r="CK47" s="55">
        <f t="shared" si="29"/>
        <v>0</v>
      </c>
      <c r="CL47" s="55">
        <f t="shared" si="29"/>
        <v>0</v>
      </c>
      <c r="CM47" s="55">
        <f t="shared" si="29"/>
        <v>0</v>
      </c>
    </row>
    <row r="48" spans="1:91" x14ac:dyDescent="0.15">
      <c r="A48" s="42">
        <v>46</v>
      </c>
      <c r="B48" s="45">
        <f t="shared" si="32"/>
        <v>1</v>
      </c>
      <c r="C48" s="45">
        <f t="shared" si="31"/>
        <v>1</v>
      </c>
      <c r="D48" s="45">
        <f t="shared" si="31"/>
        <v>1</v>
      </c>
      <c r="E48" s="45">
        <f t="shared" si="31"/>
        <v>1</v>
      </c>
      <c r="F48" s="45">
        <f t="shared" si="31"/>
        <v>1</v>
      </c>
      <c r="G48" s="45">
        <f t="shared" si="31"/>
        <v>1</v>
      </c>
      <c r="H48" s="45">
        <f t="shared" si="31"/>
        <v>1</v>
      </c>
      <c r="I48" s="45">
        <f t="shared" si="31"/>
        <v>1</v>
      </c>
      <c r="J48" s="45">
        <f t="shared" si="31"/>
        <v>1</v>
      </c>
      <c r="K48" s="45" t="e">
        <f>K47+ATM_Conf!$C$5*(T47-AC47)</f>
        <v>#DIV/0!</v>
      </c>
      <c r="L48" s="45" t="e">
        <f>L47+ATM_Conf!$C$5*(U47-AD47)</f>
        <v>#DIV/0!</v>
      </c>
      <c r="M48" s="45" t="e">
        <f>M47+ATM_Conf!$C$5*(V47-AE47)</f>
        <v>#DIV/0!</v>
      </c>
      <c r="N48" s="45" t="e">
        <f>N47+ATM_Conf!$C$5*(W47-AF47)</f>
        <v>#DIV/0!</v>
      </c>
      <c r="O48" s="45" t="e">
        <f>O47+ATM_Conf!$C$5*(X47-AG47)</f>
        <v>#DIV/0!</v>
      </c>
      <c r="P48" s="45" t="e">
        <f>P47+ATM_Conf!$C$5*(Y47-AH47)</f>
        <v>#DIV/0!</v>
      </c>
      <c r="Q48" s="45" t="e">
        <f>Q47+ATM_Conf!$C$5*(Z47-AI47)</f>
        <v>#DIV/0!</v>
      </c>
      <c r="R48" s="45" t="e">
        <f>R47+ATM_Conf!$C$5*(AA47-AJ47)</f>
        <v>#DIV/0!</v>
      </c>
      <c r="S48" s="45" t="e">
        <f>S47+ATM_Conf!$C$5*(AB47-AK47)</f>
        <v>#DIV/0!</v>
      </c>
      <c r="T48" s="45"/>
      <c r="U48" s="45"/>
      <c r="V48" s="45"/>
      <c r="W48" s="45"/>
      <c r="X48" s="45"/>
      <c r="Y48" s="45"/>
      <c r="Z48" s="45"/>
      <c r="AA48" s="45"/>
      <c r="AB48" s="45"/>
      <c r="AC48" s="45" t="e">
        <f t="shared" si="2"/>
        <v>#DIV/0!</v>
      </c>
      <c r="AD48" s="45" t="e">
        <f t="shared" si="3"/>
        <v>#DIV/0!</v>
      </c>
      <c r="AE48" s="45" t="e">
        <f t="shared" si="4"/>
        <v>#DIV/0!</v>
      </c>
      <c r="AF48" s="45" t="e">
        <f t="shared" si="5"/>
        <v>#DIV/0!</v>
      </c>
      <c r="AG48" s="45" t="e">
        <f t="shared" si="6"/>
        <v>#DIV/0!</v>
      </c>
      <c r="AH48" s="45" t="e">
        <f t="shared" si="7"/>
        <v>#DIV/0!</v>
      </c>
      <c r="AI48" s="45" t="e">
        <f t="shared" si="8"/>
        <v>#DIV/0!</v>
      </c>
      <c r="AJ48" s="45" t="e">
        <f t="shared" si="9"/>
        <v>#DIV/0!</v>
      </c>
      <c r="AK48" s="45" t="e">
        <f t="shared" si="10"/>
        <v>#DIV/0!</v>
      </c>
      <c r="AL48" s="45" t="e">
        <f>T$3+K48/ATM_Conf!$C$5</f>
        <v>#DIV/0!</v>
      </c>
      <c r="AM48" s="45" t="e">
        <f>U$3+L48/ATM_Conf!$C$5</f>
        <v>#DIV/0!</v>
      </c>
      <c r="AN48" s="45" t="e">
        <f>V$3+M48/ATM_Conf!$C$5</f>
        <v>#DIV/0!</v>
      </c>
      <c r="AO48" s="45" t="e">
        <f>W$3+N48/ATM_Conf!$C$5</f>
        <v>#DIV/0!</v>
      </c>
      <c r="AP48" s="45" t="e">
        <f>X$3+O48/ATM_Conf!$C$5</f>
        <v>#DIV/0!</v>
      </c>
      <c r="AQ48" s="45" t="e">
        <f>Y$3+P48/ATM_Conf!$C$5</f>
        <v>#DIV/0!</v>
      </c>
      <c r="AR48" s="45" t="e">
        <f>Z$3+Q48/ATM_Conf!$C$5</f>
        <v>#DIV/0!</v>
      </c>
      <c r="AS48" s="45" t="e">
        <f>AA$3+R48/ATM_Conf!$C$5</f>
        <v>#DIV/0!</v>
      </c>
      <c r="AT48" s="45" t="e">
        <f>AB$3+S48/ATM_Conf!$C$5</f>
        <v>#DIV/0!</v>
      </c>
      <c r="AU48" s="45" t="e">
        <f>BD$3*MIN(1,(ATM_Conf!$C$6-Links!F48)/(ATM_Conf!$C$6-ATM_Conf!$C$7))</f>
        <v>#DIV/0!</v>
      </c>
      <c r="AV48" s="45" t="e">
        <f>BE$3*MIN(1,(ATM_Conf!$C$6-Links!G48)/(ATM_Conf!$C$6-ATM_Conf!$C$7))</f>
        <v>#DIV/0!</v>
      </c>
      <c r="AW48" s="45" t="e">
        <f>BF$3*MIN(1,(ATM_Conf!$C$6-Links!H48)/(ATM_Conf!$C$6-ATM_Conf!$C$7))</f>
        <v>#DIV/0!</v>
      </c>
      <c r="AX48" s="45" t="e">
        <f>BG$3*MIN(1,(ATM_Conf!$C$6-Links!I48)/(ATM_Conf!$C$6-ATM_Conf!$C$7))</f>
        <v>#DIV/0!</v>
      </c>
      <c r="AY48" s="45" t="e">
        <f>BH$3*MIN(1,(ATM_Conf!$C$6-Links!J48)/(ATM_Conf!$C$6-ATM_Conf!$C$7))</f>
        <v>#DIV/0!</v>
      </c>
      <c r="AZ48" s="45" t="e">
        <f>BI$3*MIN(1,(ATM_Conf!$C$6-Links!K48)/(ATM_Conf!$C$6-ATM_Conf!$C$7))</f>
        <v>#DIV/0!</v>
      </c>
      <c r="BA48" s="45" t="e">
        <f>BJ$3*MIN(1,(ATM_Conf!$C$6-Links!L48)/(ATM_Conf!$C$6-ATM_Conf!$C$7))</f>
        <v>#DIV/0!</v>
      </c>
      <c r="BB48" s="45" t="e">
        <f>BK$3*MIN(1,(ATM_Conf!$C$6-Links!M48)/(ATM_Conf!$C$6-ATM_Conf!$C$7))</f>
        <v>#DIV/0!</v>
      </c>
      <c r="BC48" s="45" t="e">
        <f>BL$3*MIN(1,(ATM_Conf!$C$6-Links!N48)/(ATM_Conf!$C$6-ATM_Conf!$C$7))</f>
        <v>#DIV/0!</v>
      </c>
      <c r="BD48" s="45"/>
      <c r="BE48" s="45"/>
      <c r="BF48" s="45"/>
      <c r="BG48" s="45"/>
      <c r="BH48" s="45"/>
      <c r="BI48" s="45"/>
      <c r="BJ48" s="45"/>
      <c r="BK48" s="45"/>
      <c r="BL48" s="45"/>
      <c r="BM48" s="53"/>
      <c r="BN48" s="53"/>
      <c r="BO48" s="53"/>
      <c r="BP48" s="53"/>
      <c r="BQ48" s="53"/>
      <c r="BR48" s="53"/>
      <c r="BS48" s="53"/>
      <c r="BT48" s="53"/>
      <c r="BU48" s="53"/>
      <c r="BV48" s="53" t="e">
        <f t="shared" si="11"/>
        <v>#DIV/0!</v>
      </c>
      <c r="BW48" s="53" t="e">
        <f t="shared" si="12"/>
        <v>#DIV/0!</v>
      </c>
      <c r="BX48" s="53" t="e">
        <f t="shared" si="13"/>
        <v>#DIV/0!</v>
      </c>
      <c r="BY48" s="53" t="e">
        <f t="shared" si="14"/>
        <v>#DIV/0!</v>
      </c>
      <c r="BZ48" s="53" t="e">
        <f t="shared" si="15"/>
        <v>#DIV/0!</v>
      </c>
      <c r="CA48" s="53" t="e">
        <f t="shared" si="16"/>
        <v>#DIV/0!</v>
      </c>
      <c r="CB48" s="53" t="e">
        <f t="shared" si="17"/>
        <v>#DIV/0!</v>
      </c>
      <c r="CC48" s="53" t="e">
        <f t="shared" si="18"/>
        <v>#DIV/0!</v>
      </c>
      <c r="CD48" s="53" t="e">
        <f t="shared" si="19"/>
        <v>#DIV/0!</v>
      </c>
      <c r="CE48" s="55">
        <f t="shared" si="29"/>
        <v>0</v>
      </c>
      <c r="CF48" s="55">
        <f t="shared" si="29"/>
        <v>0</v>
      </c>
      <c r="CG48" s="55">
        <f t="shared" si="29"/>
        <v>0</v>
      </c>
      <c r="CH48" s="55">
        <f t="shared" si="29"/>
        <v>0</v>
      </c>
      <c r="CI48" s="55">
        <f t="shared" si="29"/>
        <v>0</v>
      </c>
      <c r="CJ48" s="55">
        <f t="shared" si="29"/>
        <v>0</v>
      </c>
      <c r="CK48" s="55">
        <f t="shared" si="29"/>
        <v>0</v>
      </c>
      <c r="CL48" s="55">
        <f t="shared" si="29"/>
        <v>0</v>
      </c>
      <c r="CM48" s="55">
        <f t="shared" si="29"/>
        <v>0</v>
      </c>
    </row>
    <row r="49" spans="1:91" x14ac:dyDescent="0.15">
      <c r="A49" s="42">
        <v>47</v>
      </c>
      <c r="B49" s="45">
        <f t="shared" si="32"/>
        <v>1</v>
      </c>
      <c r="C49" s="45">
        <f t="shared" si="31"/>
        <v>1</v>
      </c>
      <c r="D49" s="45">
        <f t="shared" si="31"/>
        <v>1</v>
      </c>
      <c r="E49" s="45">
        <f t="shared" si="31"/>
        <v>1</v>
      </c>
      <c r="F49" s="45">
        <f t="shared" si="31"/>
        <v>1</v>
      </c>
      <c r="G49" s="45">
        <f t="shared" si="31"/>
        <v>1</v>
      </c>
      <c r="H49" s="45">
        <f t="shared" si="31"/>
        <v>1</v>
      </c>
      <c r="I49" s="45">
        <f t="shared" si="31"/>
        <v>1</v>
      </c>
      <c r="J49" s="45">
        <f t="shared" si="31"/>
        <v>1</v>
      </c>
      <c r="K49" s="45" t="e">
        <f>K48+ATM_Conf!$C$5*(T48-AC48)</f>
        <v>#DIV/0!</v>
      </c>
      <c r="L49" s="45" t="e">
        <f>L48+ATM_Conf!$C$5*(U48-AD48)</f>
        <v>#DIV/0!</v>
      </c>
      <c r="M49" s="45" t="e">
        <f>M48+ATM_Conf!$C$5*(V48-AE48)</f>
        <v>#DIV/0!</v>
      </c>
      <c r="N49" s="45" t="e">
        <f>N48+ATM_Conf!$C$5*(W48-AF48)</f>
        <v>#DIV/0!</v>
      </c>
      <c r="O49" s="45" t="e">
        <f>O48+ATM_Conf!$C$5*(X48-AG48)</f>
        <v>#DIV/0!</v>
      </c>
      <c r="P49" s="45" t="e">
        <f>P48+ATM_Conf!$C$5*(Y48-AH48)</f>
        <v>#DIV/0!</v>
      </c>
      <c r="Q49" s="45" t="e">
        <f>Q48+ATM_Conf!$C$5*(Z48-AI48)</f>
        <v>#DIV/0!</v>
      </c>
      <c r="R49" s="45" t="e">
        <f>R48+ATM_Conf!$C$5*(AA48-AJ48)</f>
        <v>#DIV/0!</v>
      </c>
      <c r="S49" s="45" t="e">
        <f>S48+ATM_Conf!$C$5*(AB48-AK48)</f>
        <v>#DIV/0!</v>
      </c>
      <c r="T49" s="45"/>
      <c r="U49" s="45"/>
      <c r="V49" s="45"/>
      <c r="W49" s="45"/>
      <c r="X49" s="45"/>
      <c r="Y49" s="45"/>
      <c r="Z49" s="45"/>
      <c r="AA49" s="45"/>
      <c r="AB49" s="45"/>
      <c r="AC49" s="45" t="e">
        <f t="shared" si="2"/>
        <v>#DIV/0!</v>
      </c>
      <c r="AD49" s="45" t="e">
        <f t="shared" si="3"/>
        <v>#DIV/0!</v>
      </c>
      <c r="AE49" s="45" t="e">
        <f t="shared" si="4"/>
        <v>#DIV/0!</v>
      </c>
      <c r="AF49" s="45" t="e">
        <f t="shared" si="5"/>
        <v>#DIV/0!</v>
      </c>
      <c r="AG49" s="45" t="e">
        <f t="shared" si="6"/>
        <v>#DIV/0!</v>
      </c>
      <c r="AH49" s="45" t="e">
        <f t="shared" si="7"/>
        <v>#DIV/0!</v>
      </c>
      <c r="AI49" s="45" t="e">
        <f t="shared" si="8"/>
        <v>#DIV/0!</v>
      </c>
      <c r="AJ49" s="45" t="e">
        <f t="shared" si="9"/>
        <v>#DIV/0!</v>
      </c>
      <c r="AK49" s="45" t="e">
        <f t="shared" si="10"/>
        <v>#DIV/0!</v>
      </c>
      <c r="AL49" s="45" t="e">
        <f>T$3+K49/ATM_Conf!$C$5</f>
        <v>#DIV/0!</v>
      </c>
      <c r="AM49" s="45" t="e">
        <f>U$3+L49/ATM_Conf!$C$5</f>
        <v>#DIV/0!</v>
      </c>
      <c r="AN49" s="45" t="e">
        <f>V$3+M49/ATM_Conf!$C$5</f>
        <v>#DIV/0!</v>
      </c>
      <c r="AO49" s="45" t="e">
        <f>W$3+N49/ATM_Conf!$C$5</f>
        <v>#DIV/0!</v>
      </c>
      <c r="AP49" s="45" t="e">
        <f>X$3+O49/ATM_Conf!$C$5</f>
        <v>#DIV/0!</v>
      </c>
      <c r="AQ49" s="45" t="e">
        <f>Y$3+P49/ATM_Conf!$C$5</f>
        <v>#DIV/0!</v>
      </c>
      <c r="AR49" s="45" t="e">
        <f>Z$3+Q49/ATM_Conf!$C$5</f>
        <v>#DIV/0!</v>
      </c>
      <c r="AS49" s="45" t="e">
        <f>AA$3+R49/ATM_Conf!$C$5</f>
        <v>#DIV/0!</v>
      </c>
      <c r="AT49" s="45" t="e">
        <f>AB$3+S49/ATM_Conf!$C$5</f>
        <v>#DIV/0!</v>
      </c>
      <c r="AU49" s="45" t="e">
        <f>BD$3*MIN(1,(ATM_Conf!$C$6-Links!F49)/(ATM_Conf!$C$6-ATM_Conf!$C$7))</f>
        <v>#DIV/0!</v>
      </c>
      <c r="AV49" s="45" t="e">
        <f>BE$3*MIN(1,(ATM_Conf!$C$6-Links!G49)/(ATM_Conf!$C$6-ATM_Conf!$C$7))</f>
        <v>#DIV/0!</v>
      </c>
      <c r="AW49" s="45" t="e">
        <f>BF$3*MIN(1,(ATM_Conf!$C$6-Links!H49)/(ATM_Conf!$C$6-ATM_Conf!$C$7))</f>
        <v>#DIV/0!</v>
      </c>
      <c r="AX49" s="45" t="e">
        <f>BG$3*MIN(1,(ATM_Conf!$C$6-Links!I49)/(ATM_Conf!$C$6-ATM_Conf!$C$7))</f>
        <v>#DIV/0!</v>
      </c>
      <c r="AY49" s="45" t="e">
        <f>BH$3*MIN(1,(ATM_Conf!$C$6-Links!J49)/(ATM_Conf!$C$6-ATM_Conf!$C$7))</f>
        <v>#DIV/0!</v>
      </c>
      <c r="AZ49" s="45" t="e">
        <f>BI$3*MIN(1,(ATM_Conf!$C$6-Links!K49)/(ATM_Conf!$C$6-ATM_Conf!$C$7))</f>
        <v>#DIV/0!</v>
      </c>
      <c r="BA49" s="45" t="e">
        <f>BJ$3*MIN(1,(ATM_Conf!$C$6-Links!L49)/(ATM_Conf!$C$6-ATM_Conf!$C$7))</f>
        <v>#DIV/0!</v>
      </c>
      <c r="BB49" s="45" t="e">
        <f>BK$3*MIN(1,(ATM_Conf!$C$6-Links!M49)/(ATM_Conf!$C$6-ATM_Conf!$C$7))</f>
        <v>#DIV/0!</v>
      </c>
      <c r="BC49" s="45" t="e">
        <f>BL$3*MIN(1,(ATM_Conf!$C$6-Links!N49)/(ATM_Conf!$C$6-ATM_Conf!$C$7))</f>
        <v>#DIV/0!</v>
      </c>
      <c r="BD49" s="45"/>
      <c r="BE49" s="45"/>
      <c r="BF49" s="45"/>
      <c r="BG49" s="45"/>
      <c r="BH49" s="45"/>
      <c r="BI49" s="45"/>
      <c r="BJ49" s="45"/>
      <c r="BK49" s="45"/>
      <c r="BL49" s="45"/>
      <c r="BM49" s="53"/>
      <c r="BN49" s="53"/>
      <c r="BO49" s="53"/>
      <c r="BP49" s="53"/>
      <c r="BQ49" s="53"/>
      <c r="BR49" s="53"/>
      <c r="BS49" s="53"/>
      <c r="BT49" s="53"/>
      <c r="BU49" s="53"/>
      <c r="BV49" s="53" t="e">
        <f t="shared" si="11"/>
        <v>#DIV/0!</v>
      </c>
      <c r="BW49" s="53" t="e">
        <f t="shared" si="12"/>
        <v>#DIV/0!</v>
      </c>
      <c r="BX49" s="53" t="e">
        <f t="shared" si="13"/>
        <v>#DIV/0!</v>
      </c>
      <c r="BY49" s="53" t="e">
        <f t="shared" si="14"/>
        <v>#DIV/0!</v>
      </c>
      <c r="BZ49" s="53" t="e">
        <f t="shared" si="15"/>
        <v>#DIV/0!</v>
      </c>
      <c r="CA49" s="53" t="e">
        <f t="shared" si="16"/>
        <v>#DIV/0!</v>
      </c>
      <c r="CB49" s="53" t="e">
        <f t="shared" si="17"/>
        <v>#DIV/0!</v>
      </c>
      <c r="CC49" s="53" t="e">
        <f t="shared" si="18"/>
        <v>#DIV/0!</v>
      </c>
      <c r="CD49" s="53" t="e">
        <f t="shared" si="19"/>
        <v>#DIV/0!</v>
      </c>
      <c r="CE49" s="55">
        <f t="shared" si="29"/>
        <v>0</v>
      </c>
      <c r="CF49" s="55">
        <f t="shared" si="29"/>
        <v>0</v>
      </c>
      <c r="CG49" s="55">
        <f t="shared" si="29"/>
        <v>0</v>
      </c>
      <c r="CH49" s="55">
        <f t="shared" si="29"/>
        <v>0</v>
      </c>
      <c r="CI49" s="55">
        <f t="shared" si="29"/>
        <v>0</v>
      </c>
      <c r="CJ49" s="55">
        <f t="shared" si="29"/>
        <v>0</v>
      </c>
      <c r="CK49" s="55">
        <f t="shared" si="29"/>
        <v>0</v>
      </c>
      <c r="CL49" s="55">
        <f t="shared" si="29"/>
        <v>0</v>
      </c>
      <c r="CM49" s="55">
        <f t="shared" si="29"/>
        <v>0</v>
      </c>
    </row>
    <row r="50" spans="1:91" x14ac:dyDescent="0.15">
      <c r="A50" s="42">
        <v>48</v>
      </c>
      <c r="B50" s="45">
        <f t="shared" si="32"/>
        <v>1</v>
      </c>
      <c r="C50" s="45">
        <f t="shared" si="31"/>
        <v>1</v>
      </c>
      <c r="D50" s="45">
        <f t="shared" si="31"/>
        <v>1</v>
      </c>
      <c r="E50" s="45">
        <f t="shared" si="31"/>
        <v>1</v>
      </c>
      <c r="F50" s="45">
        <f t="shared" si="31"/>
        <v>1</v>
      </c>
      <c r="G50" s="45">
        <f t="shared" si="31"/>
        <v>1</v>
      </c>
      <c r="H50" s="45">
        <f t="shared" si="31"/>
        <v>1</v>
      </c>
      <c r="I50" s="45">
        <f t="shared" si="31"/>
        <v>1</v>
      </c>
      <c r="J50" s="45">
        <f t="shared" si="31"/>
        <v>1</v>
      </c>
      <c r="K50" s="45" t="e">
        <f>K49+ATM_Conf!$C$5*(T49-AC49)</f>
        <v>#DIV/0!</v>
      </c>
      <c r="L50" s="45" t="e">
        <f>L49+ATM_Conf!$C$5*(U49-AD49)</f>
        <v>#DIV/0!</v>
      </c>
      <c r="M50" s="45" t="e">
        <f>M49+ATM_Conf!$C$5*(V49-AE49)</f>
        <v>#DIV/0!</v>
      </c>
      <c r="N50" s="45" t="e">
        <f>N49+ATM_Conf!$C$5*(W49-AF49)</f>
        <v>#DIV/0!</v>
      </c>
      <c r="O50" s="45" t="e">
        <f>O49+ATM_Conf!$C$5*(X49-AG49)</f>
        <v>#DIV/0!</v>
      </c>
      <c r="P50" s="45" t="e">
        <f>P49+ATM_Conf!$C$5*(Y49-AH49)</f>
        <v>#DIV/0!</v>
      </c>
      <c r="Q50" s="45" t="e">
        <f>Q49+ATM_Conf!$C$5*(Z49-AI49)</f>
        <v>#DIV/0!</v>
      </c>
      <c r="R50" s="45" t="e">
        <f>R49+ATM_Conf!$C$5*(AA49-AJ49)</f>
        <v>#DIV/0!</v>
      </c>
      <c r="S50" s="45" t="e">
        <f>S49+ATM_Conf!$C$5*(AB49-AK49)</f>
        <v>#DIV/0!</v>
      </c>
      <c r="T50" s="45"/>
      <c r="U50" s="45"/>
      <c r="V50" s="45"/>
      <c r="W50" s="45"/>
      <c r="X50" s="45"/>
      <c r="Y50" s="45"/>
      <c r="Z50" s="45"/>
      <c r="AA50" s="45"/>
      <c r="AB50" s="45"/>
      <c r="AC50" s="45" t="e">
        <f t="shared" si="2"/>
        <v>#DIV/0!</v>
      </c>
      <c r="AD50" s="45" t="e">
        <f t="shared" si="3"/>
        <v>#DIV/0!</v>
      </c>
      <c r="AE50" s="45" t="e">
        <f t="shared" si="4"/>
        <v>#DIV/0!</v>
      </c>
      <c r="AF50" s="45" t="e">
        <f t="shared" si="5"/>
        <v>#DIV/0!</v>
      </c>
      <c r="AG50" s="45" t="e">
        <f t="shared" si="6"/>
        <v>#DIV/0!</v>
      </c>
      <c r="AH50" s="45" t="e">
        <f t="shared" si="7"/>
        <v>#DIV/0!</v>
      </c>
      <c r="AI50" s="45" t="e">
        <f t="shared" si="8"/>
        <v>#DIV/0!</v>
      </c>
      <c r="AJ50" s="45" t="e">
        <f t="shared" si="9"/>
        <v>#DIV/0!</v>
      </c>
      <c r="AK50" s="45" t="e">
        <f t="shared" si="10"/>
        <v>#DIV/0!</v>
      </c>
      <c r="AL50" s="45" t="e">
        <f>T$3+K50/ATM_Conf!$C$5</f>
        <v>#DIV/0!</v>
      </c>
      <c r="AM50" s="45" t="e">
        <f>U$3+L50/ATM_Conf!$C$5</f>
        <v>#DIV/0!</v>
      </c>
      <c r="AN50" s="45" t="e">
        <f>V$3+M50/ATM_Conf!$C$5</f>
        <v>#DIV/0!</v>
      </c>
      <c r="AO50" s="45" t="e">
        <f>W$3+N50/ATM_Conf!$C$5</f>
        <v>#DIV/0!</v>
      </c>
      <c r="AP50" s="45" t="e">
        <f>X$3+O50/ATM_Conf!$C$5</f>
        <v>#DIV/0!</v>
      </c>
      <c r="AQ50" s="45" t="e">
        <f>Y$3+P50/ATM_Conf!$C$5</f>
        <v>#DIV/0!</v>
      </c>
      <c r="AR50" s="45" t="e">
        <f>Z$3+Q50/ATM_Conf!$C$5</f>
        <v>#DIV/0!</v>
      </c>
      <c r="AS50" s="45" t="e">
        <f>AA$3+R50/ATM_Conf!$C$5</f>
        <v>#DIV/0!</v>
      </c>
      <c r="AT50" s="45" t="e">
        <f>AB$3+S50/ATM_Conf!$C$5</f>
        <v>#DIV/0!</v>
      </c>
      <c r="AU50" s="45" t="e">
        <f>BD$3*MIN(1,(ATM_Conf!$C$6-Links!F50)/(ATM_Conf!$C$6-ATM_Conf!$C$7))</f>
        <v>#DIV/0!</v>
      </c>
      <c r="AV50" s="45" t="e">
        <f>BE$3*MIN(1,(ATM_Conf!$C$6-Links!G50)/(ATM_Conf!$C$6-ATM_Conf!$C$7))</f>
        <v>#DIV/0!</v>
      </c>
      <c r="AW50" s="45" t="e">
        <f>BF$3*MIN(1,(ATM_Conf!$C$6-Links!H50)/(ATM_Conf!$C$6-ATM_Conf!$C$7))</f>
        <v>#DIV/0!</v>
      </c>
      <c r="AX50" s="45" t="e">
        <f>BG$3*MIN(1,(ATM_Conf!$C$6-Links!I50)/(ATM_Conf!$C$6-ATM_Conf!$C$7))</f>
        <v>#DIV/0!</v>
      </c>
      <c r="AY50" s="45" t="e">
        <f>BH$3*MIN(1,(ATM_Conf!$C$6-Links!J50)/(ATM_Conf!$C$6-ATM_Conf!$C$7))</f>
        <v>#DIV/0!</v>
      </c>
      <c r="AZ50" s="45" t="e">
        <f>BI$3*MIN(1,(ATM_Conf!$C$6-Links!K50)/(ATM_Conf!$C$6-ATM_Conf!$C$7))</f>
        <v>#DIV/0!</v>
      </c>
      <c r="BA50" s="45" t="e">
        <f>BJ$3*MIN(1,(ATM_Conf!$C$6-Links!L50)/(ATM_Conf!$C$6-ATM_Conf!$C$7))</f>
        <v>#DIV/0!</v>
      </c>
      <c r="BB50" s="45" t="e">
        <f>BK$3*MIN(1,(ATM_Conf!$C$6-Links!M50)/(ATM_Conf!$C$6-ATM_Conf!$C$7))</f>
        <v>#DIV/0!</v>
      </c>
      <c r="BC50" s="45" t="e">
        <f>BL$3*MIN(1,(ATM_Conf!$C$6-Links!N50)/(ATM_Conf!$C$6-ATM_Conf!$C$7))</f>
        <v>#DIV/0!</v>
      </c>
      <c r="BD50" s="45"/>
      <c r="BE50" s="45"/>
      <c r="BF50" s="45"/>
      <c r="BG50" s="45"/>
      <c r="BH50" s="45"/>
      <c r="BI50" s="45"/>
      <c r="BJ50" s="45"/>
      <c r="BK50" s="45"/>
      <c r="BL50" s="45"/>
      <c r="BM50" s="53"/>
      <c r="BN50" s="53"/>
      <c r="BO50" s="53"/>
      <c r="BP50" s="53"/>
      <c r="BQ50" s="53"/>
      <c r="BR50" s="53"/>
      <c r="BS50" s="53"/>
      <c r="BT50" s="53"/>
      <c r="BU50" s="53"/>
      <c r="BV50" s="53" t="e">
        <f t="shared" si="11"/>
        <v>#DIV/0!</v>
      </c>
      <c r="BW50" s="53" t="e">
        <f t="shared" si="12"/>
        <v>#DIV/0!</v>
      </c>
      <c r="BX50" s="53" t="e">
        <f t="shared" si="13"/>
        <v>#DIV/0!</v>
      </c>
      <c r="BY50" s="53" t="e">
        <f t="shared" si="14"/>
        <v>#DIV/0!</v>
      </c>
      <c r="BZ50" s="53" t="e">
        <f t="shared" si="15"/>
        <v>#DIV/0!</v>
      </c>
      <c r="CA50" s="53" t="e">
        <f t="shared" si="16"/>
        <v>#DIV/0!</v>
      </c>
      <c r="CB50" s="53" t="e">
        <f t="shared" si="17"/>
        <v>#DIV/0!</v>
      </c>
      <c r="CC50" s="53" t="e">
        <f t="shared" si="18"/>
        <v>#DIV/0!</v>
      </c>
      <c r="CD50" s="53" t="e">
        <f t="shared" si="19"/>
        <v>#DIV/0!</v>
      </c>
      <c r="CE50" s="55">
        <f t="shared" si="29"/>
        <v>0</v>
      </c>
      <c r="CF50" s="55">
        <f t="shared" si="29"/>
        <v>0</v>
      </c>
      <c r="CG50" s="55">
        <f t="shared" si="29"/>
        <v>0</v>
      </c>
      <c r="CH50" s="55">
        <f t="shared" si="29"/>
        <v>0</v>
      </c>
      <c r="CI50" s="55">
        <f t="shared" si="29"/>
        <v>0</v>
      </c>
      <c r="CJ50" s="55">
        <f t="shared" si="29"/>
        <v>0</v>
      </c>
      <c r="CK50" s="55">
        <f t="shared" si="29"/>
        <v>0</v>
      </c>
      <c r="CL50" s="55">
        <f t="shared" si="29"/>
        <v>0</v>
      </c>
      <c r="CM50" s="55">
        <f t="shared" si="29"/>
        <v>0</v>
      </c>
    </row>
    <row r="51" spans="1:91" x14ac:dyDescent="0.15">
      <c r="A51" s="42">
        <v>49</v>
      </c>
      <c r="B51" s="47">
        <v>1</v>
      </c>
      <c r="C51" s="47">
        <v>1</v>
      </c>
      <c r="D51" s="47">
        <v>1</v>
      </c>
      <c r="E51" s="47">
        <v>1</v>
      </c>
      <c r="F51" s="47">
        <v>1</v>
      </c>
      <c r="G51" s="47">
        <v>1</v>
      </c>
      <c r="H51" s="47">
        <v>1</v>
      </c>
      <c r="I51" s="47">
        <v>1</v>
      </c>
      <c r="J51" s="47">
        <v>1</v>
      </c>
      <c r="K51" s="45" t="e">
        <f>K50+ATM_Conf!$C$5*(T50-AC50)</f>
        <v>#DIV/0!</v>
      </c>
      <c r="L51" s="45" t="e">
        <f>L50+ATM_Conf!$C$5*(U50-AD50)</f>
        <v>#DIV/0!</v>
      </c>
      <c r="M51" s="45" t="e">
        <f>M50+ATM_Conf!$C$5*(V50-AE50)</f>
        <v>#DIV/0!</v>
      </c>
      <c r="N51" s="45" t="e">
        <f>N50+ATM_Conf!$C$5*(W50-AF50)</f>
        <v>#DIV/0!</v>
      </c>
      <c r="O51" s="45" t="e">
        <f>O50+ATM_Conf!$C$5*(X50-AG50)</f>
        <v>#DIV/0!</v>
      </c>
      <c r="P51" s="45" t="e">
        <f>P50+ATM_Conf!$C$5*(Y50-AH50)</f>
        <v>#DIV/0!</v>
      </c>
      <c r="Q51" s="45" t="e">
        <f>Q50+ATM_Conf!$C$5*(Z50-AI50)</f>
        <v>#DIV/0!</v>
      </c>
      <c r="R51" s="45" t="e">
        <f>R50+ATM_Conf!$C$5*(AA50-AJ50)</f>
        <v>#DIV/0!</v>
      </c>
      <c r="S51" s="45" t="e">
        <f>S50+ATM_Conf!$C$5*(AB50-AK50)</f>
        <v>#DIV/0!</v>
      </c>
      <c r="T51" s="45"/>
      <c r="U51" s="45"/>
      <c r="V51" s="45"/>
      <c r="W51" s="45"/>
      <c r="X51" s="45"/>
      <c r="Y51" s="45"/>
      <c r="Z51" s="45"/>
      <c r="AA51" s="45"/>
      <c r="AB51" s="45"/>
      <c r="AC51" s="45" t="e">
        <f t="shared" si="2"/>
        <v>#DIV/0!</v>
      </c>
      <c r="AD51" s="45" t="e">
        <f t="shared" si="3"/>
        <v>#DIV/0!</v>
      </c>
      <c r="AE51" s="45" t="e">
        <f t="shared" si="4"/>
        <v>#DIV/0!</v>
      </c>
      <c r="AF51" s="45" t="e">
        <f t="shared" si="5"/>
        <v>#DIV/0!</v>
      </c>
      <c r="AG51" s="45" t="e">
        <f t="shared" si="6"/>
        <v>#DIV/0!</v>
      </c>
      <c r="AH51" s="45" t="e">
        <f t="shared" si="7"/>
        <v>#DIV/0!</v>
      </c>
      <c r="AI51" s="45" t="e">
        <f t="shared" si="8"/>
        <v>#DIV/0!</v>
      </c>
      <c r="AJ51" s="45" t="e">
        <f t="shared" si="9"/>
        <v>#DIV/0!</v>
      </c>
      <c r="AK51" s="45" t="e">
        <f t="shared" si="10"/>
        <v>#DIV/0!</v>
      </c>
      <c r="AL51" s="45" t="e">
        <f>T$3+K51/ATM_Conf!$C$5</f>
        <v>#DIV/0!</v>
      </c>
      <c r="AM51" s="45" t="e">
        <f>U$3+L51/ATM_Conf!$C$5</f>
        <v>#DIV/0!</v>
      </c>
      <c r="AN51" s="45" t="e">
        <f>V$3+M51/ATM_Conf!$C$5</f>
        <v>#DIV/0!</v>
      </c>
      <c r="AO51" s="45" t="e">
        <f>W$3+N51/ATM_Conf!$C$5</f>
        <v>#DIV/0!</v>
      </c>
      <c r="AP51" s="45" t="e">
        <f>X$3+O51/ATM_Conf!$C$5</f>
        <v>#DIV/0!</v>
      </c>
      <c r="AQ51" s="45" t="e">
        <f>Y$3+P51/ATM_Conf!$C$5</f>
        <v>#DIV/0!</v>
      </c>
      <c r="AR51" s="45" t="e">
        <f>Z$3+Q51/ATM_Conf!$C$5</f>
        <v>#DIV/0!</v>
      </c>
      <c r="AS51" s="45" t="e">
        <f>AA$3+R51/ATM_Conf!$C$5</f>
        <v>#DIV/0!</v>
      </c>
      <c r="AT51" s="45" t="e">
        <f>AB$3+S51/ATM_Conf!$C$5</f>
        <v>#DIV/0!</v>
      </c>
      <c r="AU51" s="45" t="e">
        <f>BD$3*MIN(1,(ATM_Conf!$C$6-Links!F51)/(ATM_Conf!$C$6-ATM_Conf!$C$7))</f>
        <v>#DIV/0!</v>
      </c>
      <c r="AV51" s="45" t="e">
        <f>BE$3*MIN(1,(ATM_Conf!$C$6-Links!G51)/(ATM_Conf!$C$6-ATM_Conf!$C$7))</f>
        <v>#DIV/0!</v>
      </c>
      <c r="AW51" s="45" t="e">
        <f>BF$3*MIN(1,(ATM_Conf!$C$6-Links!H51)/(ATM_Conf!$C$6-ATM_Conf!$C$7))</f>
        <v>#DIV/0!</v>
      </c>
      <c r="AX51" s="45" t="e">
        <f>BG$3*MIN(1,(ATM_Conf!$C$6-Links!I51)/(ATM_Conf!$C$6-ATM_Conf!$C$7))</f>
        <v>#DIV/0!</v>
      </c>
      <c r="AY51" s="45" t="e">
        <f>BH$3*MIN(1,(ATM_Conf!$C$6-Links!J51)/(ATM_Conf!$C$6-ATM_Conf!$C$7))</f>
        <v>#DIV/0!</v>
      </c>
      <c r="AZ51" s="45" t="e">
        <f>BI$3*MIN(1,(ATM_Conf!$C$6-Links!K51)/(ATM_Conf!$C$6-ATM_Conf!$C$7))</f>
        <v>#DIV/0!</v>
      </c>
      <c r="BA51" s="45" t="e">
        <f>BJ$3*MIN(1,(ATM_Conf!$C$6-Links!L51)/(ATM_Conf!$C$6-ATM_Conf!$C$7))</f>
        <v>#DIV/0!</v>
      </c>
      <c r="BB51" s="45" t="e">
        <f>BK$3*MIN(1,(ATM_Conf!$C$6-Links!M51)/(ATM_Conf!$C$6-ATM_Conf!$C$7))</f>
        <v>#DIV/0!</v>
      </c>
      <c r="BC51" s="45" t="e">
        <f>BL$3*MIN(1,(ATM_Conf!$C$6-Links!N51)/(ATM_Conf!$C$6-ATM_Conf!$C$7))</f>
        <v>#DIV/0!</v>
      </c>
      <c r="BD51" s="45"/>
      <c r="BE51" s="45"/>
      <c r="BF51" s="45"/>
      <c r="BG51" s="45"/>
      <c r="BH51" s="45"/>
      <c r="BI51" s="45"/>
      <c r="BJ51" s="45"/>
      <c r="BK51" s="45"/>
      <c r="BL51" s="45"/>
      <c r="BM51" s="53">
        <f>(B51-B39)^2</f>
        <v>0</v>
      </c>
      <c r="BN51" s="53">
        <f t="shared" ref="BN51:BU51" si="33">(C51-C39)^2</f>
        <v>0</v>
      </c>
      <c r="BO51" s="53">
        <f t="shared" si="33"/>
        <v>0</v>
      </c>
      <c r="BP51" s="53">
        <f t="shared" si="33"/>
        <v>0</v>
      </c>
      <c r="BQ51" s="53">
        <f t="shared" si="33"/>
        <v>0</v>
      </c>
      <c r="BR51" s="53">
        <f t="shared" si="33"/>
        <v>0</v>
      </c>
      <c r="BS51" s="53">
        <f t="shared" si="33"/>
        <v>0</v>
      </c>
      <c r="BT51" s="53">
        <f t="shared" si="33"/>
        <v>0</v>
      </c>
      <c r="BU51" s="53">
        <f t="shared" si="33"/>
        <v>0</v>
      </c>
      <c r="BV51" s="53" t="e">
        <f t="shared" si="11"/>
        <v>#DIV/0!</v>
      </c>
      <c r="BW51" s="53" t="e">
        <f t="shared" si="12"/>
        <v>#DIV/0!</v>
      </c>
      <c r="BX51" s="53" t="e">
        <f t="shared" si="13"/>
        <v>#DIV/0!</v>
      </c>
      <c r="BY51" s="53" t="e">
        <f t="shared" si="14"/>
        <v>#DIV/0!</v>
      </c>
      <c r="BZ51" s="53" t="e">
        <f t="shared" si="15"/>
        <v>#DIV/0!</v>
      </c>
      <c r="CA51" s="53" t="e">
        <f t="shared" si="16"/>
        <v>#DIV/0!</v>
      </c>
      <c r="CB51" s="53" t="e">
        <f t="shared" si="17"/>
        <v>#DIV/0!</v>
      </c>
      <c r="CC51" s="53" t="e">
        <f t="shared" si="18"/>
        <v>#DIV/0!</v>
      </c>
      <c r="CD51" s="53" t="e">
        <f t="shared" si="19"/>
        <v>#DIV/0!</v>
      </c>
      <c r="CE51" s="55">
        <f t="shared" si="29"/>
        <v>0</v>
      </c>
      <c r="CF51" s="55">
        <f t="shared" si="29"/>
        <v>0</v>
      </c>
      <c r="CG51" s="55">
        <f t="shared" si="29"/>
        <v>0</v>
      </c>
      <c r="CH51" s="55">
        <f t="shared" si="29"/>
        <v>0</v>
      </c>
      <c r="CI51" s="55">
        <f t="shared" si="29"/>
        <v>0</v>
      </c>
      <c r="CJ51" s="55">
        <f t="shared" si="29"/>
        <v>0</v>
      </c>
      <c r="CK51" s="55">
        <f t="shared" si="29"/>
        <v>0</v>
      </c>
      <c r="CL51" s="55">
        <f t="shared" si="29"/>
        <v>0</v>
      </c>
      <c r="CM51" s="55">
        <f t="shared" si="29"/>
        <v>0</v>
      </c>
    </row>
    <row r="52" spans="1:91" x14ac:dyDescent="0.15">
      <c r="A52" s="42">
        <v>50</v>
      </c>
      <c r="B52" s="45">
        <f>B$51</f>
        <v>1</v>
      </c>
      <c r="C52" s="45">
        <f t="shared" ref="C52:J62" si="34">C$51</f>
        <v>1</v>
      </c>
      <c r="D52" s="45">
        <f t="shared" si="34"/>
        <v>1</v>
      </c>
      <c r="E52" s="45">
        <f t="shared" si="34"/>
        <v>1</v>
      </c>
      <c r="F52" s="45">
        <f t="shared" si="34"/>
        <v>1</v>
      </c>
      <c r="G52" s="45">
        <f t="shared" si="34"/>
        <v>1</v>
      </c>
      <c r="H52" s="45">
        <f t="shared" si="34"/>
        <v>1</v>
      </c>
      <c r="I52" s="45">
        <f t="shared" si="34"/>
        <v>1</v>
      </c>
      <c r="J52" s="45">
        <f t="shared" si="34"/>
        <v>1</v>
      </c>
      <c r="K52" s="45" t="e">
        <f>K51+ATM_Conf!$C$5*(T51-AC51)</f>
        <v>#DIV/0!</v>
      </c>
      <c r="L52" s="45" t="e">
        <f>L51+ATM_Conf!$C$5*(U51-AD51)</f>
        <v>#DIV/0!</v>
      </c>
      <c r="M52" s="45" t="e">
        <f>M51+ATM_Conf!$C$5*(V51-AE51)</f>
        <v>#DIV/0!</v>
      </c>
      <c r="N52" s="45" t="e">
        <f>N51+ATM_Conf!$C$5*(W51-AF51)</f>
        <v>#DIV/0!</v>
      </c>
      <c r="O52" s="45" t="e">
        <f>O51+ATM_Conf!$C$5*(X51-AG51)</f>
        <v>#DIV/0!</v>
      </c>
      <c r="P52" s="45" t="e">
        <f>P51+ATM_Conf!$C$5*(Y51-AH51)</f>
        <v>#DIV/0!</v>
      </c>
      <c r="Q52" s="45" t="e">
        <f>Q51+ATM_Conf!$C$5*(Z51-AI51)</f>
        <v>#DIV/0!</v>
      </c>
      <c r="R52" s="45" t="e">
        <f>R51+ATM_Conf!$C$5*(AA51-AJ51)</f>
        <v>#DIV/0!</v>
      </c>
      <c r="S52" s="45" t="e">
        <f>S51+ATM_Conf!$C$5*(AB51-AK51)</f>
        <v>#DIV/0!</v>
      </c>
      <c r="T52" s="45"/>
      <c r="U52" s="45"/>
      <c r="V52" s="45"/>
      <c r="W52" s="45"/>
      <c r="X52" s="45"/>
      <c r="Y52" s="45"/>
      <c r="Z52" s="45"/>
      <c r="AA52" s="45"/>
      <c r="AB52" s="45"/>
      <c r="AC52" s="45" t="e">
        <f t="shared" si="2"/>
        <v>#DIV/0!</v>
      </c>
      <c r="AD52" s="45" t="e">
        <f t="shared" si="3"/>
        <v>#DIV/0!</v>
      </c>
      <c r="AE52" s="45" t="e">
        <f t="shared" si="4"/>
        <v>#DIV/0!</v>
      </c>
      <c r="AF52" s="45" t="e">
        <f t="shared" si="5"/>
        <v>#DIV/0!</v>
      </c>
      <c r="AG52" s="45" t="e">
        <f t="shared" si="6"/>
        <v>#DIV/0!</v>
      </c>
      <c r="AH52" s="45" t="e">
        <f t="shared" si="7"/>
        <v>#DIV/0!</v>
      </c>
      <c r="AI52" s="45" t="e">
        <f t="shared" si="8"/>
        <v>#DIV/0!</v>
      </c>
      <c r="AJ52" s="45" t="e">
        <f t="shared" si="9"/>
        <v>#DIV/0!</v>
      </c>
      <c r="AK52" s="45" t="e">
        <f t="shared" si="10"/>
        <v>#DIV/0!</v>
      </c>
      <c r="AL52" s="45" t="e">
        <f>T$3+K52/ATM_Conf!$C$5</f>
        <v>#DIV/0!</v>
      </c>
      <c r="AM52" s="45" t="e">
        <f>U$3+L52/ATM_Conf!$C$5</f>
        <v>#DIV/0!</v>
      </c>
      <c r="AN52" s="45" t="e">
        <f>V$3+M52/ATM_Conf!$C$5</f>
        <v>#DIV/0!</v>
      </c>
      <c r="AO52" s="45" t="e">
        <f>W$3+N52/ATM_Conf!$C$5</f>
        <v>#DIV/0!</v>
      </c>
      <c r="AP52" s="45" t="e">
        <f>X$3+O52/ATM_Conf!$C$5</f>
        <v>#DIV/0!</v>
      </c>
      <c r="AQ52" s="45" t="e">
        <f>Y$3+P52/ATM_Conf!$C$5</f>
        <v>#DIV/0!</v>
      </c>
      <c r="AR52" s="45" t="e">
        <f>Z$3+Q52/ATM_Conf!$C$5</f>
        <v>#DIV/0!</v>
      </c>
      <c r="AS52" s="45" t="e">
        <f>AA$3+R52/ATM_Conf!$C$5</f>
        <v>#DIV/0!</v>
      </c>
      <c r="AT52" s="45" t="e">
        <f>AB$3+S52/ATM_Conf!$C$5</f>
        <v>#DIV/0!</v>
      </c>
      <c r="AU52" s="45" t="e">
        <f>BD$3*MIN(1,(ATM_Conf!$C$6-Links!F52)/(ATM_Conf!$C$6-ATM_Conf!$C$7))</f>
        <v>#DIV/0!</v>
      </c>
      <c r="AV52" s="45" t="e">
        <f>BE$3*MIN(1,(ATM_Conf!$C$6-Links!G52)/(ATM_Conf!$C$6-ATM_Conf!$C$7))</f>
        <v>#DIV/0!</v>
      </c>
      <c r="AW52" s="45" t="e">
        <f>BF$3*MIN(1,(ATM_Conf!$C$6-Links!H52)/(ATM_Conf!$C$6-ATM_Conf!$C$7))</f>
        <v>#DIV/0!</v>
      </c>
      <c r="AX52" s="45" t="e">
        <f>BG$3*MIN(1,(ATM_Conf!$C$6-Links!I52)/(ATM_Conf!$C$6-ATM_Conf!$C$7))</f>
        <v>#DIV/0!</v>
      </c>
      <c r="AY52" s="45" t="e">
        <f>BH$3*MIN(1,(ATM_Conf!$C$6-Links!J52)/(ATM_Conf!$C$6-ATM_Conf!$C$7))</f>
        <v>#DIV/0!</v>
      </c>
      <c r="AZ52" s="45" t="e">
        <f>BI$3*MIN(1,(ATM_Conf!$C$6-Links!K52)/(ATM_Conf!$C$6-ATM_Conf!$C$7))</f>
        <v>#DIV/0!</v>
      </c>
      <c r="BA52" s="45" t="e">
        <f>BJ$3*MIN(1,(ATM_Conf!$C$6-Links!L52)/(ATM_Conf!$C$6-ATM_Conf!$C$7))</f>
        <v>#DIV/0!</v>
      </c>
      <c r="BB52" s="45" t="e">
        <f>BK$3*MIN(1,(ATM_Conf!$C$6-Links!M52)/(ATM_Conf!$C$6-ATM_Conf!$C$7))</f>
        <v>#DIV/0!</v>
      </c>
      <c r="BC52" s="45" t="e">
        <f>BL$3*MIN(1,(ATM_Conf!$C$6-Links!N52)/(ATM_Conf!$C$6-ATM_Conf!$C$7))</f>
        <v>#DIV/0!</v>
      </c>
      <c r="BD52" s="45"/>
      <c r="BE52" s="45"/>
      <c r="BF52" s="45"/>
      <c r="BG52" s="45"/>
      <c r="BH52" s="45"/>
      <c r="BI52" s="45"/>
      <c r="BJ52" s="45"/>
      <c r="BK52" s="45"/>
      <c r="BL52" s="45"/>
      <c r="BM52" s="53"/>
      <c r="BN52" s="53"/>
      <c r="BO52" s="53"/>
      <c r="BP52" s="53"/>
      <c r="BQ52" s="53"/>
      <c r="BR52" s="53"/>
      <c r="BS52" s="53"/>
      <c r="BT52" s="53"/>
      <c r="BU52" s="53"/>
      <c r="BV52" s="53" t="e">
        <f t="shared" si="11"/>
        <v>#DIV/0!</v>
      </c>
      <c r="BW52" s="53" t="e">
        <f t="shared" si="12"/>
        <v>#DIV/0!</v>
      </c>
      <c r="BX52" s="53" t="e">
        <f t="shared" si="13"/>
        <v>#DIV/0!</v>
      </c>
      <c r="BY52" s="53" t="e">
        <f t="shared" si="14"/>
        <v>#DIV/0!</v>
      </c>
      <c r="BZ52" s="53" t="e">
        <f t="shared" si="15"/>
        <v>#DIV/0!</v>
      </c>
      <c r="CA52" s="53" t="e">
        <f t="shared" si="16"/>
        <v>#DIV/0!</v>
      </c>
      <c r="CB52" s="53" t="e">
        <f t="shared" si="17"/>
        <v>#DIV/0!</v>
      </c>
      <c r="CC52" s="53" t="e">
        <f t="shared" si="18"/>
        <v>#DIV/0!</v>
      </c>
      <c r="CD52" s="53" t="e">
        <f t="shared" si="19"/>
        <v>#DIV/0!</v>
      </c>
      <c r="CE52" s="55">
        <f t="shared" si="29"/>
        <v>0</v>
      </c>
      <c r="CF52" s="55">
        <f t="shared" si="29"/>
        <v>0</v>
      </c>
      <c r="CG52" s="55">
        <f t="shared" si="29"/>
        <v>0</v>
      </c>
      <c r="CH52" s="55">
        <f t="shared" si="29"/>
        <v>0</v>
      </c>
      <c r="CI52" s="55">
        <f t="shared" si="29"/>
        <v>0</v>
      </c>
      <c r="CJ52" s="55">
        <f t="shared" si="29"/>
        <v>0</v>
      </c>
      <c r="CK52" s="55">
        <f t="shared" si="29"/>
        <v>0</v>
      </c>
      <c r="CL52" s="55">
        <f t="shared" si="29"/>
        <v>0</v>
      </c>
      <c r="CM52" s="55">
        <f t="shared" si="29"/>
        <v>0</v>
      </c>
    </row>
    <row r="53" spans="1:91" x14ac:dyDescent="0.15">
      <c r="A53" s="42">
        <v>51</v>
      </c>
      <c r="B53" s="45">
        <f t="shared" ref="B53:B62" si="35">B$51</f>
        <v>1</v>
      </c>
      <c r="C53" s="45">
        <f t="shared" si="34"/>
        <v>1</v>
      </c>
      <c r="D53" s="45">
        <f t="shared" si="34"/>
        <v>1</v>
      </c>
      <c r="E53" s="45">
        <f t="shared" si="34"/>
        <v>1</v>
      </c>
      <c r="F53" s="45">
        <f t="shared" si="34"/>
        <v>1</v>
      </c>
      <c r="G53" s="45">
        <f t="shared" si="34"/>
        <v>1</v>
      </c>
      <c r="H53" s="45">
        <f t="shared" si="34"/>
        <v>1</v>
      </c>
      <c r="I53" s="45">
        <f t="shared" si="34"/>
        <v>1</v>
      </c>
      <c r="J53" s="45">
        <f t="shared" si="34"/>
        <v>1</v>
      </c>
      <c r="K53" s="45" t="e">
        <f>K52+ATM_Conf!$C$5*(T52-AC52)</f>
        <v>#DIV/0!</v>
      </c>
      <c r="L53" s="45" t="e">
        <f>L52+ATM_Conf!$C$5*(U52-AD52)</f>
        <v>#DIV/0!</v>
      </c>
      <c r="M53" s="45" t="e">
        <f>M52+ATM_Conf!$C$5*(V52-AE52)</f>
        <v>#DIV/0!</v>
      </c>
      <c r="N53" s="45" t="e">
        <f>N52+ATM_Conf!$C$5*(W52-AF52)</f>
        <v>#DIV/0!</v>
      </c>
      <c r="O53" s="45" t="e">
        <f>O52+ATM_Conf!$C$5*(X52-AG52)</f>
        <v>#DIV/0!</v>
      </c>
      <c r="P53" s="45" t="e">
        <f>P52+ATM_Conf!$C$5*(Y52-AH52)</f>
        <v>#DIV/0!</v>
      </c>
      <c r="Q53" s="45" t="e">
        <f>Q52+ATM_Conf!$C$5*(Z52-AI52)</f>
        <v>#DIV/0!</v>
      </c>
      <c r="R53" s="45" t="e">
        <f>R52+ATM_Conf!$C$5*(AA52-AJ52)</f>
        <v>#DIV/0!</v>
      </c>
      <c r="S53" s="45" t="e">
        <f>S52+ATM_Conf!$C$5*(AB52-AK52)</f>
        <v>#DIV/0!</v>
      </c>
      <c r="T53" s="45"/>
      <c r="U53" s="45"/>
      <c r="V53" s="45"/>
      <c r="W53" s="45"/>
      <c r="X53" s="45"/>
      <c r="Y53" s="45"/>
      <c r="Z53" s="45"/>
      <c r="AA53" s="45"/>
      <c r="AB53" s="45"/>
      <c r="AC53" s="45" t="e">
        <f t="shared" si="2"/>
        <v>#DIV/0!</v>
      </c>
      <c r="AD53" s="45" t="e">
        <f t="shared" si="3"/>
        <v>#DIV/0!</v>
      </c>
      <c r="AE53" s="45" t="e">
        <f t="shared" si="4"/>
        <v>#DIV/0!</v>
      </c>
      <c r="AF53" s="45" t="e">
        <f t="shared" si="5"/>
        <v>#DIV/0!</v>
      </c>
      <c r="AG53" s="45" t="e">
        <f t="shared" si="6"/>
        <v>#DIV/0!</v>
      </c>
      <c r="AH53" s="45" t="e">
        <f t="shared" si="7"/>
        <v>#DIV/0!</v>
      </c>
      <c r="AI53" s="45" t="e">
        <f t="shared" si="8"/>
        <v>#DIV/0!</v>
      </c>
      <c r="AJ53" s="45" t="e">
        <f t="shared" si="9"/>
        <v>#DIV/0!</v>
      </c>
      <c r="AK53" s="45" t="e">
        <f t="shared" si="10"/>
        <v>#DIV/0!</v>
      </c>
      <c r="AL53" s="45" t="e">
        <f>T$3+K53/ATM_Conf!$C$5</f>
        <v>#DIV/0!</v>
      </c>
      <c r="AM53" s="45" t="e">
        <f>U$3+L53/ATM_Conf!$C$5</f>
        <v>#DIV/0!</v>
      </c>
      <c r="AN53" s="45" t="e">
        <f>V$3+M53/ATM_Conf!$C$5</f>
        <v>#DIV/0!</v>
      </c>
      <c r="AO53" s="45" t="e">
        <f>W$3+N53/ATM_Conf!$C$5</f>
        <v>#DIV/0!</v>
      </c>
      <c r="AP53" s="45" t="e">
        <f>X$3+O53/ATM_Conf!$C$5</f>
        <v>#DIV/0!</v>
      </c>
      <c r="AQ53" s="45" t="e">
        <f>Y$3+P53/ATM_Conf!$C$5</f>
        <v>#DIV/0!</v>
      </c>
      <c r="AR53" s="45" t="e">
        <f>Z$3+Q53/ATM_Conf!$C$5</f>
        <v>#DIV/0!</v>
      </c>
      <c r="AS53" s="45" t="e">
        <f>AA$3+R53/ATM_Conf!$C$5</f>
        <v>#DIV/0!</v>
      </c>
      <c r="AT53" s="45" t="e">
        <f>AB$3+S53/ATM_Conf!$C$5</f>
        <v>#DIV/0!</v>
      </c>
      <c r="AU53" s="45" t="e">
        <f>BD$3*MIN(1,(ATM_Conf!$C$6-Links!F53)/(ATM_Conf!$C$6-ATM_Conf!$C$7))</f>
        <v>#DIV/0!</v>
      </c>
      <c r="AV53" s="45" t="e">
        <f>BE$3*MIN(1,(ATM_Conf!$C$6-Links!G53)/(ATM_Conf!$C$6-ATM_Conf!$C$7))</f>
        <v>#DIV/0!</v>
      </c>
      <c r="AW53" s="45" t="e">
        <f>BF$3*MIN(1,(ATM_Conf!$C$6-Links!H53)/(ATM_Conf!$C$6-ATM_Conf!$C$7))</f>
        <v>#DIV/0!</v>
      </c>
      <c r="AX53" s="45" t="e">
        <f>BG$3*MIN(1,(ATM_Conf!$C$6-Links!I53)/(ATM_Conf!$C$6-ATM_Conf!$C$7))</f>
        <v>#DIV/0!</v>
      </c>
      <c r="AY53" s="45" t="e">
        <f>BH$3*MIN(1,(ATM_Conf!$C$6-Links!J53)/(ATM_Conf!$C$6-ATM_Conf!$C$7))</f>
        <v>#DIV/0!</v>
      </c>
      <c r="AZ53" s="45" t="e">
        <f>BI$3*MIN(1,(ATM_Conf!$C$6-Links!K53)/(ATM_Conf!$C$6-ATM_Conf!$C$7))</f>
        <v>#DIV/0!</v>
      </c>
      <c r="BA53" s="45" t="e">
        <f>BJ$3*MIN(1,(ATM_Conf!$C$6-Links!L53)/(ATM_Conf!$C$6-ATM_Conf!$C$7))</f>
        <v>#DIV/0!</v>
      </c>
      <c r="BB53" s="45" t="e">
        <f>BK$3*MIN(1,(ATM_Conf!$C$6-Links!M53)/(ATM_Conf!$C$6-ATM_Conf!$C$7))</f>
        <v>#DIV/0!</v>
      </c>
      <c r="BC53" s="45" t="e">
        <f>BL$3*MIN(1,(ATM_Conf!$C$6-Links!N53)/(ATM_Conf!$C$6-ATM_Conf!$C$7))</f>
        <v>#DIV/0!</v>
      </c>
      <c r="BD53" s="45"/>
      <c r="BE53" s="45"/>
      <c r="BF53" s="45"/>
      <c r="BG53" s="45"/>
      <c r="BH53" s="45"/>
      <c r="BI53" s="45"/>
      <c r="BJ53" s="45"/>
      <c r="BK53" s="45"/>
      <c r="BL53" s="45"/>
      <c r="BM53" s="53"/>
      <c r="BN53" s="53"/>
      <c r="BO53" s="53"/>
      <c r="BP53" s="53"/>
      <c r="BQ53" s="53"/>
      <c r="BR53" s="53"/>
      <c r="BS53" s="53"/>
      <c r="BT53" s="53"/>
      <c r="BU53" s="53"/>
      <c r="BV53" s="53" t="e">
        <f t="shared" si="11"/>
        <v>#DIV/0!</v>
      </c>
      <c r="BW53" s="53" t="e">
        <f t="shared" si="12"/>
        <v>#DIV/0!</v>
      </c>
      <c r="BX53" s="53" t="e">
        <f t="shared" si="13"/>
        <v>#DIV/0!</v>
      </c>
      <c r="BY53" s="53" t="e">
        <f t="shared" si="14"/>
        <v>#DIV/0!</v>
      </c>
      <c r="BZ53" s="53" t="e">
        <f t="shared" si="15"/>
        <v>#DIV/0!</v>
      </c>
      <c r="CA53" s="53" t="e">
        <f t="shared" si="16"/>
        <v>#DIV/0!</v>
      </c>
      <c r="CB53" s="53" t="e">
        <f t="shared" si="17"/>
        <v>#DIV/0!</v>
      </c>
      <c r="CC53" s="53" t="e">
        <f t="shared" si="18"/>
        <v>#DIV/0!</v>
      </c>
      <c r="CD53" s="53" t="e">
        <f t="shared" si="19"/>
        <v>#DIV/0!</v>
      </c>
      <c r="CE53" s="55">
        <f t="shared" si="29"/>
        <v>0</v>
      </c>
      <c r="CF53" s="55">
        <f t="shared" si="29"/>
        <v>0</v>
      </c>
      <c r="CG53" s="55">
        <f t="shared" si="29"/>
        <v>0</v>
      </c>
      <c r="CH53" s="55">
        <f t="shared" si="29"/>
        <v>0</v>
      </c>
      <c r="CI53" s="55">
        <f t="shared" si="29"/>
        <v>0</v>
      </c>
      <c r="CJ53" s="55">
        <f t="shared" si="29"/>
        <v>0</v>
      </c>
      <c r="CK53" s="55">
        <f t="shared" si="29"/>
        <v>0</v>
      </c>
      <c r="CL53" s="55">
        <f t="shared" si="29"/>
        <v>0</v>
      </c>
      <c r="CM53" s="55">
        <f t="shared" si="29"/>
        <v>0</v>
      </c>
    </row>
    <row r="54" spans="1:91" x14ac:dyDescent="0.15">
      <c r="A54" s="42">
        <v>52</v>
      </c>
      <c r="B54" s="45">
        <f t="shared" si="35"/>
        <v>1</v>
      </c>
      <c r="C54" s="45">
        <f t="shared" si="34"/>
        <v>1</v>
      </c>
      <c r="D54" s="45">
        <f t="shared" si="34"/>
        <v>1</v>
      </c>
      <c r="E54" s="45">
        <f t="shared" si="34"/>
        <v>1</v>
      </c>
      <c r="F54" s="45">
        <f t="shared" si="34"/>
        <v>1</v>
      </c>
      <c r="G54" s="45">
        <f t="shared" si="34"/>
        <v>1</v>
      </c>
      <c r="H54" s="45">
        <f t="shared" si="34"/>
        <v>1</v>
      </c>
      <c r="I54" s="45">
        <f t="shared" si="34"/>
        <v>1</v>
      </c>
      <c r="J54" s="45">
        <f t="shared" si="34"/>
        <v>1</v>
      </c>
      <c r="K54" s="45" t="e">
        <f>K53+ATM_Conf!$C$5*(T53-AC53)</f>
        <v>#DIV/0!</v>
      </c>
      <c r="L54" s="45" t="e">
        <f>L53+ATM_Conf!$C$5*(U53-AD53)</f>
        <v>#DIV/0!</v>
      </c>
      <c r="M54" s="45" t="e">
        <f>M53+ATM_Conf!$C$5*(V53-AE53)</f>
        <v>#DIV/0!</v>
      </c>
      <c r="N54" s="45" t="e">
        <f>N53+ATM_Conf!$C$5*(W53-AF53)</f>
        <v>#DIV/0!</v>
      </c>
      <c r="O54" s="45" t="e">
        <f>O53+ATM_Conf!$C$5*(X53-AG53)</f>
        <v>#DIV/0!</v>
      </c>
      <c r="P54" s="45" t="e">
        <f>P53+ATM_Conf!$C$5*(Y53-AH53)</f>
        <v>#DIV/0!</v>
      </c>
      <c r="Q54" s="45" t="e">
        <f>Q53+ATM_Conf!$C$5*(Z53-AI53)</f>
        <v>#DIV/0!</v>
      </c>
      <c r="R54" s="45" t="e">
        <f>R53+ATM_Conf!$C$5*(AA53-AJ53)</f>
        <v>#DIV/0!</v>
      </c>
      <c r="S54" s="45" t="e">
        <f>S53+ATM_Conf!$C$5*(AB53-AK53)</f>
        <v>#DIV/0!</v>
      </c>
      <c r="T54" s="45"/>
      <c r="U54" s="45"/>
      <c r="V54" s="45"/>
      <c r="W54" s="45"/>
      <c r="X54" s="45"/>
      <c r="Y54" s="45"/>
      <c r="Z54" s="45"/>
      <c r="AA54" s="45"/>
      <c r="AB54" s="45"/>
      <c r="AC54" s="45" t="e">
        <f t="shared" si="2"/>
        <v>#DIV/0!</v>
      </c>
      <c r="AD54" s="45" t="e">
        <f t="shared" si="3"/>
        <v>#DIV/0!</v>
      </c>
      <c r="AE54" s="45" t="e">
        <f t="shared" si="4"/>
        <v>#DIV/0!</v>
      </c>
      <c r="AF54" s="45" t="e">
        <f t="shared" si="5"/>
        <v>#DIV/0!</v>
      </c>
      <c r="AG54" s="45" t="e">
        <f t="shared" si="6"/>
        <v>#DIV/0!</v>
      </c>
      <c r="AH54" s="45" t="e">
        <f t="shared" si="7"/>
        <v>#DIV/0!</v>
      </c>
      <c r="AI54" s="45" t="e">
        <f t="shared" si="8"/>
        <v>#DIV/0!</v>
      </c>
      <c r="AJ54" s="45" t="e">
        <f t="shared" si="9"/>
        <v>#DIV/0!</v>
      </c>
      <c r="AK54" s="45" t="e">
        <f t="shared" si="10"/>
        <v>#DIV/0!</v>
      </c>
      <c r="AL54" s="45" t="e">
        <f>T$3+K54/ATM_Conf!$C$5</f>
        <v>#DIV/0!</v>
      </c>
      <c r="AM54" s="45" t="e">
        <f>U$3+L54/ATM_Conf!$C$5</f>
        <v>#DIV/0!</v>
      </c>
      <c r="AN54" s="45" t="e">
        <f>V$3+M54/ATM_Conf!$C$5</f>
        <v>#DIV/0!</v>
      </c>
      <c r="AO54" s="45" t="e">
        <f>W$3+N54/ATM_Conf!$C$5</f>
        <v>#DIV/0!</v>
      </c>
      <c r="AP54" s="45" t="e">
        <f>X$3+O54/ATM_Conf!$C$5</f>
        <v>#DIV/0!</v>
      </c>
      <c r="AQ54" s="45" t="e">
        <f>Y$3+P54/ATM_Conf!$C$5</f>
        <v>#DIV/0!</v>
      </c>
      <c r="AR54" s="45" t="e">
        <f>Z$3+Q54/ATM_Conf!$C$5</f>
        <v>#DIV/0!</v>
      </c>
      <c r="AS54" s="45" t="e">
        <f>AA$3+R54/ATM_Conf!$C$5</f>
        <v>#DIV/0!</v>
      </c>
      <c r="AT54" s="45" t="e">
        <f>AB$3+S54/ATM_Conf!$C$5</f>
        <v>#DIV/0!</v>
      </c>
      <c r="AU54" s="45" t="e">
        <f>BD$3*MIN(1,(ATM_Conf!$C$6-Links!F54)/(ATM_Conf!$C$6-ATM_Conf!$C$7))</f>
        <v>#DIV/0!</v>
      </c>
      <c r="AV54" s="45" t="e">
        <f>BE$3*MIN(1,(ATM_Conf!$C$6-Links!G54)/(ATM_Conf!$C$6-ATM_Conf!$C$7))</f>
        <v>#DIV/0!</v>
      </c>
      <c r="AW54" s="45" t="e">
        <f>BF$3*MIN(1,(ATM_Conf!$C$6-Links!H54)/(ATM_Conf!$C$6-ATM_Conf!$C$7))</f>
        <v>#DIV/0!</v>
      </c>
      <c r="AX54" s="45" t="e">
        <f>BG$3*MIN(1,(ATM_Conf!$C$6-Links!I54)/(ATM_Conf!$C$6-ATM_Conf!$C$7))</f>
        <v>#DIV/0!</v>
      </c>
      <c r="AY54" s="45" t="e">
        <f>BH$3*MIN(1,(ATM_Conf!$C$6-Links!J54)/(ATM_Conf!$C$6-ATM_Conf!$C$7))</f>
        <v>#DIV/0!</v>
      </c>
      <c r="AZ54" s="45" t="e">
        <f>BI$3*MIN(1,(ATM_Conf!$C$6-Links!K54)/(ATM_Conf!$C$6-ATM_Conf!$C$7))</f>
        <v>#DIV/0!</v>
      </c>
      <c r="BA54" s="45" t="e">
        <f>BJ$3*MIN(1,(ATM_Conf!$C$6-Links!L54)/(ATM_Conf!$C$6-ATM_Conf!$C$7))</f>
        <v>#DIV/0!</v>
      </c>
      <c r="BB54" s="45" t="e">
        <f>BK$3*MIN(1,(ATM_Conf!$C$6-Links!M54)/(ATM_Conf!$C$6-ATM_Conf!$C$7))</f>
        <v>#DIV/0!</v>
      </c>
      <c r="BC54" s="45" t="e">
        <f>BL$3*MIN(1,(ATM_Conf!$C$6-Links!N54)/(ATM_Conf!$C$6-ATM_Conf!$C$7))</f>
        <v>#DIV/0!</v>
      </c>
      <c r="BD54" s="45"/>
      <c r="BE54" s="45"/>
      <c r="BF54" s="45"/>
      <c r="BG54" s="45"/>
      <c r="BH54" s="45"/>
      <c r="BI54" s="45"/>
      <c r="BJ54" s="45"/>
      <c r="BK54" s="45"/>
      <c r="BL54" s="45"/>
      <c r="BM54" s="53"/>
      <c r="BN54" s="53"/>
      <c r="BO54" s="53"/>
      <c r="BP54" s="53"/>
      <c r="BQ54" s="53"/>
      <c r="BR54" s="53"/>
      <c r="BS54" s="53"/>
      <c r="BT54" s="53"/>
      <c r="BU54" s="53"/>
      <c r="BV54" s="53" t="e">
        <f t="shared" si="11"/>
        <v>#DIV/0!</v>
      </c>
      <c r="BW54" s="53" t="e">
        <f t="shared" si="12"/>
        <v>#DIV/0!</v>
      </c>
      <c r="BX54" s="53" t="e">
        <f t="shared" si="13"/>
        <v>#DIV/0!</v>
      </c>
      <c r="BY54" s="53" t="e">
        <f t="shared" si="14"/>
        <v>#DIV/0!</v>
      </c>
      <c r="BZ54" s="53" t="e">
        <f t="shared" si="15"/>
        <v>#DIV/0!</v>
      </c>
      <c r="CA54" s="53" t="e">
        <f t="shared" si="16"/>
        <v>#DIV/0!</v>
      </c>
      <c r="CB54" s="53" t="e">
        <f t="shared" si="17"/>
        <v>#DIV/0!</v>
      </c>
      <c r="CC54" s="53" t="e">
        <f t="shared" si="18"/>
        <v>#DIV/0!</v>
      </c>
      <c r="CD54" s="53" t="e">
        <f t="shared" si="19"/>
        <v>#DIV/0!</v>
      </c>
      <c r="CE54" s="55">
        <f t="shared" si="29"/>
        <v>0</v>
      </c>
      <c r="CF54" s="55">
        <f t="shared" si="29"/>
        <v>0</v>
      </c>
      <c r="CG54" s="55">
        <f t="shared" si="29"/>
        <v>0</v>
      </c>
      <c r="CH54" s="55">
        <f t="shared" si="29"/>
        <v>0</v>
      </c>
      <c r="CI54" s="55">
        <f t="shared" si="29"/>
        <v>0</v>
      </c>
      <c r="CJ54" s="55">
        <f t="shared" si="29"/>
        <v>0</v>
      </c>
      <c r="CK54" s="55">
        <f t="shared" si="29"/>
        <v>0</v>
      </c>
      <c r="CL54" s="55">
        <f t="shared" si="29"/>
        <v>0</v>
      </c>
      <c r="CM54" s="55">
        <f t="shared" si="29"/>
        <v>0</v>
      </c>
    </row>
    <row r="55" spans="1:91" x14ac:dyDescent="0.15">
      <c r="A55" s="42">
        <v>53</v>
      </c>
      <c r="B55" s="45">
        <f t="shared" si="35"/>
        <v>1</v>
      </c>
      <c r="C55" s="45">
        <f t="shared" si="34"/>
        <v>1</v>
      </c>
      <c r="D55" s="45">
        <f t="shared" si="34"/>
        <v>1</v>
      </c>
      <c r="E55" s="45">
        <f t="shared" si="34"/>
        <v>1</v>
      </c>
      <c r="F55" s="45">
        <f t="shared" si="34"/>
        <v>1</v>
      </c>
      <c r="G55" s="45">
        <f t="shared" si="34"/>
        <v>1</v>
      </c>
      <c r="H55" s="45">
        <f t="shared" si="34"/>
        <v>1</v>
      </c>
      <c r="I55" s="45">
        <f t="shared" si="34"/>
        <v>1</v>
      </c>
      <c r="J55" s="45">
        <f t="shared" si="34"/>
        <v>1</v>
      </c>
      <c r="K55" s="45" t="e">
        <f>K54+ATM_Conf!$C$5*(T54-AC54)</f>
        <v>#DIV/0!</v>
      </c>
      <c r="L55" s="45" t="e">
        <f>L54+ATM_Conf!$C$5*(U54-AD54)</f>
        <v>#DIV/0!</v>
      </c>
      <c r="M55" s="45" t="e">
        <f>M54+ATM_Conf!$C$5*(V54-AE54)</f>
        <v>#DIV/0!</v>
      </c>
      <c r="N55" s="45" t="e">
        <f>N54+ATM_Conf!$C$5*(W54-AF54)</f>
        <v>#DIV/0!</v>
      </c>
      <c r="O55" s="45" t="e">
        <f>O54+ATM_Conf!$C$5*(X54-AG54)</f>
        <v>#DIV/0!</v>
      </c>
      <c r="P55" s="45" t="e">
        <f>P54+ATM_Conf!$C$5*(Y54-AH54)</f>
        <v>#DIV/0!</v>
      </c>
      <c r="Q55" s="45" t="e">
        <f>Q54+ATM_Conf!$C$5*(Z54-AI54)</f>
        <v>#DIV/0!</v>
      </c>
      <c r="R55" s="45" t="e">
        <f>R54+ATM_Conf!$C$5*(AA54-AJ54)</f>
        <v>#DIV/0!</v>
      </c>
      <c r="S55" s="45" t="e">
        <f>S54+ATM_Conf!$C$5*(AB54-AK54)</f>
        <v>#DIV/0!</v>
      </c>
      <c r="T55" s="45"/>
      <c r="U55" s="45"/>
      <c r="V55" s="45"/>
      <c r="W55" s="45"/>
      <c r="X55" s="45"/>
      <c r="Y55" s="45"/>
      <c r="Z55" s="45"/>
      <c r="AA55" s="45"/>
      <c r="AB55" s="45"/>
      <c r="AC55" s="45" t="e">
        <f t="shared" si="2"/>
        <v>#DIV/0!</v>
      </c>
      <c r="AD55" s="45" t="e">
        <f t="shared" si="3"/>
        <v>#DIV/0!</v>
      </c>
      <c r="AE55" s="45" t="e">
        <f t="shared" si="4"/>
        <v>#DIV/0!</v>
      </c>
      <c r="AF55" s="45" t="e">
        <f t="shared" si="5"/>
        <v>#DIV/0!</v>
      </c>
      <c r="AG55" s="45" t="e">
        <f t="shared" si="6"/>
        <v>#DIV/0!</v>
      </c>
      <c r="AH55" s="45" t="e">
        <f t="shared" si="7"/>
        <v>#DIV/0!</v>
      </c>
      <c r="AI55" s="45" t="e">
        <f t="shared" si="8"/>
        <v>#DIV/0!</v>
      </c>
      <c r="AJ55" s="45" t="e">
        <f t="shared" si="9"/>
        <v>#DIV/0!</v>
      </c>
      <c r="AK55" s="45" t="e">
        <f t="shared" si="10"/>
        <v>#DIV/0!</v>
      </c>
      <c r="AL55" s="45" t="e">
        <f>T$3+K55/ATM_Conf!$C$5</f>
        <v>#DIV/0!</v>
      </c>
      <c r="AM55" s="45" t="e">
        <f>U$3+L55/ATM_Conf!$C$5</f>
        <v>#DIV/0!</v>
      </c>
      <c r="AN55" s="45" t="e">
        <f>V$3+M55/ATM_Conf!$C$5</f>
        <v>#DIV/0!</v>
      </c>
      <c r="AO55" s="45" t="e">
        <f>W$3+N55/ATM_Conf!$C$5</f>
        <v>#DIV/0!</v>
      </c>
      <c r="AP55" s="45" t="e">
        <f>X$3+O55/ATM_Conf!$C$5</f>
        <v>#DIV/0!</v>
      </c>
      <c r="AQ55" s="45" t="e">
        <f>Y$3+P55/ATM_Conf!$C$5</f>
        <v>#DIV/0!</v>
      </c>
      <c r="AR55" s="45" t="e">
        <f>Z$3+Q55/ATM_Conf!$C$5</f>
        <v>#DIV/0!</v>
      </c>
      <c r="AS55" s="45" t="e">
        <f>AA$3+R55/ATM_Conf!$C$5</f>
        <v>#DIV/0!</v>
      </c>
      <c r="AT55" s="45" t="e">
        <f>AB$3+S55/ATM_Conf!$C$5</f>
        <v>#DIV/0!</v>
      </c>
      <c r="AU55" s="45" t="e">
        <f>BD$3*MIN(1,(ATM_Conf!$C$6-Links!F55)/(ATM_Conf!$C$6-ATM_Conf!$C$7))</f>
        <v>#DIV/0!</v>
      </c>
      <c r="AV55" s="45" t="e">
        <f>BE$3*MIN(1,(ATM_Conf!$C$6-Links!G55)/(ATM_Conf!$C$6-ATM_Conf!$C$7))</f>
        <v>#DIV/0!</v>
      </c>
      <c r="AW55" s="45" t="e">
        <f>BF$3*MIN(1,(ATM_Conf!$C$6-Links!H55)/(ATM_Conf!$C$6-ATM_Conf!$C$7))</f>
        <v>#DIV/0!</v>
      </c>
      <c r="AX55" s="45" t="e">
        <f>BG$3*MIN(1,(ATM_Conf!$C$6-Links!I55)/(ATM_Conf!$C$6-ATM_Conf!$C$7))</f>
        <v>#DIV/0!</v>
      </c>
      <c r="AY55" s="45" t="e">
        <f>BH$3*MIN(1,(ATM_Conf!$C$6-Links!J55)/(ATM_Conf!$C$6-ATM_Conf!$C$7))</f>
        <v>#DIV/0!</v>
      </c>
      <c r="AZ55" s="45" t="e">
        <f>BI$3*MIN(1,(ATM_Conf!$C$6-Links!K55)/(ATM_Conf!$C$6-ATM_Conf!$C$7))</f>
        <v>#DIV/0!</v>
      </c>
      <c r="BA55" s="45" t="e">
        <f>BJ$3*MIN(1,(ATM_Conf!$C$6-Links!L55)/(ATM_Conf!$C$6-ATM_Conf!$C$7))</f>
        <v>#DIV/0!</v>
      </c>
      <c r="BB55" s="45" t="e">
        <f>BK$3*MIN(1,(ATM_Conf!$C$6-Links!M55)/(ATM_Conf!$C$6-ATM_Conf!$C$7))</f>
        <v>#DIV/0!</v>
      </c>
      <c r="BC55" s="45" t="e">
        <f>BL$3*MIN(1,(ATM_Conf!$C$6-Links!N55)/(ATM_Conf!$C$6-ATM_Conf!$C$7))</f>
        <v>#DIV/0!</v>
      </c>
      <c r="BD55" s="45"/>
      <c r="BE55" s="45"/>
      <c r="BF55" s="45"/>
      <c r="BG55" s="45"/>
      <c r="BH55" s="45"/>
      <c r="BI55" s="45"/>
      <c r="BJ55" s="45"/>
      <c r="BK55" s="45"/>
      <c r="BL55" s="45"/>
      <c r="BM55" s="53"/>
      <c r="BN55" s="53"/>
      <c r="BO55" s="53"/>
      <c r="BP55" s="53"/>
      <c r="BQ55" s="53"/>
      <c r="BR55" s="53"/>
      <c r="BS55" s="53"/>
      <c r="BT55" s="53"/>
      <c r="BU55" s="53"/>
      <c r="BV55" s="53" t="e">
        <f t="shared" si="11"/>
        <v>#DIV/0!</v>
      </c>
      <c r="BW55" s="53" t="e">
        <f t="shared" si="12"/>
        <v>#DIV/0!</v>
      </c>
      <c r="BX55" s="53" t="e">
        <f t="shared" si="13"/>
        <v>#DIV/0!</v>
      </c>
      <c r="BY55" s="53" t="e">
        <f t="shared" si="14"/>
        <v>#DIV/0!</v>
      </c>
      <c r="BZ55" s="53" t="e">
        <f t="shared" si="15"/>
        <v>#DIV/0!</v>
      </c>
      <c r="CA55" s="53" t="e">
        <f t="shared" si="16"/>
        <v>#DIV/0!</v>
      </c>
      <c r="CB55" s="53" t="e">
        <f t="shared" si="17"/>
        <v>#DIV/0!</v>
      </c>
      <c r="CC55" s="53" t="e">
        <f t="shared" si="18"/>
        <v>#DIV/0!</v>
      </c>
      <c r="CD55" s="53" t="e">
        <f t="shared" si="19"/>
        <v>#DIV/0!</v>
      </c>
      <c r="CE55" s="55">
        <f t="shared" si="29"/>
        <v>0</v>
      </c>
      <c r="CF55" s="55">
        <f t="shared" si="29"/>
        <v>0</v>
      </c>
      <c r="CG55" s="55">
        <f t="shared" si="29"/>
        <v>0</v>
      </c>
      <c r="CH55" s="55">
        <f t="shared" si="29"/>
        <v>0</v>
      </c>
      <c r="CI55" s="55">
        <f t="shared" si="29"/>
        <v>0</v>
      </c>
      <c r="CJ55" s="55">
        <f t="shared" si="29"/>
        <v>0</v>
      </c>
      <c r="CK55" s="55">
        <f t="shared" si="29"/>
        <v>0</v>
      </c>
      <c r="CL55" s="55">
        <f t="shared" si="29"/>
        <v>0</v>
      </c>
      <c r="CM55" s="55">
        <f t="shared" si="29"/>
        <v>0</v>
      </c>
    </row>
    <row r="56" spans="1:91" x14ac:dyDescent="0.15">
      <c r="A56" s="42">
        <v>54</v>
      </c>
      <c r="B56" s="45">
        <f t="shared" si="35"/>
        <v>1</v>
      </c>
      <c r="C56" s="45">
        <f t="shared" si="34"/>
        <v>1</v>
      </c>
      <c r="D56" s="45">
        <f t="shared" si="34"/>
        <v>1</v>
      </c>
      <c r="E56" s="45">
        <f t="shared" si="34"/>
        <v>1</v>
      </c>
      <c r="F56" s="45">
        <f t="shared" si="34"/>
        <v>1</v>
      </c>
      <c r="G56" s="45">
        <f t="shared" si="34"/>
        <v>1</v>
      </c>
      <c r="H56" s="45">
        <f t="shared" si="34"/>
        <v>1</v>
      </c>
      <c r="I56" s="45">
        <f t="shared" si="34"/>
        <v>1</v>
      </c>
      <c r="J56" s="45">
        <f t="shared" si="34"/>
        <v>1</v>
      </c>
      <c r="K56" s="45" t="e">
        <f>K55+ATM_Conf!$C$5*(T55-AC55)</f>
        <v>#DIV/0!</v>
      </c>
      <c r="L56" s="45" t="e">
        <f>L55+ATM_Conf!$C$5*(U55-AD55)</f>
        <v>#DIV/0!</v>
      </c>
      <c r="M56" s="45" t="e">
        <f>M55+ATM_Conf!$C$5*(V55-AE55)</f>
        <v>#DIV/0!</v>
      </c>
      <c r="N56" s="45" t="e">
        <f>N55+ATM_Conf!$C$5*(W55-AF55)</f>
        <v>#DIV/0!</v>
      </c>
      <c r="O56" s="45" t="e">
        <f>O55+ATM_Conf!$C$5*(X55-AG55)</f>
        <v>#DIV/0!</v>
      </c>
      <c r="P56" s="45" t="e">
        <f>P55+ATM_Conf!$C$5*(Y55-AH55)</f>
        <v>#DIV/0!</v>
      </c>
      <c r="Q56" s="45" t="e">
        <f>Q55+ATM_Conf!$C$5*(Z55-AI55)</f>
        <v>#DIV/0!</v>
      </c>
      <c r="R56" s="45" t="e">
        <f>R55+ATM_Conf!$C$5*(AA55-AJ55)</f>
        <v>#DIV/0!</v>
      </c>
      <c r="S56" s="45" t="e">
        <f>S55+ATM_Conf!$C$5*(AB55-AK55)</f>
        <v>#DIV/0!</v>
      </c>
      <c r="T56" s="45"/>
      <c r="U56" s="45"/>
      <c r="V56" s="45"/>
      <c r="W56" s="45"/>
      <c r="X56" s="45"/>
      <c r="Y56" s="45"/>
      <c r="Z56" s="45"/>
      <c r="AA56" s="45"/>
      <c r="AB56" s="45"/>
      <c r="AC56" s="45" t="e">
        <f t="shared" si="2"/>
        <v>#DIV/0!</v>
      </c>
      <c r="AD56" s="45" t="e">
        <f t="shared" si="3"/>
        <v>#DIV/0!</v>
      </c>
      <c r="AE56" s="45" t="e">
        <f t="shared" si="4"/>
        <v>#DIV/0!</v>
      </c>
      <c r="AF56" s="45" t="e">
        <f t="shared" si="5"/>
        <v>#DIV/0!</v>
      </c>
      <c r="AG56" s="45" t="e">
        <f t="shared" si="6"/>
        <v>#DIV/0!</v>
      </c>
      <c r="AH56" s="45" t="e">
        <f t="shared" si="7"/>
        <v>#DIV/0!</v>
      </c>
      <c r="AI56" s="45" t="e">
        <f t="shared" si="8"/>
        <v>#DIV/0!</v>
      </c>
      <c r="AJ56" s="45" t="e">
        <f t="shared" si="9"/>
        <v>#DIV/0!</v>
      </c>
      <c r="AK56" s="45" t="e">
        <f t="shared" si="10"/>
        <v>#DIV/0!</v>
      </c>
      <c r="AL56" s="45" t="e">
        <f>T$3+K56/ATM_Conf!$C$5</f>
        <v>#DIV/0!</v>
      </c>
      <c r="AM56" s="45" t="e">
        <f>U$3+L56/ATM_Conf!$C$5</f>
        <v>#DIV/0!</v>
      </c>
      <c r="AN56" s="45" t="e">
        <f>V$3+M56/ATM_Conf!$C$5</f>
        <v>#DIV/0!</v>
      </c>
      <c r="AO56" s="45" t="e">
        <f>W$3+N56/ATM_Conf!$C$5</f>
        <v>#DIV/0!</v>
      </c>
      <c r="AP56" s="45" t="e">
        <f>X$3+O56/ATM_Conf!$C$5</f>
        <v>#DIV/0!</v>
      </c>
      <c r="AQ56" s="45" t="e">
        <f>Y$3+P56/ATM_Conf!$C$5</f>
        <v>#DIV/0!</v>
      </c>
      <c r="AR56" s="45" t="e">
        <f>Z$3+Q56/ATM_Conf!$C$5</f>
        <v>#DIV/0!</v>
      </c>
      <c r="AS56" s="45" t="e">
        <f>AA$3+R56/ATM_Conf!$C$5</f>
        <v>#DIV/0!</v>
      </c>
      <c r="AT56" s="45" t="e">
        <f>AB$3+S56/ATM_Conf!$C$5</f>
        <v>#DIV/0!</v>
      </c>
      <c r="AU56" s="45" t="e">
        <f>BD$3*MIN(1,(ATM_Conf!$C$6-Links!F56)/(ATM_Conf!$C$6-ATM_Conf!$C$7))</f>
        <v>#DIV/0!</v>
      </c>
      <c r="AV56" s="45" t="e">
        <f>BE$3*MIN(1,(ATM_Conf!$C$6-Links!G56)/(ATM_Conf!$C$6-ATM_Conf!$C$7))</f>
        <v>#DIV/0!</v>
      </c>
      <c r="AW56" s="45" t="e">
        <f>BF$3*MIN(1,(ATM_Conf!$C$6-Links!H56)/(ATM_Conf!$C$6-ATM_Conf!$C$7))</f>
        <v>#DIV/0!</v>
      </c>
      <c r="AX56" s="45" t="e">
        <f>BG$3*MIN(1,(ATM_Conf!$C$6-Links!I56)/(ATM_Conf!$C$6-ATM_Conf!$C$7))</f>
        <v>#DIV/0!</v>
      </c>
      <c r="AY56" s="45" t="e">
        <f>BH$3*MIN(1,(ATM_Conf!$C$6-Links!J56)/(ATM_Conf!$C$6-ATM_Conf!$C$7))</f>
        <v>#DIV/0!</v>
      </c>
      <c r="AZ56" s="45" t="e">
        <f>BI$3*MIN(1,(ATM_Conf!$C$6-Links!K56)/(ATM_Conf!$C$6-ATM_Conf!$C$7))</f>
        <v>#DIV/0!</v>
      </c>
      <c r="BA56" s="45" t="e">
        <f>BJ$3*MIN(1,(ATM_Conf!$C$6-Links!L56)/(ATM_Conf!$C$6-ATM_Conf!$C$7))</f>
        <v>#DIV/0!</v>
      </c>
      <c r="BB56" s="45" t="e">
        <f>BK$3*MIN(1,(ATM_Conf!$C$6-Links!M56)/(ATM_Conf!$C$6-ATM_Conf!$C$7))</f>
        <v>#DIV/0!</v>
      </c>
      <c r="BC56" s="45" t="e">
        <f>BL$3*MIN(1,(ATM_Conf!$C$6-Links!N56)/(ATM_Conf!$C$6-ATM_Conf!$C$7))</f>
        <v>#DIV/0!</v>
      </c>
      <c r="BD56" s="45"/>
      <c r="BE56" s="45"/>
      <c r="BF56" s="45"/>
      <c r="BG56" s="45"/>
      <c r="BH56" s="45"/>
      <c r="BI56" s="45"/>
      <c r="BJ56" s="45"/>
      <c r="BK56" s="45"/>
      <c r="BL56" s="45"/>
      <c r="BM56" s="53"/>
      <c r="BN56" s="53"/>
      <c r="BO56" s="53"/>
      <c r="BP56" s="53"/>
      <c r="BQ56" s="53"/>
      <c r="BR56" s="53"/>
      <c r="BS56" s="53"/>
      <c r="BT56" s="53"/>
      <c r="BU56" s="53"/>
      <c r="BV56" s="53" t="e">
        <f t="shared" si="11"/>
        <v>#DIV/0!</v>
      </c>
      <c r="BW56" s="53" t="e">
        <f t="shared" si="12"/>
        <v>#DIV/0!</v>
      </c>
      <c r="BX56" s="53" t="e">
        <f t="shared" si="13"/>
        <v>#DIV/0!</v>
      </c>
      <c r="BY56" s="53" t="e">
        <f t="shared" si="14"/>
        <v>#DIV/0!</v>
      </c>
      <c r="BZ56" s="53" t="e">
        <f t="shared" si="15"/>
        <v>#DIV/0!</v>
      </c>
      <c r="CA56" s="53" t="e">
        <f t="shared" si="16"/>
        <v>#DIV/0!</v>
      </c>
      <c r="CB56" s="53" t="e">
        <f t="shared" si="17"/>
        <v>#DIV/0!</v>
      </c>
      <c r="CC56" s="53" t="e">
        <f t="shared" si="18"/>
        <v>#DIV/0!</v>
      </c>
      <c r="CD56" s="53" t="e">
        <f t="shared" si="19"/>
        <v>#DIV/0!</v>
      </c>
      <c r="CE56" s="55">
        <f t="shared" si="29"/>
        <v>0</v>
      </c>
      <c r="CF56" s="55">
        <f t="shared" si="29"/>
        <v>0</v>
      </c>
      <c r="CG56" s="55">
        <f t="shared" si="29"/>
        <v>0</v>
      </c>
      <c r="CH56" s="55">
        <f t="shared" si="29"/>
        <v>0</v>
      </c>
      <c r="CI56" s="55">
        <f t="shared" si="29"/>
        <v>0</v>
      </c>
      <c r="CJ56" s="55">
        <f t="shared" si="29"/>
        <v>0</v>
      </c>
      <c r="CK56" s="55">
        <f t="shared" si="29"/>
        <v>0</v>
      </c>
      <c r="CL56" s="55">
        <f t="shared" si="29"/>
        <v>0</v>
      </c>
      <c r="CM56" s="55">
        <f t="shared" si="29"/>
        <v>0</v>
      </c>
    </row>
    <row r="57" spans="1:91" x14ac:dyDescent="0.15">
      <c r="A57" s="42">
        <v>55</v>
      </c>
      <c r="B57" s="45">
        <f t="shared" si="35"/>
        <v>1</v>
      </c>
      <c r="C57" s="45">
        <f t="shared" si="34"/>
        <v>1</v>
      </c>
      <c r="D57" s="45">
        <f t="shared" si="34"/>
        <v>1</v>
      </c>
      <c r="E57" s="45">
        <f t="shared" si="34"/>
        <v>1</v>
      </c>
      <c r="F57" s="45">
        <f t="shared" si="34"/>
        <v>1</v>
      </c>
      <c r="G57" s="45">
        <f t="shared" si="34"/>
        <v>1</v>
      </c>
      <c r="H57" s="45">
        <f t="shared" si="34"/>
        <v>1</v>
      </c>
      <c r="I57" s="45">
        <f t="shared" si="34"/>
        <v>1</v>
      </c>
      <c r="J57" s="45">
        <f t="shared" si="34"/>
        <v>1</v>
      </c>
      <c r="K57" s="45" t="e">
        <f>K56+ATM_Conf!$C$5*(T56-AC56)</f>
        <v>#DIV/0!</v>
      </c>
      <c r="L57" s="45" t="e">
        <f>L56+ATM_Conf!$C$5*(U56-AD56)</f>
        <v>#DIV/0!</v>
      </c>
      <c r="M57" s="45" t="e">
        <f>M56+ATM_Conf!$C$5*(V56-AE56)</f>
        <v>#DIV/0!</v>
      </c>
      <c r="N57" s="45" t="e">
        <f>N56+ATM_Conf!$C$5*(W56-AF56)</f>
        <v>#DIV/0!</v>
      </c>
      <c r="O57" s="45" t="e">
        <f>O56+ATM_Conf!$C$5*(X56-AG56)</f>
        <v>#DIV/0!</v>
      </c>
      <c r="P57" s="45" t="e">
        <f>P56+ATM_Conf!$C$5*(Y56-AH56)</f>
        <v>#DIV/0!</v>
      </c>
      <c r="Q57" s="45" t="e">
        <f>Q56+ATM_Conf!$C$5*(Z56-AI56)</f>
        <v>#DIV/0!</v>
      </c>
      <c r="R57" s="45" t="e">
        <f>R56+ATM_Conf!$C$5*(AA56-AJ56)</f>
        <v>#DIV/0!</v>
      </c>
      <c r="S57" s="45" t="e">
        <f>S56+ATM_Conf!$C$5*(AB56-AK56)</f>
        <v>#DIV/0!</v>
      </c>
      <c r="T57" s="45"/>
      <c r="U57" s="45"/>
      <c r="V57" s="45"/>
      <c r="W57" s="45"/>
      <c r="X57" s="45"/>
      <c r="Y57" s="45"/>
      <c r="Z57" s="45"/>
      <c r="AA57" s="45"/>
      <c r="AB57" s="45"/>
      <c r="AC57" s="45" t="e">
        <f t="shared" si="2"/>
        <v>#DIV/0!</v>
      </c>
      <c r="AD57" s="45" t="e">
        <f t="shared" si="3"/>
        <v>#DIV/0!</v>
      </c>
      <c r="AE57" s="45" t="e">
        <f t="shared" si="4"/>
        <v>#DIV/0!</v>
      </c>
      <c r="AF57" s="45" t="e">
        <f t="shared" si="5"/>
        <v>#DIV/0!</v>
      </c>
      <c r="AG57" s="45" t="e">
        <f t="shared" si="6"/>
        <v>#DIV/0!</v>
      </c>
      <c r="AH57" s="45" t="e">
        <f t="shared" si="7"/>
        <v>#DIV/0!</v>
      </c>
      <c r="AI57" s="45" t="e">
        <f t="shared" si="8"/>
        <v>#DIV/0!</v>
      </c>
      <c r="AJ57" s="45" t="e">
        <f t="shared" si="9"/>
        <v>#DIV/0!</v>
      </c>
      <c r="AK57" s="45" t="e">
        <f t="shared" si="10"/>
        <v>#DIV/0!</v>
      </c>
      <c r="AL57" s="45" t="e">
        <f>T$3+K57/ATM_Conf!$C$5</f>
        <v>#DIV/0!</v>
      </c>
      <c r="AM57" s="45" t="e">
        <f>U$3+L57/ATM_Conf!$C$5</f>
        <v>#DIV/0!</v>
      </c>
      <c r="AN57" s="45" t="e">
        <f>V$3+M57/ATM_Conf!$C$5</f>
        <v>#DIV/0!</v>
      </c>
      <c r="AO57" s="45" t="e">
        <f>W$3+N57/ATM_Conf!$C$5</f>
        <v>#DIV/0!</v>
      </c>
      <c r="AP57" s="45" t="e">
        <f>X$3+O57/ATM_Conf!$C$5</f>
        <v>#DIV/0!</v>
      </c>
      <c r="AQ57" s="45" t="e">
        <f>Y$3+P57/ATM_Conf!$C$5</f>
        <v>#DIV/0!</v>
      </c>
      <c r="AR57" s="45" t="e">
        <f>Z$3+Q57/ATM_Conf!$C$5</f>
        <v>#DIV/0!</v>
      </c>
      <c r="AS57" s="45" t="e">
        <f>AA$3+R57/ATM_Conf!$C$5</f>
        <v>#DIV/0!</v>
      </c>
      <c r="AT57" s="45" t="e">
        <f>AB$3+S57/ATM_Conf!$C$5</f>
        <v>#DIV/0!</v>
      </c>
      <c r="AU57" s="45" t="e">
        <f>BD$3*MIN(1,(ATM_Conf!$C$6-Links!F57)/(ATM_Conf!$C$6-ATM_Conf!$C$7))</f>
        <v>#DIV/0!</v>
      </c>
      <c r="AV57" s="45" t="e">
        <f>BE$3*MIN(1,(ATM_Conf!$C$6-Links!G57)/(ATM_Conf!$C$6-ATM_Conf!$C$7))</f>
        <v>#DIV/0!</v>
      </c>
      <c r="AW57" s="45" t="e">
        <f>BF$3*MIN(1,(ATM_Conf!$C$6-Links!H57)/(ATM_Conf!$C$6-ATM_Conf!$C$7))</f>
        <v>#DIV/0!</v>
      </c>
      <c r="AX57" s="45" t="e">
        <f>BG$3*MIN(1,(ATM_Conf!$C$6-Links!I57)/(ATM_Conf!$C$6-ATM_Conf!$C$7))</f>
        <v>#DIV/0!</v>
      </c>
      <c r="AY57" s="45" t="e">
        <f>BH$3*MIN(1,(ATM_Conf!$C$6-Links!J57)/(ATM_Conf!$C$6-ATM_Conf!$C$7))</f>
        <v>#DIV/0!</v>
      </c>
      <c r="AZ57" s="45" t="e">
        <f>BI$3*MIN(1,(ATM_Conf!$C$6-Links!K57)/(ATM_Conf!$C$6-ATM_Conf!$C$7))</f>
        <v>#DIV/0!</v>
      </c>
      <c r="BA57" s="45" t="e">
        <f>BJ$3*MIN(1,(ATM_Conf!$C$6-Links!L57)/(ATM_Conf!$C$6-ATM_Conf!$C$7))</f>
        <v>#DIV/0!</v>
      </c>
      <c r="BB57" s="45" t="e">
        <f>BK$3*MIN(1,(ATM_Conf!$C$6-Links!M57)/(ATM_Conf!$C$6-ATM_Conf!$C$7))</f>
        <v>#DIV/0!</v>
      </c>
      <c r="BC57" s="45" t="e">
        <f>BL$3*MIN(1,(ATM_Conf!$C$6-Links!N57)/(ATM_Conf!$C$6-ATM_Conf!$C$7))</f>
        <v>#DIV/0!</v>
      </c>
      <c r="BD57" s="45"/>
      <c r="BE57" s="45"/>
      <c r="BF57" s="45"/>
      <c r="BG57" s="45"/>
      <c r="BH57" s="45"/>
      <c r="BI57" s="45"/>
      <c r="BJ57" s="45"/>
      <c r="BK57" s="45"/>
      <c r="BL57" s="45"/>
      <c r="BM57" s="53"/>
      <c r="BN57" s="53"/>
      <c r="BO57" s="53"/>
      <c r="BP57" s="53"/>
      <c r="BQ57" s="53"/>
      <c r="BR57" s="53"/>
      <c r="BS57" s="53"/>
      <c r="BT57" s="53"/>
      <c r="BU57" s="53"/>
      <c r="BV57" s="53" t="e">
        <f t="shared" si="11"/>
        <v>#DIV/0!</v>
      </c>
      <c r="BW57" s="53" t="e">
        <f t="shared" si="12"/>
        <v>#DIV/0!</v>
      </c>
      <c r="BX57" s="53" t="e">
        <f t="shared" si="13"/>
        <v>#DIV/0!</v>
      </c>
      <c r="BY57" s="53" t="e">
        <f t="shared" si="14"/>
        <v>#DIV/0!</v>
      </c>
      <c r="BZ57" s="53" t="e">
        <f t="shared" si="15"/>
        <v>#DIV/0!</v>
      </c>
      <c r="CA57" s="53" t="e">
        <f t="shared" si="16"/>
        <v>#DIV/0!</v>
      </c>
      <c r="CB57" s="53" t="e">
        <f t="shared" si="17"/>
        <v>#DIV/0!</v>
      </c>
      <c r="CC57" s="53" t="e">
        <f t="shared" si="18"/>
        <v>#DIV/0!</v>
      </c>
      <c r="CD57" s="53" t="e">
        <f t="shared" si="19"/>
        <v>#DIV/0!</v>
      </c>
      <c r="CE57" s="55">
        <f t="shared" si="29"/>
        <v>0</v>
      </c>
      <c r="CF57" s="55">
        <f t="shared" si="29"/>
        <v>0</v>
      </c>
      <c r="CG57" s="55">
        <f t="shared" si="29"/>
        <v>0</v>
      </c>
      <c r="CH57" s="55">
        <f t="shared" si="29"/>
        <v>0</v>
      </c>
      <c r="CI57" s="55">
        <f t="shared" si="29"/>
        <v>0</v>
      </c>
      <c r="CJ57" s="55">
        <f t="shared" si="29"/>
        <v>0</v>
      </c>
      <c r="CK57" s="55">
        <f t="shared" si="29"/>
        <v>0</v>
      </c>
      <c r="CL57" s="55">
        <f t="shared" si="29"/>
        <v>0</v>
      </c>
      <c r="CM57" s="55">
        <f t="shared" si="29"/>
        <v>0</v>
      </c>
    </row>
    <row r="58" spans="1:91" x14ac:dyDescent="0.15">
      <c r="A58" s="42">
        <v>56</v>
      </c>
      <c r="B58" s="45">
        <f t="shared" si="35"/>
        <v>1</v>
      </c>
      <c r="C58" s="45">
        <f t="shared" si="34"/>
        <v>1</v>
      </c>
      <c r="D58" s="45">
        <f t="shared" si="34"/>
        <v>1</v>
      </c>
      <c r="E58" s="45">
        <f t="shared" si="34"/>
        <v>1</v>
      </c>
      <c r="F58" s="45">
        <f t="shared" si="34"/>
        <v>1</v>
      </c>
      <c r="G58" s="45">
        <f t="shared" si="34"/>
        <v>1</v>
      </c>
      <c r="H58" s="45">
        <f t="shared" si="34"/>
        <v>1</v>
      </c>
      <c r="I58" s="45">
        <f t="shared" si="34"/>
        <v>1</v>
      </c>
      <c r="J58" s="45">
        <f t="shared" si="34"/>
        <v>1</v>
      </c>
      <c r="K58" s="45" t="e">
        <f>K57+ATM_Conf!$C$5*(T57-AC57)</f>
        <v>#DIV/0!</v>
      </c>
      <c r="L58" s="45" t="e">
        <f>L57+ATM_Conf!$C$5*(U57-AD57)</f>
        <v>#DIV/0!</v>
      </c>
      <c r="M58" s="45" t="e">
        <f>M57+ATM_Conf!$C$5*(V57-AE57)</f>
        <v>#DIV/0!</v>
      </c>
      <c r="N58" s="45" t="e">
        <f>N57+ATM_Conf!$C$5*(W57-AF57)</f>
        <v>#DIV/0!</v>
      </c>
      <c r="O58" s="45" t="e">
        <f>O57+ATM_Conf!$C$5*(X57-AG57)</f>
        <v>#DIV/0!</v>
      </c>
      <c r="P58" s="45" t="e">
        <f>P57+ATM_Conf!$C$5*(Y57-AH57)</f>
        <v>#DIV/0!</v>
      </c>
      <c r="Q58" s="45" t="e">
        <f>Q57+ATM_Conf!$C$5*(Z57-AI57)</f>
        <v>#DIV/0!</v>
      </c>
      <c r="R58" s="45" t="e">
        <f>R57+ATM_Conf!$C$5*(AA57-AJ57)</f>
        <v>#DIV/0!</v>
      </c>
      <c r="S58" s="45" t="e">
        <f>S57+ATM_Conf!$C$5*(AB57-AK57)</f>
        <v>#DIV/0!</v>
      </c>
      <c r="T58" s="45"/>
      <c r="U58" s="45"/>
      <c r="V58" s="45"/>
      <c r="W58" s="45"/>
      <c r="X58" s="45"/>
      <c r="Y58" s="45"/>
      <c r="Z58" s="45"/>
      <c r="AA58" s="45"/>
      <c r="AB58" s="45"/>
      <c r="AC58" s="45" t="e">
        <f t="shared" si="2"/>
        <v>#DIV/0!</v>
      </c>
      <c r="AD58" s="45" t="e">
        <f t="shared" si="3"/>
        <v>#DIV/0!</v>
      </c>
      <c r="AE58" s="45" t="e">
        <f t="shared" si="4"/>
        <v>#DIV/0!</v>
      </c>
      <c r="AF58" s="45" t="e">
        <f t="shared" si="5"/>
        <v>#DIV/0!</v>
      </c>
      <c r="AG58" s="45" t="e">
        <f t="shared" si="6"/>
        <v>#DIV/0!</v>
      </c>
      <c r="AH58" s="45" t="e">
        <f t="shared" si="7"/>
        <v>#DIV/0!</v>
      </c>
      <c r="AI58" s="45" t="e">
        <f t="shared" si="8"/>
        <v>#DIV/0!</v>
      </c>
      <c r="AJ58" s="45" t="e">
        <f t="shared" si="9"/>
        <v>#DIV/0!</v>
      </c>
      <c r="AK58" s="45" t="e">
        <f t="shared" si="10"/>
        <v>#DIV/0!</v>
      </c>
      <c r="AL58" s="45" t="e">
        <f>T$3+K58/ATM_Conf!$C$5</f>
        <v>#DIV/0!</v>
      </c>
      <c r="AM58" s="45" t="e">
        <f>U$3+L58/ATM_Conf!$C$5</f>
        <v>#DIV/0!</v>
      </c>
      <c r="AN58" s="45" t="e">
        <f>V$3+M58/ATM_Conf!$C$5</f>
        <v>#DIV/0!</v>
      </c>
      <c r="AO58" s="45" t="e">
        <f>W$3+N58/ATM_Conf!$C$5</f>
        <v>#DIV/0!</v>
      </c>
      <c r="AP58" s="45" t="e">
        <f>X$3+O58/ATM_Conf!$C$5</f>
        <v>#DIV/0!</v>
      </c>
      <c r="AQ58" s="45" t="e">
        <f>Y$3+P58/ATM_Conf!$C$5</f>
        <v>#DIV/0!</v>
      </c>
      <c r="AR58" s="45" t="e">
        <f>Z$3+Q58/ATM_Conf!$C$5</f>
        <v>#DIV/0!</v>
      </c>
      <c r="AS58" s="45" t="e">
        <f>AA$3+R58/ATM_Conf!$C$5</f>
        <v>#DIV/0!</v>
      </c>
      <c r="AT58" s="45" t="e">
        <f>AB$3+S58/ATM_Conf!$C$5</f>
        <v>#DIV/0!</v>
      </c>
      <c r="AU58" s="45" t="e">
        <f>BD$3*MIN(1,(ATM_Conf!$C$6-Links!F58)/(ATM_Conf!$C$6-ATM_Conf!$C$7))</f>
        <v>#DIV/0!</v>
      </c>
      <c r="AV58" s="45" t="e">
        <f>BE$3*MIN(1,(ATM_Conf!$C$6-Links!G58)/(ATM_Conf!$C$6-ATM_Conf!$C$7))</f>
        <v>#DIV/0!</v>
      </c>
      <c r="AW58" s="45" t="e">
        <f>BF$3*MIN(1,(ATM_Conf!$C$6-Links!H58)/(ATM_Conf!$C$6-ATM_Conf!$C$7))</f>
        <v>#DIV/0!</v>
      </c>
      <c r="AX58" s="45" t="e">
        <f>BG$3*MIN(1,(ATM_Conf!$C$6-Links!I58)/(ATM_Conf!$C$6-ATM_Conf!$C$7))</f>
        <v>#DIV/0!</v>
      </c>
      <c r="AY58" s="45" t="e">
        <f>BH$3*MIN(1,(ATM_Conf!$C$6-Links!J58)/(ATM_Conf!$C$6-ATM_Conf!$C$7))</f>
        <v>#DIV/0!</v>
      </c>
      <c r="AZ58" s="45" t="e">
        <f>BI$3*MIN(1,(ATM_Conf!$C$6-Links!K58)/(ATM_Conf!$C$6-ATM_Conf!$C$7))</f>
        <v>#DIV/0!</v>
      </c>
      <c r="BA58" s="45" t="e">
        <f>BJ$3*MIN(1,(ATM_Conf!$C$6-Links!L58)/(ATM_Conf!$C$6-ATM_Conf!$C$7))</f>
        <v>#DIV/0!</v>
      </c>
      <c r="BB58" s="45" t="e">
        <f>BK$3*MIN(1,(ATM_Conf!$C$6-Links!M58)/(ATM_Conf!$C$6-ATM_Conf!$C$7))</f>
        <v>#DIV/0!</v>
      </c>
      <c r="BC58" s="45" t="e">
        <f>BL$3*MIN(1,(ATM_Conf!$C$6-Links!N58)/(ATM_Conf!$C$6-ATM_Conf!$C$7))</f>
        <v>#DIV/0!</v>
      </c>
      <c r="BD58" s="45"/>
      <c r="BE58" s="45"/>
      <c r="BF58" s="45"/>
      <c r="BG58" s="45"/>
      <c r="BH58" s="45"/>
      <c r="BI58" s="45"/>
      <c r="BJ58" s="45"/>
      <c r="BK58" s="45"/>
      <c r="BL58" s="45"/>
      <c r="BM58" s="53"/>
      <c r="BN58" s="53"/>
      <c r="BO58" s="53"/>
      <c r="BP58" s="53"/>
      <c r="BQ58" s="53"/>
      <c r="BR58" s="53"/>
      <c r="BS58" s="53"/>
      <c r="BT58" s="53"/>
      <c r="BU58" s="53"/>
      <c r="BV58" s="53" t="e">
        <f t="shared" si="11"/>
        <v>#DIV/0!</v>
      </c>
      <c r="BW58" s="53" t="e">
        <f t="shared" si="12"/>
        <v>#DIV/0!</v>
      </c>
      <c r="BX58" s="53" t="e">
        <f t="shared" si="13"/>
        <v>#DIV/0!</v>
      </c>
      <c r="BY58" s="53" t="e">
        <f t="shared" si="14"/>
        <v>#DIV/0!</v>
      </c>
      <c r="BZ58" s="53" t="e">
        <f t="shared" si="15"/>
        <v>#DIV/0!</v>
      </c>
      <c r="CA58" s="53" t="e">
        <f t="shared" si="16"/>
        <v>#DIV/0!</v>
      </c>
      <c r="CB58" s="53" t="e">
        <f t="shared" si="17"/>
        <v>#DIV/0!</v>
      </c>
      <c r="CC58" s="53" t="e">
        <f t="shared" si="18"/>
        <v>#DIV/0!</v>
      </c>
      <c r="CD58" s="53" t="e">
        <f t="shared" si="19"/>
        <v>#DIV/0!</v>
      </c>
      <c r="CE58" s="55">
        <f t="shared" si="29"/>
        <v>0</v>
      </c>
      <c r="CF58" s="55">
        <f t="shared" si="29"/>
        <v>0</v>
      </c>
      <c r="CG58" s="55">
        <f t="shared" si="29"/>
        <v>0</v>
      </c>
      <c r="CH58" s="55">
        <f t="shared" si="29"/>
        <v>0</v>
      </c>
      <c r="CI58" s="55">
        <f t="shared" si="29"/>
        <v>0</v>
      </c>
      <c r="CJ58" s="55">
        <f t="shared" si="29"/>
        <v>0</v>
      </c>
      <c r="CK58" s="55">
        <f t="shared" si="29"/>
        <v>0</v>
      </c>
      <c r="CL58" s="55">
        <f t="shared" si="29"/>
        <v>0</v>
      </c>
      <c r="CM58" s="55">
        <f t="shared" si="29"/>
        <v>0</v>
      </c>
    </row>
    <row r="59" spans="1:91" x14ac:dyDescent="0.15">
      <c r="A59" s="42">
        <v>57</v>
      </c>
      <c r="B59" s="45">
        <f t="shared" si="35"/>
        <v>1</v>
      </c>
      <c r="C59" s="45">
        <f t="shared" si="34"/>
        <v>1</v>
      </c>
      <c r="D59" s="45">
        <f t="shared" si="34"/>
        <v>1</v>
      </c>
      <c r="E59" s="45">
        <f t="shared" si="34"/>
        <v>1</v>
      </c>
      <c r="F59" s="45">
        <f t="shared" si="34"/>
        <v>1</v>
      </c>
      <c r="G59" s="45">
        <f t="shared" si="34"/>
        <v>1</v>
      </c>
      <c r="H59" s="45">
        <f t="shared" si="34"/>
        <v>1</v>
      </c>
      <c r="I59" s="45">
        <f t="shared" si="34"/>
        <v>1</v>
      </c>
      <c r="J59" s="45">
        <f t="shared" si="34"/>
        <v>1</v>
      </c>
      <c r="K59" s="45" t="e">
        <f>K58+ATM_Conf!$C$5*(T58-AC58)</f>
        <v>#DIV/0!</v>
      </c>
      <c r="L59" s="45" t="e">
        <f>L58+ATM_Conf!$C$5*(U58-AD58)</f>
        <v>#DIV/0!</v>
      </c>
      <c r="M59" s="45" t="e">
        <f>M58+ATM_Conf!$C$5*(V58-AE58)</f>
        <v>#DIV/0!</v>
      </c>
      <c r="N59" s="45" t="e">
        <f>N58+ATM_Conf!$C$5*(W58-AF58)</f>
        <v>#DIV/0!</v>
      </c>
      <c r="O59" s="45" t="e">
        <f>O58+ATM_Conf!$C$5*(X58-AG58)</f>
        <v>#DIV/0!</v>
      </c>
      <c r="P59" s="45" t="e">
        <f>P58+ATM_Conf!$C$5*(Y58-AH58)</f>
        <v>#DIV/0!</v>
      </c>
      <c r="Q59" s="45" t="e">
        <f>Q58+ATM_Conf!$C$5*(Z58-AI58)</f>
        <v>#DIV/0!</v>
      </c>
      <c r="R59" s="45" t="e">
        <f>R58+ATM_Conf!$C$5*(AA58-AJ58)</f>
        <v>#DIV/0!</v>
      </c>
      <c r="S59" s="45" t="e">
        <f>S58+ATM_Conf!$C$5*(AB58-AK58)</f>
        <v>#DIV/0!</v>
      </c>
      <c r="T59" s="45"/>
      <c r="U59" s="45"/>
      <c r="V59" s="45"/>
      <c r="W59" s="45"/>
      <c r="X59" s="45"/>
      <c r="Y59" s="45"/>
      <c r="Z59" s="45"/>
      <c r="AA59" s="45"/>
      <c r="AB59" s="45"/>
      <c r="AC59" s="45" t="e">
        <f t="shared" si="2"/>
        <v>#DIV/0!</v>
      </c>
      <c r="AD59" s="45" t="e">
        <f t="shared" si="3"/>
        <v>#DIV/0!</v>
      </c>
      <c r="AE59" s="45" t="e">
        <f t="shared" si="4"/>
        <v>#DIV/0!</v>
      </c>
      <c r="AF59" s="45" t="e">
        <f t="shared" si="5"/>
        <v>#DIV/0!</v>
      </c>
      <c r="AG59" s="45" t="e">
        <f t="shared" si="6"/>
        <v>#DIV/0!</v>
      </c>
      <c r="AH59" s="45" t="e">
        <f t="shared" si="7"/>
        <v>#DIV/0!</v>
      </c>
      <c r="AI59" s="45" t="e">
        <f t="shared" si="8"/>
        <v>#DIV/0!</v>
      </c>
      <c r="AJ59" s="45" t="e">
        <f t="shared" si="9"/>
        <v>#DIV/0!</v>
      </c>
      <c r="AK59" s="45" t="e">
        <f t="shared" si="10"/>
        <v>#DIV/0!</v>
      </c>
      <c r="AL59" s="45" t="e">
        <f>T$3+K59/ATM_Conf!$C$5</f>
        <v>#DIV/0!</v>
      </c>
      <c r="AM59" s="45" t="e">
        <f>U$3+L59/ATM_Conf!$C$5</f>
        <v>#DIV/0!</v>
      </c>
      <c r="AN59" s="45" t="e">
        <f>V$3+M59/ATM_Conf!$C$5</f>
        <v>#DIV/0!</v>
      </c>
      <c r="AO59" s="45" t="e">
        <f>W$3+N59/ATM_Conf!$C$5</f>
        <v>#DIV/0!</v>
      </c>
      <c r="AP59" s="45" t="e">
        <f>X$3+O59/ATM_Conf!$C$5</f>
        <v>#DIV/0!</v>
      </c>
      <c r="AQ59" s="45" t="e">
        <f>Y$3+P59/ATM_Conf!$C$5</f>
        <v>#DIV/0!</v>
      </c>
      <c r="AR59" s="45" t="e">
        <f>Z$3+Q59/ATM_Conf!$C$5</f>
        <v>#DIV/0!</v>
      </c>
      <c r="AS59" s="45" t="e">
        <f>AA$3+R59/ATM_Conf!$C$5</f>
        <v>#DIV/0!</v>
      </c>
      <c r="AT59" s="45" t="e">
        <f>AB$3+S59/ATM_Conf!$C$5</f>
        <v>#DIV/0!</v>
      </c>
      <c r="AU59" s="45" t="e">
        <f>BD$3*MIN(1,(ATM_Conf!$C$6-Links!F59)/(ATM_Conf!$C$6-ATM_Conf!$C$7))</f>
        <v>#DIV/0!</v>
      </c>
      <c r="AV59" s="45" t="e">
        <f>BE$3*MIN(1,(ATM_Conf!$C$6-Links!G59)/(ATM_Conf!$C$6-ATM_Conf!$C$7))</f>
        <v>#DIV/0!</v>
      </c>
      <c r="AW59" s="45" t="e">
        <f>BF$3*MIN(1,(ATM_Conf!$C$6-Links!H59)/(ATM_Conf!$C$6-ATM_Conf!$C$7))</f>
        <v>#DIV/0!</v>
      </c>
      <c r="AX59" s="45" t="e">
        <f>BG$3*MIN(1,(ATM_Conf!$C$6-Links!I59)/(ATM_Conf!$C$6-ATM_Conf!$C$7))</f>
        <v>#DIV/0!</v>
      </c>
      <c r="AY59" s="45" t="e">
        <f>BH$3*MIN(1,(ATM_Conf!$C$6-Links!J59)/(ATM_Conf!$C$6-ATM_Conf!$C$7))</f>
        <v>#DIV/0!</v>
      </c>
      <c r="AZ59" s="45" t="e">
        <f>BI$3*MIN(1,(ATM_Conf!$C$6-Links!K59)/(ATM_Conf!$C$6-ATM_Conf!$C$7))</f>
        <v>#DIV/0!</v>
      </c>
      <c r="BA59" s="45" t="e">
        <f>BJ$3*MIN(1,(ATM_Conf!$C$6-Links!L59)/(ATM_Conf!$C$6-ATM_Conf!$C$7))</f>
        <v>#DIV/0!</v>
      </c>
      <c r="BB59" s="45" t="e">
        <f>BK$3*MIN(1,(ATM_Conf!$C$6-Links!M59)/(ATM_Conf!$C$6-ATM_Conf!$C$7))</f>
        <v>#DIV/0!</v>
      </c>
      <c r="BC59" s="45" t="e">
        <f>BL$3*MIN(1,(ATM_Conf!$C$6-Links!N59)/(ATM_Conf!$C$6-ATM_Conf!$C$7))</f>
        <v>#DIV/0!</v>
      </c>
      <c r="BD59" s="45"/>
      <c r="BE59" s="45"/>
      <c r="BF59" s="45"/>
      <c r="BG59" s="45"/>
      <c r="BH59" s="45"/>
      <c r="BI59" s="45"/>
      <c r="BJ59" s="45"/>
      <c r="BK59" s="45"/>
      <c r="BL59" s="45"/>
      <c r="BM59" s="53"/>
      <c r="BN59" s="53"/>
      <c r="BO59" s="53"/>
      <c r="BP59" s="53"/>
      <c r="BQ59" s="53"/>
      <c r="BR59" s="53"/>
      <c r="BS59" s="53"/>
      <c r="BT59" s="53"/>
      <c r="BU59" s="53"/>
      <c r="BV59" s="53" t="e">
        <f t="shared" si="11"/>
        <v>#DIV/0!</v>
      </c>
      <c r="BW59" s="53" t="e">
        <f t="shared" si="12"/>
        <v>#DIV/0!</v>
      </c>
      <c r="BX59" s="53" t="e">
        <f t="shared" si="13"/>
        <v>#DIV/0!</v>
      </c>
      <c r="BY59" s="53" t="e">
        <f t="shared" si="14"/>
        <v>#DIV/0!</v>
      </c>
      <c r="BZ59" s="53" t="e">
        <f t="shared" si="15"/>
        <v>#DIV/0!</v>
      </c>
      <c r="CA59" s="53" t="e">
        <f t="shared" si="16"/>
        <v>#DIV/0!</v>
      </c>
      <c r="CB59" s="53" t="e">
        <f t="shared" si="17"/>
        <v>#DIV/0!</v>
      </c>
      <c r="CC59" s="53" t="e">
        <f t="shared" si="18"/>
        <v>#DIV/0!</v>
      </c>
      <c r="CD59" s="53" t="e">
        <f t="shared" si="19"/>
        <v>#DIV/0!</v>
      </c>
      <c r="CE59" s="55">
        <f t="shared" si="29"/>
        <v>0</v>
      </c>
      <c r="CF59" s="55">
        <f t="shared" si="29"/>
        <v>0</v>
      </c>
      <c r="CG59" s="55">
        <f t="shared" si="29"/>
        <v>0</v>
      </c>
      <c r="CH59" s="55">
        <f t="shared" si="29"/>
        <v>0</v>
      </c>
      <c r="CI59" s="55">
        <f t="shared" si="29"/>
        <v>0</v>
      </c>
      <c r="CJ59" s="55">
        <f t="shared" si="29"/>
        <v>0</v>
      </c>
      <c r="CK59" s="55">
        <f t="shared" si="29"/>
        <v>0</v>
      </c>
      <c r="CL59" s="55">
        <f t="shared" si="29"/>
        <v>0</v>
      </c>
      <c r="CM59" s="55">
        <f t="shared" si="29"/>
        <v>0</v>
      </c>
    </row>
    <row r="60" spans="1:91" x14ac:dyDescent="0.15">
      <c r="A60" s="42">
        <v>58</v>
      </c>
      <c r="B60" s="45">
        <f t="shared" si="35"/>
        <v>1</v>
      </c>
      <c r="C60" s="45">
        <f t="shared" si="34"/>
        <v>1</v>
      </c>
      <c r="D60" s="45">
        <f t="shared" si="34"/>
        <v>1</v>
      </c>
      <c r="E60" s="45">
        <f t="shared" si="34"/>
        <v>1</v>
      </c>
      <c r="F60" s="45">
        <f t="shared" si="34"/>
        <v>1</v>
      </c>
      <c r="G60" s="45">
        <f t="shared" si="34"/>
        <v>1</v>
      </c>
      <c r="H60" s="45">
        <f t="shared" si="34"/>
        <v>1</v>
      </c>
      <c r="I60" s="45">
        <f t="shared" si="34"/>
        <v>1</v>
      </c>
      <c r="J60" s="45">
        <f t="shared" si="34"/>
        <v>1</v>
      </c>
      <c r="K60" s="45" t="e">
        <f>K59+ATM_Conf!$C$5*(T59-AC59)</f>
        <v>#DIV/0!</v>
      </c>
      <c r="L60" s="45" t="e">
        <f>L59+ATM_Conf!$C$5*(U59-AD59)</f>
        <v>#DIV/0!</v>
      </c>
      <c r="M60" s="45" t="e">
        <f>M59+ATM_Conf!$C$5*(V59-AE59)</f>
        <v>#DIV/0!</v>
      </c>
      <c r="N60" s="45" t="e">
        <f>N59+ATM_Conf!$C$5*(W59-AF59)</f>
        <v>#DIV/0!</v>
      </c>
      <c r="O60" s="45" t="e">
        <f>O59+ATM_Conf!$C$5*(X59-AG59)</f>
        <v>#DIV/0!</v>
      </c>
      <c r="P60" s="45" t="e">
        <f>P59+ATM_Conf!$C$5*(Y59-AH59)</f>
        <v>#DIV/0!</v>
      </c>
      <c r="Q60" s="45" t="e">
        <f>Q59+ATM_Conf!$C$5*(Z59-AI59)</f>
        <v>#DIV/0!</v>
      </c>
      <c r="R60" s="45" t="e">
        <f>R59+ATM_Conf!$C$5*(AA59-AJ59)</f>
        <v>#DIV/0!</v>
      </c>
      <c r="S60" s="45" t="e">
        <f>S59+ATM_Conf!$C$5*(AB59-AK59)</f>
        <v>#DIV/0!</v>
      </c>
      <c r="T60" s="45"/>
      <c r="U60" s="45"/>
      <c r="V60" s="45"/>
      <c r="W60" s="45"/>
      <c r="X60" s="45"/>
      <c r="Y60" s="45"/>
      <c r="Z60" s="45"/>
      <c r="AA60" s="45"/>
      <c r="AB60" s="45"/>
      <c r="AC60" s="45" t="e">
        <f t="shared" si="2"/>
        <v>#DIV/0!</v>
      </c>
      <c r="AD60" s="45" t="e">
        <f t="shared" si="3"/>
        <v>#DIV/0!</v>
      </c>
      <c r="AE60" s="45" t="e">
        <f t="shared" si="4"/>
        <v>#DIV/0!</v>
      </c>
      <c r="AF60" s="45" t="e">
        <f t="shared" si="5"/>
        <v>#DIV/0!</v>
      </c>
      <c r="AG60" s="45" t="e">
        <f t="shared" si="6"/>
        <v>#DIV/0!</v>
      </c>
      <c r="AH60" s="45" t="e">
        <f t="shared" si="7"/>
        <v>#DIV/0!</v>
      </c>
      <c r="AI60" s="45" t="e">
        <f t="shared" si="8"/>
        <v>#DIV/0!</v>
      </c>
      <c r="AJ60" s="45" t="e">
        <f t="shared" si="9"/>
        <v>#DIV/0!</v>
      </c>
      <c r="AK60" s="45" t="e">
        <f t="shared" si="10"/>
        <v>#DIV/0!</v>
      </c>
      <c r="AL60" s="45" t="e">
        <f>T$3+K60/ATM_Conf!$C$5</f>
        <v>#DIV/0!</v>
      </c>
      <c r="AM60" s="45" t="e">
        <f>U$3+L60/ATM_Conf!$C$5</f>
        <v>#DIV/0!</v>
      </c>
      <c r="AN60" s="45" t="e">
        <f>V$3+M60/ATM_Conf!$C$5</f>
        <v>#DIV/0!</v>
      </c>
      <c r="AO60" s="45" t="e">
        <f>W$3+N60/ATM_Conf!$C$5</f>
        <v>#DIV/0!</v>
      </c>
      <c r="AP60" s="45" t="e">
        <f>X$3+O60/ATM_Conf!$C$5</f>
        <v>#DIV/0!</v>
      </c>
      <c r="AQ60" s="45" t="e">
        <f>Y$3+P60/ATM_Conf!$C$5</f>
        <v>#DIV/0!</v>
      </c>
      <c r="AR60" s="45" t="e">
        <f>Z$3+Q60/ATM_Conf!$C$5</f>
        <v>#DIV/0!</v>
      </c>
      <c r="AS60" s="45" t="e">
        <f>AA$3+R60/ATM_Conf!$C$5</f>
        <v>#DIV/0!</v>
      </c>
      <c r="AT60" s="45" t="e">
        <f>AB$3+S60/ATM_Conf!$C$5</f>
        <v>#DIV/0!</v>
      </c>
      <c r="AU60" s="45" t="e">
        <f>BD$3*MIN(1,(ATM_Conf!$C$6-Links!F60)/(ATM_Conf!$C$6-ATM_Conf!$C$7))</f>
        <v>#DIV/0!</v>
      </c>
      <c r="AV60" s="45" t="e">
        <f>BE$3*MIN(1,(ATM_Conf!$C$6-Links!G60)/(ATM_Conf!$C$6-ATM_Conf!$C$7))</f>
        <v>#DIV/0!</v>
      </c>
      <c r="AW60" s="45" t="e">
        <f>BF$3*MIN(1,(ATM_Conf!$C$6-Links!H60)/(ATM_Conf!$C$6-ATM_Conf!$C$7))</f>
        <v>#DIV/0!</v>
      </c>
      <c r="AX60" s="45" t="e">
        <f>BG$3*MIN(1,(ATM_Conf!$C$6-Links!I60)/(ATM_Conf!$C$6-ATM_Conf!$C$7))</f>
        <v>#DIV/0!</v>
      </c>
      <c r="AY60" s="45" t="e">
        <f>BH$3*MIN(1,(ATM_Conf!$C$6-Links!J60)/(ATM_Conf!$C$6-ATM_Conf!$C$7))</f>
        <v>#DIV/0!</v>
      </c>
      <c r="AZ60" s="45" t="e">
        <f>BI$3*MIN(1,(ATM_Conf!$C$6-Links!K60)/(ATM_Conf!$C$6-ATM_Conf!$C$7))</f>
        <v>#DIV/0!</v>
      </c>
      <c r="BA60" s="45" t="e">
        <f>BJ$3*MIN(1,(ATM_Conf!$C$6-Links!L60)/(ATM_Conf!$C$6-ATM_Conf!$C$7))</f>
        <v>#DIV/0!</v>
      </c>
      <c r="BB60" s="45" t="e">
        <f>BK$3*MIN(1,(ATM_Conf!$C$6-Links!M60)/(ATM_Conf!$C$6-ATM_Conf!$C$7))</f>
        <v>#DIV/0!</v>
      </c>
      <c r="BC60" s="45" t="e">
        <f>BL$3*MIN(1,(ATM_Conf!$C$6-Links!N60)/(ATM_Conf!$C$6-ATM_Conf!$C$7))</f>
        <v>#DIV/0!</v>
      </c>
      <c r="BD60" s="45"/>
      <c r="BE60" s="45"/>
      <c r="BF60" s="45"/>
      <c r="BG60" s="45"/>
      <c r="BH60" s="45"/>
      <c r="BI60" s="45"/>
      <c r="BJ60" s="45"/>
      <c r="BK60" s="45"/>
      <c r="BL60" s="45"/>
      <c r="BM60" s="53"/>
      <c r="BN60" s="53"/>
      <c r="BO60" s="53"/>
      <c r="BP60" s="53"/>
      <c r="BQ60" s="53"/>
      <c r="BR60" s="53"/>
      <c r="BS60" s="53"/>
      <c r="BT60" s="53"/>
      <c r="BU60" s="53"/>
      <c r="BV60" s="53" t="e">
        <f t="shared" si="11"/>
        <v>#DIV/0!</v>
      </c>
      <c r="BW60" s="53" t="e">
        <f t="shared" si="12"/>
        <v>#DIV/0!</v>
      </c>
      <c r="BX60" s="53" t="e">
        <f t="shared" si="13"/>
        <v>#DIV/0!</v>
      </c>
      <c r="BY60" s="53" t="e">
        <f t="shared" si="14"/>
        <v>#DIV/0!</v>
      </c>
      <c r="BZ60" s="53" t="e">
        <f t="shared" si="15"/>
        <v>#DIV/0!</v>
      </c>
      <c r="CA60" s="53" t="e">
        <f t="shared" si="16"/>
        <v>#DIV/0!</v>
      </c>
      <c r="CB60" s="53" t="e">
        <f t="shared" si="17"/>
        <v>#DIV/0!</v>
      </c>
      <c r="CC60" s="53" t="e">
        <f t="shared" si="18"/>
        <v>#DIV/0!</v>
      </c>
      <c r="CD60" s="53" t="e">
        <f t="shared" si="19"/>
        <v>#DIV/0!</v>
      </c>
      <c r="CE60" s="55">
        <f t="shared" si="29"/>
        <v>0</v>
      </c>
      <c r="CF60" s="55">
        <f t="shared" si="29"/>
        <v>0</v>
      </c>
      <c r="CG60" s="55">
        <f t="shared" si="29"/>
        <v>0</v>
      </c>
      <c r="CH60" s="55">
        <f t="shared" si="29"/>
        <v>0</v>
      </c>
      <c r="CI60" s="55">
        <f t="shared" si="29"/>
        <v>0</v>
      </c>
      <c r="CJ60" s="55">
        <f t="shared" si="29"/>
        <v>0</v>
      </c>
      <c r="CK60" s="55">
        <f t="shared" si="29"/>
        <v>0</v>
      </c>
      <c r="CL60" s="55">
        <f t="shared" si="29"/>
        <v>0</v>
      </c>
      <c r="CM60" s="55">
        <f t="shared" si="29"/>
        <v>0</v>
      </c>
    </row>
    <row r="61" spans="1:91" x14ac:dyDescent="0.15">
      <c r="A61" s="42">
        <v>59</v>
      </c>
      <c r="B61" s="45">
        <f t="shared" si="35"/>
        <v>1</v>
      </c>
      <c r="C61" s="45">
        <f t="shared" si="34"/>
        <v>1</v>
      </c>
      <c r="D61" s="45">
        <f t="shared" si="34"/>
        <v>1</v>
      </c>
      <c r="E61" s="45">
        <f t="shared" si="34"/>
        <v>1</v>
      </c>
      <c r="F61" s="45">
        <f t="shared" si="34"/>
        <v>1</v>
      </c>
      <c r="G61" s="45">
        <f t="shared" si="34"/>
        <v>1</v>
      </c>
      <c r="H61" s="45">
        <f t="shared" si="34"/>
        <v>1</v>
      </c>
      <c r="I61" s="45">
        <f t="shared" si="34"/>
        <v>1</v>
      </c>
      <c r="J61" s="45">
        <f t="shared" si="34"/>
        <v>1</v>
      </c>
      <c r="K61" s="45" t="e">
        <f>K60+ATM_Conf!$C$5*(T60-AC60)</f>
        <v>#DIV/0!</v>
      </c>
      <c r="L61" s="45" t="e">
        <f>L60+ATM_Conf!$C$5*(U60-AD60)</f>
        <v>#DIV/0!</v>
      </c>
      <c r="M61" s="45" t="e">
        <f>M60+ATM_Conf!$C$5*(V60-AE60)</f>
        <v>#DIV/0!</v>
      </c>
      <c r="N61" s="45" t="e">
        <f>N60+ATM_Conf!$C$5*(W60-AF60)</f>
        <v>#DIV/0!</v>
      </c>
      <c r="O61" s="45" t="e">
        <f>O60+ATM_Conf!$C$5*(X60-AG60)</f>
        <v>#DIV/0!</v>
      </c>
      <c r="P61" s="45" t="e">
        <f>P60+ATM_Conf!$C$5*(Y60-AH60)</f>
        <v>#DIV/0!</v>
      </c>
      <c r="Q61" s="45" t="e">
        <f>Q60+ATM_Conf!$C$5*(Z60-AI60)</f>
        <v>#DIV/0!</v>
      </c>
      <c r="R61" s="45" t="e">
        <f>R60+ATM_Conf!$C$5*(AA60-AJ60)</f>
        <v>#DIV/0!</v>
      </c>
      <c r="S61" s="45" t="e">
        <f>S60+ATM_Conf!$C$5*(AB60-AK60)</f>
        <v>#DIV/0!</v>
      </c>
      <c r="T61" s="45"/>
      <c r="U61" s="45"/>
      <c r="V61" s="45"/>
      <c r="W61" s="45"/>
      <c r="X61" s="45"/>
      <c r="Y61" s="45"/>
      <c r="Z61" s="45"/>
      <c r="AA61" s="45"/>
      <c r="AB61" s="45"/>
      <c r="AC61" s="45" t="e">
        <f t="shared" si="2"/>
        <v>#DIV/0!</v>
      </c>
      <c r="AD61" s="45" t="e">
        <f t="shared" si="3"/>
        <v>#DIV/0!</v>
      </c>
      <c r="AE61" s="45" t="e">
        <f t="shared" si="4"/>
        <v>#DIV/0!</v>
      </c>
      <c r="AF61" s="45" t="e">
        <f t="shared" si="5"/>
        <v>#DIV/0!</v>
      </c>
      <c r="AG61" s="45" t="e">
        <f t="shared" si="6"/>
        <v>#DIV/0!</v>
      </c>
      <c r="AH61" s="45" t="e">
        <f t="shared" si="7"/>
        <v>#DIV/0!</v>
      </c>
      <c r="AI61" s="45" t="e">
        <f t="shared" si="8"/>
        <v>#DIV/0!</v>
      </c>
      <c r="AJ61" s="45" t="e">
        <f t="shared" si="9"/>
        <v>#DIV/0!</v>
      </c>
      <c r="AK61" s="45" t="e">
        <f t="shared" si="10"/>
        <v>#DIV/0!</v>
      </c>
      <c r="AL61" s="45" t="e">
        <f>T$3+K61/ATM_Conf!$C$5</f>
        <v>#DIV/0!</v>
      </c>
      <c r="AM61" s="45" t="e">
        <f>U$3+L61/ATM_Conf!$C$5</f>
        <v>#DIV/0!</v>
      </c>
      <c r="AN61" s="45" t="e">
        <f>V$3+M61/ATM_Conf!$C$5</f>
        <v>#DIV/0!</v>
      </c>
      <c r="AO61" s="45" t="e">
        <f>W$3+N61/ATM_Conf!$C$5</f>
        <v>#DIV/0!</v>
      </c>
      <c r="AP61" s="45" t="e">
        <f>X$3+O61/ATM_Conf!$C$5</f>
        <v>#DIV/0!</v>
      </c>
      <c r="AQ61" s="45" t="e">
        <f>Y$3+P61/ATM_Conf!$C$5</f>
        <v>#DIV/0!</v>
      </c>
      <c r="AR61" s="45" t="e">
        <f>Z$3+Q61/ATM_Conf!$C$5</f>
        <v>#DIV/0!</v>
      </c>
      <c r="AS61" s="45" t="e">
        <f>AA$3+R61/ATM_Conf!$C$5</f>
        <v>#DIV/0!</v>
      </c>
      <c r="AT61" s="45" t="e">
        <f>AB$3+S61/ATM_Conf!$C$5</f>
        <v>#DIV/0!</v>
      </c>
      <c r="AU61" s="45" t="e">
        <f>BD$3*MIN(1,(ATM_Conf!$C$6-Links!F61)/(ATM_Conf!$C$6-ATM_Conf!$C$7))</f>
        <v>#DIV/0!</v>
      </c>
      <c r="AV61" s="45" t="e">
        <f>BE$3*MIN(1,(ATM_Conf!$C$6-Links!G61)/(ATM_Conf!$C$6-ATM_Conf!$C$7))</f>
        <v>#DIV/0!</v>
      </c>
      <c r="AW61" s="45" t="e">
        <f>BF$3*MIN(1,(ATM_Conf!$C$6-Links!H61)/(ATM_Conf!$C$6-ATM_Conf!$C$7))</f>
        <v>#DIV/0!</v>
      </c>
      <c r="AX61" s="45" t="e">
        <f>BG$3*MIN(1,(ATM_Conf!$C$6-Links!I61)/(ATM_Conf!$C$6-ATM_Conf!$C$7))</f>
        <v>#DIV/0!</v>
      </c>
      <c r="AY61" s="45" t="e">
        <f>BH$3*MIN(1,(ATM_Conf!$C$6-Links!J61)/(ATM_Conf!$C$6-ATM_Conf!$C$7))</f>
        <v>#DIV/0!</v>
      </c>
      <c r="AZ61" s="45" t="e">
        <f>BI$3*MIN(1,(ATM_Conf!$C$6-Links!K61)/(ATM_Conf!$C$6-ATM_Conf!$C$7))</f>
        <v>#DIV/0!</v>
      </c>
      <c r="BA61" s="45" t="e">
        <f>BJ$3*MIN(1,(ATM_Conf!$C$6-Links!L61)/(ATM_Conf!$C$6-ATM_Conf!$C$7))</f>
        <v>#DIV/0!</v>
      </c>
      <c r="BB61" s="45" t="e">
        <f>BK$3*MIN(1,(ATM_Conf!$C$6-Links!M61)/(ATM_Conf!$C$6-ATM_Conf!$C$7))</f>
        <v>#DIV/0!</v>
      </c>
      <c r="BC61" s="45" t="e">
        <f>BL$3*MIN(1,(ATM_Conf!$C$6-Links!N61)/(ATM_Conf!$C$6-ATM_Conf!$C$7))</f>
        <v>#DIV/0!</v>
      </c>
      <c r="BD61" s="45"/>
      <c r="BE61" s="45"/>
      <c r="BF61" s="45"/>
      <c r="BG61" s="45"/>
      <c r="BH61" s="45"/>
      <c r="BI61" s="45"/>
      <c r="BJ61" s="45"/>
      <c r="BK61" s="45"/>
      <c r="BL61" s="45"/>
      <c r="BM61" s="53"/>
      <c r="BN61" s="53"/>
      <c r="BO61" s="53"/>
      <c r="BP61" s="53"/>
      <c r="BQ61" s="53"/>
      <c r="BR61" s="53"/>
      <c r="BS61" s="53"/>
      <c r="BT61" s="53"/>
      <c r="BU61" s="53"/>
      <c r="BV61" s="53" t="e">
        <f t="shared" si="11"/>
        <v>#DIV/0!</v>
      </c>
      <c r="BW61" s="53" t="e">
        <f t="shared" si="12"/>
        <v>#DIV/0!</v>
      </c>
      <c r="BX61" s="53" t="e">
        <f t="shared" si="13"/>
        <v>#DIV/0!</v>
      </c>
      <c r="BY61" s="53" t="e">
        <f t="shared" si="14"/>
        <v>#DIV/0!</v>
      </c>
      <c r="BZ61" s="53" t="e">
        <f t="shared" si="15"/>
        <v>#DIV/0!</v>
      </c>
      <c r="CA61" s="53" t="e">
        <f t="shared" si="16"/>
        <v>#DIV/0!</v>
      </c>
      <c r="CB61" s="53" t="e">
        <f t="shared" si="17"/>
        <v>#DIV/0!</v>
      </c>
      <c r="CC61" s="53" t="e">
        <f t="shared" si="18"/>
        <v>#DIV/0!</v>
      </c>
      <c r="CD61" s="53" t="e">
        <f t="shared" si="19"/>
        <v>#DIV/0!</v>
      </c>
      <c r="CE61" s="55">
        <f t="shared" si="29"/>
        <v>0</v>
      </c>
      <c r="CF61" s="55">
        <f t="shared" si="29"/>
        <v>0</v>
      </c>
      <c r="CG61" s="55">
        <f t="shared" si="29"/>
        <v>0</v>
      </c>
      <c r="CH61" s="55">
        <f t="shared" si="29"/>
        <v>0</v>
      </c>
      <c r="CI61" s="55">
        <f t="shared" si="29"/>
        <v>0</v>
      </c>
      <c r="CJ61" s="55">
        <f t="shared" si="29"/>
        <v>0</v>
      </c>
      <c r="CK61" s="55">
        <f t="shared" si="29"/>
        <v>0</v>
      </c>
      <c r="CL61" s="55">
        <f t="shared" si="29"/>
        <v>0</v>
      </c>
      <c r="CM61" s="55">
        <f t="shared" si="29"/>
        <v>0</v>
      </c>
    </row>
    <row r="62" spans="1:91" x14ac:dyDescent="0.15">
      <c r="A62" s="42">
        <v>60</v>
      </c>
      <c r="B62" s="45">
        <f t="shared" si="35"/>
        <v>1</v>
      </c>
      <c r="C62" s="45">
        <f t="shared" si="34"/>
        <v>1</v>
      </c>
      <c r="D62" s="45">
        <f t="shared" si="34"/>
        <v>1</v>
      </c>
      <c r="E62" s="45">
        <f t="shared" si="34"/>
        <v>1</v>
      </c>
      <c r="F62" s="45">
        <f t="shared" si="34"/>
        <v>1</v>
      </c>
      <c r="G62" s="45">
        <f t="shared" si="34"/>
        <v>1</v>
      </c>
      <c r="H62" s="45">
        <f t="shared" si="34"/>
        <v>1</v>
      </c>
      <c r="I62" s="45">
        <f t="shared" si="34"/>
        <v>1</v>
      </c>
      <c r="J62" s="45">
        <f t="shared" si="34"/>
        <v>1</v>
      </c>
      <c r="K62" s="45" t="e">
        <f>K61+ATM_Conf!$C$5*(T61-AC61)</f>
        <v>#DIV/0!</v>
      </c>
      <c r="L62" s="45" t="e">
        <f>L61+ATM_Conf!$C$5*(U61-AD61)</f>
        <v>#DIV/0!</v>
      </c>
      <c r="M62" s="45" t="e">
        <f>M61+ATM_Conf!$C$5*(V61-AE61)</f>
        <v>#DIV/0!</v>
      </c>
      <c r="N62" s="45" t="e">
        <f>N61+ATM_Conf!$C$5*(W61-AF61)</f>
        <v>#DIV/0!</v>
      </c>
      <c r="O62" s="45" t="e">
        <f>O61+ATM_Conf!$C$5*(X61-AG61)</f>
        <v>#DIV/0!</v>
      </c>
      <c r="P62" s="45" t="e">
        <f>P61+ATM_Conf!$C$5*(Y61-AH61)</f>
        <v>#DIV/0!</v>
      </c>
      <c r="Q62" s="45" t="e">
        <f>Q61+ATM_Conf!$C$5*(Z61-AI61)</f>
        <v>#DIV/0!</v>
      </c>
      <c r="R62" s="45" t="e">
        <f>R61+ATM_Conf!$C$5*(AA61-AJ61)</f>
        <v>#DIV/0!</v>
      </c>
      <c r="S62" s="45" t="e">
        <f>S61+ATM_Conf!$C$5*(AB61-AK61)</f>
        <v>#DIV/0!</v>
      </c>
      <c r="T62" s="45"/>
      <c r="U62" s="45"/>
      <c r="V62" s="45"/>
      <c r="W62" s="45"/>
      <c r="X62" s="45"/>
      <c r="Y62" s="45"/>
      <c r="Z62" s="45"/>
      <c r="AA62" s="45"/>
      <c r="AB62" s="45"/>
      <c r="AC62" s="45" t="e">
        <f t="shared" si="2"/>
        <v>#DIV/0!</v>
      </c>
      <c r="AD62" s="45" t="e">
        <f t="shared" si="3"/>
        <v>#DIV/0!</v>
      </c>
      <c r="AE62" s="45" t="e">
        <f t="shared" si="4"/>
        <v>#DIV/0!</v>
      </c>
      <c r="AF62" s="45" t="e">
        <f t="shared" si="5"/>
        <v>#DIV/0!</v>
      </c>
      <c r="AG62" s="45" t="e">
        <f t="shared" si="6"/>
        <v>#DIV/0!</v>
      </c>
      <c r="AH62" s="45" t="e">
        <f t="shared" si="7"/>
        <v>#DIV/0!</v>
      </c>
      <c r="AI62" s="45" t="e">
        <f t="shared" si="8"/>
        <v>#DIV/0!</v>
      </c>
      <c r="AJ62" s="45" t="e">
        <f t="shared" si="9"/>
        <v>#DIV/0!</v>
      </c>
      <c r="AK62" s="45" t="e">
        <f t="shared" si="10"/>
        <v>#DIV/0!</v>
      </c>
      <c r="AL62" s="45" t="e">
        <f>T$3+K62/ATM_Conf!$C$5</f>
        <v>#DIV/0!</v>
      </c>
      <c r="AM62" s="45" t="e">
        <f>U$3+L62/ATM_Conf!$C$5</f>
        <v>#DIV/0!</v>
      </c>
      <c r="AN62" s="45" t="e">
        <f>V$3+M62/ATM_Conf!$C$5</f>
        <v>#DIV/0!</v>
      </c>
      <c r="AO62" s="45" t="e">
        <f>W$3+N62/ATM_Conf!$C$5</f>
        <v>#DIV/0!</v>
      </c>
      <c r="AP62" s="45" t="e">
        <f>X$3+O62/ATM_Conf!$C$5</f>
        <v>#DIV/0!</v>
      </c>
      <c r="AQ62" s="45" t="e">
        <f>Y$3+P62/ATM_Conf!$C$5</f>
        <v>#DIV/0!</v>
      </c>
      <c r="AR62" s="45" t="e">
        <f>Z$3+Q62/ATM_Conf!$C$5</f>
        <v>#DIV/0!</v>
      </c>
      <c r="AS62" s="45" t="e">
        <f>AA$3+R62/ATM_Conf!$C$5</f>
        <v>#DIV/0!</v>
      </c>
      <c r="AT62" s="45" t="e">
        <f>AB$3+S62/ATM_Conf!$C$5</f>
        <v>#DIV/0!</v>
      </c>
      <c r="AU62" s="45" t="e">
        <f>BD$3*MIN(1,(ATM_Conf!$C$6-Links!F62)/(ATM_Conf!$C$6-ATM_Conf!$C$7))</f>
        <v>#DIV/0!</v>
      </c>
      <c r="AV62" s="45" t="e">
        <f>BE$3*MIN(1,(ATM_Conf!$C$6-Links!G62)/(ATM_Conf!$C$6-ATM_Conf!$C$7))</f>
        <v>#DIV/0!</v>
      </c>
      <c r="AW62" s="45" t="e">
        <f>BF$3*MIN(1,(ATM_Conf!$C$6-Links!H62)/(ATM_Conf!$C$6-ATM_Conf!$C$7))</f>
        <v>#DIV/0!</v>
      </c>
      <c r="AX62" s="45" t="e">
        <f>BG$3*MIN(1,(ATM_Conf!$C$6-Links!I62)/(ATM_Conf!$C$6-ATM_Conf!$C$7))</f>
        <v>#DIV/0!</v>
      </c>
      <c r="AY62" s="45" t="e">
        <f>BH$3*MIN(1,(ATM_Conf!$C$6-Links!J62)/(ATM_Conf!$C$6-ATM_Conf!$C$7))</f>
        <v>#DIV/0!</v>
      </c>
      <c r="AZ62" s="45" t="e">
        <f>BI$3*MIN(1,(ATM_Conf!$C$6-Links!K62)/(ATM_Conf!$C$6-ATM_Conf!$C$7))</f>
        <v>#DIV/0!</v>
      </c>
      <c r="BA62" s="45" t="e">
        <f>BJ$3*MIN(1,(ATM_Conf!$C$6-Links!L62)/(ATM_Conf!$C$6-ATM_Conf!$C$7))</f>
        <v>#DIV/0!</v>
      </c>
      <c r="BB62" s="45" t="e">
        <f>BK$3*MIN(1,(ATM_Conf!$C$6-Links!M62)/(ATM_Conf!$C$6-ATM_Conf!$C$7))</f>
        <v>#DIV/0!</v>
      </c>
      <c r="BC62" s="45" t="e">
        <f>BL$3*MIN(1,(ATM_Conf!$C$6-Links!N62)/(ATM_Conf!$C$6-ATM_Conf!$C$7))</f>
        <v>#DIV/0!</v>
      </c>
      <c r="BD62" s="45"/>
      <c r="BE62" s="45"/>
      <c r="BF62" s="45"/>
      <c r="BG62" s="45"/>
      <c r="BH62" s="45"/>
      <c r="BI62" s="45"/>
      <c r="BJ62" s="45"/>
      <c r="BK62" s="45"/>
      <c r="BL62" s="45"/>
      <c r="BM62" s="53"/>
      <c r="BN62" s="53"/>
      <c r="BO62" s="53"/>
      <c r="BP62" s="53"/>
      <c r="BQ62" s="53"/>
      <c r="BR62" s="53"/>
      <c r="BS62" s="53"/>
      <c r="BT62" s="53"/>
      <c r="BU62" s="53"/>
      <c r="BV62" s="53" t="e">
        <f t="shared" si="11"/>
        <v>#DIV/0!</v>
      </c>
      <c r="BW62" s="53" t="e">
        <f t="shared" si="12"/>
        <v>#DIV/0!</v>
      </c>
      <c r="BX62" s="53" t="e">
        <f t="shared" si="13"/>
        <v>#DIV/0!</v>
      </c>
      <c r="BY62" s="53" t="e">
        <f t="shared" si="14"/>
        <v>#DIV/0!</v>
      </c>
      <c r="BZ62" s="53" t="e">
        <f t="shared" si="15"/>
        <v>#DIV/0!</v>
      </c>
      <c r="CA62" s="53" t="e">
        <f t="shared" si="16"/>
        <v>#DIV/0!</v>
      </c>
      <c r="CB62" s="53" t="e">
        <f t="shared" si="17"/>
        <v>#DIV/0!</v>
      </c>
      <c r="CC62" s="53" t="e">
        <f t="shared" si="18"/>
        <v>#DIV/0!</v>
      </c>
      <c r="CD62" s="53" t="e">
        <f t="shared" si="19"/>
        <v>#DIV/0!</v>
      </c>
      <c r="CE62" s="55">
        <f t="shared" si="29"/>
        <v>0</v>
      </c>
      <c r="CF62" s="55">
        <f t="shared" si="29"/>
        <v>0</v>
      </c>
      <c r="CG62" s="55">
        <f t="shared" si="29"/>
        <v>0</v>
      </c>
      <c r="CH62" s="55">
        <f t="shared" si="29"/>
        <v>0</v>
      </c>
      <c r="CI62" s="55">
        <f t="shared" si="29"/>
        <v>0</v>
      </c>
      <c r="CJ62" s="55">
        <f t="shared" si="29"/>
        <v>0</v>
      </c>
      <c r="CK62" s="55">
        <f t="shared" si="29"/>
        <v>0</v>
      </c>
      <c r="CL62" s="55">
        <f t="shared" si="29"/>
        <v>0</v>
      </c>
      <c r="CM62" s="55">
        <f t="shared" si="29"/>
        <v>0</v>
      </c>
    </row>
    <row r="63" spans="1:91" x14ac:dyDescent="0.15">
      <c r="A63" s="42">
        <v>61</v>
      </c>
      <c r="B63" s="47">
        <v>1</v>
      </c>
      <c r="C63" s="47">
        <v>1</v>
      </c>
      <c r="D63" s="47">
        <v>1</v>
      </c>
      <c r="E63" s="47">
        <v>1</v>
      </c>
      <c r="F63" s="47">
        <v>1</v>
      </c>
      <c r="G63" s="47">
        <v>1</v>
      </c>
      <c r="H63" s="47">
        <v>1</v>
      </c>
      <c r="I63" s="47">
        <v>1</v>
      </c>
      <c r="J63" s="47">
        <v>1</v>
      </c>
      <c r="K63" s="45" t="e">
        <f>K62+ATM_Conf!$C$5*(T62-AC62)</f>
        <v>#DIV/0!</v>
      </c>
      <c r="L63" s="45" t="e">
        <f>L62+ATM_Conf!$C$5*(U62-AD62)</f>
        <v>#DIV/0!</v>
      </c>
      <c r="M63" s="45" t="e">
        <f>M62+ATM_Conf!$C$5*(V62-AE62)</f>
        <v>#DIV/0!</v>
      </c>
      <c r="N63" s="45" t="e">
        <f>N62+ATM_Conf!$C$5*(W62-AF62)</f>
        <v>#DIV/0!</v>
      </c>
      <c r="O63" s="45" t="e">
        <f>O62+ATM_Conf!$C$5*(X62-AG62)</f>
        <v>#DIV/0!</v>
      </c>
      <c r="P63" s="45" t="e">
        <f>P62+ATM_Conf!$C$5*(Y62-AH62)</f>
        <v>#DIV/0!</v>
      </c>
      <c r="Q63" s="45" t="e">
        <f>Q62+ATM_Conf!$C$5*(Z62-AI62)</f>
        <v>#DIV/0!</v>
      </c>
      <c r="R63" s="45" t="e">
        <f>R62+ATM_Conf!$C$5*(AA62-AJ62)</f>
        <v>#DIV/0!</v>
      </c>
      <c r="S63" s="45" t="e">
        <f>S62+ATM_Conf!$C$5*(AB62-AK62)</f>
        <v>#DIV/0!</v>
      </c>
      <c r="T63" s="45"/>
      <c r="U63" s="45"/>
      <c r="V63" s="45"/>
      <c r="W63" s="45"/>
      <c r="X63" s="45"/>
      <c r="Y63" s="45"/>
      <c r="Z63" s="45"/>
      <c r="AA63" s="45"/>
      <c r="AB63" s="45"/>
      <c r="AC63" s="45" t="e">
        <f t="shared" si="2"/>
        <v>#DIV/0!</v>
      </c>
      <c r="AD63" s="45" t="e">
        <f t="shared" si="3"/>
        <v>#DIV/0!</v>
      </c>
      <c r="AE63" s="45" t="e">
        <f t="shared" si="4"/>
        <v>#DIV/0!</v>
      </c>
      <c r="AF63" s="45" t="e">
        <f t="shared" si="5"/>
        <v>#DIV/0!</v>
      </c>
      <c r="AG63" s="45" t="e">
        <f t="shared" si="6"/>
        <v>#DIV/0!</v>
      </c>
      <c r="AH63" s="45" t="e">
        <f t="shared" si="7"/>
        <v>#DIV/0!</v>
      </c>
      <c r="AI63" s="45" t="e">
        <f t="shared" si="8"/>
        <v>#DIV/0!</v>
      </c>
      <c r="AJ63" s="45" t="e">
        <f t="shared" si="9"/>
        <v>#DIV/0!</v>
      </c>
      <c r="AK63" s="45" t="e">
        <f t="shared" si="10"/>
        <v>#DIV/0!</v>
      </c>
      <c r="AL63" s="45" t="e">
        <f>T$3+K63/ATM_Conf!$C$5</f>
        <v>#DIV/0!</v>
      </c>
      <c r="AM63" s="45" t="e">
        <f>U$3+L63/ATM_Conf!$C$5</f>
        <v>#DIV/0!</v>
      </c>
      <c r="AN63" s="45" t="e">
        <f>V$3+M63/ATM_Conf!$C$5</f>
        <v>#DIV/0!</v>
      </c>
      <c r="AO63" s="45" t="e">
        <f>W$3+N63/ATM_Conf!$C$5</f>
        <v>#DIV/0!</v>
      </c>
      <c r="AP63" s="45" t="e">
        <f>X$3+O63/ATM_Conf!$C$5</f>
        <v>#DIV/0!</v>
      </c>
      <c r="AQ63" s="45" t="e">
        <f>Y$3+P63/ATM_Conf!$C$5</f>
        <v>#DIV/0!</v>
      </c>
      <c r="AR63" s="45" t="e">
        <f>Z$3+Q63/ATM_Conf!$C$5</f>
        <v>#DIV/0!</v>
      </c>
      <c r="AS63" s="45" t="e">
        <f>AA$3+R63/ATM_Conf!$C$5</f>
        <v>#DIV/0!</v>
      </c>
      <c r="AT63" s="45" t="e">
        <f>AB$3+S63/ATM_Conf!$C$5</f>
        <v>#DIV/0!</v>
      </c>
      <c r="AU63" s="45" t="e">
        <f>BD$3*MIN(1,(ATM_Conf!$C$6-Links!F63)/(ATM_Conf!$C$6-ATM_Conf!$C$7))</f>
        <v>#DIV/0!</v>
      </c>
      <c r="AV63" s="45" t="e">
        <f>BE$3*MIN(1,(ATM_Conf!$C$6-Links!G63)/(ATM_Conf!$C$6-ATM_Conf!$C$7))</f>
        <v>#DIV/0!</v>
      </c>
      <c r="AW63" s="45" t="e">
        <f>BF$3*MIN(1,(ATM_Conf!$C$6-Links!H63)/(ATM_Conf!$C$6-ATM_Conf!$C$7))</f>
        <v>#DIV/0!</v>
      </c>
      <c r="AX63" s="45" t="e">
        <f>BG$3*MIN(1,(ATM_Conf!$C$6-Links!I63)/(ATM_Conf!$C$6-ATM_Conf!$C$7))</f>
        <v>#DIV/0!</v>
      </c>
      <c r="AY63" s="45" t="e">
        <f>BH$3*MIN(1,(ATM_Conf!$C$6-Links!J63)/(ATM_Conf!$C$6-ATM_Conf!$C$7))</f>
        <v>#DIV/0!</v>
      </c>
      <c r="AZ63" s="45" t="e">
        <f>BI$3*MIN(1,(ATM_Conf!$C$6-Links!K63)/(ATM_Conf!$C$6-ATM_Conf!$C$7))</f>
        <v>#DIV/0!</v>
      </c>
      <c r="BA63" s="45" t="e">
        <f>BJ$3*MIN(1,(ATM_Conf!$C$6-Links!L63)/(ATM_Conf!$C$6-ATM_Conf!$C$7))</f>
        <v>#DIV/0!</v>
      </c>
      <c r="BB63" s="45" t="e">
        <f>BK$3*MIN(1,(ATM_Conf!$C$6-Links!M63)/(ATM_Conf!$C$6-ATM_Conf!$C$7))</f>
        <v>#DIV/0!</v>
      </c>
      <c r="BC63" s="45" t="e">
        <f>BL$3*MIN(1,(ATM_Conf!$C$6-Links!N63)/(ATM_Conf!$C$6-ATM_Conf!$C$7))</f>
        <v>#DIV/0!</v>
      </c>
      <c r="BD63" s="45"/>
      <c r="BE63" s="45"/>
      <c r="BF63" s="45"/>
      <c r="BG63" s="45"/>
      <c r="BH63" s="45"/>
      <c r="BI63" s="45"/>
      <c r="BJ63" s="45"/>
      <c r="BK63" s="45"/>
      <c r="BL63" s="45"/>
      <c r="BM63" s="53">
        <f>(B63-B51)^2</f>
        <v>0</v>
      </c>
      <c r="BN63" s="53">
        <f t="shared" ref="BN63:BU63" si="36">(C63-C51)^2</f>
        <v>0</v>
      </c>
      <c r="BO63" s="53">
        <f t="shared" si="36"/>
        <v>0</v>
      </c>
      <c r="BP63" s="53">
        <f t="shared" si="36"/>
        <v>0</v>
      </c>
      <c r="BQ63" s="53">
        <f t="shared" si="36"/>
        <v>0</v>
      </c>
      <c r="BR63" s="53">
        <f t="shared" si="36"/>
        <v>0</v>
      </c>
      <c r="BS63" s="53">
        <f t="shared" si="36"/>
        <v>0</v>
      </c>
      <c r="BT63" s="53">
        <f t="shared" si="36"/>
        <v>0</v>
      </c>
      <c r="BU63" s="53">
        <f t="shared" si="36"/>
        <v>0</v>
      </c>
      <c r="BV63" s="53" t="e">
        <f t="shared" si="11"/>
        <v>#DIV/0!</v>
      </c>
      <c r="BW63" s="53" t="e">
        <f t="shared" si="12"/>
        <v>#DIV/0!</v>
      </c>
      <c r="BX63" s="53" t="e">
        <f t="shared" si="13"/>
        <v>#DIV/0!</v>
      </c>
      <c r="BY63" s="53" t="e">
        <f t="shared" si="14"/>
        <v>#DIV/0!</v>
      </c>
      <c r="BZ63" s="53" t="e">
        <f t="shared" si="15"/>
        <v>#DIV/0!</v>
      </c>
      <c r="CA63" s="53" t="e">
        <f t="shared" si="16"/>
        <v>#DIV/0!</v>
      </c>
      <c r="CB63" s="53" t="e">
        <f t="shared" si="17"/>
        <v>#DIV/0!</v>
      </c>
      <c r="CC63" s="53" t="e">
        <f t="shared" si="18"/>
        <v>#DIV/0!</v>
      </c>
      <c r="CD63" s="53" t="e">
        <f t="shared" si="19"/>
        <v>#DIV/0!</v>
      </c>
      <c r="CE63" s="55">
        <f t="shared" si="29"/>
        <v>0</v>
      </c>
      <c r="CF63" s="55">
        <f t="shared" si="29"/>
        <v>0</v>
      </c>
      <c r="CG63" s="55">
        <f t="shared" si="29"/>
        <v>0</v>
      </c>
      <c r="CH63" s="55">
        <f t="shared" si="29"/>
        <v>0</v>
      </c>
      <c r="CI63" s="55">
        <f t="shared" si="29"/>
        <v>0</v>
      </c>
      <c r="CJ63" s="55">
        <f t="shared" si="29"/>
        <v>0</v>
      </c>
      <c r="CK63" s="55">
        <f t="shared" si="29"/>
        <v>0</v>
      </c>
      <c r="CL63" s="55">
        <f t="shared" si="29"/>
        <v>0</v>
      </c>
      <c r="CM63" s="55">
        <f t="shared" si="29"/>
        <v>0</v>
      </c>
    </row>
    <row r="64" spans="1:91" x14ac:dyDescent="0.15">
      <c r="A64" s="42">
        <v>62</v>
      </c>
      <c r="B64" s="45">
        <f>B$63</f>
        <v>1</v>
      </c>
      <c r="C64" s="45">
        <f t="shared" ref="C64:J74" si="37">C$63</f>
        <v>1</v>
      </c>
      <c r="D64" s="45">
        <f t="shared" si="37"/>
        <v>1</v>
      </c>
      <c r="E64" s="45">
        <f t="shared" si="37"/>
        <v>1</v>
      </c>
      <c r="F64" s="45">
        <f t="shared" si="37"/>
        <v>1</v>
      </c>
      <c r="G64" s="45">
        <f t="shared" si="37"/>
        <v>1</v>
      </c>
      <c r="H64" s="45">
        <f t="shared" si="37"/>
        <v>1</v>
      </c>
      <c r="I64" s="45">
        <f t="shared" si="37"/>
        <v>1</v>
      </c>
      <c r="J64" s="45">
        <f t="shared" si="37"/>
        <v>1</v>
      </c>
      <c r="K64" s="45" t="e">
        <f>K63+ATM_Conf!$C$5*(T63-AC63)</f>
        <v>#DIV/0!</v>
      </c>
      <c r="L64" s="45" t="e">
        <f>L63+ATM_Conf!$C$5*(U63-AD63)</f>
        <v>#DIV/0!</v>
      </c>
      <c r="M64" s="45" t="e">
        <f>M63+ATM_Conf!$C$5*(V63-AE63)</f>
        <v>#DIV/0!</v>
      </c>
      <c r="N64" s="45" t="e">
        <f>N63+ATM_Conf!$C$5*(W63-AF63)</f>
        <v>#DIV/0!</v>
      </c>
      <c r="O64" s="45" t="e">
        <f>O63+ATM_Conf!$C$5*(X63-AG63)</f>
        <v>#DIV/0!</v>
      </c>
      <c r="P64" s="45" t="e">
        <f>P63+ATM_Conf!$C$5*(Y63-AH63)</f>
        <v>#DIV/0!</v>
      </c>
      <c r="Q64" s="45" t="e">
        <f>Q63+ATM_Conf!$C$5*(Z63-AI63)</f>
        <v>#DIV/0!</v>
      </c>
      <c r="R64" s="45" t="e">
        <f>R63+ATM_Conf!$C$5*(AA63-AJ63)</f>
        <v>#DIV/0!</v>
      </c>
      <c r="S64" s="45" t="e">
        <f>S63+ATM_Conf!$C$5*(AB63-AK63)</f>
        <v>#DIV/0!</v>
      </c>
      <c r="T64" s="45"/>
      <c r="U64" s="45"/>
      <c r="V64" s="45"/>
      <c r="W64" s="45"/>
      <c r="X64" s="45"/>
      <c r="Y64" s="45"/>
      <c r="Z64" s="45"/>
      <c r="AA64" s="45"/>
      <c r="AB64" s="45"/>
      <c r="AC64" s="45" t="e">
        <f t="shared" si="2"/>
        <v>#DIV/0!</v>
      </c>
      <c r="AD64" s="45" t="e">
        <f t="shared" si="3"/>
        <v>#DIV/0!</v>
      </c>
      <c r="AE64" s="45" t="e">
        <f t="shared" si="4"/>
        <v>#DIV/0!</v>
      </c>
      <c r="AF64" s="45" t="e">
        <f t="shared" si="5"/>
        <v>#DIV/0!</v>
      </c>
      <c r="AG64" s="45" t="e">
        <f t="shared" si="6"/>
        <v>#DIV/0!</v>
      </c>
      <c r="AH64" s="45" t="e">
        <f t="shared" si="7"/>
        <v>#DIV/0!</v>
      </c>
      <c r="AI64" s="45" t="e">
        <f t="shared" si="8"/>
        <v>#DIV/0!</v>
      </c>
      <c r="AJ64" s="45" t="e">
        <f t="shared" si="9"/>
        <v>#DIV/0!</v>
      </c>
      <c r="AK64" s="45" t="e">
        <f t="shared" si="10"/>
        <v>#DIV/0!</v>
      </c>
      <c r="AL64" s="45" t="e">
        <f>T$3+K64/ATM_Conf!$C$5</f>
        <v>#DIV/0!</v>
      </c>
      <c r="AM64" s="45" t="e">
        <f>U$3+L64/ATM_Conf!$C$5</f>
        <v>#DIV/0!</v>
      </c>
      <c r="AN64" s="45" t="e">
        <f>V$3+M64/ATM_Conf!$C$5</f>
        <v>#DIV/0!</v>
      </c>
      <c r="AO64" s="45" t="e">
        <f>W$3+N64/ATM_Conf!$C$5</f>
        <v>#DIV/0!</v>
      </c>
      <c r="AP64" s="45" t="e">
        <f>X$3+O64/ATM_Conf!$C$5</f>
        <v>#DIV/0!</v>
      </c>
      <c r="AQ64" s="45" t="e">
        <f>Y$3+P64/ATM_Conf!$C$5</f>
        <v>#DIV/0!</v>
      </c>
      <c r="AR64" s="45" t="e">
        <f>Z$3+Q64/ATM_Conf!$C$5</f>
        <v>#DIV/0!</v>
      </c>
      <c r="AS64" s="45" t="e">
        <f>AA$3+R64/ATM_Conf!$C$5</f>
        <v>#DIV/0!</v>
      </c>
      <c r="AT64" s="45" t="e">
        <f>AB$3+S64/ATM_Conf!$C$5</f>
        <v>#DIV/0!</v>
      </c>
      <c r="AU64" s="45" t="e">
        <f>BD$3*MIN(1,(ATM_Conf!$C$6-Links!F64)/(ATM_Conf!$C$6-ATM_Conf!$C$7))</f>
        <v>#DIV/0!</v>
      </c>
      <c r="AV64" s="45" t="e">
        <f>BE$3*MIN(1,(ATM_Conf!$C$6-Links!G64)/(ATM_Conf!$C$6-ATM_Conf!$C$7))</f>
        <v>#DIV/0!</v>
      </c>
      <c r="AW64" s="45" t="e">
        <f>BF$3*MIN(1,(ATM_Conf!$C$6-Links!H64)/(ATM_Conf!$C$6-ATM_Conf!$C$7))</f>
        <v>#DIV/0!</v>
      </c>
      <c r="AX64" s="45" t="e">
        <f>BG$3*MIN(1,(ATM_Conf!$C$6-Links!I64)/(ATM_Conf!$C$6-ATM_Conf!$C$7))</f>
        <v>#DIV/0!</v>
      </c>
      <c r="AY64" s="45" t="e">
        <f>BH$3*MIN(1,(ATM_Conf!$C$6-Links!J64)/(ATM_Conf!$C$6-ATM_Conf!$C$7))</f>
        <v>#DIV/0!</v>
      </c>
      <c r="AZ64" s="45" t="e">
        <f>BI$3*MIN(1,(ATM_Conf!$C$6-Links!K64)/(ATM_Conf!$C$6-ATM_Conf!$C$7))</f>
        <v>#DIV/0!</v>
      </c>
      <c r="BA64" s="45" t="e">
        <f>BJ$3*MIN(1,(ATM_Conf!$C$6-Links!L64)/(ATM_Conf!$C$6-ATM_Conf!$C$7))</f>
        <v>#DIV/0!</v>
      </c>
      <c r="BB64" s="45" t="e">
        <f>BK$3*MIN(1,(ATM_Conf!$C$6-Links!M64)/(ATM_Conf!$C$6-ATM_Conf!$C$7))</f>
        <v>#DIV/0!</v>
      </c>
      <c r="BC64" s="45" t="e">
        <f>BL$3*MIN(1,(ATM_Conf!$C$6-Links!N64)/(ATM_Conf!$C$6-ATM_Conf!$C$7))</f>
        <v>#DIV/0!</v>
      </c>
      <c r="BD64" s="45"/>
      <c r="BE64" s="45"/>
      <c r="BF64" s="45"/>
      <c r="BG64" s="45"/>
      <c r="BH64" s="45"/>
      <c r="BI64" s="45"/>
      <c r="BJ64" s="45"/>
      <c r="BK64" s="45"/>
      <c r="BL64" s="45"/>
      <c r="BM64" s="53"/>
      <c r="BN64" s="53"/>
      <c r="BO64" s="53"/>
      <c r="BP64" s="53"/>
      <c r="BQ64" s="53"/>
      <c r="BR64" s="53"/>
      <c r="BS64" s="53"/>
      <c r="BT64" s="53"/>
      <c r="BU64" s="53"/>
      <c r="BV64" s="53" t="e">
        <f t="shared" si="11"/>
        <v>#DIV/0!</v>
      </c>
      <c r="BW64" s="53" t="e">
        <f t="shared" si="12"/>
        <v>#DIV/0!</v>
      </c>
      <c r="BX64" s="53" t="e">
        <f t="shared" si="13"/>
        <v>#DIV/0!</v>
      </c>
      <c r="BY64" s="53" t="e">
        <f t="shared" si="14"/>
        <v>#DIV/0!</v>
      </c>
      <c r="BZ64" s="53" t="e">
        <f t="shared" si="15"/>
        <v>#DIV/0!</v>
      </c>
      <c r="CA64" s="53" t="e">
        <f t="shared" si="16"/>
        <v>#DIV/0!</v>
      </c>
      <c r="CB64" s="53" t="e">
        <f t="shared" si="17"/>
        <v>#DIV/0!</v>
      </c>
      <c r="CC64" s="53" t="e">
        <f t="shared" si="18"/>
        <v>#DIV/0!</v>
      </c>
      <c r="CD64" s="53" t="e">
        <f t="shared" si="19"/>
        <v>#DIV/0!</v>
      </c>
      <c r="CE64" s="55">
        <f t="shared" si="29"/>
        <v>0</v>
      </c>
      <c r="CF64" s="55">
        <f t="shared" si="29"/>
        <v>0</v>
      </c>
      <c r="CG64" s="55">
        <f t="shared" si="29"/>
        <v>0</v>
      </c>
      <c r="CH64" s="55">
        <f t="shared" si="29"/>
        <v>0</v>
      </c>
      <c r="CI64" s="55">
        <f t="shared" si="29"/>
        <v>0</v>
      </c>
      <c r="CJ64" s="55">
        <f t="shared" si="29"/>
        <v>0</v>
      </c>
      <c r="CK64" s="55">
        <f t="shared" si="29"/>
        <v>0</v>
      </c>
      <c r="CL64" s="55">
        <f t="shared" si="29"/>
        <v>0</v>
      </c>
      <c r="CM64" s="55">
        <f t="shared" si="29"/>
        <v>0</v>
      </c>
    </row>
    <row r="65" spans="1:91" x14ac:dyDescent="0.15">
      <c r="A65" s="42">
        <v>63</v>
      </c>
      <c r="B65" s="45">
        <f t="shared" ref="B65:B74" si="38">B$63</f>
        <v>1</v>
      </c>
      <c r="C65" s="45">
        <f t="shared" si="37"/>
        <v>1</v>
      </c>
      <c r="D65" s="45">
        <f t="shared" si="37"/>
        <v>1</v>
      </c>
      <c r="E65" s="45">
        <f t="shared" si="37"/>
        <v>1</v>
      </c>
      <c r="F65" s="45">
        <f t="shared" si="37"/>
        <v>1</v>
      </c>
      <c r="G65" s="45">
        <f t="shared" si="37"/>
        <v>1</v>
      </c>
      <c r="H65" s="45">
        <f t="shared" si="37"/>
        <v>1</v>
      </c>
      <c r="I65" s="45">
        <f t="shared" si="37"/>
        <v>1</v>
      </c>
      <c r="J65" s="45">
        <f t="shared" si="37"/>
        <v>1</v>
      </c>
      <c r="K65" s="45" t="e">
        <f>K64+ATM_Conf!$C$5*(T64-AC64)</f>
        <v>#DIV/0!</v>
      </c>
      <c r="L65" s="45" t="e">
        <f>L64+ATM_Conf!$C$5*(U64-AD64)</f>
        <v>#DIV/0!</v>
      </c>
      <c r="M65" s="45" t="e">
        <f>M64+ATM_Conf!$C$5*(V64-AE64)</f>
        <v>#DIV/0!</v>
      </c>
      <c r="N65" s="45" t="e">
        <f>N64+ATM_Conf!$C$5*(W64-AF64)</f>
        <v>#DIV/0!</v>
      </c>
      <c r="O65" s="45" t="e">
        <f>O64+ATM_Conf!$C$5*(X64-AG64)</f>
        <v>#DIV/0!</v>
      </c>
      <c r="P65" s="45" t="e">
        <f>P64+ATM_Conf!$C$5*(Y64-AH64)</f>
        <v>#DIV/0!</v>
      </c>
      <c r="Q65" s="45" t="e">
        <f>Q64+ATM_Conf!$C$5*(Z64-AI64)</f>
        <v>#DIV/0!</v>
      </c>
      <c r="R65" s="45" t="e">
        <f>R64+ATM_Conf!$C$5*(AA64-AJ64)</f>
        <v>#DIV/0!</v>
      </c>
      <c r="S65" s="45" t="e">
        <f>S64+ATM_Conf!$C$5*(AB64-AK64)</f>
        <v>#DIV/0!</v>
      </c>
      <c r="T65" s="45"/>
      <c r="U65" s="45"/>
      <c r="V65" s="45"/>
      <c r="W65" s="45"/>
      <c r="X65" s="45"/>
      <c r="Y65" s="45"/>
      <c r="Z65" s="45"/>
      <c r="AA65" s="45"/>
      <c r="AB65" s="45"/>
      <c r="AC65" s="45" t="e">
        <f t="shared" si="2"/>
        <v>#DIV/0!</v>
      </c>
      <c r="AD65" s="45" t="e">
        <f t="shared" si="3"/>
        <v>#DIV/0!</v>
      </c>
      <c r="AE65" s="45" t="e">
        <f t="shared" si="4"/>
        <v>#DIV/0!</v>
      </c>
      <c r="AF65" s="45" t="e">
        <f t="shared" si="5"/>
        <v>#DIV/0!</v>
      </c>
      <c r="AG65" s="45" t="e">
        <f t="shared" si="6"/>
        <v>#DIV/0!</v>
      </c>
      <c r="AH65" s="45" t="e">
        <f t="shared" si="7"/>
        <v>#DIV/0!</v>
      </c>
      <c r="AI65" s="45" t="e">
        <f t="shared" si="8"/>
        <v>#DIV/0!</v>
      </c>
      <c r="AJ65" s="45" t="e">
        <f t="shared" si="9"/>
        <v>#DIV/0!</v>
      </c>
      <c r="AK65" s="45" t="e">
        <f t="shared" si="10"/>
        <v>#DIV/0!</v>
      </c>
      <c r="AL65" s="45" t="e">
        <f>T$3+K65/ATM_Conf!$C$5</f>
        <v>#DIV/0!</v>
      </c>
      <c r="AM65" s="45" t="e">
        <f>U$3+L65/ATM_Conf!$C$5</f>
        <v>#DIV/0!</v>
      </c>
      <c r="AN65" s="45" t="e">
        <f>V$3+M65/ATM_Conf!$C$5</f>
        <v>#DIV/0!</v>
      </c>
      <c r="AO65" s="45" t="e">
        <f>W$3+N65/ATM_Conf!$C$5</f>
        <v>#DIV/0!</v>
      </c>
      <c r="AP65" s="45" t="e">
        <f>X$3+O65/ATM_Conf!$C$5</f>
        <v>#DIV/0!</v>
      </c>
      <c r="AQ65" s="45" t="e">
        <f>Y$3+P65/ATM_Conf!$C$5</f>
        <v>#DIV/0!</v>
      </c>
      <c r="AR65" s="45" t="e">
        <f>Z$3+Q65/ATM_Conf!$C$5</f>
        <v>#DIV/0!</v>
      </c>
      <c r="AS65" s="45" t="e">
        <f>AA$3+R65/ATM_Conf!$C$5</f>
        <v>#DIV/0!</v>
      </c>
      <c r="AT65" s="45" t="e">
        <f>AB$3+S65/ATM_Conf!$C$5</f>
        <v>#DIV/0!</v>
      </c>
      <c r="AU65" s="45" t="e">
        <f>BD$3*MIN(1,(ATM_Conf!$C$6-Links!F65)/(ATM_Conf!$C$6-ATM_Conf!$C$7))</f>
        <v>#DIV/0!</v>
      </c>
      <c r="AV65" s="45" t="e">
        <f>BE$3*MIN(1,(ATM_Conf!$C$6-Links!G65)/(ATM_Conf!$C$6-ATM_Conf!$C$7))</f>
        <v>#DIV/0!</v>
      </c>
      <c r="AW65" s="45" t="e">
        <f>BF$3*MIN(1,(ATM_Conf!$C$6-Links!H65)/(ATM_Conf!$C$6-ATM_Conf!$C$7))</f>
        <v>#DIV/0!</v>
      </c>
      <c r="AX65" s="45" t="e">
        <f>BG$3*MIN(1,(ATM_Conf!$C$6-Links!I65)/(ATM_Conf!$C$6-ATM_Conf!$C$7))</f>
        <v>#DIV/0!</v>
      </c>
      <c r="AY65" s="45" t="e">
        <f>BH$3*MIN(1,(ATM_Conf!$C$6-Links!J65)/(ATM_Conf!$C$6-ATM_Conf!$C$7))</f>
        <v>#DIV/0!</v>
      </c>
      <c r="AZ65" s="45" t="e">
        <f>BI$3*MIN(1,(ATM_Conf!$C$6-Links!K65)/(ATM_Conf!$C$6-ATM_Conf!$C$7))</f>
        <v>#DIV/0!</v>
      </c>
      <c r="BA65" s="45" t="e">
        <f>BJ$3*MIN(1,(ATM_Conf!$C$6-Links!L65)/(ATM_Conf!$C$6-ATM_Conf!$C$7))</f>
        <v>#DIV/0!</v>
      </c>
      <c r="BB65" s="45" t="e">
        <f>BK$3*MIN(1,(ATM_Conf!$C$6-Links!M65)/(ATM_Conf!$C$6-ATM_Conf!$C$7))</f>
        <v>#DIV/0!</v>
      </c>
      <c r="BC65" s="45" t="e">
        <f>BL$3*MIN(1,(ATM_Conf!$C$6-Links!N65)/(ATM_Conf!$C$6-ATM_Conf!$C$7))</f>
        <v>#DIV/0!</v>
      </c>
      <c r="BD65" s="45"/>
      <c r="BE65" s="45"/>
      <c r="BF65" s="45"/>
      <c r="BG65" s="45"/>
      <c r="BH65" s="45"/>
      <c r="BI65" s="45"/>
      <c r="BJ65" s="45"/>
      <c r="BK65" s="45"/>
      <c r="BL65" s="45"/>
      <c r="BM65" s="53"/>
      <c r="BN65" s="53"/>
      <c r="BO65" s="53"/>
      <c r="BP65" s="53"/>
      <c r="BQ65" s="53"/>
      <c r="BR65" s="53"/>
      <c r="BS65" s="53"/>
      <c r="BT65" s="53"/>
      <c r="BU65" s="53"/>
      <c r="BV65" s="53" t="e">
        <f t="shared" si="11"/>
        <v>#DIV/0!</v>
      </c>
      <c r="BW65" s="53" t="e">
        <f t="shared" si="12"/>
        <v>#DIV/0!</v>
      </c>
      <c r="BX65" s="53" t="e">
        <f t="shared" si="13"/>
        <v>#DIV/0!</v>
      </c>
      <c r="BY65" s="53" t="e">
        <f t="shared" si="14"/>
        <v>#DIV/0!</v>
      </c>
      <c r="BZ65" s="53" t="e">
        <f t="shared" si="15"/>
        <v>#DIV/0!</v>
      </c>
      <c r="CA65" s="53" t="e">
        <f t="shared" si="16"/>
        <v>#DIV/0!</v>
      </c>
      <c r="CB65" s="53" t="e">
        <f t="shared" si="17"/>
        <v>#DIV/0!</v>
      </c>
      <c r="CC65" s="53" t="e">
        <f t="shared" si="18"/>
        <v>#DIV/0!</v>
      </c>
      <c r="CD65" s="53" t="e">
        <f t="shared" si="19"/>
        <v>#DIV/0!</v>
      </c>
      <c r="CE65" s="55">
        <f t="shared" si="29"/>
        <v>0</v>
      </c>
      <c r="CF65" s="55">
        <f t="shared" si="29"/>
        <v>0</v>
      </c>
      <c r="CG65" s="55">
        <f t="shared" si="29"/>
        <v>0</v>
      </c>
      <c r="CH65" s="55">
        <f t="shared" ref="CF65:CM97" si="39">CH$3</f>
        <v>0</v>
      </c>
      <c r="CI65" s="55">
        <f t="shared" si="39"/>
        <v>0</v>
      </c>
      <c r="CJ65" s="55">
        <f t="shared" si="39"/>
        <v>0</v>
      </c>
      <c r="CK65" s="55">
        <f t="shared" si="39"/>
        <v>0</v>
      </c>
      <c r="CL65" s="55">
        <f t="shared" si="39"/>
        <v>0</v>
      </c>
      <c r="CM65" s="55">
        <f t="shared" si="39"/>
        <v>0</v>
      </c>
    </row>
    <row r="66" spans="1:91" x14ac:dyDescent="0.15">
      <c r="A66" s="42">
        <v>64</v>
      </c>
      <c r="B66" s="45">
        <f t="shared" si="38"/>
        <v>1</v>
      </c>
      <c r="C66" s="45">
        <f t="shared" si="37"/>
        <v>1</v>
      </c>
      <c r="D66" s="45">
        <f t="shared" si="37"/>
        <v>1</v>
      </c>
      <c r="E66" s="45">
        <f t="shared" si="37"/>
        <v>1</v>
      </c>
      <c r="F66" s="45">
        <f t="shared" si="37"/>
        <v>1</v>
      </c>
      <c r="G66" s="45">
        <f t="shared" si="37"/>
        <v>1</v>
      </c>
      <c r="H66" s="45">
        <f t="shared" si="37"/>
        <v>1</v>
      </c>
      <c r="I66" s="45">
        <f t="shared" si="37"/>
        <v>1</v>
      </c>
      <c r="J66" s="45">
        <f t="shared" si="37"/>
        <v>1</v>
      </c>
      <c r="K66" s="45" t="e">
        <f>K65+ATM_Conf!$C$5*(T65-AC65)</f>
        <v>#DIV/0!</v>
      </c>
      <c r="L66" s="45" t="e">
        <f>L65+ATM_Conf!$C$5*(U65-AD65)</f>
        <v>#DIV/0!</v>
      </c>
      <c r="M66" s="45" t="e">
        <f>M65+ATM_Conf!$C$5*(V65-AE65)</f>
        <v>#DIV/0!</v>
      </c>
      <c r="N66" s="45" t="e">
        <f>N65+ATM_Conf!$C$5*(W65-AF65)</f>
        <v>#DIV/0!</v>
      </c>
      <c r="O66" s="45" t="e">
        <f>O65+ATM_Conf!$C$5*(X65-AG65)</f>
        <v>#DIV/0!</v>
      </c>
      <c r="P66" s="45" t="e">
        <f>P65+ATM_Conf!$C$5*(Y65-AH65)</f>
        <v>#DIV/0!</v>
      </c>
      <c r="Q66" s="45" t="e">
        <f>Q65+ATM_Conf!$C$5*(Z65-AI65)</f>
        <v>#DIV/0!</v>
      </c>
      <c r="R66" s="45" t="e">
        <f>R65+ATM_Conf!$C$5*(AA65-AJ65)</f>
        <v>#DIV/0!</v>
      </c>
      <c r="S66" s="45" t="e">
        <f>S65+ATM_Conf!$C$5*(AB65-AK65)</f>
        <v>#DIV/0!</v>
      </c>
      <c r="T66" s="45"/>
      <c r="U66" s="45"/>
      <c r="V66" s="45"/>
      <c r="W66" s="45"/>
      <c r="X66" s="45"/>
      <c r="Y66" s="45"/>
      <c r="Z66" s="45"/>
      <c r="AA66" s="45"/>
      <c r="AB66" s="45"/>
      <c r="AC66" s="45" t="e">
        <f t="shared" si="2"/>
        <v>#DIV/0!</v>
      </c>
      <c r="AD66" s="45" t="e">
        <f t="shared" si="3"/>
        <v>#DIV/0!</v>
      </c>
      <c r="AE66" s="45" t="e">
        <f t="shared" si="4"/>
        <v>#DIV/0!</v>
      </c>
      <c r="AF66" s="45" t="e">
        <f t="shared" si="5"/>
        <v>#DIV/0!</v>
      </c>
      <c r="AG66" s="45" t="e">
        <f t="shared" si="6"/>
        <v>#DIV/0!</v>
      </c>
      <c r="AH66" s="45" t="e">
        <f t="shared" si="7"/>
        <v>#DIV/0!</v>
      </c>
      <c r="AI66" s="45" t="e">
        <f t="shared" si="8"/>
        <v>#DIV/0!</v>
      </c>
      <c r="AJ66" s="45" t="e">
        <f t="shared" si="9"/>
        <v>#DIV/0!</v>
      </c>
      <c r="AK66" s="45" t="e">
        <f t="shared" si="10"/>
        <v>#DIV/0!</v>
      </c>
      <c r="AL66" s="45" t="e">
        <f>T$3+K66/ATM_Conf!$C$5</f>
        <v>#DIV/0!</v>
      </c>
      <c r="AM66" s="45" t="e">
        <f>U$3+L66/ATM_Conf!$C$5</f>
        <v>#DIV/0!</v>
      </c>
      <c r="AN66" s="45" t="e">
        <f>V$3+M66/ATM_Conf!$C$5</f>
        <v>#DIV/0!</v>
      </c>
      <c r="AO66" s="45" t="e">
        <f>W$3+N66/ATM_Conf!$C$5</f>
        <v>#DIV/0!</v>
      </c>
      <c r="AP66" s="45" t="e">
        <f>X$3+O66/ATM_Conf!$C$5</f>
        <v>#DIV/0!</v>
      </c>
      <c r="AQ66" s="45" t="e">
        <f>Y$3+P66/ATM_Conf!$C$5</f>
        <v>#DIV/0!</v>
      </c>
      <c r="AR66" s="45" t="e">
        <f>Z$3+Q66/ATM_Conf!$C$5</f>
        <v>#DIV/0!</v>
      </c>
      <c r="AS66" s="45" t="e">
        <f>AA$3+R66/ATM_Conf!$C$5</f>
        <v>#DIV/0!</v>
      </c>
      <c r="AT66" s="45" t="e">
        <f>AB$3+S66/ATM_Conf!$C$5</f>
        <v>#DIV/0!</v>
      </c>
      <c r="AU66" s="45" t="e">
        <f>BD$3*MIN(1,(ATM_Conf!$C$6-Links!F66)/(ATM_Conf!$C$6-ATM_Conf!$C$7))</f>
        <v>#DIV/0!</v>
      </c>
      <c r="AV66" s="45" t="e">
        <f>BE$3*MIN(1,(ATM_Conf!$C$6-Links!G66)/(ATM_Conf!$C$6-ATM_Conf!$C$7))</f>
        <v>#DIV/0!</v>
      </c>
      <c r="AW66" s="45" t="e">
        <f>BF$3*MIN(1,(ATM_Conf!$C$6-Links!H66)/(ATM_Conf!$C$6-ATM_Conf!$C$7))</f>
        <v>#DIV/0!</v>
      </c>
      <c r="AX66" s="45" t="e">
        <f>BG$3*MIN(1,(ATM_Conf!$C$6-Links!I66)/(ATM_Conf!$C$6-ATM_Conf!$C$7))</f>
        <v>#DIV/0!</v>
      </c>
      <c r="AY66" s="45" t="e">
        <f>BH$3*MIN(1,(ATM_Conf!$C$6-Links!J66)/(ATM_Conf!$C$6-ATM_Conf!$C$7))</f>
        <v>#DIV/0!</v>
      </c>
      <c r="AZ66" s="45" t="e">
        <f>BI$3*MIN(1,(ATM_Conf!$C$6-Links!K66)/(ATM_Conf!$C$6-ATM_Conf!$C$7))</f>
        <v>#DIV/0!</v>
      </c>
      <c r="BA66" s="45" t="e">
        <f>BJ$3*MIN(1,(ATM_Conf!$C$6-Links!L66)/(ATM_Conf!$C$6-ATM_Conf!$C$7))</f>
        <v>#DIV/0!</v>
      </c>
      <c r="BB66" s="45" t="e">
        <f>BK$3*MIN(1,(ATM_Conf!$C$6-Links!M66)/(ATM_Conf!$C$6-ATM_Conf!$C$7))</f>
        <v>#DIV/0!</v>
      </c>
      <c r="BC66" s="45" t="e">
        <f>BL$3*MIN(1,(ATM_Conf!$C$6-Links!N66)/(ATM_Conf!$C$6-ATM_Conf!$C$7))</f>
        <v>#DIV/0!</v>
      </c>
      <c r="BD66" s="45"/>
      <c r="BE66" s="45"/>
      <c r="BF66" s="45"/>
      <c r="BG66" s="45"/>
      <c r="BH66" s="45"/>
      <c r="BI66" s="45"/>
      <c r="BJ66" s="45"/>
      <c r="BK66" s="45"/>
      <c r="BL66" s="45"/>
      <c r="BM66" s="53"/>
      <c r="BN66" s="53"/>
      <c r="BO66" s="53"/>
      <c r="BP66" s="53"/>
      <c r="BQ66" s="53"/>
      <c r="BR66" s="53"/>
      <c r="BS66" s="53"/>
      <c r="BT66" s="53"/>
      <c r="BU66" s="53"/>
      <c r="BV66" s="53" t="e">
        <f t="shared" si="11"/>
        <v>#DIV/0!</v>
      </c>
      <c r="BW66" s="53" t="e">
        <f t="shared" si="12"/>
        <v>#DIV/0!</v>
      </c>
      <c r="BX66" s="53" t="e">
        <f t="shared" si="13"/>
        <v>#DIV/0!</v>
      </c>
      <c r="BY66" s="53" t="e">
        <f t="shared" si="14"/>
        <v>#DIV/0!</v>
      </c>
      <c r="BZ66" s="53" t="e">
        <f t="shared" si="15"/>
        <v>#DIV/0!</v>
      </c>
      <c r="CA66" s="53" t="e">
        <f t="shared" si="16"/>
        <v>#DIV/0!</v>
      </c>
      <c r="CB66" s="53" t="e">
        <f t="shared" si="17"/>
        <v>#DIV/0!</v>
      </c>
      <c r="CC66" s="53" t="e">
        <f t="shared" si="18"/>
        <v>#DIV/0!</v>
      </c>
      <c r="CD66" s="53" t="e">
        <f t="shared" si="19"/>
        <v>#DIV/0!</v>
      </c>
      <c r="CE66" s="55">
        <f t="shared" ref="CE66:CM129" si="40">CE$3</f>
        <v>0</v>
      </c>
      <c r="CF66" s="55">
        <f t="shared" si="39"/>
        <v>0</v>
      </c>
      <c r="CG66" s="55">
        <f t="shared" si="39"/>
        <v>0</v>
      </c>
      <c r="CH66" s="55">
        <f t="shared" si="39"/>
        <v>0</v>
      </c>
      <c r="CI66" s="55">
        <f t="shared" si="39"/>
        <v>0</v>
      </c>
      <c r="CJ66" s="55">
        <f t="shared" si="39"/>
        <v>0</v>
      </c>
      <c r="CK66" s="55">
        <f t="shared" si="39"/>
        <v>0</v>
      </c>
      <c r="CL66" s="55">
        <f t="shared" si="39"/>
        <v>0</v>
      </c>
      <c r="CM66" s="55">
        <f t="shared" si="39"/>
        <v>0</v>
      </c>
    </row>
    <row r="67" spans="1:91" x14ac:dyDescent="0.15">
      <c r="A67" s="42">
        <v>65</v>
      </c>
      <c r="B67" s="45">
        <f t="shared" si="38"/>
        <v>1</v>
      </c>
      <c r="C67" s="45">
        <f t="shared" si="37"/>
        <v>1</v>
      </c>
      <c r="D67" s="45">
        <f t="shared" si="37"/>
        <v>1</v>
      </c>
      <c r="E67" s="45">
        <f t="shared" si="37"/>
        <v>1</v>
      </c>
      <c r="F67" s="45">
        <f t="shared" si="37"/>
        <v>1</v>
      </c>
      <c r="G67" s="45">
        <f t="shared" si="37"/>
        <v>1</v>
      </c>
      <c r="H67" s="45">
        <f t="shared" si="37"/>
        <v>1</v>
      </c>
      <c r="I67" s="45">
        <f t="shared" si="37"/>
        <v>1</v>
      </c>
      <c r="J67" s="45">
        <f t="shared" si="37"/>
        <v>1</v>
      </c>
      <c r="K67" s="45" t="e">
        <f>K66+ATM_Conf!$C$5*(T66-AC66)</f>
        <v>#DIV/0!</v>
      </c>
      <c r="L67" s="45" t="e">
        <f>L66+ATM_Conf!$C$5*(U66-AD66)</f>
        <v>#DIV/0!</v>
      </c>
      <c r="M67" s="45" t="e">
        <f>M66+ATM_Conf!$C$5*(V66-AE66)</f>
        <v>#DIV/0!</v>
      </c>
      <c r="N67" s="45" t="e">
        <f>N66+ATM_Conf!$C$5*(W66-AF66)</f>
        <v>#DIV/0!</v>
      </c>
      <c r="O67" s="45" t="e">
        <f>O66+ATM_Conf!$C$5*(X66-AG66)</f>
        <v>#DIV/0!</v>
      </c>
      <c r="P67" s="45" t="e">
        <f>P66+ATM_Conf!$C$5*(Y66-AH66)</f>
        <v>#DIV/0!</v>
      </c>
      <c r="Q67" s="45" t="e">
        <f>Q66+ATM_Conf!$C$5*(Z66-AI66)</f>
        <v>#DIV/0!</v>
      </c>
      <c r="R67" s="45" t="e">
        <f>R66+ATM_Conf!$C$5*(AA66-AJ66)</f>
        <v>#DIV/0!</v>
      </c>
      <c r="S67" s="45" t="e">
        <f>S66+ATM_Conf!$C$5*(AB66-AK66)</f>
        <v>#DIV/0!</v>
      </c>
      <c r="T67" s="45"/>
      <c r="U67" s="45"/>
      <c r="V67" s="45"/>
      <c r="W67" s="45"/>
      <c r="X67" s="45"/>
      <c r="Y67" s="45"/>
      <c r="Z67" s="45"/>
      <c r="AA67" s="45"/>
      <c r="AB67" s="45"/>
      <c r="AC67" s="45" t="e">
        <f t="shared" si="2"/>
        <v>#DIV/0!</v>
      </c>
      <c r="AD67" s="45" t="e">
        <f t="shared" si="3"/>
        <v>#DIV/0!</v>
      </c>
      <c r="AE67" s="45" t="e">
        <f t="shared" si="4"/>
        <v>#DIV/0!</v>
      </c>
      <c r="AF67" s="45" t="e">
        <f t="shared" si="5"/>
        <v>#DIV/0!</v>
      </c>
      <c r="AG67" s="45" t="e">
        <f t="shared" si="6"/>
        <v>#DIV/0!</v>
      </c>
      <c r="AH67" s="45" t="e">
        <f t="shared" si="7"/>
        <v>#DIV/0!</v>
      </c>
      <c r="AI67" s="45" t="e">
        <f t="shared" si="8"/>
        <v>#DIV/0!</v>
      </c>
      <c r="AJ67" s="45" t="e">
        <f t="shared" si="9"/>
        <v>#DIV/0!</v>
      </c>
      <c r="AK67" s="45" t="e">
        <f t="shared" si="10"/>
        <v>#DIV/0!</v>
      </c>
      <c r="AL67" s="45" t="e">
        <f>T$3+K67/ATM_Conf!$C$5</f>
        <v>#DIV/0!</v>
      </c>
      <c r="AM67" s="45" t="e">
        <f>U$3+L67/ATM_Conf!$C$5</f>
        <v>#DIV/0!</v>
      </c>
      <c r="AN67" s="45" t="e">
        <f>V$3+M67/ATM_Conf!$C$5</f>
        <v>#DIV/0!</v>
      </c>
      <c r="AO67" s="45" t="e">
        <f>W$3+N67/ATM_Conf!$C$5</f>
        <v>#DIV/0!</v>
      </c>
      <c r="AP67" s="45" t="e">
        <f>X$3+O67/ATM_Conf!$C$5</f>
        <v>#DIV/0!</v>
      </c>
      <c r="AQ67" s="45" t="e">
        <f>Y$3+P67/ATM_Conf!$C$5</f>
        <v>#DIV/0!</v>
      </c>
      <c r="AR67" s="45" t="e">
        <f>Z$3+Q67/ATM_Conf!$C$5</f>
        <v>#DIV/0!</v>
      </c>
      <c r="AS67" s="45" t="e">
        <f>AA$3+R67/ATM_Conf!$C$5</f>
        <v>#DIV/0!</v>
      </c>
      <c r="AT67" s="45" t="e">
        <f>AB$3+S67/ATM_Conf!$C$5</f>
        <v>#DIV/0!</v>
      </c>
      <c r="AU67" s="45" t="e">
        <f>BD$3*MIN(1,(ATM_Conf!$C$6-Links!F67)/(ATM_Conf!$C$6-ATM_Conf!$C$7))</f>
        <v>#DIV/0!</v>
      </c>
      <c r="AV67" s="45" t="e">
        <f>BE$3*MIN(1,(ATM_Conf!$C$6-Links!G67)/(ATM_Conf!$C$6-ATM_Conf!$C$7))</f>
        <v>#DIV/0!</v>
      </c>
      <c r="AW67" s="45" t="e">
        <f>BF$3*MIN(1,(ATM_Conf!$C$6-Links!H67)/(ATM_Conf!$C$6-ATM_Conf!$C$7))</f>
        <v>#DIV/0!</v>
      </c>
      <c r="AX67" s="45" t="e">
        <f>BG$3*MIN(1,(ATM_Conf!$C$6-Links!I67)/(ATM_Conf!$C$6-ATM_Conf!$C$7))</f>
        <v>#DIV/0!</v>
      </c>
      <c r="AY67" s="45" t="e">
        <f>BH$3*MIN(1,(ATM_Conf!$C$6-Links!J67)/(ATM_Conf!$C$6-ATM_Conf!$C$7))</f>
        <v>#DIV/0!</v>
      </c>
      <c r="AZ67" s="45" t="e">
        <f>BI$3*MIN(1,(ATM_Conf!$C$6-Links!K67)/(ATM_Conf!$C$6-ATM_Conf!$C$7))</f>
        <v>#DIV/0!</v>
      </c>
      <c r="BA67" s="45" t="e">
        <f>BJ$3*MIN(1,(ATM_Conf!$C$6-Links!L67)/(ATM_Conf!$C$6-ATM_Conf!$C$7))</f>
        <v>#DIV/0!</v>
      </c>
      <c r="BB67" s="45" t="e">
        <f>BK$3*MIN(1,(ATM_Conf!$C$6-Links!M67)/(ATM_Conf!$C$6-ATM_Conf!$C$7))</f>
        <v>#DIV/0!</v>
      </c>
      <c r="BC67" s="45" t="e">
        <f>BL$3*MIN(1,(ATM_Conf!$C$6-Links!N67)/(ATM_Conf!$C$6-ATM_Conf!$C$7))</f>
        <v>#DIV/0!</v>
      </c>
      <c r="BD67" s="45"/>
      <c r="BE67" s="45"/>
      <c r="BF67" s="45"/>
      <c r="BG67" s="45"/>
      <c r="BH67" s="45"/>
      <c r="BI67" s="45"/>
      <c r="BJ67" s="45"/>
      <c r="BK67" s="45"/>
      <c r="BL67" s="45"/>
      <c r="BM67" s="53"/>
      <c r="BN67" s="53"/>
      <c r="BO67" s="53"/>
      <c r="BP67" s="53"/>
      <c r="BQ67" s="53"/>
      <c r="BR67" s="53"/>
      <c r="BS67" s="53"/>
      <c r="BT67" s="53"/>
      <c r="BU67" s="53"/>
      <c r="BV67" s="53" t="e">
        <f t="shared" si="11"/>
        <v>#DIV/0!</v>
      </c>
      <c r="BW67" s="53" t="e">
        <f t="shared" si="12"/>
        <v>#DIV/0!</v>
      </c>
      <c r="BX67" s="53" t="e">
        <f t="shared" si="13"/>
        <v>#DIV/0!</v>
      </c>
      <c r="BY67" s="53" t="e">
        <f t="shared" si="14"/>
        <v>#DIV/0!</v>
      </c>
      <c r="BZ67" s="53" t="e">
        <f t="shared" si="15"/>
        <v>#DIV/0!</v>
      </c>
      <c r="CA67" s="53" t="e">
        <f t="shared" si="16"/>
        <v>#DIV/0!</v>
      </c>
      <c r="CB67" s="53" t="e">
        <f t="shared" si="17"/>
        <v>#DIV/0!</v>
      </c>
      <c r="CC67" s="53" t="e">
        <f t="shared" si="18"/>
        <v>#DIV/0!</v>
      </c>
      <c r="CD67" s="53" t="e">
        <f t="shared" si="19"/>
        <v>#DIV/0!</v>
      </c>
      <c r="CE67" s="55">
        <f t="shared" si="40"/>
        <v>0</v>
      </c>
      <c r="CF67" s="55">
        <f t="shared" si="39"/>
        <v>0</v>
      </c>
      <c r="CG67" s="55">
        <f t="shared" si="39"/>
        <v>0</v>
      </c>
      <c r="CH67" s="55">
        <f t="shared" si="39"/>
        <v>0</v>
      </c>
      <c r="CI67" s="55">
        <f t="shared" si="39"/>
        <v>0</v>
      </c>
      <c r="CJ67" s="55">
        <f t="shared" si="39"/>
        <v>0</v>
      </c>
      <c r="CK67" s="55">
        <f t="shared" si="39"/>
        <v>0</v>
      </c>
      <c r="CL67" s="55">
        <f t="shared" si="39"/>
        <v>0</v>
      </c>
      <c r="CM67" s="55">
        <f t="shared" si="39"/>
        <v>0</v>
      </c>
    </row>
    <row r="68" spans="1:91" x14ac:dyDescent="0.15">
      <c r="A68" s="42">
        <v>66</v>
      </c>
      <c r="B68" s="45">
        <f t="shared" si="38"/>
        <v>1</v>
      </c>
      <c r="C68" s="45">
        <f t="shared" si="37"/>
        <v>1</v>
      </c>
      <c r="D68" s="45">
        <f t="shared" si="37"/>
        <v>1</v>
      </c>
      <c r="E68" s="45">
        <f t="shared" si="37"/>
        <v>1</v>
      </c>
      <c r="F68" s="45">
        <f t="shared" si="37"/>
        <v>1</v>
      </c>
      <c r="G68" s="45">
        <f t="shared" si="37"/>
        <v>1</v>
      </c>
      <c r="H68" s="45">
        <f t="shared" si="37"/>
        <v>1</v>
      </c>
      <c r="I68" s="45">
        <f t="shared" si="37"/>
        <v>1</v>
      </c>
      <c r="J68" s="45">
        <f t="shared" si="37"/>
        <v>1</v>
      </c>
      <c r="K68" s="45" t="e">
        <f>K67+ATM_Conf!$C$5*(T67-AC67)</f>
        <v>#DIV/0!</v>
      </c>
      <c r="L68" s="45" t="e">
        <f>L67+ATM_Conf!$C$5*(U67-AD67)</f>
        <v>#DIV/0!</v>
      </c>
      <c r="M68" s="45" t="e">
        <f>M67+ATM_Conf!$C$5*(V67-AE67)</f>
        <v>#DIV/0!</v>
      </c>
      <c r="N68" s="45" t="e">
        <f>N67+ATM_Conf!$C$5*(W67-AF67)</f>
        <v>#DIV/0!</v>
      </c>
      <c r="O68" s="45" t="e">
        <f>O67+ATM_Conf!$C$5*(X67-AG67)</f>
        <v>#DIV/0!</v>
      </c>
      <c r="P68" s="45" t="e">
        <f>P67+ATM_Conf!$C$5*(Y67-AH67)</f>
        <v>#DIV/0!</v>
      </c>
      <c r="Q68" s="45" t="e">
        <f>Q67+ATM_Conf!$C$5*(Z67-AI67)</f>
        <v>#DIV/0!</v>
      </c>
      <c r="R68" s="45" t="e">
        <f>R67+ATM_Conf!$C$5*(AA67-AJ67)</f>
        <v>#DIV/0!</v>
      </c>
      <c r="S68" s="45" t="e">
        <f>S67+ATM_Conf!$C$5*(AB67-AK67)</f>
        <v>#DIV/0!</v>
      </c>
      <c r="T68" s="45"/>
      <c r="U68" s="45"/>
      <c r="V68" s="45"/>
      <c r="W68" s="45"/>
      <c r="X68" s="45"/>
      <c r="Y68" s="45"/>
      <c r="Z68" s="45"/>
      <c r="AA68" s="45"/>
      <c r="AB68" s="45"/>
      <c r="AC68" s="45" t="e">
        <f t="shared" ref="AC68:AC131" si="41">B68*MIN(AL68,AU68)</f>
        <v>#DIV/0!</v>
      </c>
      <c r="AD68" s="45" t="e">
        <f t="shared" ref="AD68:AD131" si="42">C68*MIN(AM68,AV68)</f>
        <v>#DIV/0!</v>
      </c>
      <c r="AE68" s="45" t="e">
        <f t="shared" ref="AE68:AE131" si="43">D68*MIN(AN68,AW68)</f>
        <v>#DIV/0!</v>
      </c>
      <c r="AF68" s="45" t="e">
        <f t="shared" ref="AF68:AF131" si="44">E68*MIN(AO68,AX68)</f>
        <v>#DIV/0!</v>
      </c>
      <c r="AG68" s="45" t="e">
        <f t="shared" ref="AG68:AG131" si="45">F68*MIN(AP68,AY68)</f>
        <v>#DIV/0!</v>
      </c>
      <c r="AH68" s="45" t="e">
        <f t="shared" ref="AH68:AH131" si="46">G68*MIN(AQ68,AZ68)</f>
        <v>#DIV/0!</v>
      </c>
      <c r="AI68" s="45" t="e">
        <f t="shared" ref="AI68:AI131" si="47">H68*MIN(AR68,BA68)</f>
        <v>#DIV/0!</v>
      </c>
      <c r="AJ68" s="45" t="e">
        <f t="shared" ref="AJ68:AJ131" si="48">I68*MIN(AS68,BB68)</f>
        <v>#DIV/0!</v>
      </c>
      <c r="AK68" s="45" t="e">
        <f t="shared" ref="AK68:AK131" si="49">J68*MIN(AT68,BC68)</f>
        <v>#DIV/0!</v>
      </c>
      <c r="AL68" s="45" t="e">
        <f>T$3+K68/ATM_Conf!$C$5</f>
        <v>#DIV/0!</v>
      </c>
      <c r="AM68" s="45" t="e">
        <f>U$3+L68/ATM_Conf!$C$5</f>
        <v>#DIV/0!</v>
      </c>
      <c r="AN68" s="45" t="e">
        <f>V$3+M68/ATM_Conf!$C$5</f>
        <v>#DIV/0!</v>
      </c>
      <c r="AO68" s="45" t="e">
        <f>W$3+N68/ATM_Conf!$C$5</f>
        <v>#DIV/0!</v>
      </c>
      <c r="AP68" s="45" t="e">
        <f>X$3+O68/ATM_Conf!$C$5</f>
        <v>#DIV/0!</v>
      </c>
      <c r="AQ68" s="45" t="e">
        <f>Y$3+P68/ATM_Conf!$C$5</f>
        <v>#DIV/0!</v>
      </c>
      <c r="AR68" s="45" t="e">
        <f>Z$3+Q68/ATM_Conf!$C$5</f>
        <v>#DIV/0!</v>
      </c>
      <c r="AS68" s="45" t="e">
        <f>AA$3+R68/ATM_Conf!$C$5</f>
        <v>#DIV/0!</v>
      </c>
      <c r="AT68" s="45" t="e">
        <f>AB$3+S68/ATM_Conf!$C$5</f>
        <v>#DIV/0!</v>
      </c>
      <c r="AU68" s="45" t="e">
        <f>BD$3*MIN(1,(ATM_Conf!$C$6-Links!F68)/(ATM_Conf!$C$6-ATM_Conf!$C$7))</f>
        <v>#DIV/0!</v>
      </c>
      <c r="AV68" s="45" t="e">
        <f>BE$3*MIN(1,(ATM_Conf!$C$6-Links!G68)/(ATM_Conf!$C$6-ATM_Conf!$C$7))</f>
        <v>#DIV/0!</v>
      </c>
      <c r="AW68" s="45" t="e">
        <f>BF$3*MIN(1,(ATM_Conf!$C$6-Links!H68)/(ATM_Conf!$C$6-ATM_Conf!$C$7))</f>
        <v>#DIV/0!</v>
      </c>
      <c r="AX68" s="45" t="e">
        <f>BG$3*MIN(1,(ATM_Conf!$C$6-Links!I68)/(ATM_Conf!$C$6-ATM_Conf!$C$7))</f>
        <v>#DIV/0!</v>
      </c>
      <c r="AY68" s="45" t="e">
        <f>BH$3*MIN(1,(ATM_Conf!$C$6-Links!J68)/(ATM_Conf!$C$6-ATM_Conf!$C$7))</f>
        <v>#DIV/0!</v>
      </c>
      <c r="AZ68" s="45" t="e">
        <f>BI$3*MIN(1,(ATM_Conf!$C$6-Links!K68)/(ATM_Conf!$C$6-ATM_Conf!$C$7))</f>
        <v>#DIV/0!</v>
      </c>
      <c r="BA68" s="45" t="e">
        <f>BJ$3*MIN(1,(ATM_Conf!$C$6-Links!L68)/(ATM_Conf!$C$6-ATM_Conf!$C$7))</f>
        <v>#DIV/0!</v>
      </c>
      <c r="BB68" s="45" t="e">
        <f>BK$3*MIN(1,(ATM_Conf!$C$6-Links!M68)/(ATM_Conf!$C$6-ATM_Conf!$C$7))</f>
        <v>#DIV/0!</v>
      </c>
      <c r="BC68" s="45" t="e">
        <f>BL$3*MIN(1,(ATM_Conf!$C$6-Links!N68)/(ATM_Conf!$C$6-ATM_Conf!$C$7))</f>
        <v>#DIV/0!</v>
      </c>
      <c r="BD68" s="45"/>
      <c r="BE68" s="45"/>
      <c r="BF68" s="45"/>
      <c r="BG68" s="45"/>
      <c r="BH68" s="45"/>
      <c r="BI68" s="45"/>
      <c r="BJ68" s="45"/>
      <c r="BK68" s="45"/>
      <c r="BL68" s="45"/>
      <c r="BM68" s="53"/>
      <c r="BN68" s="53"/>
      <c r="BO68" s="53"/>
      <c r="BP68" s="53"/>
      <c r="BQ68" s="53"/>
      <c r="BR68" s="53"/>
      <c r="BS68" s="53"/>
      <c r="BT68" s="53"/>
      <c r="BU68" s="53"/>
      <c r="BV68" s="53" t="e">
        <f t="shared" ref="BV68:BV131" si="50">(MAX(K68-T$190,0))^2</f>
        <v>#DIV/0!</v>
      </c>
      <c r="BW68" s="53" t="e">
        <f t="shared" ref="BW68:BW131" si="51">(MAX(L68-U$190,0))^2</f>
        <v>#DIV/0!</v>
      </c>
      <c r="BX68" s="53" t="e">
        <f t="shared" ref="BX68:BX131" si="52">(MAX(M68-V$190,0))^2</f>
        <v>#DIV/0!</v>
      </c>
      <c r="BY68" s="53" t="e">
        <f t="shared" ref="BY68:BY131" si="53">(MAX(N68-W$190,0))^2</f>
        <v>#DIV/0!</v>
      </c>
      <c r="BZ68" s="53" t="e">
        <f t="shared" ref="BZ68:BZ131" si="54">(MAX(O68-X$190,0))^2</f>
        <v>#DIV/0!</v>
      </c>
      <c r="CA68" s="53" t="e">
        <f t="shared" ref="CA68:CA131" si="55">(MAX(P68-Y$190,0))^2</f>
        <v>#DIV/0!</v>
      </c>
      <c r="CB68" s="53" t="e">
        <f t="shared" ref="CB68:CB131" si="56">(MAX(Q68-Z$190,0))^2</f>
        <v>#DIV/0!</v>
      </c>
      <c r="CC68" s="53" t="e">
        <f t="shared" ref="CC68:CC131" si="57">(MAX(R68-AA$190,0))^2</f>
        <v>#DIV/0!</v>
      </c>
      <c r="CD68" s="53" t="e">
        <f t="shared" ref="CD68:CD131" si="58">(MAX(S68-AB$190,0))^2</f>
        <v>#DIV/0!</v>
      </c>
      <c r="CE68" s="55">
        <f t="shared" si="40"/>
        <v>0</v>
      </c>
      <c r="CF68" s="55">
        <f t="shared" si="39"/>
        <v>0</v>
      </c>
      <c r="CG68" s="55">
        <f t="shared" si="39"/>
        <v>0</v>
      </c>
      <c r="CH68" s="55">
        <f t="shared" si="39"/>
        <v>0</v>
      </c>
      <c r="CI68" s="55">
        <f t="shared" si="39"/>
        <v>0</v>
      </c>
      <c r="CJ68" s="55">
        <f t="shared" si="39"/>
        <v>0</v>
      </c>
      <c r="CK68" s="55">
        <f t="shared" si="39"/>
        <v>0</v>
      </c>
      <c r="CL68" s="55">
        <f t="shared" si="39"/>
        <v>0</v>
      </c>
      <c r="CM68" s="55">
        <f t="shared" si="39"/>
        <v>0</v>
      </c>
    </row>
    <row r="69" spans="1:91" x14ac:dyDescent="0.15">
      <c r="A69" s="42">
        <v>67</v>
      </c>
      <c r="B69" s="45">
        <f t="shared" si="38"/>
        <v>1</v>
      </c>
      <c r="C69" s="45">
        <f t="shared" si="37"/>
        <v>1</v>
      </c>
      <c r="D69" s="45">
        <f t="shared" si="37"/>
        <v>1</v>
      </c>
      <c r="E69" s="45">
        <f t="shared" si="37"/>
        <v>1</v>
      </c>
      <c r="F69" s="45">
        <f t="shared" si="37"/>
        <v>1</v>
      </c>
      <c r="G69" s="45">
        <f t="shared" si="37"/>
        <v>1</v>
      </c>
      <c r="H69" s="45">
        <f t="shared" si="37"/>
        <v>1</v>
      </c>
      <c r="I69" s="45">
        <f t="shared" si="37"/>
        <v>1</v>
      </c>
      <c r="J69" s="45">
        <f t="shared" si="37"/>
        <v>1</v>
      </c>
      <c r="K69" s="45" t="e">
        <f>K68+ATM_Conf!$C$5*(T68-AC68)</f>
        <v>#DIV/0!</v>
      </c>
      <c r="L69" s="45" t="e">
        <f>L68+ATM_Conf!$C$5*(U68-AD68)</f>
        <v>#DIV/0!</v>
      </c>
      <c r="M69" s="45" t="e">
        <f>M68+ATM_Conf!$C$5*(V68-AE68)</f>
        <v>#DIV/0!</v>
      </c>
      <c r="N69" s="45" t="e">
        <f>N68+ATM_Conf!$C$5*(W68-AF68)</f>
        <v>#DIV/0!</v>
      </c>
      <c r="O69" s="45" t="e">
        <f>O68+ATM_Conf!$C$5*(X68-AG68)</f>
        <v>#DIV/0!</v>
      </c>
      <c r="P69" s="45" t="e">
        <f>P68+ATM_Conf!$C$5*(Y68-AH68)</f>
        <v>#DIV/0!</v>
      </c>
      <c r="Q69" s="45" t="e">
        <f>Q68+ATM_Conf!$C$5*(Z68-AI68)</f>
        <v>#DIV/0!</v>
      </c>
      <c r="R69" s="45" t="e">
        <f>R68+ATM_Conf!$C$5*(AA68-AJ68)</f>
        <v>#DIV/0!</v>
      </c>
      <c r="S69" s="45" t="e">
        <f>S68+ATM_Conf!$C$5*(AB68-AK68)</f>
        <v>#DIV/0!</v>
      </c>
      <c r="T69" s="45"/>
      <c r="U69" s="45"/>
      <c r="V69" s="45"/>
      <c r="W69" s="45"/>
      <c r="X69" s="45"/>
      <c r="Y69" s="45"/>
      <c r="Z69" s="45"/>
      <c r="AA69" s="45"/>
      <c r="AB69" s="45"/>
      <c r="AC69" s="45" t="e">
        <f t="shared" si="41"/>
        <v>#DIV/0!</v>
      </c>
      <c r="AD69" s="45" t="e">
        <f t="shared" si="42"/>
        <v>#DIV/0!</v>
      </c>
      <c r="AE69" s="45" t="e">
        <f t="shared" si="43"/>
        <v>#DIV/0!</v>
      </c>
      <c r="AF69" s="45" t="e">
        <f t="shared" si="44"/>
        <v>#DIV/0!</v>
      </c>
      <c r="AG69" s="45" t="e">
        <f t="shared" si="45"/>
        <v>#DIV/0!</v>
      </c>
      <c r="AH69" s="45" t="e">
        <f t="shared" si="46"/>
        <v>#DIV/0!</v>
      </c>
      <c r="AI69" s="45" t="e">
        <f t="shared" si="47"/>
        <v>#DIV/0!</v>
      </c>
      <c r="AJ69" s="45" t="e">
        <f t="shared" si="48"/>
        <v>#DIV/0!</v>
      </c>
      <c r="AK69" s="45" t="e">
        <f t="shared" si="49"/>
        <v>#DIV/0!</v>
      </c>
      <c r="AL69" s="45" t="e">
        <f>T$3+K69/ATM_Conf!$C$5</f>
        <v>#DIV/0!</v>
      </c>
      <c r="AM69" s="45" t="e">
        <f>U$3+L69/ATM_Conf!$C$5</f>
        <v>#DIV/0!</v>
      </c>
      <c r="AN69" s="45" t="e">
        <f>V$3+M69/ATM_Conf!$C$5</f>
        <v>#DIV/0!</v>
      </c>
      <c r="AO69" s="45" t="e">
        <f>W$3+N69/ATM_Conf!$C$5</f>
        <v>#DIV/0!</v>
      </c>
      <c r="AP69" s="45" t="e">
        <f>X$3+O69/ATM_Conf!$C$5</f>
        <v>#DIV/0!</v>
      </c>
      <c r="AQ69" s="45" t="e">
        <f>Y$3+P69/ATM_Conf!$C$5</f>
        <v>#DIV/0!</v>
      </c>
      <c r="AR69" s="45" t="e">
        <f>Z$3+Q69/ATM_Conf!$C$5</f>
        <v>#DIV/0!</v>
      </c>
      <c r="AS69" s="45" t="e">
        <f>AA$3+R69/ATM_Conf!$C$5</f>
        <v>#DIV/0!</v>
      </c>
      <c r="AT69" s="45" t="e">
        <f>AB$3+S69/ATM_Conf!$C$5</f>
        <v>#DIV/0!</v>
      </c>
      <c r="AU69" s="45" t="e">
        <f>BD$3*MIN(1,(ATM_Conf!$C$6-Links!F69)/(ATM_Conf!$C$6-ATM_Conf!$C$7))</f>
        <v>#DIV/0!</v>
      </c>
      <c r="AV69" s="45" t="e">
        <f>BE$3*MIN(1,(ATM_Conf!$C$6-Links!G69)/(ATM_Conf!$C$6-ATM_Conf!$C$7))</f>
        <v>#DIV/0!</v>
      </c>
      <c r="AW69" s="45" t="e">
        <f>BF$3*MIN(1,(ATM_Conf!$C$6-Links!H69)/(ATM_Conf!$C$6-ATM_Conf!$C$7))</f>
        <v>#DIV/0!</v>
      </c>
      <c r="AX69" s="45" t="e">
        <f>BG$3*MIN(1,(ATM_Conf!$C$6-Links!I69)/(ATM_Conf!$C$6-ATM_Conf!$C$7))</f>
        <v>#DIV/0!</v>
      </c>
      <c r="AY69" s="45" t="e">
        <f>BH$3*MIN(1,(ATM_Conf!$C$6-Links!J69)/(ATM_Conf!$C$6-ATM_Conf!$C$7))</f>
        <v>#DIV/0!</v>
      </c>
      <c r="AZ69" s="45" t="e">
        <f>BI$3*MIN(1,(ATM_Conf!$C$6-Links!K69)/(ATM_Conf!$C$6-ATM_Conf!$C$7))</f>
        <v>#DIV/0!</v>
      </c>
      <c r="BA69" s="45" t="e">
        <f>BJ$3*MIN(1,(ATM_Conf!$C$6-Links!L69)/(ATM_Conf!$C$6-ATM_Conf!$C$7))</f>
        <v>#DIV/0!</v>
      </c>
      <c r="BB69" s="45" t="e">
        <f>BK$3*MIN(1,(ATM_Conf!$C$6-Links!M69)/(ATM_Conf!$C$6-ATM_Conf!$C$7))</f>
        <v>#DIV/0!</v>
      </c>
      <c r="BC69" s="45" t="e">
        <f>BL$3*MIN(1,(ATM_Conf!$C$6-Links!N69)/(ATM_Conf!$C$6-ATM_Conf!$C$7))</f>
        <v>#DIV/0!</v>
      </c>
      <c r="BD69" s="45"/>
      <c r="BE69" s="45"/>
      <c r="BF69" s="45"/>
      <c r="BG69" s="45"/>
      <c r="BH69" s="45"/>
      <c r="BI69" s="45"/>
      <c r="BJ69" s="45"/>
      <c r="BK69" s="45"/>
      <c r="BL69" s="45"/>
      <c r="BM69" s="53"/>
      <c r="BN69" s="53"/>
      <c r="BO69" s="53"/>
      <c r="BP69" s="53"/>
      <c r="BQ69" s="53"/>
      <c r="BR69" s="53"/>
      <c r="BS69" s="53"/>
      <c r="BT69" s="53"/>
      <c r="BU69" s="53"/>
      <c r="BV69" s="53" t="e">
        <f t="shared" si="50"/>
        <v>#DIV/0!</v>
      </c>
      <c r="BW69" s="53" t="e">
        <f t="shared" si="51"/>
        <v>#DIV/0!</v>
      </c>
      <c r="BX69" s="53" t="e">
        <f t="shared" si="52"/>
        <v>#DIV/0!</v>
      </c>
      <c r="BY69" s="53" t="e">
        <f t="shared" si="53"/>
        <v>#DIV/0!</v>
      </c>
      <c r="BZ69" s="53" t="e">
        <f t="shared" si="54"/>
        <v>#DIV/0!</v>
      </c>
      <c r="CA69" s="53" t="e">
        <f t="shared" si="55"/>
        <v>#DIV/0!</v>
      </c>
      <c r="CB69" s="53" t="e">
        <f t="shared" si="56"/>
        <v>#DIV/0!</v>
      </c>
      <c r="CC69" s="53" t="e">
        <f t="shared" si="57"/>
        <v>#DIV/0!</v>
      </c>
      <c r="CD69" s="53" t="e">
        <f t="shared" si="58"/>
        <v>#DIV/0!</v>
      </c>
      <c r="CE69" s="55">
        <f t="shared" si="40"/>
        <v>0</v>
      </c>
      <c r="CF69" s="55">
        <f t="shared" si="39"/>
        <v>0</v>
      </c>
      <c r="CG69" s="55">
        <f t="shared" si="39"/>
        <v>0</v>
      </c>
      <c r="CH69" s="55">
        <f t="shared" si="39"/>
        <v>0</v>
      </c>
      <c r="CI69" s="55">
        <f t="shared" si="39"/>
        <v>0</v>
      </c>
      <c r="CJ69" s="55">
        <f t="shared" si="39"/>
        <v>0</v>
      </c>
      <c r="CK69" s="55">
        <f t="shared" si="39"/>
        <v>0</v>
      </c>
      <c r="CL69" s="55">
        <f t="shared" si="39"/>
        <v>0</v>
      </c>
      <c r="CM69" s="55">
        <f t="shared" si="39"/>
        <v>0</v>
      </c>
    </row>
    <row r="70" spans="1:91" x14ac:dyDescent="0.15">
      <c r="A70" s="42">
        <v>68</v>
      </c>
      <c r="B70" s="45">
        <f t="shared" si="38"/>
        <v>1</v>
      </c>
      <c r="C70" s="45">
        <f t="shared" si="37"/>
        <v>1</v>
      </c>
      <c r="D70" s="45">
        <f t="shared" si="37"/>
        <v>1</v>
      </c>
      <c r="E70" s="45">
        <f t="shared" si="37"/>
        <v>1</v>
      </c>
      <c r="F70" s="45">
        <f t="shared" si="37"/>
        <v>1</v>
      </c>
      <c r="G70" s="45">
        <f t="shared" si="37"/>
        <v>1</v>
      </c>
      <c r="H70" s="45">
        <f t="shared" si="37"/>
        <v>1</v>
      </c>
      <c r="I70" s="45">
        <f t="shared" si="37"/>
        <v>1</v>
      </c>
      <c r="J70" s="45">
        <f t="shared" si="37"/>
        <v>1</v>
      </c>
      <c r="K70" s="45" t="e">
        <f>K69+ATM_Conf!$C$5*(T69-AC69)</f>
        <v>#DIV/0!</v>
      </c>
      <c r="L70" s="45" t="e">
        <f>L69+ATM_Conf!$C$5*(U69-AD69)</f>
        <v>#DIV/0!</v>
      </c>
      <c r="M70" s="45" t="e">
        <f>M69+ATM_Conf!$C$5*(V69-AE69)</f>
        <v>#DIV/0!</v>
      </c>
      <c r="N70" s="45" t="e">
        <f>N69+ATM_Conf!$C$5*(W69-AF69)</f>
        <v>#DIV/0!</v>
      </c>
      <c r="O70" s="45" t="e">
        <f>O69+ATM_Conf!$C$5*(X69-AG69)</f>
        <v>#DIV/0!</v>
      </c>
      <c r="P70" s="45" t="e">
        <f>P69+ATM_Conf!$C$5*(Y69-AH69)</f>
        <v>#DIV/0!</v>
      </c>
      <c r="Q70" s="45" t="e">
        <f>Q69+ATM_Conf!$C$5*(Z69-AI69)</f>
        <v>#DIV/0!</v>
      </c>
      <c r="R70" s="45" t="e">
        <f>R69+ATM_Conf!$C$5*(AA69-AJ69)</f>
        <v>#DIV/0!</v>
      </c>
      <c r="S70" s="45" t="e">
        <f>S69+ATM_Conf!$C$5*(AB69-AK69)</f>
        <v>#DIV/0!</v>
      </c>
      <c r="T70" s="45"/>
      <c r="U70" s="45"/>
      <c r="V70" s="45"/>
      <c r="W70" s="45"/>
      <c r="X70" s="45"/>
      <c r="Y70" s="45"/>
      <c r="Z70" s="45"/>
      <c r="AA70" s="45"/>
      <c r="AB70" s="45"/>
      <c r="AC70" s="45" t="e">
        <f t="shared" si="41"/>
        <v>#DIV/0!</v>
      </c>
      <c r="AD70" s="45" t="e">
        <f t="shared" si="42"/>
        <v>#DIV/0!</v>
      </c>
      <c r="AE70" s="45" t="e">
        <f t="shared" si="43"/>
        <v>#DIV/0!</v>
      </c>
      <c r="AF70" s="45" t="e">
        <f t="shared" si="44"/>
        <v>#DIV/0!</v>
      </c>
      <c r="AG70" s="45" t="e">
        <f t="shared" si="45"/>
        <v>#DIV/0!</v>
      </c>
      <c r="AH70" s="45" t="e">
        <f t="shared" si="46"/>
        <v>#DIV/0!</v>
      </c>
      <c r="AI70" s="45" t="e">
        <f t="shared" si="47"/>
        <v>#DIV/0!</v>
      </c>
      <c r="AJ70" s="45" t="e">
        <f t="shared" si="48"/>
        <v>#DIV/0!</v>
      </c>
      <c r="AK70" s="45" t="e">
        <f t="shared" si="49"/>
        <v>#DIV/0!</v>
      </c>
      <c r="AL70" s="45" t="e">
        <f>T$3+K70/ATM_Conf!$C$5</f>
        <v>#DIV/0!</v>
      </c>
      <c r="AM70" s="45" t="e">
        <f>U$3+L70/ATM_Conf!$C$5</f>
        <v>#DIV/0!</v>
      </c>
      <c r="AN70" s="45" t="e">
        <f>V$3+M70/ATM_Conf!$C$5</f>
        <v>#DIV/0!</v>
      </c>
      <c r="AO70" s="45" t="e">
        <f>W$3+N70/ATM_Conf!$C$5</f>
        <v>#DIV/0!</v>
      </c>
      <c r="AP70" s="45" t="e">
        <f>X$3+O70/ATM_Conf!$C$5</f>
        <v>#DIV/0!</v>
      </c>
      <c r="AQ70" s="45" t="e">
        <f>Y$3+P70/ATM_Conf!$C$5</f>
        <v>#DIV/0!</v>
      </c>
      <c r="AR70" s="45" t="e">
        <f>Z$3+Q70/ATM_Conf!$C$5</f>
        <v>#DIV/0!</v>
      </c>
      <c r="AS70" s="45" t="e">
        <f>AA$3+R70/ATM_Conf!$C$5</f>
        <v>#DIV/0!</v>
      </c>
      <c r="AT70" s="45" t="e">
        <f>AB$3+S70/ATM_Conf!$C$5</f>
        <v>#DIV/0!</v>
      </c>
      <c r="AU70" s="45" t="e">
        <f>BD$3*MIN(1,(ATM_Conf!$C$6-Links!F70)/(ATM_Conf!$C$6-ATM_Conf!$C$7))</f>
        <v>#DIV/0!</v>
      </c>
      <c r="AV70" s="45" t="e">
        <f>BE$3*MIN(1,(ATM_Conf!$C$6-Links!G70)/(ATM_Conf!$C$6-ATM_Conf!$C$7))</f>
        <v>#DIV/0!</v>
      </c>
      <c r="AW70" s="45" t="e">
        <f>BF$3*MIN(1,(ATM_Conf!$C$6-Links!H70)/(ATM_Conf!$C$6-ATM_Conf!$C$7))</f>
        <v>#DIV/0!</v>
      </c>
      <c r="AX70" s="45" t="e">
        <f>BG$3*MIN(1,(ATM_Conf!$C$6-Links!I70)/(ATM_Conf!$C$6-ATM_Conf!$C$7))</f>
        <v>#DIV/0!</v>
      </c>
      <c r="AY70" s="45" t="e">
        <f>BH$3*MIN(1,(ATM_Conf!$C$6-Links!J70)/(ATM_Conf!$C$6-ATM_Conf!$C$7))</f>
        <v>#DIV/0!</v>
      </c>
      <c r="AZ70" s="45" t="e">
        <f>BI$3*MIN(1,(ATM_Conf!$C$6-Links!K70)/(ATM_Conf!$C$6-ATM_Conf!$C$7))</f>
        <v>#DIV/0!</v>
      </c>
      <c r="BA70" s="45" t="e">
        <f>BJ$3*MIN(1,(ATM_Conf!$C$6-Links!L70)/(ATM_Conf!$C$6-ATM_Conf!$C$7))</f>
        <v>#DIV/0!</v>
      </c>
      <c r="BB70" s="45" t="e">
        <f>BK$3*MIN(1,(ATM_Conf!$C$6-Links!M70)/(ATM_Conf!$C$6-ATM_Conf!$C$7))</f>
        <v>#DIV/0!</v>
      </c>
      <c r="BC70" s="45" t="e">
        <f>BL$3*MIN(1,(ATM_Conf!$C$6-Links!N70)/(ATM_Conf!$C$6-ATM_Conf!$C$7))</f>
        <v>#DIV/0!</v>
      </c>
      <c r="BD70" s="45"/>
      <c r="BE70" s="45"/>
      <c r="BF70" s="45"/>
      <c r="BG70" s="45"/>
      <c r="BH70" s="45"/>
      <c r="BI70" s="45"/>
      <c r="BJ70" s="45"/>
      <c r="BK70" s="45"/>
      <c r="BL70" s="45"/>
      <c r="BM70" s="53"/>
      <c r="BN70" s="53"/>
      <c r="BO70" s="53"/>
      <c r="BP70" s="53"/>
      <c r="BQ70" s="53"/>
      <c r="BR70" s="53"/>
      <c r="BS70" s="53"/>
      <c r="BT70" s="53"/>
      <c r="BU70" s="53"/>
      <c r="BV70" s="53" t="e">
        <f t="shared" si="50"/>
        <v>#DIV/0!</v>
      </c>
      <c r="BW70" s="53" t="e">
        <f t="shared" si="51"/>
        <v>#DIV/0!</v>
      </c>
      <c r="BX70" s="53" t="e">
        <f t="shared" si="52"/>
        <v>#DIV/0!</v>
      </c>
      <c r="BY70" s="53" t="e">
        <f t="shared" si="53"/>
        <v>#DIV/0!</v>
      </c>
      <c r="BZ70" s="53" t="e">
        <f t="shared" si="54"/>
        <v>#DIV/0!</v>
      </c>
      <c r="CA70" s="53" t="e">
        <f t="shared" si="55"/>
        <v>#DIV/0!</v>
      </c>
      <c r="CB70" s="53" t="e">
        <f t="shared" si="56"/>
        <v>#DIV/0!</v>
      </c>
      <c r="CC70" s="53" t="e">
        <f t="shared" si="57"/>
        <v>#DIV/0!</v>
      </c>
      <c r="CD70" s="53" t="e">
        <f t="shared" si="58"/>
        <v>#DIV/0!</v>
      </c>
      <c r="CE70" s="55">
        <f t="shared" si="40"/>
        <v>0</v>
      </c>
      <c r="CF70" s="55">
        <f t="shared" si="39"/>
        <v>0</v>
      </c>
      <c r="CG70" s="55">
        <f t="shared" si="39"/>
        <v>0</v>
      </c>
      <c r="CH70" s="55">
        <f t="shared" si="39"/>
        <v>0</v>
      </c>
      <c r="CI70" s="55">
        <f t="shared" si="39"/>
        <v>0</v>
      </c>
      <c r="CJ70" s="55">
        <f t="shared" si="39"/>
        <v>0</v>
      </c>
      <c r="CK70" s="55">
        <f t="shared" si="39"/>
        <v>0</v>
      </c>
      <c r="CL70" s="55">
        <f t="shared" si="39"/>
        <v>0</v>
      </c>
      <c r="CM70" s="55">
        <f t="shared" si="39"/>
        <v>0</v>
      </c>
    </row>
    <row r="71" spans="1:91" x14ac:dyDescent="0.15">
      <c r="A71" s="42">
        <v>69</v>
      </c>
      <c r="B71" s="45">
        <f t="shared" si="38"/>
        <v>1</v>
      </c>
      <c r="C71" s="45">
        <f t="shared" si="37"/>
        <v>1</v>
      </c>
      <c r="D71" s="45">
        <f t="shared" si="37"/>
        <v>1</v>
      </c>
      <c r="E71" s="45">
        <f t="shared" si="37"/>
        <v>1</v>
      </c>
      <c r="F71" s="45">
        <f t="shared" si="37"/>
        <v>1</v>
      </c>
      <c r="G71" s="45">
        <f t="shared" si="37"/>
        <v>1</v>
      </c>
      <c r="H71" s="45">
        <f t="shared" si="37"/>
        <v>1</v>
      </c>
      <c r="I71" s="45">
        <f t="shared" si="37"/>
        <v>1</v>
      </c>
      <c r="J71" s="45">
        <f t="shared" si="37"/>
        <v>1</v>
      </c>
      <c r="K71" s="45" t="e">
        <f>K70+ATM_Conf!$C$5*(T70-AC70)</f>
        <v>#DIV/0!</v>
      </c>
      <c r="L71" s="45" t="e">
        <f>L70+ATM_Conf!$C$5*(U70-AD70)</f>
        <v>#DIV/0!</v>
      </c>
      <c r="M71" s="45" t="e">
        <f>M70+ATM_Conf!$C$5*(V70-AE70)</f>
        <v>#DIV/0!</v>
      </c>
      <c r="N71" s="45" t="e">
        <f>N70+ATM_Conf!$C$5*(W70-AF70)</f>
        <v>#DIV/0!</v>
      </c>
      <c r="O71" s="45" t="e">
        <f>O70+ATM_Conf!$C$5*(X70-AG70)</f>
        <v>#DIV/0!</v>
      </c>
      <c r="P71" s="45" t="e">
        <f>P70+ATM_Conf!$C$5*(Y70-AH70)</f>
        <v>#DIV/0!</v>
      </c>
      <c r="Q71" s="45" t="e">
        <f>Q70+ATM_Conf!$C$5*(Z70-AI70)</f>
        <v>#DIV/0!</v>
      </c>
      <c r="R71" s="45" t="e">
        <f>R70+ATM_Conf!$C$5*(AA70-AJ70)</f>
        <v>#DIV/0!</v>
      </c>
      <c r="S71" s="45" t="e">
        <f>S70+ATM_Conf!$C$5*(AB70-AK70)</f>
        <v>#DIV/0!</v>
      </c>
      <c r="T71" s="45"/>
      <c r="U71" s="45"/>
      <c r="V71" s="45"/>
      <c r="W71" s="45"/>
      <c r="X71" s="45"/>
      <c r="Y71" s="45"/>
      <c r="Z71" s="45"/>
      <c r="AA71" s="45"/>
      <c r="AB71" s="45"/>
      <c r="AC71" s="45" t="e">
        <f t="shared" si="41"/>
        <v>#DIV/0!</v>
      </c>
      <c r="AD71" s="45" t="e">
        <f t="shared" si="42"/>
        <v>#DIV/0!</v>
      </c>
      <c r="AE71" s="45" t="e">
        <f t="shared" si="43"/>
        <v>#DIV/0!</v>
      </c>
      <c r="AF71" s="45" t="e">
        <f t="shared" si="44"/>
        <v>#DIV/0!</v>
      </c>
      <c r="AG71" s="45" t="e">
        <f t="shared" si="45"/>
        <v>#DIV/0!</v>
      </c>
      <c r="AH71" s="45" t="e">
        <f t="shared" si="46"/>
        <v>#DIV/0!</v>
      </c>
      <c r="AI71" s="45" t="e">
        <f t="shared" si="47"/>
        <v>#DIV/0!</v>
      </c>
      <c r="AJ71" s="45" t="e">
        <f t="shared" si="48"/>
        <v>#DIV/0!</v>
      </c>
      <c r="AK71" s="45" t="e">
        <f t="shared" si="49"/>
        <v>#DIV/0!</v>
      </c>
      <c r="AL71" s="45" t="e">
        <f>T$3+K71/ATM_Conf!$C$5</f>
        <v>#DIV/0!</v>
      </c>
      <c r="AM71" s="45" t="e">
        <f>U$3+L71/ATM_Conf!$C$5</f>
        <v>#DIV/0!</v>
      </c>
      <c r="AN71" s="45" t="e">
        <f>V$3+M71/ATM_Conf!$C$5</f>
        <v>#DIV/0!</v>
      </c>
      <c r="AO71" s="45" t="e">
        <f>W$3+N71/ATM_Conf!$C$5</f>
        <v>#DIV/0!</v>
      </c>
      <c r="AP71" s="45" t="e">
        <f>X$3+O71/ATM_Conf!$C$5</f>
        <v>#DIV/0!</v>
      </c>
      <c r="AQ71" s="45" t="e">
        <f>Y$3+P71/ATM_Conf!$C$5</f>
        <v>#DIV/0!</v>
      </c>
      <c r="AR71" s="45" t="e">
        <f>Z$3+Q71/ATM_Conf!$C$5</f>
        <v>#DIV/0!</v>
      </c>
      <c r="AS71" s="45" t="e">
        <f>AA$3+R71/ATM_Conf!$C$5</f>
        <v>#DIV/0!</v>
      </c>
      <c r="AT71" s="45" t="e">
        <f>AB$3+S71/ATM_Conf!$C$5</f>
        <v>#DIV/0!</v>
      </c>
      <c r="AU71" s="45" t="e">
        <f>BD$3*MIN(1,(ATM_Conf!$C$6-Links!F71)/(ATM_Conf!$C$6-ATM_Conf!$C$7))</f>
        <v>#DIV/0!</v>
      </c>
      <c r="AV71" s="45" t="e">
        <f>BE$3*MIN(1,(ATM_Conf!$C$6-Links!G71)/(ATM_Conf!$C$6-ATM_Conf!$C$7))</f>
        <v>#DIV/0!</v>
      </c>
      <c r="AW71" s="45" t="e">
        <f>BF$3*MIN(1,(ATM_Conf!$C$6-Links!H71)/(ATM_Conf!$C$6-ATM_Conf!$C$7))</f>
        <v>#DIV/0!</v>
      </c>
      <c r="AX71" s="45" t="e">
        <f>BG$3*MIN(1,(ATM_Conf!$C$6-Links!I71)/(ATM_Conf!$C$6-ATM_Conf!$C$7))</f>
        <v>#DIV/0!</v>
      </c>
      <c r="AY71" s="45" t="e">
        <f>BH$3*MIN(1,(ATM_Conf!$C$6-Links!J71)/(ATM_Conf!$C$6-ATM_Conf!$C$7))</f>
        <v>#DIV/0!</v>
      </c>
      <c r="AZ71" s="45" t="e">
        <f>BI$3*MIN(1,(ATM_Conf!$C$6-Links!K71)/(ATM_Conf!$C$6-ATM_Conf!$C$7))</f>
        <v>#DIV/0!</v>
      </c>
      <c r="BA71" s="45" t="e">
        <f>BJ$3*MIN(1,(ATM_Conf!$C$6-Links!L71)/(ATM_Conf!$C$6-ATM_Conf!$C$7))</f>
        <v>#DIV/0!</v>
      </c>
      <c r="BB71" s="45" t="e">
        <f>BK$3*MIN(1,(ATM_Conf!$C$6-Links!M71)/(ATM_Conf!$C$6-ATM_Conf!$C$7))</f>
        <v>#DIV/0!</v>
      </c>
      <c r="BC71" s="45" t="e">
        <f>BL$3*MIN(1,(ATM_Conf!$C$6-Links!N71)/(ATM_Conf!$C$6-ATM_Conf!$C$7))</f>
        <v>#DIV/0!</v>
      </c>
      <c r="BD71" s="45"/>
      <c r="BE71" s="45"/>
      <c r="BF71" s="45"/>
      <c r="BG71" s="45"/>
      <c r="BH71" s="45"/>
      <c r="BI71" s="45"/>
      <c r="BJ71" s="45"/>
      <c r="BK71" s="45"/>
      <c r="BL71" s="45"/>
      <c r="BM71" s="53"/>
      <c r="BN71" s="53"/>
      <c r="BO71" s="53"/>
      <c r="BP71" s="53"/>
      <c r="BQ71" s="53"/>
      <c r="BR71" s="53"/>
      <c r="BS71" s="53"/>
      <c r="BT71" s="53"/>
      <c r="BU71" s="53"/>
      <c r="BV71" s="53" t="e">
        <f t="shared" si="50"/>
        <v>#DIV/0!</v>
      </c>
      <c r="BW71" s="53" t="e">
        <f t="shared" si="51"/>
        <v>#DIV/0!</v>
      </c>
      <c r="BX71" s="53" t="e">
        <f t="shared" si="52"/>
        <v>#DIV/0!</v>
      </c>
      <c r="BY71" s="53" t="e">
        <f t="shared" si="53"/>
        <v>#DIV/0!</v>
      </c>
      <c r="BZ71" s="53" t="e">
        <f t="shared" si="54"/>
        <v>#DIV/0!</v>
      </c>
      <c r="CA71" s="53" t="e">
        <f t="shared" si="55"/>
        <v>#DIV/0!</v>
      </c>
      <c r="CB71" s="53" t="e">
        <f t="shared" si="56"/>
        <v>#DIV/0!</v>
      </c>
      <c r="CC71" s="53" t="e">
        <f t="shared" si="57"/>
        <v>#DIV/0!</v>
      </c>
      <c r="CD71" s="53" t="e">
        <f t="shared" si="58"/>
        <v>#DIV/0!</v>
      </c>
      <c r="CE71" s="55">
        <f t="shared" si="40"/>
        <v>0</v>
      </c>
      <c r="CF71" s="55">
        <f t="shared" si="39"/>
        <v>0</v>
      </c>
      <c r="CG71" s="55">
        <f t="shared" si="39"/>
        <v>0</v>
      </c>
      <c r="CH71" s="55">
        <f t="shared" si="39"/>
        <v>0</v>
      </c>
      <c r="CI71" s="55">
        <f t="shared" si="39"/>
        <v>0</v>
      </c>
      <c r="CJ71" s="55">
        <f t="shared" si="39"/>
        <v>0</v>
      </c>
      <c r="CK71" s="55">
        <f t="shared" si="39"/>
        <v>0</v>
      </c>
      <c r="CL71" s="55">
        <f t="shared" si="39"/>
        <v>0</v>
      </c>
      <c r="CM71" s="55">
        <f t="shared" si="39"/>
        <v>0</v>
      </c>
    </row>
    <row r="72" spans="1:91" x14ac:dyDescent="0.15">
      <c r="A72" s="42">
        <v>70</v>
      </c>
      <c r="B72" s="45">
        <f t="shared" si="38"/>
        <v>1</v>
      </c>
      <c r="C72" s="45">
        <f t="shared" si="37"/>
        <v>1</v>
      </c>
      <c r="D72" s="45">
        <f t="shared" si="37"/>
        <v>1</v>
      </c>
      <c r="E72" s="45">
        <f t="shared" si="37"/>
        <v>1</v>
      </c>
      <c r="F72" s="45">
        <f t="shared" si="37"/>
        <v>1</v>
      </c>
      <c r="G72" s="45">
        <f t="shared" si="37"/>
        <v>1</v>
      </c>
      <c r="H72" s="45">
        <f t="shared" si="37"/>
        <v>1</v>
      </c>
      <c r="I72" s="45">
        <f t="shared" si="37"/>
        <v>1</v>
      </c>
      <c r="J72" s="45">
        <f t="shared" si="37"/>
        <v>1</v>
      </c>
      <c r="K72" s="45" t="e">
        <f>K71+ATM_Conf!$C$5*(T71-AC71)</f>
        <v>#DIV/0!</v>
      </c>
      <c r="L72" s="45" t="e">
        <f>L71+ATM_Conf!$C$5*(U71-AD71)</f>
        <v>#DIV/0!</v>
      </c>
      <c r="M72" s="45" t="e">
        <f>M71+ATM_Conf!$C$5*(V71-AE71)</f>
        <v>#DIV/0!</v>
      </c>
      <c r="N72" s="45" t="e">
        <f>N71+ATM_Conf!$C$5*(W71-AF71)</f>
        <v>#DIV/0!</v>
      </c>
      <c r="O72" s="45" t="e">
        <f>O71+ATM_Conf!$C$5*(X71-AG71)</f>
        <v>#DIV/0!</v>
      </c>
      <c r="P72" s="45" t="e">
        <f>P71+ATM_Conf!$C$5*(Y71-AH71)</f>
        <v>#DIV/0!</v>
      </c>
      <c r="Q72" s="45" t="e">
        <f>Q71+ATM_Conf!$C$5*(Z71-AI71)</f>
        <v>#DIV/0!</v>
      </c>
      <c r="R72" s="45" t="e">
        <f>R71+ATM_Conf!$C$5*(AA71-AJ71)</f>
        <v>#DIV/0!</v>
      </c>
      <c r="S72" s="45" t="e">
        <f>S71+ATM_Conf!$C$5*(AB71-AK71)</f>
        <v>#DIV/0!</v>
      </c>
      <c r="T72" s="45"/>
      <c r="U72" s="45"/>
      <c r="V72" s="45"/>
      <c r="W72" s="45"/>
      <c r="X72" s="45"/>
      <c r="Y72" s="45"/>
      <c r="Z72" s="45"/>
      <c r="AA72" s="45"/>
      <c r="AB72" s="45"/>
      <c r="AC72" s="45" t="e">
        <f t="shared" si="41"/>
        <v>#DIV/0!</v>
      </c>
      <c r="AD72" s="45" t="e">
        <f t="shared" si="42"/>
        <v>#DIV/0!</v>
      </c>
      <c r="AE72" s="45" t="e">
        <f t="shared" si="43"/>
        <v>#DIV/0!</v>
      </c>
      <c r="AF72" s="45" t="e">
        <f t="shared" si="44"/>
        <v>#DIV/0!</v>
      </c>
      <c r="AG72" s="45" t="e">
        <f t="shared" si="45"/>
        <v>#DIV/0!</v>
      </c>
      <c r="AH72" s="45" t="e">
        <f t="shared" si="46"/>
        <v>#DIV/0!</v>
      </c>
      <c r="AI72" s="45" t="e">
        <f t="shared" si="47"/>
        <v>#DIV/0!</v>
      </c>
      <c r="AJ72" s="45" t="e">
        <f t="shared" si="48"/>
        <v>#DIV/0!</v>
      </c>
      <c r="AK72" s="45" t="e">
        <f t="shared" si="49"/>
        <v>#DIV/0!</v>
      </c>
      <c r="AL72" s="45" t="e">
        <f>T$3+K72/ATM_Conf!$C$5</f>
        <v>#DIV/0!</v>
      </c>
      <c r="AM72" s="45" t="e">
        <f>U$3+L72/ATM_Conf!$C$5</f>
        <v>#DIV/0!</v>
      </c>
      <c r="AN72" s="45" t="e">
        <f>V$3+M72/ATM_Conf!$C$5</f>
        <v>#DIV/0!</v>
      </c>
      <c r="AO72" s="45" t="e">
        <f>W$3+N72/ATM_Conf!$C$5</f>
        <v>#DIV/0!</v>
      </c>
      <c r="AP72" s="45" t="e">
        <f>X$3+O72/ATM_Conf!$C$5</f>
        <v>#DIV/0!</v>
      </c>
      <c r="AQ72" s="45" t="e">
        <f>Y$3+P72/ATM_Conf!$C$5</f>
        <v>#DIV/0!</v>
      </c>
      <c r="AR72" s="45" t="e">
        <f>Z$3+Q72/ATM_Conf!$C$5</f>
        <v>#DIV/0!</v>
      </c>
      <c r="AS72" s="45" t="e">
        <f>AA$3+R72/ATM_Conf!$C$5</f>
        <v>#DIV/0!</v>
      </c>
      <c r="AT72" s="45" t="e">
        <f>AB$3+S72/ATM_Conf!$C$5</f>
        <v>#DIV/0!</v>
      </c>
      <c r="AU72" s="45" t="e">
        <f>BD$3*MIN(1,(ATM_Conf!$C$6-Links!F72)/(ATM_Conf!$C$6-ATM_Conf!$C$7))</f>
        <v>#DIV/0!</v>
      </c>
      <c r="AV72" s="45" t="e">
        <f>BE$3*MIN(1,(ATM_Conf!$C$6-Links!G72)/(ATM_Conf!$C$6-ATM_Conf!$C$7))</f>
        <v>#DIV/0!</v>
      </c>
      <c r="AW72" s="45" t="e">
        <f>BF$3*MIN(1,(ATM_Conf!$C$6-Links!H72)/(ATM_Conf!$C$6-ATM_Conf!$C$7))</f>
        <v>#DIV/0!</v>
      </c>
      <c r="AX72" s="45" t="e">
        <f>BG$3*MIN(1,(ATM_Conf!$C$6-Links!I72)/(ATM_Conf!$C$6-ATM_Conf!$C$7))</f>
        <v>#DIV/0!</v>
      </c>
      <c r="AY72" s="45" t="e">
        <f>BH$3*MIN(1,(ATM_Conf!$C$6-Links!J72)/(ATM_Conf!$C$6-ATM_Conf!$C$7))</f>
        <v>#DIV/0!</v>
      </c>
      <c r="AZ72" s="45" t="e">
        <f>BI$3*MIN(1,(ATM_Conf!$C$6-Links!K72)/(ATM_Conf!$C$6-ATM_Conf!$C$7))</f>
        <v>#DIV/0!</v>
      </c>
      <c r="BA72" s="45" t="e">
        <f>BJ$3*MIN(1,(ATM_Conf!$C$6-Links!L72)/(ATM_Conf!$C$6-ATM_Conf!$C$7))</f>
        <v>#DIV/0!</v>
      </c>
      <c r="BB72" s="45" t="e">
        <f>BK$3*MIN(1,(ATM_Conf!$C$6-Links!M72)/(ATM_Conf!$C$6-ATM_Conf!$C$7))</f>
        <v>#DIV/0!</v>
      </c>
      <c r="BC72" s="45" t="e">
        <f>BL$3*MIN(1,(ATM_Conf!$C$6-Links!N72)/(ATM_Conf!$C$6-ATM_Conf!$C$7))</f>
        <v>#DIV/0!</v>
      </c>
      <c r="BD72" s="45"/>
      <c r="BE72" s="45"/>
      <c r="BF72" s="45"/>
      <c r="BG72" s="45"/>
      <c r="BH72" s="45"/>
      <c r="BI72" s="45"/>
      <c r="BJ72" s="45"/>
      <c r="BK72" s="45"/>
      <c r="BL72" s="45"/>
      <c r="BM72" s="53"/>
      <c r="BN72" s="53"/>
      <c r="BO72" s="53"/>
      <c r="BP72" s="53"/>
      <c r="BQ72" s="53"/>
      <c r="BR72" s="53"/>
      <c r="BS72" s="53"/>
      <c r="BT72" s="53"/>
      <c r="BU72" s="53"/>
      <c r="BV72" s="53" t="e">
        <f t="shared" si="50"/>
        <v>#DIV/0!</v>
      </c>
      <c r="BW72" s="53" t="e">
        <f t="shared" si="51"/>
        <v>#DIV/0!</v>
      </c>
      <c r="BX72" s="53" t="e">
        <f t="shared" si="52"/>
        <v>#DIV/0!</v>
      </c>
      <c r="BY72" s="53" t="e">
        <f t="shared" si="53"/>
        <v>#DIV/0!</v>
      </c>
      <c r="BZ72" s="53" t="e">
        <f t="shared" si="54"/>
        <v>#DIV/0!</v>
      </c>
      <c r="CA72" s="53" t="e">
        <f t="shared" si="55"/>
        <v>#DIV/0!</v>
      </c>
      <c r="CB72" s="53" t="e">
        <f t="shared" si="56"/>
        <v>#DIV/0!</v>
      </c>
      <c r="CC72" s="53" t="e">
        <f t="shared" si="57"/>
        <v>#DIV/0!</v>
      </c>
      <c r="CD72" s="53" t="e">
        <f t="shared" si="58"/>
        <v>#DIV/0!</v>
      </c>
      <c r="CE72" s="55">
        <f t="shared" si="40"/>
        <v>0</v>
      </c>
      <c r="CF72" s="55">
        <f t="shared" si="39"/>
        <v>0</v>
      </c>
      <c r="CG72" s="55">
        <f t="shared" si="39"/>
        <v>0</v>
      </c>
      <c r="CH72" s="55">
        <f t="shared" si="39"/>
        <v>0</v>
      </c>
      <c r="CI72" s="55">
        <f t="shared" si="39"/>
        <v>0</v>
      </c>
      <c r="CJ72" s="55">
        <f t="shared" si="39"/>
        <v>0</v>
      </c>
      <c r="CK72" s="55">
        <f t="shared" si="39"/>
        <v>0</v>
      </c>
      <c r="CL72" s="55">
        <f t="shared" si="39"/>
        <v>0</v>
      </c>
      <c r="CM72" s="55">
        <f t="shared" si="39"/>
        <v>0</v>
      </c>
    </row>
    <row r="73" spans="1:91" x14ac:dyDescent="0.15">
      <c r="A73" s="42">
        <v>71</v>
      </c>
      <c r="B73" s="45">
        <f t="shared" si="38"/>
        <v>1</v>
      </c>
      <c r="C73" s="45">
        <f t="shared" si="37"/>
        <v>1</v>
      </c>
      <c r="D73" s="45">
        <f t="shared" si="37"/>
        <v>1</v>
      </c>
      <c r="E73" s="45">
        <f t="shared" si="37"/>
        <v>1</v>
      </c>
      <c r="F73" s="45">
        <f t="shared" si="37"/>
        <v>1</v>
      </c>
      <c r="G73" s="45">
        <f t="shared" si="37"/>
        <v>1</v>
      </c>
      <c r="H73" s="45">
        <f t="shared" si="37"/>
        <v>1</v>
      </c>
      <c r="I73" s="45">
        <f t="shared" si="37"/>
        <v>1</v>
      </c>
      <c r="J73" s="45">
        <f t="shared" si="37"/>
        <v>1</v>
      </c>
      <c r="K73" s="45" t="e">
        <f>K72+ATM_Conf!$C$5*(T72-AC72)</f>
        <v>#DIV/0!</v>
      </c>
      <c r="L73" s="45" t="e">
        <f>L72+ATM_Conf!$C$5*(U72-AD72)</f>
        <v>#DIV/0!</v>
      </c>
      <c r="M73" s="45" t="e">
        <f>M72+ATM_Conf!$C$5*(V72-AE72)</f>
        <v>#DIV/0!</v>
      </c>
      <c r="N73" s="45" t="e">
        <f>N72+ATM_Conf!$C$5*(W72-AF72)</f>
        <v>#DIV/0!</v>
      </c>
      <c r="O73" s="45" t="e">
        <f>O72+ATM_Conf!$C$5*(X72-AG72)</f>
        <v>#DIV/0!</v>
      </c>
      <c r="P73" s="45" t="e">
        <f>P72+ATM_Conf!$C$5*(Y72-AH72)</f>
        <v>#DIV/0!</v>
      </c>
      <c r="Q73" s="45" t="e">
        <f>Q72+ATM_Conf!$C$5*(Z72-AI72)</f>
        <v>#DIV/0!</v>
      </c>
      <c r="R73" s="45" t="e">
        <f>R72+ATM_Conf!$C$5*(AA72-AJ72)</f>
        <v>#DIV/0!</v>
      </c>
      <c r="S73" s="45" t="e">
        <f>S72+ATM_Conf!$C$5*(AB72-AK72)</f>
        <v>#DIV/0!</v>
      </c>
      <c r="T73" s="45"/>
      <c r="U73" s="45"/>
      <c r="V73" s="45"/>
      <c r="W73" s="45"/>
      <c r="X73" s="45"/>
      <c r="Y73" s="45"/>
      <c r="Z73" s="45"/>
      <c r="AA73" s="45"/>
      <c r="AB73" s="45"/>
      <c r="AC73" s="45" t="e">
        <f t="shared" si="41"/>
        <v>#DIV/0!</v>
      </c>
      <c r="AD73" s="45" t="e">
        <f t="shared" si="42"/>
        <v>#DIV/0!</v>
      </c>
      <c r="AE73" s="45" t="e">
        <f t="shared" si="43"/>
        <v>#DIV/0!</v>
      </c>
      <c r="AF73" s="45" t="e">
        <f t="shared" si="44"/>
        <v>#DIV/0!</v>
      </c>
      <c r="AG73" s="45" t="e">
        <f t="shared" si="45"/>
        <v>#DIV/0!</v>
      </c>
      <c r="AH73" s="45" t="e">
        <f t="shared" si="46"/>
        <v>#DIV/0!</v>
      </c>
      <c r="AI73" s="45" t="e">
        <f t="shared" si="47"/>
        <v>#DIV/0!</v>
      </c>
      <c r="AJ73" s="45" t="e">
        <f t="shared" si="48"/>
        <v>#DIV/0!</v>
      </c>
      <c r="AK73" s="45" t="e">
        <f t="shared" si="49"/>
        <v>#DIV/0!</v>
      </c>
      <c r="AL73" s="45" t="e">
        <f>T$3+K73/ATM_Conf!$C$5</f>
        <v>#DIV/0!</v>
      </c>
      <c r="AM73" s="45" t="e">
        <f>U$3+L73/ATM_Conf!$C$5</f>
        <v>#DIV/0!</v>
      </c>
      <c r="AN73" s="45" t="e">
        <f>V$3+M73/ATM_Conf!$C$5</f>
        <v>#DIV/0!</v>
      </c>
      <c r="AO73" s="45" t="e">
        <f>W$3+N73/ATM_Conf!$C$5</f>
        <v>#DIV/0!</v>
      </c>
      <c r="AP73" s="45" t="e">
        <f>X$3+O73/ATM_Conf!$C$5</f>
        <v>#DIV/0!</v>
      </c>
      <c r="AQ73" s="45" t="e">
        <f>Y$3+P73/ATM_Conf!$C$5</f>
        <v>#DIV/0!</v>
      </c>
      <c r="AR73" s="45" t="e">
        <f>Z$3+Q73/ATM_Conf!$C$5</f>
        <v>#DIV/0!</v>
      </c>
      <c r="AS73" s="45" t="e">
        <f>AA$3+R73/ATM_Conf!$C$5</f>
        <v>#DIV/0!</v>
      </c>
      <c r="AT73" s="45" t="e">
        <f>AB$3+S73/ATM_Conf!$C$5</f>
        <v>#DIV/0!</v>
      </c>
      <c r="AU73" s="45" t="e">
        <f>BD$3*MIN(1,(ATM_Conf!$C$6-Links!F73)/(ATM_Conf!$C$6-ATM_Conf!$C$7))</f>
        <v>#DIV/0!</v>
      </c>
      <c r="AV73" s="45" t="e">
        <f>BE$3*MIN(1,(ATM_Conf!$C$6-Links!G73)/(ATM_Conf!$C$6-ATM_Conf!$C$7))</f>
        <v>#DIV/0!</v>
      </c>
      <c r="AW73" s="45" t="e">
        <f>BF$3*MIN(1,(ATM_Conf!$C$6-Links!H73)/(ATM_Conf!$C$6-ATM_Conf!$C$7))</f>
        <v>#DIV/0!</v>
      </c>
      <c r="AX73" s="45" t="e">
        <f>BG$3*MIN(1,(ATM_Conf!$C$6-Links!I73)/(ATM_Conf!$C$6-ATM_Conf!$C$7))</f>
        <v>#DIV/0!</v>
      </c>
      <c r="AY73" s="45" t="e">
        <f>BH$3*MIN(1,(ATM_Conf!$C$6-Links!J73)/(ATM_Conf!$C$6-ATM_Conf!$C$7))</f>
        <v>#DIV/0!</v>
      </c>
      <c r="AZ73" s="45" t="e">
        <f>BI$3*MIN(1,(ATM_Conf!$C$6-Links!K73)/(ATM_Conf!$C$6-ATM_Conf!$C$7))</f>
        <v>#DIV/0!</v>
      </c>
      <c r="BA73" s="45" t="e">
        <f>BJ$3*MIN(1,(ATM_Conf!$C$6-Links!L73)/(ATM_Conf!$C$6-ATM_Conf!$C$7))</f>
        <v>#DIV/0!</v>
      </c>
      <c r="BB73" s="45" t="e">
        <f>BK$3*MIN(1,(ATM_Conf!$C$6-Links!M73)/(ATM_Conf!$C$6-ATM_Conf!$C$7))</f>
        <v>#DIV/0!</v>
      </c>
      <c r="BC73" s="45" t="e">
        <f>BL$3*MIN(1,(ATM_Conf!$C$6-Links!N73)/(ATM_Conf!$C$6-ATM_Conf!$C$7))</f>
        <v>#DIV/0!</v>
      </c>
      <c r="BD73" s="45"/>
      <c r="BE73" s="45"/>
      <c r="BF73" s="45"/>
      <c r="BG73" s="45"/>
      <c r="BH73" s="45"/>
      <c r="BI73" s="45"/>
      <c r="BJ73" s="45"/>
      <c r="BK73" s="45"/>
      <c r="BL73" s="45"/>
      <c r="BM73" s="53"/>
      <c r="BN73" s="53"/>
      <c r="BO73" s="53"/>
      <c r="BP73" s="53"/>
      <c r="BQ73" s="53"/>
      <c r="BR73" s="53"/>
      <c r="BS73" s="53"/>
      <c r="BT73" s="53"/>
      <c r="BU73" s="53"/>
      <c r="BV73" s="53" t="e">
        <f t="shared" si="50"/>
        <v>#DIV/0!</v>
      </c>
      <c r="BW73" s="53" t="e">
        <f t="shared" si="51"/>
        <v>#DIV/0!</v>
      </c>
      <c r="BX73" s="53" t="e">
        <f t="shared" si="52"/>
        <v>#DIV/0!</v>
      </c>
      <c r="BY73" s="53" t="e">
        <f t="shared" si="53"/>
        <v>#DIV/0!</v>
      </c>
      <c r="BZ73" s="53" t="e">
        <f t="shared" si="54"/>
        <v>#DIV/0!</v>
      </c>
      <c r="CA73" s="53" t="e">
        <f t="shared" si="55"/>
        <v>#DIV/0!</v>
      </c>
      <c r="CB73" s="53" t="e">
        <f t="shared" si="56"/>
        <v>#DIV/0!</v>
      </c>
      <c r="CC73" s="53" t="e">
        <f t="shared" si="57"/>
        <v>#DIV/0!</v>
      </c>
      <c r="CD73" s="53" t="e">
        <f t="shared" si="58"/>
        <v>#DIV/0!</v>
      </c>
      <c r="CE73" s="55">
        <f t="shared" si="40"/>
        <v>0</v>
      </c>
      <c r="CF73" s="55">
        <f t="shared" si="39"/>
        <v>0</v>
      </c>
      <c r="CG73" s="55">
        <f t="shared" si="39"/>
        <v>0</v>
      </c>
      <c r="CH73" s="55">
        <f t="shared" si="39"/>
        <v>0</v>
      </c>
      <c r="CI73" s="55">
        <f t="shared" si="39"/>
        <v>0</v>
      </c>
      <c r="CJ73" s="55">
        <f t="shared" si="39"/>
        <v>0</v>
      </c>
      <c r="CK73" s="55">
        <f t="shared" si="39"/>
        <v>0</v>
      </c>
      <c r="CL73" s="55">
        <f t="shared" si="39"/>
        <v>0</v>
      </c>
      <c r="CM73" s="55">
        <f t="shared" si="39"/>
        <v>0</v>
      </c>
    </row>
    <row r="74" spans="1:91" x14ac:dyDescent="0.15">
      <c r="A74" s="42">
        <v>72</v>
      </c>
      <c r="B74" s="45">
        <f t="shared" si="38"/>
        <v>1</v>
      </c>
      <c r="C74" s="45">
        <f t="shared" si="37"/>
        <v>1</v>
      </c>
      <c r="D74" s="45">
        <f t="shared" si="37"/>
        <v>1</v>
      </c>
      <c r="E74" s="45">
        <f t="shared" si="37"/>
        <v>1</v>
      </c>
      <c r="F74" s="45">
        <f t="shared" si="37"/>
        <v>1</v>
      </c>
      <c r="G74" s="45">
        <f t="shared" si="37"/>
        <v>1</v>
      </c>
      <c r="H74" s="45">
        <f t="shared" si="37"/>
        <v>1</v>
      </c>
      <c r="I74" s="45">
        <f t="shared" si="37"/>
        <v>1</v>
      </c>
      <c r="J74" s="45">
        <f t="shared" si="37"/>
        <v>1</v>
      </c>
      <c r="K74" s="45" t="e">
        <f>K73+ATM_Conf!$C$5*(T73-AC73)</f>
        <v>#DIV/0!</v>
      </c>
      <c r="L74" s="45" t="e">
        <f>L73+ATM_Conf!$C$5*(U73-AD73)</f>
        <v>#DIV/0!</v>
      </c>
      <c r="M74" s="45" t="e">
        <f>M73+ATM_Conf!$C$5*(V73-AE73)</f>
        <v>#DIV/0!</v>
      </c>
      <c r="N74" s="45" t="e">
        <f>N73+ATM_Conf!$C$5*(W73-AF73)</f>
        <v>#DIV/0!</v>
      </c>
      <c r="O74" s="45" t="e">
        <f>O73+ATM_Conf!$C$5*(X73-AG73)</f>
        <v>#DIV/0!</v>
      </c>
      <c r="P74" s="45" t="e">
        <f>P73+ATM_Conf!$C$5*(Y73-AH73)</f>
        <v>#DIV/0!</v>
      </c>
      <c r="Q74" s="45" t="e">
        <f>Q73+ATM_Conf!$C$5*(Z73-AI73)</f>
        <v>#DIV/0!</v>
      </c>
      <c r="R74" s="45" t="e">
        <f>R73+ATM_Conf!$C$5*(AA73-AJ73)</f>
        <v>#DIV/0!</v>
      </c>
      <c r="S74" s="45" t="e">
        <f>S73+ATM_Conf!$C$5*(AB73-AK73)</f>
        <v>#DIV/0!</v>
      </c>
      <c r="T74" s="45"/>
      <c r="U74" s="45"/>
      <c r="V74" s="45"/>
      <c r="W74" s="45"/>
      <c r="X74" s="45"/>
      <c r="Y74" s="45"/>
      <c r="Z74" s="45"/>
      <c r="AA74" s="45"/>
      <c r="AB74" s="45"/>
      <c r="AC74" s="45" t="e">
        <f t="shared" si="41"/>
        <v>#DIV/0!</v>
      </c>
      <c r="AD74" s="45" t="e">
        <f t="shared" si="42"/>
        <v>#DIV/0!</v>
      </c>
      <c r="AE74" s="45" t="e">
        <f t="shared" si="43"/>
        <v>#DIV/0!</v>
      </c>
      <c r="AF74" s="45" t="e">
        <f t="shared" si="44"/>
        <v>#DIV/0!</v>
      </c>
      <c r="AG74" s="45" t="e">
        <f t="shared" si="45"/>
        <v>#DIV/0!</v>
      </c>
      <c r="AH74" s="45" t="e">
        <f t="shared" si="46"/>
        <v>#DIV/0!</v>
      </c>
      <c r="AI74" s="45" t="e">
        <f t="shared" si="47"/>
        <v>#DIV/0!</v>
      </c>
      <c r="AJ74" s="45" t="e">
        <f t="shared" si="48"/>
        <v>#DIV/0!</v>
      </c>
      <c r="AK74" s="45" t="e">
        <f t="shared" si="49"/>
        <v>#DIV/0!</v>
      </c>
      <c r="AL74" s="45" t="e">
        <f>T$3+K74/ATM_Conf!$C$5</f>
        <v>#DIV/0!</v>
      </c>
      <c r="AM74" s="45" t="e">
        <f>U$3+L74/ATM_Conf!$C$5</f>
        <v>#DIV/0!</v>
      </c>
      <c r="AN74" s="45" t="e">
        <f>V$3+M74/ATM_Conf!$C$5</f>
        <v>#DIV/0!</v>
      </c>
      <c r="AO74" s="45" t="e">
        <f>W$3+N74/ATM_Conf!$C$5</f>
        <v>#DIV/0!</v>
      </c>
      <c r="AP74" s="45" t="e">
        <f>X$3+O74/ATM_Conf!$C$5</f>
        <v>#DIV/0!</v>
      </c>
      <c r="AQ74" s="45" t="e">
        <f>Y$3+P74/ATM_Conf!$C$5</f>
        <v>#DIV/0!</v>
      </c>
      <c r="AR74" s="45" t="e">
        <f>Z$3+Q74/ATM_Conf!$C$5</f>
        <v>#DIV/0!</v>
      </c>
      <c r="AS74" s="45" t="e">
        <f>AA$3+R74/ATM_Conf!$C$5</f>
        <v>#DIV/0!</v>
      </c>
      <c r="AT74" s="45" t="e">
        <f>AB$3+S74/ATM_Conf!$C$5</f>
        <v>#DIV/0!</v>
      </c>
      <c r="AU74" s="45" t="e">
        <f>BD$3*MIN(1,(ATM_Conf!$C$6-Links!F74)/(ATM_Conf!$C$6-ATM_Conf!$C$7))</f>
        <v>#DIV/0!</v>
      </c>
      <c r="AV74" s="45" t="e">
        <f>BE$3*MIN(1,(ATM_Conf!$C$6-Links!G74)/(ATM_Conf!$C$6-ATM_Conf!$C$7))</f>
        <v>#DIV/0!</v>
      </c>
      <c r="AW74" s="45" t="e">
        <f>BF$3*MIN(1,(ATM_Conf!$C$6-Links!H74)/(ATM_Conf!$C$6-ATM_Conf!$C$7))</f>
        <v>#DIV/0!</v>
      </c>
      <c r="AX74" s="45" t="e">
        <f>BG$3*MIN(1,(ATM_Conf!$C$6-Links!I74)/(ATM_Conf!$C$6-ATM_Conf!$C$7))</f>
        <v>#DIV/0!</v>
      </c>
      <c r="AY74" s="45" t="e">
        <f>BH$3*MIN(1,(ATM_Conf!$C$6-Links!J74)/(ATM_Conf!$C$6-ATM_Conf!$C$7))</f>
        <v>#DIV/0!</v>
      </c>
      <c r="AZ74" s="45" t="e">
        <f>BI$3*MIN(1,(ATM_Conf!$C$6-Links!K74)/(ATM_Conf!$C$6-ATM_Conf!$C$7))</f>
        <v>#DIV/0!</v>
      </c>
      <c r="BA74" s="45" t="e">
        <f>BJ$3*MIN(1,(ATM_Conf!$C$6-Links!L74)/(ATM_Conf!$C$6-ATM_Conf!$C$7))</f>
        <v>#DIV/0!</v>
      </c>
      <c r="BB74" s="45" t="e">
        <f>BK$3*MIN(1,(ATM_Conf!$C$6-Links!M74)/(ATM_Conf!$C$6-ATM_Conf!$C$7))</f>
        <v>#DIV/0!</v>
      </c>
      <c r="BC74" s="45" t="e">
        <f>BL$3*MIN(1,(ATM_Conf!$C$6-Links!N74)/(ATM_Conf!$C$6-ATM_Conf!$C$7))</f>
        <v>#DIV/0!</v>
      </c>
      <c r="BD74" s="45"/>
      <c r="BE74" s="45"/>
      <c r="BF74" s="45"/>
      <c r="BG74" s="45"/>
      <c r="BH74" s="45"/>
      <c r="BI74" s="45"/>
      <c r="BJ74" s="45"/>
      <c r="BK74" s="45"/>
      <c r="BL74" s="45"/>
      <c r="BM74" s="53"/>
      <c r="BN74" s="53"/>
      <c r="BO74" s="53"/>
      <c r="BP74" s="53"/>
      <c r="BQ74" s="53"/>
      <c r="BR74" s="53"/>
      <c r="BS74" s="53"/>
      <c r="BT74" s="53"/>
      <c r="BU74" s="53"/>
      <c r="BV74" s="53" t="e">
        <f t="shared" si="50"/>
        <v>#DIV/0!</v>
      </c>
      <c r="BW74" s="53" t="e">
        <f t="shared" si="51"/>
        <v>#DIV/0!</v>
      </c>
      <c r="BX74" s="53" t="e">
        <f t="shared" si="52"/>
        <v>#DIV/0!</v>
      </c>
      <c r="BY74" s="53" t="e">
        <f t="shared" si="53"/>
        <v>#DIV/0!</v>
      </c>
      <c r="BZ74" s="53" t="e">
        <f t="shared" si="54"/>
        <v>#DIV/0!</v>
      </c>
      <c r="CA74" s="53" t="e">
        <f t="shared" si="55"/>
        <v>#DIV/0!</v>
      </c>
      <c r="CB74" s="53" t="e">
        <f t="shared" si="56"/>
        <v>#DIV/0!</v>
      </c>
      <c r="CC74" s="53" t="e">
        <f t="shared" si="57"/>
        <v>#DIV/0!</v>
      </c>
      <c r="CD74" s="53" t="e">
        <f t="shared" si="58"/>
        <v>#DIV/0!</v>
      </c>
      <c r="CE74" s="55">
        <f t="shared" si="40"/>
        <v>0</v>
      </c>
      <c r="CF74" s="55">
        <f t="shared" si="39"/>
        <v>0</v>
      </c>
      <c r="CG74" s="55">
        <f t="shared" si="39"/>
        <v>0</v>
      </c>
      <c r="CH74" s="55">
        <f t="shared" si="39"/>
        <v>0</v>
      </c>
      <c r="CI74" s="55">
        <f t="shared" si="39"/>
        <v>0</v>
      </c>
      <c r="CJ74" s="55">
        <f t="shared" si="39"/>
        <v>0</v>
      </c>
      <c r="CK74" s="55">
        <f t="shared" si="39"/>
        <v>0</v>
      </c>
      <c r="CL74" s="55">
        <f t="shared" si="39"/>
        <v>0</v>
      </c>
      <c r="CM74" s="55">
        <f t="shared" si="39"/>
        <v>0</v>
      </c>
    </row>
    <row r="75" spans="1:91" x14ac:dyDescent="0.15">
      <c r="A75" s="42">
        <v>73</v>
      </c>
      <c r="B75" s="47">
        <v>1</v>
      </c>
      <c r="C75" s="47">
        <v>1</v>
      </c>
      <c r="D75" s="47">
        <v>1</v>
      </c>
      <c r="E75" s="47">
        <v>1</v>
      </c>
      <c r="F75" s="47">
        <v>1</v>
      </c>
      <c r="G75" s="47">
        <v>1</v>
      </c>
      <c r="H75" s="47">
        <v>1</v>
      </c>
      <c r="I75" s="47">
        <v>1</v>
      </c>
      <c r="J75" s="47">
        <v>1</v>
      </c>
      <c r="K75" s="45" t="e">
        <f>K74+ATM_Conf!$C$5*(T74-AC74)</f>
        <v>#DIV/0!</v>
      </c>
      <c r="L75" s="45" t="e">
        <f>L74+ATM_Conf!$C$5*(U74-AD74)</f>
        <v>#DIV/0!</v>
      </c>
      <c r="M75" s="45" t="e">
        <f>M74+ATM_Conf!$C$5*(V74-AE74)</f>
        <v>#DIV/0!</v>
      </c>
      <c r="N75" s="45" t="e">
        <f>N74+ATM_Conf!$C$5*(W74-AF74)</f>
        <v>#DIV/0!</v>
      </c>
      <c r="O75" s="45" t="e">
        <f>O74+ATM_Conf!$C$5*(X74-AG74)</f>
        <v>#DIV/0!</v>
      </c>
      <c r="P75" s="45" t="e">
        <f>P74+ATM_Conf!$C$5*(Y74-AH74)</f>
        <v>#DIV/0!</v>
      </c>
      <c r="Q75" s="45" t="e">
        <f>Q74+ATM_Conf!$C$5*(Z74-AI74)</f>
        <v>#DIV/0!</v>
      </c>
      <c r="R75" s="45" t="e">
        <f>R74+ATM_Conf!$C$5*(AA74-AJ74)</f>
        <v>#DIV/0!</v>
      </c>
      <c r="S75" s="45" t="e">
        <f>S74+ATM_Conf!$C$5*(AB74-AK74)</f>
        <v>#DIV/0!</v>
      </c>
      <c r="T75" s="45"/>
      <c r="U75" s="45"/>
      <c r="V75" s="45"/>
      <c r="W75" s="45"/>
      <c r="X75" s="45"/>
      <c r="Y75" s="45"/>
      <c r="Z75" s="45"/>
      <c r="AA75" s="45"/>
      <c r="AB75" s="45"/>
      <c r="AC75" s="45" t="e">
        <f t="shared" si="41"/>
        <v>#DIV/0!</v>
      </c>
      <c r="AD75" s="45" t="e">
        <f t="shared" si="42"/>
        <v>#DIV/0!</v>
      </c>
      <c r="AE75" s="45" t="e">
        <f t="shared" si="43"/>
        <v>#DIV/0!</v>
      </c>
      <c r="AF75" s="45" t="e">
        <f t="shared" si="44"/>
        <v>#DIV/0!</v>
      </c>
      <c r="AG75" s="45" t="e">
        <f t="shared" si="45"/>
        <v>#DIV/0!</v>
      </c>
      <c r="AH75" s="45" t="e">
        <f t="shared" si="46"/>
        <v>#DIV/0!</v>
      </c>
      <c r="AI75" s="45" t="e">
        <f t="shared" si="47"/>
        <v>#DIV/0!</v>
      </c>
      <c r="AJ75" s="45" t="e">
        <f t="shared" si="48"/>
        <v>#DIV/0!</v>
      </c>
      <c r="AK75" s="45" t="e">
        <f t="shared" si="49"/>
        <v>#DIV/0!</v>
      </c>
      <c r="AL75" s="45" t="e">
        <f>T$3+K75/ATM_Conf!$C$5</f>
        <v>#DIV/0!</v>
      </c>
      <c r="AM75" s="45" t="e">
        <f>U$3+L75/ATM_Conf!$C$5</f>
        <v>#DIV/0!</v>
      </c>
      <c r="AN75" s="45" t="e">
        <f>V$3+M75/ATM_Conf!$C$5</f>
        <v>#DIV/0!</v>
      </c>
      <c r="AO75" s="45" t="e">
        <f>W$3+N75/ATM_Conf!$C$5</f>
        <v>#DIV/0!</v>
      </c>
      <c r="AP75" s="45" t="e">
        <f>X$3+O75/ATM_Conf!$C$5</f>
        <v>#DIV/0!</v>
      </c>
      <c r="AQ75" s="45" t="e">
        <f>Y$3+P75/ATM_Conf!$C$5</f>
        <v>#DIV/0!</v>
      </c>
      <c r="AR75" s="45" t="e">
        <f>Z$3+Q75/ATM_Conf!$C$5</f>
        <v>#DIV/0!</v>
      </c>
      <c r="AS75" s="45" t="e">
        <f>AA$3+R75/ATM_Conf!$C$5</f>
        <v>#DIV/0!</v>
      </c>
      <c r="AT75" s="45" t="e">
        <f>AB$3+S75/ATM_Conf!$C$5</f>
        <v>#DIV/0!</v>
      </c>
      <c r="AU75" s="45" t="e">
        <f>BD$3*MIN(1,(ATM_Conf!$C$6-Links!F75)/(ATM_Conf!$C$6-ATM_Conf!$C$7))</f>
        <v>#DIV/0!</v>
      </c>
      <c r="AV75" s="45" t="e">
        <f>BE$3*MIN(1,(ATM_Conf!$C$6-Links!G75)/(ATM_Conf!$C$6-ATM_Conf!$C$7))</f>
        <v>#DIV/0!</v>
      </c>
      <c r="AW75" s="45" t="e">
        <f>BF$3*MIN(1,(ATM_Conf!$C$6-Links!H75)/(ATM_Conf!$C$6-ATM_Conf!$C$7))</f>
        <v>#DIV/0!</v>
      </c>
      <c r="AX75" s="45" t="e">
        <f>BG$3*MIN(1,(ATM_Conf!$C$6-Links!I75)/(ATM_Conf!$C$6-ATM_Conf!$C$7))</f>
        <v>#DIV/0!</v>
      </c>
      <c r="AY75" s="45" t="e">
        <f>BH$3*MIN(1,(ATM_Conf!$C$6-Links!J75)/(ATM_Conf!$C$6-ATM_Conf!$C$7))</f>
        <v>#DIV/0!</v>
      </c>
      <c r="AZ75" s="45" t="e">
        <f>BI$3*MIN(1,(ATM_Conf!$C$6-Links!K75)/(ATM_Conf!$C$6-ATM_Conf!$C$7))</f>
        <v>#DIV/0!</v>
      </c>
      <c r="BA75" s="45" t="e">
        <f>BJ$3*MIN(1,(ATM_Conf!$C$6-Links!L75)/(ATM_Conf!$C$6-ATM_Conf!$C$7))</f>
        <v>#DIV/0!</v>
      </c>
      <c r="BB75" s="45" t="e">
        <f>BK$3*MIN(1,(ATM_Conf!$C$6-Links!M75)/(ATM_Conf!$C$6-ATM_Conf!$C$7))</f>
        <v>#DIV/0!</v>
      </c>
      <c r="BC75" s="45" t="e">
        <f>BL$3*MIN(1,(ATM_Conf!$C$6-Links!N75)/(ATM_Conf!$C$6-ATM_Conf!$C$7))</f>
        <v>#DIV/0!</v>
      </c>
      <c r="BD75" s="45"/>
      <c r="BE75" s="45"/>
      <c r="BF75" s="45"/>
      <c r="BG75" s="45"/>
      <c r="BH75" s="45"/>
      <c r="BI75" s="45"/>
      <c r="BJ75" s="45"/>
      <c r="BK75" s="45"/>
      <c r="BL75" s="45"/>
      <c r="BM75" s="53">
        <f>(B75-B63)^2</f>
        <v>0</v>
      </c>
      <c r="BN75" s="53">
        <f t="shared" ref="BN75:BU75" si="59">(C75-C63)^2</f>
        <v>0</v>
      </c>
      <c r="BO75" s="53">
        <f t="shared" si="59"/>
        <v>0</v>
      </c>
      <c r="BP75" s="53">
        <f t="shared" si="59"/>
        <v>0</v>
      </c>
      <c r="BQ75" s="53">
        <f t="shared" si="59"/>
        <v>0</v>
      </c>
      <c r="BR75" s="53">
        <f t="shared" si="59"/>
        <v>0</v>
      </c>
      <c r="BS75" s="53">
        <f t="shared" si="59"/>
        <v>0</v>
      </c>
      <c r="BT75" s="53">
        <f t="shared" si="59"/>
        <v>0</v>
      </c>
      <c r="BU75" s="53">
        <f t="shared" si="59"/>
        <v>0</v>
      </c>
      <c r="BV75" s="53" t="e">
        <f t="shared" si="50"/>
        <v>#DIV/0!</v>
      </c>
      <c r="BW75" s="53" t="e">
        <f t="shared" si="51"/>
        <v>#DIV/0!</v>
      </c>
      <c r="BX75" s="53" t="e">
        <f t="shared" si="52"/>
        <v>#DIV/0!</v>
      </c>
      <c r="BY75" s="53" t="e">
        <f t="shared" si="53"/>
        <v>#DIV/0!</v>
      </c>
      <c r="BZ75" s="53" t="e">
        <f t="shared" si="54"/>
        <v>#DIV/0!</v>
      </c>
      <c r="CA75" s="53" t="e">
        <f t="shared" si="55"/>
        <v>#DIV/0!</v>
      </c>
      <c r="CB75" s="53" t="e">
        <f t="shared" si="56"/>
        <v>#DIV/0!</v>
      </c>
      <c r="CC75" s="53" t="e">
        <f t="shared" si="57"/>
        <v>#DIV/0!</v>
      </c>
      <c r="CD75" s="53" t="e">
        <f t="shared" si="58"/>
        <v>#DIV/0!</v>
      </c>
      <c r="CE75" s="55">
        <f t="shared" si="40"/>
        <v>0</v>
      </c>
      <c r="CF75" s="55">
        <f t="shared" si="39"/>
        <v>0</v>
      </c>
      <c r="CG75" s="55">
        <f t="shared" si="39"/>
        <v>0</v>
      </c>
      <c r="CH75" s="55">
        <f t="shared" si="39"/>
        <v>0</v>
      </c>
      <c r="CI75" s="55">
        <f t="shared" si="39"/>
        <v>0</v>
      </c>
      <c r="CJ75" s="55">
        <f t="shared" si="39"/>
        <v>0</v>
      </c>
      <c r="CK75" s="55">
        <f t="shared" si="39"/>
        <v>0</v>
      </c>
      <c r="CL75" s="55">
        <f t="shared" si="39"/>
        <v>0</v>
      </c>
      <c r="CM75" s="55">
        <f t="shared" si="39"/>
        <v>0</v>
      </c>
    </row>
    <row r="76" spans="1:91" x14ac:dyDescent="0.15">
      <c r="A76" s="42">
        <v>74</v>
      </c>
      <c r="B76" s="45">
        <f>B$75</f>
        <v>1</v>
      </c>
      <c r="C76" s="45">
        <f t="shared" ref="C76:J86" si="60">C$75</f>
        <v>1</v>
      </c>
      <c r="D76" s="45">
        <f t="shared" si="60"/>
        <v>1</v>
      </c>
      <c r="E76" s="45">
        <f t="shared" si="60"/>
        <v>1</v>
      </c>
      <c r="F76" s="45">
        <f t="shared" si="60"/>
        <v>1</v>
      </c>
      <c r="G76" s="45">
        <f t="shared" si="60"/>
        <v>1</v>
      </c>
      <c r="H76" s="45">
        <f t="shared" si="60"/>
        <v>1</v>
      </c>
      <c r="I76" s="45">
        <f t="shared" si="60"/>
        <v>1</v>
      </c>
      <c r="J76" s="45">
        <f t="shared" si="60"/>
        <v>1</v>
      </c>
      <c r="K76" s="45" t="e">
        <f>K75+ATM_Conf!$C$5*(T75-AC75)</f>
        <v>#DIV/0!</v>
      </c>
      <c r="L76" s="45" t="e">
        <f>L75+ATM_Conf!$C$5*(U75-AD75)</f>
        <v>#DIV/0!</v>
      </c>
      <c r="M76" s="45" t="e">
        <f>M75+ATM_Conf!$C$5*(V75-AE75)</f>
        <v>#DIV/0!</v>
      </c>
      <c r="N76" s="45" t="e">
        <f>N75+ATM_Conf!$C$5*(W75-AF75)</f>
        <v>#DIV/0!</v>
      </c>
      <c r="O76" s="45" t="e">
        <f>O75+ATM_Conf!$C$5*(X75-AG75)</f>
        <v>#DIV/0!</v>
      </c>
      <c r="P76" s="45" t="e">
        <f>P75+ATM_Conf!$C$5*(Y75-AH75)</f>
        <v>#DIV/0!</v>
      </c>
      <c r="Q76" s="45" t="e">
        <f>Q75+ATM_Conf!$C$5*(Z75-AI75)</f>
        <v>#DIV/0!</v>
      </c>
      <c r="R76" s="45" t="e">
        <f>R75+ATM_Conf!$C$5*(AA75-AJ75)</f>
        <v>#DIV/0!</v>
      </c>
      <c r="S76" s="45" t="e">
        <f>S75+ATM_Conf!$C$5*(AB75-AK75)</f>
        <v>#DIV/0!</v>
      </c>
      <c r="T76" s="45"/>
      <c r="U76" s="45"/>
      <c r="V76" s="45"/>
      <c r="W76" s="45"/>
      <c r="X76" s="45"/>
      <c r="Y76" s="45"/>
      <c r="Z76" s="45"/>
      <c r="AA76" s="45"/>
      <c r="AB76" s="45"/>
      <c r="AC76" s="45" t="e">
        <f t="shared" si="41"/>
        <v>#DIV/0!</v>
      </c>
      <c r="AD76" s="45" t="e">
        <f t="shared" si="42"/>
        <v>#DIV/0!</v>
      </c>
      <c r="AE76" s="45" t="e">
        <f t="shared" si="43"/>
        <v>#DIV/0!</v>
      </c>
      <c r="AF76" s="45" t="e">
        <f t="shared" si="44"/>
        <v>#DIV/0!</v>
      </c>
      <c r="AG76" s="45" t="e">
        <f t="shared" si="45"/>
        <v>#DIV/0!</v>
      </c>
      <c r="AH76" s="45" t="e">
        <f t="shared" si="46"/>
        <v>#DIV/0!</v>
      </c>
      <c r="AI76" s="45" t="e">
        <f t="shared" si="47"/>
        <v>#DIV/0!</v>
      </c>
      <c r="AJ76" s="45" t="e">
        <f t="shared" si="48"/>
        <v>#DIV/0!</v>
      </c>
      <c r="AK76" s="45" t="e">
        <f t="shared" si="49"/>
        <v>#DIV/0!</v>
      </c>
      <c r="AL76" s="45" t="e">
        <f>T$3+K76/ATM_Conf!$C$5</f>
        <v>#DIV/0!</v>
      </c>
      <c r="AM76" s="45" t="e">
        <f>U$3+L76/ATM_Conf!$C$5</f>
        <v>#DIV/0!</v>
      </c>
      <c r="AN76" s="45" t="e">
        <f>V$3+M76/ATM_Conf!$C$5</f>
        <v>#DIV/0!</v>
      </c>
      <c r="AO76" s="45" t="e">
        <f>W$3+N76/ATM_Conf!$C$5</f>
        <v>#DIV/0!</v>
      </c>
      <c r="AP76" s="45" t="e">
        <f>X$3+O76/ATM_Conf!$C$5</f>
        <v>#DIV/0!</v>
      </c>
      <c r="AQ76" s="45" t="e">
        <f>Y$3+P76/ATM_Conf!$C$5</f>
        <v>#DIV/0!</v>
      </c>
      <c r="AR76" s="45" t="e">
        <f>Z$3+Q76/ATM_Conf!$C$5</f>
        <v>#DIV/0!</v>
      </c>
      <c r="AS76" s="45" t="e">
        <f>AA$3+R76/ATM_Conf!$C$5</f>
        <v>#DIV/0!</v>
      </c>
      <c r="AT76" s="45" t="e">
        <f>AB$3+S76/ATM_Conf!$C$5</f>
        <v>#DIV/0!</v>
      </c>
      <c r="AU76" s="45" t="e">
        <f>BD$3*MIN(1,(ATM_Conf!$C$6-Links!F76)/(ATM_Conf!$C$6-ATM_Conf!$C$7))</f>
        <v>#DIV/0!</v>
      </c>
      <c r="AV76" s="45" t="e">
        <f>BE$3*MIN(1,(ATM_Conf!$C$6-Links!G76)/(ATM_Conf!$C$6-ATM_Conf!$C$7))</f>
        <v>#DIV/0!</v>
      </c>
      <c r="AW76" s="45" t="e">
        <f>BF$3*MIN(1,(ATM_Conf!$C$6-Links!H76)/(ATM_Conf!$C$6-ATM_Conf!$C$7))</f>
        <v>#DIV/0!</v>
      </c>
      <c r="AX76" s="45" t="e">
        <f>BG$3*MIN(1,(ATM_Conf!$C$6-Links!I76)/(ATM_Conf!$C$6-ATM_Conf!$C$7))</f>
        <v>#DIV/0!</v>
      </c>
      <c r="AY76" s="45" t="e">
        <f>BH$3*MIN(1,(ATM_Conf!$C$6-Links!J76)/(ATM_Conf!$C$6-ATM_Conf!$C$7))</f>
        <v>#DIV/0!</v>
      </c>
      <c r="AZ76" s="45" t="e">
        <f>BI$3*MIN(1,(ATM_Conf!$C$6-Links!K76)/(ATM_Conf!$C$6-ATM_Conf!$C$7))</f>
        <v>#DIV/0!</v>
      </c>
      <c r="BA76" s="45" t="e">
        <f>BJ$3*MIN(1,(ATM_Conf!$C$6-Links!L76)/(ATM_Conf!$C$6-ATM_Conf!$C$7))</f>
        <v>#DIV/0!</v>
      </c>
      <c r="BB76" s="45" t="e">
        <f>BK$3*MIN(1,(ATM_Conf!$C$6-Links!M76)/(ATM_Conf!$C$6-ATM_Conf!$C$7))</f>
        <v>#DIV/0!</v>
      </c>
      <c r="BC76" s="45" t="e">
        <f>BL$3*MIN(1,(ATM_Conf!$C$6-Links!N76)/(ATM_Conf!$C$6-ATM_Conf!$C$7))</f>
        <v>#DIV/0!</v>
      </c>
      <c r="BD76" s="45"/>
      <c r="BE76" s="45"/>
      <c r="BF76" s="45"/>
      <c r="BG76" s="45"/>
      <c r="BH76" s="45"/>
      <c r="BI76" s="45"/>
      <c r="BJ76" s="45"/>
      <c r="BK76" s="45"/>
      <c r="BL76" s="45"/>
      <c r="BM76" s="53"/>
      <c r="BN76" s="53"/>
      <c r="BO76" s="53"/>
      <c r="BP76" s="53"/>
      <c r="BQ76" s="53"/>
      <c r="BR76" s="53"/>
      <c r="BS76" s="53"/>
      <c r="BT76" s="53"/>
      <c r="BU76" s="53"/>
      <c r="BV76" s="53" t="e">
        <f t="shared" si="50"/>
        <v>#DIV/0!</v>
      </c>
      <c r="BW76" s="53" t="e">
        <f t="shared" si="51"/>
        <v>#DIV/0!</v>
      </c>
      <c r="BX76" s="53" t="e">
        <f t="shared" si="52"/>
        <v>#DIV/0!</v>
      </c>
      <c r="BY76" s="53" t="e">
        <f t="shared" si="53"/>
        <v>#DIV/0!</v>
      </c>
      <c r="BZ76" s="53" t="e">
        <f t="shared" si="54"/>
        <v>#DIV/0!</v>
      </c>
      <c r="CA76" s="53" t="e">
        <f t="shared" si="55"/>
        <v>#DIV/0!</v>
      </c>
      <c r="CB76" s="53" t="e">
        <f t="shared" si="56"/>
        <v>#DIV/0!</v>
      </c>
      <c r="CC76" s="53" t="e">
        <f t="shared" si="57"/>
        <v>#DIV/0!</v>
      </c>
      <c r="CD76" s="53" t="e">
        <f t="shared" si="58"/>
        <v>#DIV/0!</v>
      </c>
      <c r="CE76" s="55">
        <f t="shared" si="40"/>
        <v>0</v>
      </c>
      <c r="CF76" s="55">
        <f t="shared" si="39"/>
        <v>0</v>
      </c>
      <c r="CG76" s="55">
        <f t="shared" si="39"/>
        <v>0</v>
      </c>
      <c r="CH76" s="55">
        <f t="shared" si="39"/>
        <v>0</v>
      </c>
      <c r="CI76" s="55">
        <f t="shared" si="39"/>
        <v>0</v>
      </c>
      <c r="CJ76" s="55">
        <f t="shared" si="39"/>
        <v>0</v>
      </c>
      <c r="CK76" s="55">
        <f t="shared" si="39"/>
        <v>0</v>
      </c>
      <c r="CL76" s="55">
        <f t="shared" si="39"/>
        <v>0</v>
      </c>
      <c r="CM76" s="55">
        <f t="shared" si="39"/>
        <v>0</v>
      </c>
    </row>
    <row r="77" spans="1:91" x14ac:dyDescent="0.15">
      <c r="A77" s="42">
        <v>75</v>
      </c>
      <c r="B77" s="45">
        <f t="shared" ref="B77:B86" si="61">B$75</f>
        <v>1</v>
      </c>
      <c r="C77" s="45">
        <f t="shared" si="60"/>
        <v>1</v>
      </c>
      <c r="D77" s="45">
        <f t="shared" si="60"/>
        <v>1</v>
      </c>
      <c r="E77" s="45">
        <f t="shared" si="60"/>
        <v>1</v>
      </c>
      <c r="F77" s="45">
        <f t="shared" si="60"/>
        <v>1</v>
      </c>
      <c r="G77" s="45">
        <f t="shared" si="60"/>
        <v>1</v>
      </c>
      <c r="H77" s="45">
        <f t="shared" si="60"/>
        <v>1</v>
      </c>
      <c r="I77" s="45">
        <f t="shared" si="60"/>
        <v>1</v>
      </c>
      <c r="J77" s="45">
        <f t="shared" si="60"/>
        <v>1</v>
      </c>
      <c r="K77" s="45" t="e">
        <f>K76+ATM_Conf!$C$5*(T76-AC76)</f>
        <v>#DIV/0!</v>
      </c>
      <c r="L77" s="45" t="e">
        <f>L76+ATM_Conf!$C$5*(U76-AD76)</f>
        <v>#DIV/0!</v>
      </c>
      <c r="M77" s="45" t="e">
        <f>M76+ATM_Conf!$C$5*(V76-AE76)</f>
        <v>#DIV/0!</v>
      </c>
      <c r="N77" s="45" t="e">
        <f>N76+ATM_Conf!$C$5*(W76-AF76)</f>
        <v>#DIV/0!</v>
      </c>
      <c r="O77" s="45" t="e">
        <f>O76+ATM_Conf!$C$5*(X76-AG76)</f>
        <v>#DIV/0!</v>
      </c>
      <c r="P77" s="45" t="e">
        <f>P76+ATM_Conf!$C$5*(Y76-AH76)</f>
        <v>#DIV/0!</v>
      </c>
      <c r="Q77" s="45" t="e">
        <f>Q76+ATM_Conf!$C$5*(Z76-AI76)</f>
        <v>#DIV/0!</v>
      </c>
      <c r="R77" s="45" t="e">
        <f>R76+ATM_Conf!$C$5*(AA76-AJ76)</f>
        <v>#DIV/0!</v>
      </c>
      <c r="S77" s="45" t="e">
        <f>S76+ATM_Conf!$C$5*(AB76-AK76)</f>
        <v>#DIV/0!</v>
      </c>
      <c r="T77" s="45"/>
      <c r="U77" s="45"/>
      <c r="V77" s="45"/>
      <c r="W77" s="45"/>
      <c r="X77" s="45"/>
      <c r="Y77" s="45"/>
      <c r="Z77" s="45"/>
      <c r="AA77" s="45"/>
      <c r="AB77" s="45"/>
      <c r="AC77" s="45" t="e">
        <f t="shared" si="41"/>
        <v>#DIV/0!</v>
      </c>
      <c r="AD77" s="45" t="e">
        <f t="shared" si="42"/>
        <v>#DIV/0!</v>
      </c>
      <c r="AE77" s="45" t="e">
        <f t="shared" si="43"/>
        <v>#DIV/0!</v>
      </c>
      <c r="AF77" s="45" t="e">
        <f t="shared" si="44"/>
        <v>#DIV/0!</v>
      </c>
      <c r="AG77" s="45" t="e">
        <f t="shared" si="45"/>
        <v>#DIV/0!</v>
      </c>
      <c r="AH77" s="45" t="e">
        <f t="shared" si="46"/>
        <v>#DIV/0!</v>
      </c>
      <c r="AI77" s="45" t="e">
        <f t="shared" si="47"/>
        <v>#DIV/0!</v>
      </c>
      <c r="AJ77" s="45" t="e">
        <f t="shared" si="48"/>
        <v>#DIV/0!</v>
      </c>
      <c r="AK77" s="45" t="e">
        <f t="shared" si="49"/>
        <v>#DIV/0!</v>
      </c>
      <c r="AL77" s="45" t="e">
        <f>T$3+K77/ATM_Conf!$C$5</f>
        <v>#DIV/0!</v>
      </c>
      <c r="AM77" s="45" t="e">
        <f>U$3+L77/ATM_Conf!$C$5</f>
        <v>#DIV/0!</v>
      </c>
      <c r="AN77" s="45" t="e">
        <f>V$3+M77/ATM_Conf!$C$5</f>
        <v>#DIV/0!</v>
      </c>
      <c r="AO77" s="45" t="e">
        <f>W$3+N77/ATM_Conf!$C$5</f>
        <v>#DIV/0!</v>
      </c>
      <c r="AP77" s="45" t="e">
        <f>X$3+O77/ATM_Conf!$C$5</f>
        <v>#DIV/0!</v>
      </c>
      <c r="AQ77" s="45" t="e">
        <f>Y$3+P77/ATM_Conf!$C$5</f>
        <v>#DIV/0!</v>
      </c>
      <c r="AR77" s="45" t="e">
        <f>Z$3+Q77/ATM_Conf!$C$5</f>
        <v>#DIV/0!</v>
      </c>
      <c r="AS77" s="45" t="e">
        <f>AA$3+R77/ATM_Conf!$C$5</f>
        <v>#DIV/0!</v>
      </c>
      <c r="AT77" s="45" t="e">
        <f>AB$3+S77/ATM_Conf!$C$5</f>
        <v>#DIV/0!</v>
      </c>
      <c r="AU77" s="45" t="e">
        <f>BD$3*MIN(1,(ATM_Conf!$C$6-Links!F77)/(ATM_Conf!$C$6-ATM_Conf!$C$7))</f>
        <v>#DIV/0!</v>
      </c>
      <c r="AV77" s="45" t="e">
        <f>BE$3*MIN(1,(ATM_Conf!$C$6-Links!G77)/(ATM_Conf!$C$6-ATM_Conf!$C$7))</f>
        <v>#DIV/0!</v>
      </c>
      <c r="AW77" s="45" t="e">
        <f>BF$3*MIN(1,(ATM_Conf!$C$6-Links!H77)/(ATM_Conf!$C$6-ATM_Conf!$C$7))</f>
        <v>#DIV/0!</v>
      </c>
      <c r="AX77" s="45" t="e">
        <f>BG$3*MIN(1,(ATM_Conf!$C$6-Links!I77)/(ATM_Conf!$C$6-ATM_Conf!$C$7))</f>
        <v>#DIV/0!</v>
      </c>
      <c r="AY77" s="45" t="e">
        <f>BH$3*MIN(1,(ATM_Conf!$C$6-Links!J77)/(ATM_Conf!$C$6-ATM_Conf!$C$7))</f>
        <v>#DIV/0!</v>
      </c>
      <c r="AZ77" s="45" t="e">
        <f>BI$3*MIN(1,(ATM_Conf!$C$6-Links!K77)/(ATM_Conf!$C$6-ATM_Conf!$C$7))</f>
        <v>#DIV/0!</v>
      </c>
      <c r="BA77" s="45" t="e">
        <f>BJ$3*MIN(1,(ATM_Conf!$C$6-Links!L77)/(ATM_Conf!$C$6-ATM_Conf!$C$7))</f>
        <v>#DIV/0!</v>
      </c>
      <c r="BB77" s="45" t="e">
        <f>BK$3*MIN(1,(ATM_Conf!$C$6-Links!M77)/(ATM_Conf!$C$6-ATM_Conf!$C$7))</f>
        <v>#DIV/0!</v>
      </c>
      <c r="BC77" s="45" t="e">
        <f>BL$3*MIN(1,(ATM_Conf!$C$6-Links!N77)/(ATM_Conf!$C$6-ATM_Conf!$C$7))</f>
        <v>#DIV/0!</v>
      </c>
      <c r="BD77" s="45"/>
      <c r="BE77" s="45"/>
      <c r="BF77" s="45"/>
      <c r="BG77" s="45"/>
      <c r="BH77" s="45"/>
      <c r="BI77" s="45"/>
      <c r="BJ77" s="45"/>
      <c r="BK77" s="45"/>
      <c r="BL77" s="45"/>
      <c r="BM77" s="53"/>
      <c r="BN77" s="53"/>
      <c r="BO77" s="53"/>
      <c r="BP77" s="53"/>
      <c r="BQ77" s="53"/>
      <c r="BR77" s="53"/>
      <c r="BS77" s="53"/>
      <c r="BT77" s="53"/>
      <c r="BU77" s="53"/>
      <c r="BV77" s="53" t="e">
        <f t="shared" si="50"/>
        <v>#DIV/0!</v>
      </c>
      <c r="BW77" s="53" t="e">
        <f t="shared" si="51"/>
        <v>#DIV/0!</v>
      </c>
      <c r="BX77" s="53" t="e">
        <f t="shared" si="52"/>
        <v>#DIV/0!</v>
      </c>
      <c r="BY77" s="53" t="e">
        <f t="shared" si="53"/>
        <v>#DIV/0!</v>
      </c>
      <c r="BZ77" s="53" t="e">
        <f t="shared" si="54"/>
        <v>#DIV/0!</v>
      </c>
      <c r="CA77" s="53" t="e">
        <f t="shared" si="55"/>
        <v>#DIV/0!</v>
      </c>
      <c r="CB77" s="53" t="e">
        <f t="shared" si="56"/>
        <v>#DIV/0!</v>
      </c>
      <c r="CC77" s="53" t="e">
        <f t="shared" si="57"/>
        <v>#DIV/0!</v>
      </c>
      <c r="CD77" s="53" t="e">
        <f t="shared" si="58"/>
        <v>#DIV/0!</v>
      </c>
      <c r="CE77" s="55">
        <f t="shared" si="40"/>
        <v>0</v>
      </c>
      <c r="CF77" s="55">
        <f t="shared" si="39"/>
        <v>0</v>
      </c>
      <c r="CG77" s="55">
        <f t="shared" si="39"/>
        <v>0</v>
      </c>
      <c r="CH77" s="55">
        <f t="shared" si="39"/>
        <v>0</v>
      </c>
      <c r="CI77" s="55">
        <f t="shared" si="39"/>
        <v>0</v>
      </c>
      <c r="CJ77" s="55">
        <f t="shared" si="39"/>
        <v>0</v>
      </c>
      <c r="CK77" s="55">
        <f t="shared" si="39"/>
        <v>0</v>
      </c>
      <c r="CL77" s="55">
        <f t="shared" si="39"/>
        <v>0</v>
      </c>
      <c r="CM77" s="55">
        <f t="shared" si="39"/>
        <v>0</v>
      </c>
    </row>
    <row r="78" spans="1:91" x14ac:dyDescent="0.15">
      <c r="A78" s="42">
        <v>76</v>
      </c>
      <c r="B78" s="45">
        <f t="shared" si="61"/>
        <v>1</v>
      </c>
      <c r="C78" s="45">
        <f t="shared" si="60"/>
        <v>1</v>
      </c>
      <c r="D78" s="45">
        <f t="shared" si="60"/>
        <v>1</v>
      </c>
      <c r="E78" s="45">
        <f t="shared" si="60"/>
        <v>1</v>
      </c>
      <c r="F78" s="45">
        <f t="shared" si="60"/>
        <v>1</v>
      </c>
      <c r="G78" s="45">
        <f t="shared" si="60"/>
        <v>1</v>
      </c>
      <c r="H78" s="45">
        <f t="shared" si="60"/>
        <v>1</v>
      </c>
      <c r="I78" s="45">
        <f t="shared" si="60"/>
        <v>1</v>
      </c>
      <c r="J78" s="45">
        <f t="shared" si="60"/>
        <v>1</v>
      </c>
      <c r="K78" s="45" t="e">
        <f>K77+ATM_Conf!$C$5*(T77-AC77)</f>
        <v>#DIV/0!</v>
      </c>
      <c r="L78" s="45" t="e">
        <f>L77+ATM_Conf!$C$5*(U77-AD77)</f>
        <v>#DIV/0!</v>
      </c>
      <c r="M78" s="45" t="e">
        <f>M77+ATM_Conf!$C$5*(V77-AE77)</f>
        <v>#DIV/0!</v>
      </c>
      <c r="N78" s="45" t="e">
        <f>N77+ATM_Conf!$C$5*(W77-AF77)</f>
        <v>#DIV/0!</v>
      </c>
      <c r="O78" s="45" t="e">
        <f>O77+ATM_Conf!$C$5*(X77-AG77)</f>
        <v>#DIV/0!</v>
      </c>
      <c r="P78" s="45" t="e">
        <f>P77+ATM_Conf!$C$5*(Y77-AH77)</f>
        <v>#DIV/0!</v>
      </c>
      <c r="Q78" s="45" t="e">
        <f>Q77+ATM_Conf!$C$5*(Z77-AI77)</f>
        <v>#DIV/0!</v>
      </c>
      <c r="R78" s="45" t="e">
        <f>R77+ATM_Conf!$C$5*(AA77-AJ77)</f>
        <v>#DIV/0!</v>
      </c>
      <c r="S78" s="45" t="e">
        <f>S77+ATM_Conf!$C$5*(AB77-AK77)</f>
        <v>#DIV/0!</v>
      </c>
      <c r="T78" s="45"/>
      <c r="U78" s="45"/>
      <c r="V78" s="45"/>
      <c r="W78" s="45"/>
      <c r="X78" s="45"/>
      <c r="Y78" s="45"/>
      <c r="Z78" s="45"/>
      <c r="AA78" s="45"/>
      <c r="AB78" s="45"/>
      <c r="AC78" s="45" t="e">
        <f t="shared" si="41"/>
        <v>#DIV/0!</v>
      </c>
      <c r="AD78" s="45" t="e">
        <f t="shared" si="42"/>
        <v>#DIV/0!</v>
      </c>
      <c r="AE78" s="45" t="e">
        <f t="shared" si="43"/>
        <v>#DIV/0!</v>
      </c>
      <c r="AF78" s="45" t="e">
        <f t="shared" si="44"/>
        <v>#DIV/0!</v>
      </c>
      <c r="AG78" s="45" t="e">
        <f t="shared" si="45"/>
        <v>#DIV/0!</v>
      </c>
      <c r="AH78" s="45" t="e">
        <f t="shared" si="46"/>
        <v>#DIV/0!</v>
      </c>
      <c r="AI78" s="45" t="e">
        <f t="shared" si="47"/>
        <v>#DIV/0!</v>
      </c>
      <c r="AJ78" s="45" t="e">
        <f t="shared" si="48"/>
        <v>#DIV/0!</v>
      </c>
      <c r="AK78" s="45" t="e">
        <f t="shared" si="49"/>
        <v>#DIV/0!</v>
      </c>
      <c r="AL78" s="45" t="e">
        <f>T$3+K78/ATM_Conf!$C$5</f>
        <v>#DIV/0!</v>
      </c>
      <c r="AM78" s="45" t="e">
        <f>U$3+L78/ATM_Conf!$C$5</f>
        <v>#DIV/0!</v>
      </c>
      <c r="AN78" s="45" t="e">
        <f>V$3+M78/ATM_Conf!$C$5</f>
        <v>#DIV/0!</v>
      </c>
      <c r="AO78" s="45" t="e">
        <f>W$3+N78/ATM_Conf!$C$5</f>
        <v>#DIV/0!</v>
      </c>
      <c r="AP78" s="45" t="e">
        <f>X$3+O78/ATM_Conf!$C$5</f>
        <v>#DIV/0!</v>
      </c>
      <c r="AQ78" s="45" t="e">
        <f>Y$3+P78/ATM_Conf!$C$5</f>
        <v>#DIV/0!</v>
      </c>
      <c r="AR78" s="45" t="e">
        <f>Z$3+Q78/ATM_Conf!$C$5</f>
        <v>#DIV/0!</v>
      </c>
      <c r="AS78" s="45" t="e">
        <f>AA$3+R78/ATM_Conf!$C$5</f>
        <v>#DIV/0!</v>
      </c>
      <c r="AT78" s="45" t="e">
        <f>AB$3+S78/ATM_Conf!$C$5</f>
        <v>#DIV/0!</v>
      </c>
      <c r="AU78" s="45" t="e">
        <f>BD$3*MIN(1,(ATM_Conf!$C$6-Links!F78)/(ATM_Conf!$C$6-ATM_Conf!$C$7))</f>
        <v>#DIV/0!</v>
      </c>
      <c r="AV78" s="45" t="e">
        <f>BE$3*MIN(1,(ATM_Conf!$C$6-Links!G78)/(ATM_Conf!$C$6-ATM_Conf!$C$7))</f>
        <v>#DIV/0!</v>
      </c>
      <c r="AW78" s="45" t="e">
        <f>BF$3*MIN(1,(ATM_Conf!$C$6-Links!H78)/(ATM_Conf!$C$6-ATM_Conf!$C$7))</f>
        <v>#DIV/0!</v>
      </c>
      <c r="AX78" s="45" t="e">
        <f>BG$3*MIN(1,(ATM_Conf!$C$6-Links!I78)/(ATM_Conf!$C$6-ATM_Conf!$C$7))</f>
        <v>#DIV/0!</v>
      </c>
      <c r="AY78" s="45" t="e">
        <f>BH$3*MIN(1,(ATM_Conf!$C$6-Links!J78)/(ATM_Conf!$C$6-ATM_Conf!$C$7))</f>
        <v>#DIV/0!</v>
      </c>
      <c r="AZ78" s="45" t="e">
        <f>BI$3*MIN(1,(ATM_Conf!$C$6-Links!K78)/(ATM_Conf!$C$6-ATM_Conf!$C$7))</f>
        <v>#DIV/0!</v>
      </c>
      <c r="BA78" s="45" t="e">
        <f>BJ$3*MIN(1,(ATM_Conf!$C$6-Links!L78)/(ATM_Conf!$C$6-ATM_Conf!$C$7))</f>
        <v>#DIV/0!</v>
      </c>
      <c r="BB78" s="45" t="e">
        <f>BK$3*MIN(1,(ATM_Conf!$C$6-Links!M78)/(ATM_Conf!$C$6-ATM_Conf!$C$7))</f>
        <v>#DIV/0!</v>
      </c>
      <c r="BC78" s="45" t="e">
        <f>BL$3*MIN(1,(ATM_Conf!$C$6-Links!N78)/(ATM_Conf!$C$6-ATM_Conf!$C$7))</f>
        <v>#DIV/0!</v>
      </c>
      <c r="BD78" s="45"/>
      <c r="BE78" s="45"/>
      <c r="BF78" s="45"/>
      <c r="BG78" s="45"/>
      <c r="BH78" s="45"/>
      <c r="BI78" s="45"/>
      <c r="BJ78" s="45"/>
      <c r="BK78" s="45"/>
      <c r="BL78" s="45"/>
      <c r="BM78" s="53"/>
      <c r="BN78" s="53"/>
      <c r="BO78" s="53"/>
      <c r="BP78" s="53"/>
      <c r="BQ78" s="53"/>
      <c r="BR78" s="53"/>
      <c r="BS78" s="53"/>
      <c r="BT78" s="53"/>
      <c r="BU78" s="53"/>
      <c r="BV78" s="53" t="e">
        <f t="shared" si="50"/>
        <v>#DIV/0!</v>
      </c>
      <c r="BW78" s="53" t="e">
        <f t="shared" si="51"/>
        <v>#DIV/0!</v>
      </c>
      <c r="BX78" s="53" t="e">
        <f t="shared" si="52"/>
        <v>#DIV/0!</v>
      </c>
      <c r="BY78" s="53" t="e">
        <f t="shared" si="53"/>
        <v>#DIV/0!</v>
      </c>
      <c r="BZ78" s="53" t="e">
        <f t="shared" si="54"/>
        <v>#DIV/0!</v>
      </c>
      <c r="CA78" s="53" t="e">
        <f t="shared" si="55"/>
        <v>#DIV/0!</v>
      </c>
      <c r="CB78" s="53" t="e">
        <f t="shared" si="56"/>
        <v>#DIV/0!</v>
      </c>
      <c r="CC78" s="53" t="e">
        <f t="shared" si="57"/>
        <v>#DIV/0!</v>
      </c>
      <c r="CD78" s="53" t="e">
        <f t="shared" si="58"/>
        <v>#DIV/0!</v>
      </c>
      <c r="CE78" s="55">
        <f t="shared" si="40"/>
        <v>0</v>
      </c>
      <c r="CF78" s="55">
        <f t="shared" si="39"/>
        <v>0</v>
      </c>
      <c r="CG78" s="55">
        <f t="shared" si="39"/>
        <v>0</v>
      </c>
      <c r="CH78" s="55">
        <f t="shared" si="39"/>
        <v>0</v>
      </c>
      <c r="CI78" s="55">
        <f t="shared" si="39"/>
        <v>0</v>
      </c>
      <c r="CJ78" s="55">
        <f t="shared" si="39"/>
        <v>0</v>
      </c>
      <c r="CK78" s="55">
        <f t="shared" si="39"/>
        <v>0</v>
      </c>
      <c r="CL78" s="55">
        <f t="shared" si="39"/>
        <v>0</v>
      </c>
      <c r="CM78" s="55">
        <f t="shared" si="39"/>
        <v>0</v>
      </c>
    </row>
    <row r="79" spans="1:91" x14ac:dyDescent="0.15">
      <c r="A79" s="42">
        <v>77</v>
      </c>
      <c r="B79" s="45">
        <f t="shared" si="61"/>
        <v>1</v>
      </c>
      <c r="C79" s="45">
        <f t="shared" si="60"/>
        <v>1</v>
      </c>
      <c r="D79" s="45">
        <f t="shared" si="60"/>
        <v>1</v>
      </c>
      <c r="E79" s="45">
        <f t="shared" si="60"/>
        <v>1</v>
      </c>
      <c r="F79" s="45">
        <f t="shared" si="60"/>
        <v>1</v>
      </c>
      <c r="G79" s="45">
        <f t="shared" si="60"/>
        <v>1</v>
      </c>
      <c r="H79" s="45">
        <f t="shared" si="60"/>
        <v>1</v>
      </c>
      <c r="I79" s="45">
        <f t="shared" si="60"/>
        <v>1</v>
      </c>
      <c r="J79" s="45">
        <f t="shared" si="60"/>
        <v>1</v>
      </c>
      <c r="K79" s="45" t="e">
        <f>K78+ATM_Conf!$C$5*(T78-AC78)</f>
        <v>#DIV/0!</v>
      </c>
      <c r="L79" s="45" t="e">
        <f>L78+ATM_Conf!$C$5*(U78-AD78)</f>
        <v>#DIV/0!</v>
      </c>
      <c r="M79" s="45" t="e">
        <f>M78+ATM_Conf!$C$5*(V78-AE78)</f>
        <v>#DIV/0!</v>
      </c>
      <c r="N79" s="45" t="e">
        <f>N78+ATM_Conf!$C$5*(W78-AF78)</f>
        <v>#DIV/0!</v>
      </c>
      <c r="O79" s="45" t="e">
        <f>O78+ATM_Conf!$C$5*(X78-AG78)</f>
        <v>#DIV/0!</v>
      </c>
      <c r="P79" s="45" t="e">
        <f>P78+ATM_Conf!$C$5*(Y78-AH78)</f>
        <v>#DIV/0!</v>
      </c>
      <c r="Q79" s="45" t="e">
        <f>Q78+ATM_Conf!$C$5*(Z78-AI78)</f>
        <v>#DIV/0!</v>
      </c>
      <c r="R79" s="45" t="e">
        <f>R78+ATM_Conf!$C$5*(AA78-AJ78)</f>
        <v>#DIV/0!</v>
      </c>
      <c r="S79" s="45" t="e">
        <f>S78+ATM_Conf!$C$5*(AB78-AK78)</f>
        <v>#DIV/0!</v>
      </c>
      <c r="T79" s="45"/>
      <c r="U79" s="45"/>
      <c r="V79" s="45"/>
      <c r="W79" s="45"/>
      <c r="X79" s="45"/>
      <c r="Y79" s="45"/>
      <c r="Z79" s="45"/>
      <c r="AA79" s="45"/>
      <c r="AB79" s="45"/>
      <c r="AC79" s="45" t="e">
        <f t="shared" si="41"/>
        <v>#DIV/0!</v>
      </c>
      <c r="AD79" s="45" t="e">
        <f t="shared" si="42"/>
        <v>#DIV/0!</v>
      </c>
      <c r="AE79" s="45" t="e">
        <f t="shared" si="43"/>
        <v>#DIV/0!</v>
      </c>
      <c r="AF79" s="45" t="e">
        <f t="shared" si="44"/>
        <v>#DIV/0!</v>
      </c>
      <c r="AG79" s="45" t="e">
        <f t="shared" si="45"/>
        <v>#DIV/0!</v>
      </c>
      <c r="AH79" s="45" t="e">
        <f t="shared" si="46"/>
        <v>#DIV/0!</v>
      </c>
      <c r="AI79" s="45" t="e">
        <f t="shared" si="47"/>
        <v>#DIV/0!</v>
      </c>
      <c r="AJ79" s="45" t="e">
        <f t="shared" si="48"/>
        <v>#DIV/0!</v>
      </c>
      <c r="AK79" s="45" t="e">
        <f t="shared" si="49"/>
        <v>#DIV/0!</v>
      </c>
      <c r="AL79" s="45" t="e">
        <f>T$3+K79/ATM_Conf!$C$5</f>
        <v>#DIV/0!</v>
      </c>
      <c r="AM79" s="45" t="e">
        <f>U$3+L79/ATM_Conf!$C$5</f>
        <v>#DIV/0!</v>
      </c>
      <c r="AN79" s="45" t="e">
        <f>V$3+M79/ATM_Conf!$C$5</f>
        <v>#DIV/0!</v>
      </c>
      <c r="AO79" s="45" t="e">
        <f>W$3+N79/ATM_Conf!$C$5</f>
        <v>#DIV/0!</v>
      </c>
      <c r="AP79" s="45" t="e">
        <f>X$3+O79/ATM_Conf!$C$5</f>
        <v>#DIV/0!</v>
      </c>
      <c r="AQ79" s="45" t="e">
        <f>Y$3+P79/ATM_Conf!$C$5</f>
        <v>#DIV/0!</v>
      </c>
      <c r="AR79" s="45" t="e">
        <f>Z$3+Q79/ATM_Conf!$C$5</f>
        <v>#DIV/0!</v>
      </c>
      <c r="AS79" s="45" t="e">
        <f>AA$3+R79/ATM_Conf!$C$5</f>
        <v>#DIV/0!</v>
      </c>
      <c r="AT79" s="45" t="e">
        <f>AB$3+S79/ATM_Conf!$C$5</f>
        <v>#DIV/0!</v>
      </c>
      <c r="AU79" s="45" t="e">
        <f>BD$3*MIN(1,(ATM_Conf!$C$6-Links!F79)/(ATM_Conf!$C$6-ATM_Conf!$C$7))</f>
        <v>#DIV/0!</v>
      </c>
      <c r="AV79" s="45" t="e">
        <f>BE$3*MIN(1,(ATM_Conf!$C$6-Links!G79)/(ATM_Conf!$C$6-ATM_Conf!$C$7))</f>
        <v>#DIV/0!</v>
      </c>
      <c r="AW79" s="45" t="e">
        <f>BF$3*MIN(1,(ATM_Conf!$C$6-Links!H79)/(ATM_Conf!$C$6-ATM_Conf!$C$7))</f>
        <v>#DIV/0!</v>
      </c>
      <c r="AX79" s="45" t="e">
        <f>BG$3*MIN(1,(ATM_Conf!$C$6-Links!I79)/(ATM_Conf!$C$6-ATM_Conf!$C$7))</f>
        <v>#DIV/0!</v>
      </c>
      <c r="AY79" s="45" t="e">
        <f>BH$3*MIN(1,(ATM_Conf!$C$6-Links!J79)/(ATM_Conf!$C$6-ATM_Conf!$C$7))</f>
        <v>#DIV/0!</v>
      </c>
      <c r="AZ79" s="45" t="e">
        <f>BI$3*MIN(1,(ATM_Conf!$C$6-Links!K79)/(ATM_Conf!$C$6-ATM_Conf!$C$7))</f>
        <v>#DIV/0!</v>
      </c>
      <c r="BA79" s="45" t="e">
        <f>BJ$3*MIN(1,(ATM_Conf!$C$6-Links!L79)/(ATM_Conf!$C$6-ATM_Conf!$C$7))</f>
        <v>#DIV/0!</v>
      </c>
      <c r="BB79" s="45" t="e">
        <f>BK$3*MIN(1,(ATM_Conf!$C$6-Links!M79)/(ATM_Conf!$C$6-ATM_Conf!$C$7))</f>
        <v>#DIV/0!</v>
      </c>
      <c r="BC79" s="45" t="e">
        <f>BL$3*MIN(1,(ATM_Conf!$C$6-Links!N79)/(ATM_Conf!$C$6-ATM_Conf!$C$7))</f>
        <v>#DIV/0!</v>
      </c>
      <c r="BD79" s="45"/>
      <c r="BE79" s="45"/>
      <c r="BF79" s="45"/>
      <c r="BG79" s="45"/>
      <c r="BH79" s="45"/>
      <c r="BI79" s="45"/>
      <c r="BJ79" s="45"/>
      <c r="BK79" s="45"/>
      <c r="BL79" s="45"/>
      <c r="BM79" s="53"/>
      <c r="BN79" s="53"/>
      <c r="BO79" s="53"/>
      <c r="BP79" s="53"/>
      <c r="BQ79" s="53"/>
      <c r="BR79" s="53"/>
      <c r="BS79" s="53"/>
      <c r="BT79" s="53"/>
      <c r="BU79" s="53"/>
      <c r="BV79" s="53" t="e">
        <f t="shared" si="50"/>
        <v>#DIV/0!</v>
      </c>
      <c r="BW79" s="53" t="e">
        <f t="shared" si="51"/>
        <v>#DIV/0!</v>
      </c>
      <c r="BX79" s="53" t="e">
        <f t="shared" si="52"/>
        <v>#DIV/0!</v>
      </c>
      <c r="BY79" s="53" t="e">
        <f t="shared" si="53"/>
        <v>#DIV/0!</v>
      </c>
      <c r="BZ79" s="53" t="e">
        <f t="shared" si="54"/>
        <v>#DIV/0!</v>
      </c>
      <c r="CA79" s="53" t="e">
        <f t="shared" si="55"/>
        <v>#DIV/0!</v>
      </c>
      <c r="CB79" s="53" t="e">
        <f t="shared" si="56"/>
        <v>#DIV/0!</v>
      </c>
      <c r="CC79" s="53" t="e">
        <f t="shared" si="57"/>
        <v>#DIV/0!</v>
      </c>
      <c r="CD79" s="53" t="e">
        <f t="shared" si="58"/>
        <v>#DIV/0!</v>
      </c>
      <c r="CE79" s="55">
        <f t="shared" si="40"/>
        <v>0</v>
      </c>
      <c r="CF79" s="55">
        <f t="shared" si="39"/>
        <v>0</v>
      </c>
      <c r="CG79" s="55">
        <f t="shared" si="39"/>
        <v>0</v>
      </c>
      <c r="CH79" s="55">
        <f t="shared" si="39"/>
        <v>0</v>
      </c>
      <c r="CI79" s="55">
        <f t="shared" si="39"/>
        <v>0</v>
      </c>
      <c r="CJ79" s="55">
        <f t="shared" si="39"/>
        <v>0</v>
      </c>
      <c r="CK79" s="55">
        <f t="shared" si="39"/>
        <v>0</v>
      </c>
      <c r="CL79" s="55">
        <f t="shared" si="39"/>
        <v>0</v>
      </c>
      <c r="CM79" s="55">
        <f t="shared" si="39"/>
        <v>0</v>
      </c>
    </row>
    <row r="80" spans="1:91" x14ac:dyDescent="0.15">
      <c r="A80" s="42">
        <v>78</v>
      </c>
      <c r="B80" s="45">
        <f t="shared" si="61"/>
        <v>1</v>
      </c>
      <c r="C80" s="45">
        <f t="shared" si="60"/>
        <v>1</v>
      </c>
      <c r="D80" s="45">
        <f t="shared" si="60"/>
        <v>1</v>
      </c>
      <c r="E80" s="45">
        <f t="shared" si="60"/>
        <v>1</v>
      </c>
      <c r="F80" s="45">
        <f t="shared" si="60"/>
        <v>1</v>
      </c>
      <c r="G80" s="45">
        <f t="shared" si="60"/>
        <v>1</v>
      </c>
      <c r="H80" s="45">
        <f t="shared" si="60"/>
        <v>1</v>
      </c>
      <c r="I80" s="45">
        <f t="shared" si="60"/>
        <v>1</v>
      </c>
      <c r="J80" s="45">
        <f t="shared" si="60"/>
        <v>1</v>
      </c>
      <c r="K80" s="45" t="e">
        <f>K79+ATM_Conf!$C$5*(T79-AC79)</f>
        <v>#DIV/0!</v>
      </c>
      <c r="L80" s="45" t="e">
        <f>L79+ATM_Conf!$C$5*(U79-AD79)</f>
        <v>#DIV/0!</v>
      </c>
      <c r="M80" s="45" t="e">
        <f>M79+ATM_Conf!$C$5*(V79-AE79)</f>
        <v>#DIV/0!</v>
      </c>
      <c r="N80" s="45" t="e">
        <f>N79+ATM_Conf!$C$5*(W79-AF79)</f>
        <v>#DIV/0!</v>
      </c>
      <c r="O80" s="45" t="e">
        <f>O79+ATM_Conf!$C$5*(X79-AG79)</f>
        <v>#DIV/0!</v>
      </c>
      <c r="P80" s="45" t="e">
        <f>P79+ATM_Conf!$C$5*(Y79-AH79)</f>
        <v>#DIV/0!</v>
      </c>
      <c r="Q80" s="45" t="e">
        <f>Q79+ATM_Conf!$C$5*(Z79-AI79)</f>
        <v>#DIV/0!</v>
      </c>
      <c r="R80" s="45" t="e">
        <f>R79+ATM_Conf!$C$5*(AA79-AJ79)</f>
        <v>#DIV/0!</v>
      </c>
      <c r="S80" s="45" t="e">
        <f>S79+ATM_Conf!$C$5*(AB79-AK79)</f>
        <v>#DIV/0!</v>
      </c>
      <c r="T80" s="45"/>
      <c r="U80" s="45"/>
      <c r="V80" s="45"/>
      <c r="W80" s="45"/>
      <c r="X80" s="45"/>
      <c r="Y80" s="45"/>
      <c r="Z80" s="45"/>
      <c r="AA80" s="45"/>
      <c r="AB80" s="45"/>
      <c r="AC80" s="45" t="e">
        <f t="shared" si="41"/>
        <v>#DIV/0!</v>
      </c>
      <c r="AD80" s="45" t="e">
        <f t="shared" si="42"/>
        <v>#DIV/0!</v>
      </c>
      <c r="AE80" s="45" t="e">
        <f t="shared" si="43"/>
        <v>#DIV/0!</v>
      </c>
      <c r="AF80" s="45" t="e">
        <f t="shared" si="44"/>
        <v>#DIV/0!</v>
      </c>
      <c r="AG80" s="45" t="e">
        <f t="shared" si="45"/>
        <v>#DIV/0!</v>
      </c>
      <c r="AH80" s="45" t="e">
        <f t="shared" si="46"/>
        <v>#DIV/0!</v>
      </c>
      <c r="AI80" s="45" t="e">
        <f t="shared" si="47"/>
        <v>#DIV/0!</v>
      </c>
      <c r="AJ80" s="45" t="e">
        <f t="shared" si="48"/>
        <v>#DIV/0!</v>
      </c>
      <c r="AK80" s="45" t="e">
        <f t="shared" si="49"/>
        <v>#DIV/0!</v>
      </c>
      <c r="AL80" s="45" t="e">
        <f>T$3+K80/ATM_Conf!$C$5</f>
        <v>#DIV/0!</v>
      </c>
      <c r="AM80" s="45" t="e">
        <f>U$3+L80/ATM_Conf!$C$5</f>
        <v>#DIV/0!</v>
      </c>
      <c r="AN80" s="45" t="e">
        <f>V$3+M80/ATM_Conf!$C$5</f>
        <v>#DIV/0!</v>
      </c>
      <c r="AO80" s="45" t="e">
        <f>W$3+N80/ATM_Conf!$C$5</f>
        <v>#DIV/0!</v>
      </c>
      <c r="AP80" s="45" t="e">
        <f>X$3+O80/ATM_Conf!$C$5</f>
        <v>#DIV/0!</v>
      </c>
      <c r="AQ80" s="45" t="e">
        <f>Y$3+P80/ATM_Conf!$C$5</f>
        <v>#DIV/0!</v>
      </c>
      <c r="AR80" s="45" t="e">
        <f>Z$3+Q80/ATM_Conf!$C$5</f>
        <v>#DIV/0!</v>
      </c>
      <c r="AS80" s="45" t="e">
        <f>AA$3+R80/ATM_Conf!$C$5</f>
        <v>#DIV/0!</v>
      </c>
      <c r="AT80" s="45" t="e">
        <f>AB$3+S80/ATM_Conf!$C$5</f>
        <v>#DIV/0!</v>
      </c>
      <c r="AU80" s="45" t="e">
        <f>BD$3*MIN(1,(ATM_Conf!$C$6-Links!F80)/(ATM_Conf!$C$6-ATM_Conf!$C$7))</f>
        <v>#DIV/0!</v>
      </c>
      <c r="AV80" s="45" t="e">
        <f>BE$3*MIN(1,(ATM_Conf!$C$6-Links!G80)/(ATM_Conf!$C$6-ATM_Conf!$C$7))</f>
        <v>#DIV/0!</v>
      </c>
      <c r="AW80" s="45" t="e">
        <f>BF$3*MIN(1,(ATM_Conf!$C$6-Links!H80)/(ATM_Conf!$C$6-ATM_Conf!$C$7))</f>
        <v>#DIV/0!</v>
      </c>
      <c r="AX80" s="45" t="e">
        <f>BG$3*MIN(1,(ATM_Conf!$C$6-Links!I80)/(ATM_Conf!$C$6-ATM_Conf!$C$7))</f>
        <v>#DIV/0!</v>
      </c>
      <c r="AY80" s="45" t="e">
        <f>BH$3*MIN(1,(ATM_Conf!$C$6-Links!J80)/(ATM_Conf!$C$6-ATM_Conf!$C$7))</f>
        <v>#DIV/0!</v>
      </c>
      <c r="AZ80" s="45" t="e">
        <f>BI$3*MIN(1,(ATM_Conf!$C$6-Links!K80)/(ATM_Conf!$C$6-ATM_Conf!$C$7))</f>
        <v>#DIV/0!</v>
      </c>
      <c r="BA80" s="45" t="e">
        <f>BJ$3*MIN(1,(ATM_Conf!$C$6-Links!L80)/(ATM_Conf!$C$6-ATM_Conf!$C$7))</f>
        <v>#DIV/0!</v>
      </c>
      <c r="BB80" s="45" t="e">
        <f>BK$3*MIN(1,(ATM_Conf!$C$6-Links!M80)/(ATM_Conf!$C$6-ATM_Conf!$C$7))</f>
        <v>#DIV/0!</v>
      </c>
      <c r="BC80" s="45" t="e">
        <f>BL$3*MIN(1,(ATM_Conf!$C$6-Links!N80)/(ATM_Conf!$C$6-ATM_Conf!$C$7))</f>
        <v>#DIV/0!</v>
      </c>
      <c r="BD80" s="45"/>
      <c r="BE80" s="45"/>
      <c r="BF80" s="45"/>
      <c r="BG80" s="45"/>
      <c r="BH80" s="45"/>
      <c r="BI80" s="45"/>
      <c r="BJ80" s="45"/>
      <c r="BK80" s="45"/>
      <c r="BL80" s="45"/>
      <c r="BM80" s="53"/>
      <c r="BN80" s="53"/>
      <c r="BO80" s="53"/>
      <c r="BP80" s="53"/>
      <c r="BQ80" s="53"/>
      <c r="BR80" s="53"/>
      <c r="BS80" s="53"/>
      <c r="BT80" s="53"/>
      <c r="BU80" s="53"/>
      <c r="BV80" s="53" t="e">
        <f t="shared" si="50"/>
        <v>#DIV/0!</v>
      </c>
      <c r="BW80" s="53" t="e">
        <f t="shared" si="51"/>
        <v>#DIV/0!</v>
      </c>
      <c r="BX80" s="53" t="e">
        <f t="shared" si="52"/>
        <v>#DIV/0!</v>
      </c>
      <c r="BY80" s="53" t="e">
        <f t="shared" si="53"/>
        <v>#DIV/0!</v>
      </c>
      <c r="BZ80" s="53" t="e">
        <f t="shared" si="54"/>
        <v>#DIV/0!</v>
      </c>
      <c r="CA80" s="53" t="e">
        <f t="shared" si="55"/>
        <v>#DIV/0!</v>
      </c>
      <c r="CB80" s="53" t="e">
        <f t="shared" si="56"/>
        <v>#DIV/0!</v>
      </c>
      <c r="CC80" s="53" t="e">
        <f t="shared" si="57"/>
        <v>#DIV/0!</v>
      </c>
      <c r="CD80" s="53" t="e">
        <f t="shared" si="58"/>
        <v>#DIV/0!</v>
      </c>
      <c r="CE80" s="55">
        <f t="shared" si="40"/>
        <v>0</v>
      </c>
      <c r="CF80" s="55">
        <f t="shared" si="39"/>
        <v>0</v>
      </c>
      <c r="CG80" s="55">
        <f t="shared" si="39"/>
        <v>0</v>
      </c>
      <c r="CH80" s="55">
        <f t="shared" si="39"/>
        <v>0</v>
      </c>
      <c r="CI80" s="55">
        <f t="shared" si="39"/>
        <v>0</v>
      </c>
      <c r="CJ80" s="55">
        <f t="shared" si="39"/>
        <v>0</v>
      </c>
      <c r="CK80" s="55">
        <f t="shared" si="39"/>
        <v>0</v>
      </c>
      <c r="CL80" s="55">
        <f t="shared" si="39"/>
        <v>0</v>
      </c>
      <c r="CM80" s="55">
        <f t="shared" si="39"/>
        <v>0</v>
      </c>
    </row>
    <row r="81" spans="1:91" x14ac:dyDescent="0.15">
      <c r="A81" s="42">
        <v>79</v>
      </c>
      <c r="B81" s="45">
        <f t="shared" si="61"/>
        <v>1</v>
      </c>
      <c r="C81" s="45">
        <f t="shared" si="60"/>
        <v>1</v>
      </c>
      <c r="D81" s="45">
        <f t="shared" si="60"/>
        <v>1</v>
      </c>
      <c r="E81" s="45">
        <f t="shared" si="60"/>
        <v>1</v>
      </c>
      <c r="F81" s="45">
        <f t="shared" si="60"/>
        <v>1</v>
      </c>
      <c r="G81" s="45">
        <f t="shared" si="60"/>
        <v>1</v>
      </c>
      <c r="H81" s="45">
        <f t="shared" si="60"/>
        <v>1</v>
      </c>
      <c r="I81" s="45">
        <f t="shared" si="60"/>
        <v>1</v>
      </c>
      <c r="J81" s="45">
        <f t="shared" si="60"/>
        <v>1</v>
      </c>
      <c r="K81" s="45" t="e">
        <f>K80+ATM_Conf!$C$5*(T80-AC80)</f>
        <v>#DIV/0!</v>
      </c>
      <c r="L81" s="45" t="e">
        <f>L80+ATM_Conf!$C$5*(U80-AD80)</f>
        <v>#DIV/0!</v>
      </c>
      <c r="M81" s="45" t="e">
        <f>M80+ATM_Conf!$C$5*(V80-AE80)</f>
        <v>#DIV/0!</v>
      </c>
      <c r="N81" s="45" t="e">
        <f>N80+ATM_Conf!$C$5*(W80-AF80)</f>
        <v>#DIV/0!</v>
      </c>
      <c r="O81" s="45" t="e">
        <f>O80+ATM_Conf!$C$5*(X80-AG80)</f>
        <v>#DIV/0!</v>
      </c>
      <c r="P81" s="45" t="e">
        <f>P80+ATM_Conf!$C$5*(Y80-AH80)</f>
        <v>#DIV/0!</v>
      </c>
      <c r="Q81" s="45" t="e">
        <f>Q80+ATM_Conf!$C$5*(Z80-AI80)</f>
        <v>#DIV/0!</v>
      </c>
      <c r="R81" s="45" t="e">
        <f>R80+ATM_Conf!$C$5*(AA80-AJ80)</f>
        <v>#DIV/0!</v>
      </c>
      <c r="S81" s="45" t="e">
        <f>S80+ATM_Conf!$C$5*(AB80-AK80)</f>
        <v>#DIV/0!</v>
      </c>
      <c r="T81" s="45"/>
      <c r="U81" s="45"/>
      <c r="V81" s="45"/>
      <c r="W81" s="45"/>
      <c r="X81" s="45"/>
      <c r="Y81" s="45"/>
      <c r="Z81" s="45"/>
      <c r="AA81" s="45"/>
      <c r="AB81" s="45"/>
      <c r="AC81" s="45" t="e">
        <f t="shared" si="41"/>
        <v>#DIV/0!</v>
      </c>
      <c r="AD81" s="45" t="e">
        <f t="shared" si="42"/>
        <v>#DIV/0!</v>
      </c>
      <c r="AE81" s="45" t="e">
        <f t="shared" si="43"/>
        <v>#DIV/0!</v>
      </c>
      <c r="AF81" s="45" t="e">
        <f t="shared" si="44"/>
        <v>#DIV/0!</v>
      </c>
      <c r="AG81" s="45" t="e">
        <f t="shared" si="45"/>
        <v>#DIV/0!</v>
      </c>
      <c r="AH81" s="45" t="e">
        <f t="shared" si="46"/>
        <v>#DIV/0!</v>
      </c>
      <c r="AI81" s="45" t="e">
        <f t="shared" si="47"/>
        <v>#DIV/0!</v>
      </c>
      <c r="AJ81" s="45" t="e">
        <f t="shared" si="48"/>
        <v>#DIV/0!</v>
      </c>
      <c r="AK81" s="45" t="e">
        <f t="shared" si="49"/>
        <v>#DIV/0!</v>
      </c>
      <c r="AL81" s="45" t="e">
        <f>T$3+K81/ATM_Conf!$C$5</f>
        <v>#DIV/0!</v>
      </c>
      <c r="AM81" s="45" t="e">
        <f>U$3+L81/ATM_Conf!$C$5</f>
        <v>#DIV/0!</v>
      </c>
      <c r="AN81" s="45" t="e">
        <f>V$3+M81/ATM_Conf!$C$5</f>
        <v>#DIV/0!</v>
      </c>
      <c r="AO81" s="45" t="e">
        <f>W$3+N81/ATM_Conf!$C$5</f>
        <v>#DIV/0!</v>
      </c>
      <c r="AP81" s="45" t="e">
        <f>X$3+O81/ATM_Conf!$C$5</f>
        <v>#DIV/0!</v>
      </c>
      <c r="AQ81" s="45" t="e">
        <f>Y$3+P81/ATM_Conf!$C$5</f>
        <v>#DIV/0!</v>
      </c>
      <c r="AR81" s="45" t="e">
        <f>Z$3+Q81/ATM_Conf!$C$5</f>
        <v>#DIV/0!</v>
      </c>
      <c r="AS81" s="45" t="e">
        <f>AA$3+R81/ATM_Conf!$C$5</f>
        <v>#DIV/0!</v>
      </c>
      <c r="AT81" s="45" t="e">
        <f>AB$3+S81/ATM_Conf!$C$5</f>
        <v>#DIV/0!</v>
      </c>
      <c r="AU81" s="45" t="e">
        <f>BD$3*MIN(1,(ATM_Conf!$C$6-Links!F81)/(ATM_Conf!$C$6-ATM_Conf!$C$7))</f>
        <v>#DIV/0!</v>
      </c>
      <c r="AV81" s="45" t="e">
        <f>BE$3*MIN(1,(ATM_Conf!$C$6-Links!G81)/(ATM_Conf!$C$6-ATM_Conf!$C$7))</f>
        <v>#DIV/0!</v>
      </c>
      <c r="AW81" s="45" t="e">
        <f>BF$3*MIN(1,(ATM_Conf!$C$6-Links!H81)/(ATM_Conf!$C$6-ATM_Conf!$C$7))</f>
        <v>#DIV/0!</v>
      </c>
      <c r="AX81" s="45" t="e">
        <f>BG$3*MIN(1,(ATM_Conf!$C$6-Links!I81)/(ATM_Conf!$C$6-ATM_Conf!$C$7))</f>
        <v>#DIV/0!</v>
      </c>
      <c r="AY81" s="45" t="e">
        <f>BH$3*MIN(1,(ATM_Conf!$C$6-Links!J81)/(ATM_Conf!$C$6-ATM_Conf!$C$7))</f>
        <v>#DIV/0!</v>
      </c>
      <c r="AZ81" s="45" t="e">
        <f>BI$3*MIN(1,(ATM_Conf!$C$6-Links!K81)/(ATM_Conf!$C$6-ATM_Conf!$C$7))</f>
        <v>#DIV/0!</v>
      </c>
      <c r="BA81" s="45" t="e">
        <f>BJ$3*MIN(1,(ATM_Conf!$C$6-Links!L81)/(ATM_Conf!$C$6-ATM_Conf!$C$7))</f>
        <v>#DIV/0!</v>
      </c>
      <c r="BB81" s="45" t="e">
        <f>BK$3*MIN(1,(ATM_Conf!$C$6-Links!M81)/(ATM_Conf!$C$6-ATM_Conf!$C$7))</f>
        <v>#DIV/0!</v>
      </c>
      <c r="BC81" s="45" t="e">
        <f>BL$3*MIN(1,(ATM_Conf!$C$6-Links!N81)/(ATM_Conf!$C$6-ATM_Conf!$C$7))</f>
        <v>#DIV/0!</v>
      </c>
      <c r="BD81" s="45"/>
      <c r="BE81" s="45"/>
      <c r="BF81" s="45"/>
      <c r="BG81" s="45"/>
      <c r="BH81" s="45"/>
      <c r="BI81" s="45"/>
      <c r="BJ81" s="45"/>
      <c r="BK81" s="45"/>
      <c r="BL81" s="45"/>
      <c r="BM81" s="53"/>
      <c r="BN81" s="53"/>
      <c r="BO81" s="53"/>
      <c r="BP81" s="53"/>
      <c r="BQ81" s="53"/>
      <c r="BR81" s="53"/>
      <c r="BS81" s="53"/>
      <c r="BT81" s="53"/>
      <c r="BU81" s="53"/>
      <c r="BV81" s="53" t="e">
        <f t="shared" si="50"/>
        <v>#DIV/0!</v>
      </c>
      <c r="BW81" s="53" t="e">
        <f t="shared" si="51"/>
        <v>#DIV/0!</v>
      </c>
      <c r="BX81" s="53" t="e">
        <f t="shared" si="52"/>
        <v>#DIV/0!</v>
      </c>
      <c r="BY81" s="53" t="e">
        <f t="shared" si="53"/>
        <v>#DIV/0!</v>
      </c>
      <c r="BZ81" s="53" t="e">
        <f t="shared" si="54"/>
        <v>#DIV/0!</v>
      </c>
      <c r="CA81" s="53" t="e">
        <f t="shared" si="55"/>
        <v>#DIV/0!</v>
      </c>
      <c r="CB81" s="53" t="e">
        <f t="shared" si="56"/>
        <v>#DIV/0!</v>
      </c>
      <c r="CC81" s="53" t="e">
        <f t="shared" si="57"/>
        <v>#DIV/0!</v>
      </c>
      <c r="CD81" s="53" t="e">
        <f t="shared" si="58"/>
        <v>#DIV/0!</v>
      </c>
      <c r="CE81" s="55">
        <f t="shared" si="40"/>
        <v>0</v>
      </c>
      <c r="CF81" s="55">
        <f t="shared" si="39"/>
        <v>0</v>
      </c>
      <c r="CG81" s="55">
        <f t="shared" si="39"/>
        <v>0</v>
      </c>
      <c r="CH81" s="55">
        <f t="shared" si="39"/>
        <v>0</v>
      </c>
      <c r="CI81" s="55">
        <f t="shared" si="39"/>
        <v>0</v>
      </c>
      <c r="CJ81" s="55">
        <f t="shared" si="39"/>
        <v>0</v>
      </c>
      <c r="CK81" s="55">
        <f t="shared" si="39"/>
        <v>0</v>
      </c>
      <c r="CL81" s="55">
        <f t="shared" si="39"/>
        <v>0</v>
      </c>
      <c r="CM81" s="55">
        <f t="shared" si="39"/>
        <v>0</v>
      </c>
    </row>
    <row r="82" spans="1:91" x14ac:dyDescent="0.15">
      <c r="A82" s="42">
        <v>80</v>
      </c>
      <c r="B82" s="45">
        <f t="shared" si="61"/>
        <v>1</v>
      </c>
      <c r="C82" s="45">
        <f t="shared" si="60"/>
        <v>1</v>
      </c>
      <c r="D82" s="45">
        <f t="shared" si="60"/>
        <v>1</v>
      </c>
      <c r="E82" s="45">
        <f t="shared" si="60"/>
        <v>1</v>
      </c>
      <c r="F82" s="45">
        <f t="shared" si="60"/>
        <v>1</v>
      </c>
      <c r="G82" s="45">
        <f t="shared" si="60"/>
        <v>1</v>
      </c>
      <c r="H82" s="45">
        <f t="shared" si="60"/>
        <v>1</v>
      </c>
      <c r="I82" s="45">
        <f t="shared" si="60"/>
        <v>1</v>
      </c>
      <c r="J82" s="45">
        <f t="shared" si="60"/>
        <v>1</v>
      </c>
      <c r="K82" s="45" t="e">
        <f>K81+ATM_Conf!$C$5*(T81-AC81)</f>
        <v>#DIV/0!</v>
      </c>
      <c r="L82" s="45" t="e">
        <f>L81+ATM_Conf!$C$5*(U81-AD81)</f>
        <v>#DIV/0!</v>
      </c>
      <c r="M82" s="45" t="e">
        <f>M81+ATM_Conf!$C$5*(V81-AE81)</f>
        <v>#DIV/0!</v>
      </c>
      <c r="N82" s="45" t="e">
        <f>N81+ATM_Conf!$C$5*(W81-AF81)</f>
        <v>#DIV/0!</v>
      </c>
      <c r="O82" s="45" t="e">
        <f>O81+ATM_Conf!$C$5*(X81-AG81)</f>
        <v>#DIV/0!</v>
      </c>
      <c r="P82" s="45" t="e">
        <f>P81+ATM_Conf!$C$5*(Y81-AH81)</f>
        <v>#DIV/0!</v>
      </c>
      <c r="Q82" s="45" t="e">
        <f>Q81+ATM_Conf!$C$5*(Z81-AI81)</f>
        <v>#DIV/0!</v>
      </c>
      <c r="R82" s="45" t="e">
        <f>R81+ATM_Conf!$C$5*(AA81-AJ81)</f>
        <v>#DIV/0!</v>
      </c>
      <c r="S82" s="45" t="e">
        <f>S81+ATM_Conf!$C$5*(AB81-AK81)</f>
        <v>#DIV/0!</v>
      </c>
      <c r="T82" s="45"/>
      <c r="U82" s="45"/>
      <c r="V82" s="45"/>
      <c r="W82" s="45"/>
      <c r="X82" s="45"/>
      <c r="Y82" s="45"/>
      <c r="Z82" s="45"/>
      <c r="AA82" s="45"/>
      <c r="AB82" s="45"/>
      <c r="AC82" s="45" t="e">
        <f t="shared" si="41"/>
        <v>#DIV/0!</v>
      </c>
      <c r="AD82" s="45" t="e">
        <f t="shared" si="42"/>
        <v>#DIV/0!</v>
      </c>
      <c r="AE82" s="45" t="e">
        <f t="shared" si="43"/>
        <v>#DIV/0!</v>
      </c>
      <c r="AF82" s="45" t="e">
        <f t="shared" si="44"/>
        <v>#DIV/0!</v>
      </c>
      <c r="AG82" s="45" t="e">
        <f t="shared" si="45"/>
        <v>#DIV/0!</v>
      </c>
      <c r="AH82" s="45" t="e">
        <f t="shared" si="46"/>
        <v>#DIV/0!</v>
      </c>
      <c r="AI82" s="45" t="e">
        <f t="shared" si="47"/>
        <v>#DIV/0!</v>
      </c>
      <c r="AJ82" s="45" t="e">
        <f t="shared" si="48"/>
        <v>#DIV/0!</v>
      </c>
      <c r="AK82" s="45" t="e">
        <f t="shared" si="49"/>
        <v>#DIV/0!</v>
      </c>
      <c r="AL82" s="45" t="e">
        <f>T$3+K82/ATM_Conf!$C$5</f>
        <v>#DIV/0!</v>
      </c>
      <c r="AM82" s="45" t="e">
        <f>U$3+L82/ATM_Conf!$C$5</f>
        <v>#DIV/0!</v>
      </c>
      <c r="AN82" s="45" t="e">
        <f>V$3+M82/ATM_Conf!$C$5</f>
        <v>#DIV/0!</v>
      </c>
      <c r="AO82" s="45" t="e">
        <f>W$3+N82/ATM_Conf!$C$5</f>
        <v>#DIV/0!</v>
      </c>
      <c r="AP82" s="45" t="e">
        <f>X$3+O82/ATM_Conf!$C$5</f>
        <v>#DIV/0!</v>
      </c>
      <c r="AQ82" s="45" t="e">
        <f>Y$3+P82/ATM_Conf!$C$5</f>
        <v>#DIV/0!</v>
      </c>
      <c r="AR82" s="45" t="e">
        <f>Z$3+Q82/ATM_Conf!$C$5</f>
        <v>#DIV/0!</v>
      </c>
      <c r="AS82" s="45" t="e">
        <f>AA$3+R82/ATM_Conf!$C$5</f>
        <v>#DIV/0!</v>
      </c>
      <c r="AT82" s="45" t="e">
        <f>AB$3+S82/ATM_Conf!$C$5</f>
        <v>#DIV/0!</v>
      </c>
      <c r="AU82" s="45" t="e">
        <f>BD$3*MIN(1,(ATM_Conf!$C$6-Links!F82)/(ATM_Conf!$C$6-ATM_Conf!$C$7))</f>
        <v>#DIV/0!</v>
      </c>
      <c r="AV82" s="45" t="e">
        <f>BE$3*MIN(1,(ATM_Conf!$C$6-Links!G82)/(ATM_Conf!$C$6-ATM_Conf!$C$7))</f>
        <v>#DIV/0!</v>
      </c>
      <c r="AW82" s="45" t="e">
        <f>BF$3*MIN(1,(ATM_Conf!$C$6-Links!H82)/(ATM_Conf!$C$6-ATM_Conf!$C$7))</f>
        <v>#DIV/0!</v>
      </c>
      <c r="AX82" s="45" t="e">
        <f>BG$3*MIN(1,(ATM_Conf!$C$6-Links!I82)/(ATM_Conf!$C$6-ATM_Conf!$C$7))</f>
        <v>#DIV/0!</v>
      </c>
      <c r="AY82" s="45" t="e">
        <f>BH$3*MIN(1,(ATM_Conf!$C$6-Links!J82)/(ATM_Conf!$C$6-ATM_Conf!$C$7))</f>
        <v>#DIV/0!</v>
      </c>
      <c r="AZ82" s="45" t="e">
        <f>BI$3*MIN(1,(ATM_Conf!$C$6-Links!K82)/(ATM_Conf!$C$6-ATM_Conf!$C$7))</f>
        <v>#DIV/0!</v>
      </c>
      <c r="BA82" s="45" t="e">
        <f>BJ$3*MIN(1,(ATM_Conf!$C$6-Links!L82)/(ATM_Conf!$C$6-ATM_Conf!$C$7))</f>
        <v>#DIV/0!</v>
      </c>
      <c r="BB82" s="45" t="e">
        <f>BK$3*MIN(1,(ATM_Conf!$C$6-Links!M82)/(ATM_Conf!$C$6-ATM_Conf!$C$7))</f>
        <v>#DIV/0!</v>
      </c>
      <c r="BC82" s="45" t="e">
        <f>BL$3*MIN(1,(ATM_Conf!$C$6-Links!N82)/(ATM_Conf!$C$6-ATM_Conf!$C$7))</f>
        <v>#DIV/0!</v>
      </c>
      <c r="BD82" s="45"/>
      <c r="BE82" s="45"/>
      <c r="BF82" s="45"/>
      <c r="BG82" s="45"/>
      <c r="BH82" s="45"/>
      <c r="BI82" s="45"/>
      <c r="BJ82" s="45"/>
      <c r="BK82" s="45"/>
      <c r="BL82" s="45"/>
      <c r="BM82" s="53"/>
      <c r="BN82" s="53"/>
      <c r="BO82" s="53"/>
      <c r="BP82" s="53"/>
      <c r="BQ82" s="53"/>
      <c r="BR82" s="53"/>
      <c r="BS82" s="53"/>
      <c r="BT82" s="53"/>
      <c r="BU82" s="53"/>
      <c r="BV82" s="53" t="e">
        <f t="shared" si="50"/>
        <v>#DIV/0!</v>
      </c>
      <c r="BW82" s="53" t="e">
        <f t="shared" si="51"/>
        <v>#DIV/0!</v>
      </c>
      <c r="BX82" s="53" t="e">
        <f t="shared" si="52"/>
        <v>#DIV/0!</v>
      </c>
      <c r="BY82" s="53" t="e">
        <f t="shared" si="53"/>
        <v>#DIV/0!</v>
      </c>
      <c r="BZ82" s="53" t="e">
        <f t="shared" si="54"/>
        <v>#DIV/0!</v>
      </c>
      <c r="CA82" s="53" t="e">
        <f t="shared" si="55"/>
        <v>#DIV/0!</v>
      </c>
      <c r="CB82" s="53" t="e">
        <f t="shared" si="56"/>
        <v>#DIV/0!</v>
      </c>
      <c r="CC82" s="53" t="e">
        <f t="shared" si="57"/>
        <v>#DIV/0!</v>
      </c>
      <c r="CD82" s="53" t="e">
        <f t="shared" si="58"/>
        <v>#DIV/0!</v>
      </c>
      <c r="CE82" s="55">
        <f t="shared" si="40"/>
        <v>0</v>
      </c>
      <c r="CF82" s="55">
        <f t="shared" si="39"/>
        <v>0</v>
      </c>
      <c r="CG82" s="55">
        <f t="shared" si="39"/>
        <v>0</v>
      </c>
      <c r="CH82" s="55">
        <f t="shared" si="39"/>
        <v>0</v>
      </c>
      <c r="CI82" s="55">
        <f t="shared" si="39"/>
        <v>0</v>
      </c>
      <c r="CJ82" s="55">
        <f t="shared" si="39"/>
        <v>0</v>
      </c>
      <c r="CK82" s="55">
        <f t="shared" si="39"/>
        <v>0</v>
      </c>
      <c r="CL82" s="55">
        <f t="shared" si="39"/>
        <v>0</v>
      </c>
      <c r="CM82" s="55">
        <f t="shared" si="39"/>
        <v>0</v>
      </c>
    </row>
    <row r="83" spans="1:91" x14ac:dyDescent="0.15">
      <c r="A83" s="42">
        <v>81</v>
      </c>
      <c r="B83" s="45">
        <f t="shared" si="61"/>
        <v>1</v>
      </c>
      <c r="C83" s="45">
        <f t="shared" si="60"/>
        <v>1</v>
      </c>
      <c r="D83" s="45">
        <f t="shared" si="60"/>
        <v>1</v>
      </c>
      <c r="E83" s="45">
        <f t="shared" si="60"/>
        <v>1</v>
      </c>
      <c r="F83" s="45">
        <f t="shared" si="60"/>
        <v>1</v>
      </c>
      <c r="G83" s="45">
        <f t="shared" si="60"/>
        <v>1</v>
      </c>
      <c r="H83" s="45">
        <f t="shared" si="60"/>
        <v>1</v>
      </c>
      <c r="I83" s="45">
        <f t="shared" si="60"/>
        <v>1</v>
      </c>
      <c r="J83" s="45">
        <f t="shared" si="60"/>
        <v>1</v>
      </c>
      <c r="K83" s="45" t="e">
        <f>K82+ATM_Conf!$C$5*(T82-AC82)</f>
        <v>#DIV/0!</v>
      </c>
      <c r="L83" s="45" t="e">
        <f>L82+ATM_Conf!$C$5*(U82-AD82)</f>
        <v>#DIV/0!</v>
      </c>
      <c r="M83" s="45" t="e">
        <f>M82+ATM_Conf!$C$5*(V82-AE82)</f>
        <v>#DIV/0!</v>
      </c>
      <c r="N83" s="45" t="e">
        <f>N82+ATM_Conf!$C$5*(W82-AF82)</f>
        <v>#DIV/0!</v>
      </c>
      <c r="O83" s="45" t="e">
        <f>O82+ATM_Conf!$C$5*(X82-AG82)</f>
        <v>#DIV/0!</v>
      </c>
      <c r="P83" s="45" t="e">
        <f>P82+ATM_Conf!$C$5*(Y82-AH82)</f>
        <v>#DIV/0!</v>
      </c>
      <c r="Q83" s="45" t="e">
        <f>Q82+ATM_Conf!$C$5*(Z82-AI82)</f>
        <v>#DIV/0!</v>
      </c>
      <c r="R83" s="45" t="e">
        <f>R82+ATM_Conf!$C$5*(AA82-AJ82)</f>
        <v>#DIV/0!</v>
      </c>
      <c r="S83" s="45" t="e">
        <f>S82+ATM_Conf!$C$5*(AB82-AK82)</f>
        <v>#DIV/0!</v>
      </c>
      <c r="T83" s="45"/>
      <c r="U83" s="45"/>
      <c r="V83" s="45"/>
      <c r="W83" s="45"/>
      <c r="X83" s="45"/>
      <c r="Y83" s="45"/>
      <c r="Z83" s="45"/>
      <c r="AA83" s="45"/>
      <c r="AB83" s="45"/>
      <c r="AC83" s="45" t="e">
        <f t="shared" si="41"/>
        <v>#DIV/0!</v>
      </c>
      <c r="AD83" s="45" t="e">
        <f t="shared" si="42"/>
        <v>#DIV/0!</v>
      </c>
      <c r="AE83" s="45" t="e">
        <f t="shared" si="43"/>
        <v>#DIV/0!</v>
      </c>
      <c r="AF83" s="45" t="e">
        <f t="shared" si="44"/>
        <v>#DIV/0!</v>
      </c>
      <c r="AG83" s="45" t="e">
        <f t="shared" si="45"/>
        <v>#DIV/0!</v>
      </c>
      <c r="AH83" s="45" t="e">
        <f t="shared" si="46"/>
        <v>#DIV/0!</v>
      </c>
      <c r="AI83" s="45" t="e">
        <f t="shared" si="47"/>
        <v>#DIV/0!</v>
      </c>
      <c r="AJ83" s="45" t="e">
        <f t="shared" si="48"/>
        <v>#DIV/0!</v>
      </c>
      <c r="AK83" s="45" t="e">
        <f t="shared" si="49"/>
        <v>#DIV/0!</v>
      </c>
      <c r="AL83" s="45" t="e">
        <f>T$3+K83/ATM_Conf!$C$5</f>
        <v>#DIV/0!</v>
      </c>
      <c r="AM83" s="45" t="e">
        <f>U$3+L83/ATM_Conf!$C$5</f>
        <v>#DIV/0!</v>
      </c>
      <c r="AN83" s="45" t="e">
        <f>V$3+M83/ATM_Conf!$C$5</f>
        <v>#DIV/0!</v>
      </c>
      <c r="AO83" s="45" t="e">
        <f>W$3+N83/ATM_Conf!$C$5</f>
        <v>#DIV/0!</v>
      </c>
      <c r="AP83" s="45" t="e">
        <f>X$3+O83/ATM_Conf!$C$5</f>
        <v>#DIV/0!</v>
      </c>
      <c r="AQ83" s="45" t="e">
        <f>Y$3+P83/ATM_Conf!$C$5</f>
        <v>#DIV/0!</v>
      </c>
      <c r="AR83" s="45" t="e">
        <f>Z$3+Q83/ATM_Conf!$C$5</f>
        <v>#DIV/0!</v>
      </c>
      <c r="AS83" s="45" t="e">
        <f>AA$3+R83/ATM_Conf!$C$5</f>
        <v>#DIV/0!</v>
      </c>
      <c r="AT83" s="45" t="e">
        <f>AB$3+S83/ATM_Conf!$C$5</f>
        <v>#DIV/0!</v>
      </c>
      <c r="AU83" s="45" t="e">
        <f>BD$3*MIN(1,(ATM_Conf!$C$6-Links!F83)/(ATM_Conf!$C$6-ATM_Conf!$C$7))</f>
        <v>#DIV/0!</v>
      </c>
      <c r="AV83" s="45" t="e">
        <f>BE$3*MIN(1,(ATM_Conf!$C$6-Links!G83)/(ATM_Conf!$C$6-ATM_Conf!$C$7))</f>
        <v>#DIV/0!</v>
      </c>
      <c r="AW83" s="45" t="e">
        <f>BF$3*MIN(1,(ATM_Conf!$C$6-Links!H83)/(ATM_Conf!$C$6-ATM_Conf!$C$7))</f>
        <v>#DIV/0!</v>
      </c>
      <c r="AX83" s="45" t="e">
        <f>BG$3*MIN(1,(ATM_Conf!$C$6-Links!I83)/(ATM_Conf!$C$6-ATM_Conf!$C$7))</f>
        <v>#DIV/0!</v>
      </c>
      <c r="AY83" s="45" t="e">
        <f>BH$3*MIN(1,(ATM_Conf!$C$6-Links!J83)/(ATM_Conf!$C$6-ATM_Conf!$C$7))</f>
        <v>#DIV/0!</v>
      </c>
      <c r="AZ83" s="45" t="e">
        <f>BI$3*MIN(1,(ATM_Conf!$C$6-Links!K83)/(ATM_Conf!$C$6-ATM_Conf!$C$7))</f>
        <v>#DIV/0!</v>
      </c>
      <c r="BA83" s="45" t="e">
        <f>BJ$3*MIN(1,(ATM_Conf!$C$6-Links!L83)/(ATM_Conf!$C$6-ATM_Conf!$C$7))</f>
        <v>#DIV/0!</v>
      </c>
      <c r="BB83" s="45" t="e">
        <f>BK$3*MIN(1,(ATM_Conf!$C$6-Links!M83)/(ATM_Conf!$C$6-ATM_Conf!$C$7))</f>
        <v>#DIV/0!</v>
      </c>
      <c r="BC83" s="45" t="e">
        <f>BL$3*MIN(1,(ATM_Conf!$C$6-Links!N83)/(ATM_Conf!$C$6-ATM_Conf!$C$7))</f>
        <v>#DIV/0!</v>
      </c>
      <c r="BD83" s="45"/>
      <c r="BE83" s="45"/>
      <c r="BF83" s="45"/>
      <c r="BG83" s="45"/>
      <c r="BH83" s="45"/>
      <c r="BI83" s="45"/>
      <c r="BJ83" s="45"/>
      <c r="BK83" s="45"/>
      <c r="BL83" s="45"/>
      <c r="BM83" s="53"/>
      <c r="BN83" s="53"/>
      <c r="BO83" s="53"/>
      <c r="BP83" s="53"/>
      <c r="BQ83" s="53"/>
      <c r="BR83" s="53"/>
      <c r="BS83" s="53"/>
      <c r="BT83" s="53"/>
      <c r="BU83" s="53"/>
      <c r="BV83" s="53" t="e">
        <f t="shared" si="50"/>
        <v>#DIV/0!</v>
      </c>
      <c r="BW83" s="53" t="e">
        <f t="shared" si="51"/>
        <v>#DIV/0!</v>
      </c>
      <c r="BX83" s="53" t="e">
        <f t="shared" si="52"/>
        <v>#DIV/0!</v>
      </c>
      <c r="BY83" s="53" t="e">
        <f t="shared" si="53"/>
        <v>#DIV/0!</v>
      </c>
      <c r="BZ83" s="53" t="e">
        <f t="shared" si="54"/>
        <v>#DIV/0!</v>
      </c>
      <c r="CA83" s="53" t="e">
        <f t="shared" si="55"/>
        <v>#DIV/0!</v>
      </c>
      <c r="CB83" s="53" t="e">
        <f t="shared" si="56"/>
        <v>#DIV/0!</v>
      </c>
      <c r="CC83" s="53" t="e">
        <f t="shared" si="57"/>
        <v>#DIV/0!</v>
      </c>
      <c r="CD83" s="53" t="e">
        <f t="shared" si="58"/>
        <v>#DIV/0!</v>
      </c>
      <c r="CE83" s="55">
        <f t="shared" si="40"/>
        <v>0</v>
      </c>
      <c r="CF83" s="55">
        <f t="shared" si="39"/>
        <v>0</v>
      </c>
      <c r="CG83" s="55">
        <f t="shared" si="39"/>
        <v>0</v>
      </c>
      <c r="CH83" s="55">
        <f t="shared" si="39"/>
        <v>0</v>
      </c>
      <c r="CI83" s="55">
        <f t="shared" si="39"/>
        <v>0</v>
      </c>
      <c r="CJ83" s="55">
        <f t="shared" si="39"/>
        <v>0</v>
      </c>
      <c r="CK83" s="55">
        <f t="shared" si="39"/>
        <v>0</v>
      </c>
      <c r="CL83" s="55">
        <f t="shared" si="39"/>
        <v>0</v>
      </c>
      <c r="CM83" s="55">
        <f t="shared" si="39"/>
        <v>0</v>
      </c>
    </row>
    <row r="84" spans="1:91" x14ac:dyDescent="0.15">
      <c r="A84" s="42">
        <v>82</v>
      </c>
      <c r="B84" s="45">
        <f t="shared" si="61"/>
        <v>1</v>
      </c>
      <c r="C84" s="45">
        <f t="shared" si="60"/>
        <v>1</v>
      </c>
      <c r="D84" s="45">
        <f t="shared" si="60"/>
        <v>1</v>
      </c>
      <c r="E84" s="45">
        <f t="shared" si="60"/>
        <v>1</v>
      </c>
      <c r="F84" s="45">
        <f t="shared" si="60"/>
        <v>1</v>
      </c>
      <c r="G84" s="45">
        <f t="shared" si="60"/>
        <v>1</v>
      </c>
      <c r="H84" s="45">
        <f t="shared" si="60"/>
        <v>1</v>
      </c>
      <c r="I84" s="45">
        <f t="shared" si="60"/>
        <v>1</v>
      </c>
      <c r="J84" s="45">
        <f t="shared" si="60"/>
        <v>1</v>
      </c>
      <c r="K84" s="45" t="e">
        <f>K83+ATM_Conf!$C$5*(T83-AC83)</f>
        <v>#DIV/0!</v>
      </c>
      <c r="L84" s="45" t="e">
        <f>L83+ATM_Conf!$C$5*(U83-AD83)</f>
        <v>#DIV/0!</v>
      </c>
      <c r="M84" s="45" t="e">
        <f>M83+ATM_Conf!$C$5*(V83-AE83)</f>
        <v>#DIV/0!</v>
      </c>
      <c r="N84" s="45" t="e">
        <f>N83+ATM_Conf!$C$5*(W83-AF83)</f>
        <v>#DIV/0!</v>
      </c>
      <c r="O84" s="45" t="e">
        <f>O83+ATM_Conf!$C$5*(X83-AG83)</f>
        <v>#DIV/0!</v>
      </c>
      <c r="P84" s="45" t="e">
        <f>P83+ATM_Conf!$C$5*(Y83-AH83)</f>
        <v>#DIV/0!</v>
      </c>
      <c r="Q84" s="45" t="e">
        <f>Q83+ATM_Conf!$C$5*(Z83-AI83)</f>
        <v>#DIV/0!</v>
      </c>
      <c r="R84" s="45" t="e">
        <f>R83+ATM_Conf!$C$5*(AA83-AJ83)</f>
        <v>#DIV/0!</v>
      </c>
      <c r="S84" s="45" t="e">
        <f>S83+ATM_Conf!$C$5*(AB83-AK83)</f>
        <v>#DIV/0!</v>
      </c>
      <c r="T84" s="45"/>
      <c r="U84" s="45"/>
      <c r="V84" s="45"/>
      <c r="W84" s="45"/>
      <c r="X84" s="45"/>
      <c r="Y84" s="45"/>
      <c r="Z84" s="45"/>
      <c r="AA84" s="45"/>
      <c r="AB84" s="45"/>
      <c r="AC84" s="45" t="e">
        <f t="shared" si="41"/>
        <v>#DIV/0!</v>
      </c>
      <c r="AD84" s="45" t="e">
        <f t="shared" si="42"/>
        <v>#DIV/0!</v>
      </c>
      <c r="AE84" s="45" t="e">
        <f t="shared" si="43"/>
        <v>#DIV/0!</v>
      </c>
      <c r="AF84" s="45" t="e">
        <f t="shared" si="44"/>
        <v>#DIV/0!</v>
      </c>
      <c r="AG84" s="45" t="e">
        <f t="shared" si="45"/>
        <v>#DIV/0!</v>
      </c>
      <c r="AH84" s="45" t="e">
        <f t="shared" si="46"/>
        <v>#DIV/0!</v>
      </c>
      <c r="AI84" s="45" t="e">
        <f t="shared" si="47"/>
        <v>#DIV/0!</v>
      </c>
      <c r="AJ84" s="45" t="e">
        <f t="shared" si="48"/>
        <v>#DIV/0!</v>
      </c>
      <c r="AK84" s="45" t="e">
        <f t="shared" si="49"/>
        <v>#DIV/0!</v>
      </c>
      <c r="AL84" s="45" t="e">
        <f>T$3+K84/ATM_Conf!$C$5</f>
        <v>#DIV/0!</v>
      </c>
      <c r="AM84" s="45" t="e">
        <f>U$3+L84/ATM_Conf!$C$5</f>
        <v>#DIV/0!</v>
      </c>
      <c r="AN84" s="45" t="e">
        <f>V$3+M84/ATM_Conf!$C$5</f>
        <v>#DIV/0!</v>
      </c>
      <c r="AO84" s="45" t="e">
        <f>W$3+N84/ATM_Conf!$C$5</f>
        <v>#DIV/0!</v>
      </c>
      <c r="AP84" s="45" t="e">
        <f>X$3+O84/ATM_Conf!$C$5</f>
        <v>#DIV/0!</v>
      </c>
      <c r="AQ84" s="45" t="e">
        <f>Y$3+P84/ATM_Conf!$C$5</f>
        <v>#DIV/0!</v>
      </c>
      <c r="AR84" s="45" t="e">
        <f>Z$3+Q84/ATM_Conf!$C$5</f>
        <v>#DIV/0!</v>
      </c>
      <c r="AS84" s="45" t="e">
        <f>AA$3+R84/ATM_Conf!$C$5</f>
        <v>#DIV/0!</v>
      </c>
      <c r="AT84" s="45" t="e">
        <f>AB$3+S84/ATM_Conf!$C$5</f>
        <v>#DIV/0!</v>
      </c>
      <c r="AU84" s="45" t="e">
        <f>BD$3*MIN(1,(ATM_Conf!$C$6-Links!F84)/(ATM_Conf!$C$6-ATM_Conf!$C$7))</f>
        <v>#DIV/0!</v>
      </c>
      <c r="AV84" s="45" t="e">
        <f>BE$3*MIN(1,(ATM_Conf!$C$6-Links!G84)/(ATM_Conf!$C$6-ATM_Conf!$C$7))</f>
        <v>#DIV/0!</v>
      </c>
      <c r="AW84" s="45" t="e">
        <f>BF$3*MIN(1,(ATM_Conf!$C$6-Links!H84)/(ATM_Conf!$C$6-ATM_Conf!$C$7))</f>
        <v>#DIV/0!</v>
      </c>
      <c r="AX84" s="45" t="e">
        <f>BG$3*MIN(1,(ATM_Conf!$C$6-Links!I84)/(ATM_Conf!$C$6-ATM_Conf!$C$7))</f>
        <v>#DIV/0!</v>
      </c>
      <c r="AY84" s="45" t="e">
        <f>BH$3*MIN(1,(ATM_Conf!$C$6-Links!J84)/(ATM_Conf!$C$6-ATM_Conf!$C$7))</f>
        <v>#DIV/0!</v>
      </c>
      <c r="AZ84" s="45" t="e">
        <f>BI$3*MIN(1,(ATM_Conf!$C$6-Links!K84)/(ATM_Conf!$C$6-ATM_Conf!$C$7))</f>
        <v>#DIV/0!</v>
      </c>
      <c r="BA84" s="45" t="e">
        <f>BJ$3*MIN(1,(ATM_Conf!$C$6-Links!L84)/(ATM_Conf!$C$6-ATM_Conf!$C$7))</f>
        <v>#DIV/0!</v>
      </c>
      <c r="BB84" s="45" t="e">
        <f>BK$3*MIN(1,(ATM_Conf!$C$6-Links!M84)/(ATM_Conf!$C$6-ATM_Conf!$C$7))</f>
        <v>#DIV/0!</v>
      </c>
      <c r="BC84" s="45" t="e">
        <f>BL$3*MIN(1,(ATM_Conf!$C$6-Links!N84)/(ATM_Conf!$C$6-ATM_Conf!$C$7))</f>
        <v>#DIV/0!</v>
      </c>
      <c r="BD84" s="45"/>
      <c r="BE84" s="45"/>
      <c r="BF84" s="45"/>
      <c r="BG84" s="45"/>
      <c r="BH84" s="45"/>
      <c r="BI84" s="45"/>
      <c r="BJ84" s="45"/>
      <c r="BK84" s="45"/>
      <c r="BL84" s="45"/>
      <c r="BM84" s="53"/>
      <c r="BN84" s="53"/>
      <c r="BO84" s="53"/>
      <c r="BP84" s="53"/>
      <c r="BQ84" s="53"/>
      <c r="BR84" s="53"/>
      <c r="BS84" s="53"/>
      <c r="BT84" s="53"/>
      <c r="BU84" s="53"/>
      <c r="BV84" s="53" t="e">
        <f t="shared" si="50"/>
        <v>#DIV/0!</v>
      </c>
      <c r="BW84" s="53" t="e">
        <f t="shared" si="51"/>
        <v>#DIV/0!</v>
      </c>
      <c r="BX84" s="53" t="e">
        <f t="shared" si="52"/>
        <v>#DIV/0!</v>
      </c>
      <c r="BY84" s="53" t="e">
        <f t="shared" si="53"/>
        <v>#DIV/0!</v>
      </c>
      <c r="BZ84" s="53" t="e">
        <f t="shared" si="54"/>
        <v>#DIV/0!</v>
      </c>
      <c r="CA84" s="53" t="e">
        <f t="shared" si="55"/>
        <v>#DIV/0!</v>
      </c>
      <c r="CB84" s="53" t="e">
        <f t="shared" si="56"/>
        <v>#DIV/0!</v>
      </c>
      <c r="CC84" s="53" t="e">
        <f t="shared" si="57"/>
        <v>#DIV/0!</v>
      </c>
      <c r="CD84" s="53" t="e">
        <f t="shared" si="58"/>
        <v>#DIV/0!</v>
      </c>
      <c r="CE84" s="55">
        <f t="shared" si="40"/>
        <v>0</v>
      </c>
      <c r="CF84" s="55">
        <f t="shared" si="39"/>
        <v>0</v>
      </c>
      <c r="CG84" s="55">
        <f t="shared" si="39"/>
        <v>0</v>
      </c>
      <c r="CH84" s="55">
        <f t="shared" si="39"/>
        <v>0</v>
      </c>
      <c r="CI84" s="55">
        <f t="shared" si="39"/>
        <v>0</v>
      </c>
      <c r="CJ84" s="55">
        <f t="shared" si="39"/>
        <v>0</v>
      </c>
      <c r="CK84" s="55">
        <f t="shared" si="39"/>
        <v>0</v>
      </c>
      <c r="CL84" s="55">
        <f t="shared" si="39"/>
        <v>0</v>
      </c>
      <c r="CM84" s="55">
        <f t="shared" si="39"/>
        <v>0</v>
      </c>
    </row>
    <row r="85" spans="1:91" x14ac:dyDescent="0.15">
      <c r="A85" s="42">
        <v>83</v>
      </c>
      <c r="B85" s="45">
        <f t="shared" si="61"/>
        <v>1</v>
      </c>
      <c r="C85" s="45">
        <f t="shared" si="60"/>
        <v>1</v>
      </c>
      <c r="D85" s="45">
        <f t="shared" si="60"/>
        <v>1</v>
      </c>
      <c r="E85" s="45">
        <f t="shared" si="60"/>
        <v>1</v>
      </c>
      <c r="F85" s="45">
        <f t="shared" si="60"/>
        <v>1</v>
      </c>
      <c r="G85" s="45">
        <f t="shared" si="60"/>
        <v>1</v>
      </c>
      <c r="H85" s="45">
        <f t="shared" si="60"/>
        <v>1</v>
      </c>
      <c r="I85" s="45">
        <f t="shared" si="60"/>
        <v>1</v>
      </c>
      <c r="J85" s="45">
        <f t="shared" si="60"/>
        <v>1</v>
      </c>
      <c r="K85" s="45" t="e">
        <f>K84+ATM_Conf!$C$5*(T84-AC84)</f>
        <v>#DIV/0!</v>
      </c>
      <c r="L85" s="45" t="e">
        <f>L84+ATM_Conf!$C$5*(U84-AD84)</f>
        <v>#DIV/0!</v>
      </c>
      <c r="M85" s="45" t="e">
        <f>M84+ATM_Conf!$C$5*(V84-AE84)</f>
        <v>#DIV/0!</v>
      </c>
      <c r="N85" s="45" t="e">
        <f>N84+ATM_Conf!$C$5*(W84-AF84)</f>
        <v>#DIV/0!</v>
      </c>
      <c r="O85" s="45" t="e">
        <f>O84+ATM_Conf!$C$5*(X84-AG84)</f>
        <v>#DIV/0!</v>
      </c>
      <c r="P85" s="45" t="e">
        <f>P84+ATM_Conf!$C$5*(Y84-AH84)</f>
        <v>#DIV/0!</v>
      </c>
      <c r="Q85" s="45" t="e">
        <f>Q84+ATM_Conf!$C$5*(Z84-AI84)</f>
        <v>#DIV/0!</v>
      </c>
      <c r="R85" s="45" t="e">
        <f>R84+ATM_Conf!$C$5*(AA84-AJ84)</f>
        <v>#DIV/0!</v>
      </c>
      <c r="S85" s="45" t="e">
        <f>S84+ATM_Conf!$C$5*(AB84-AK84)</f>
        <v>#DIV/0!</v>
      </c>
      <c r="T85" s="45"/>
      <c r="U85" s="45"/>
      <c r="V85" s="45"/>
      <c r="W85" s="45"/>
      <c r="X85" s="45"/>
      <c r="Y85" s="45"/>
      <c r="Z85" s="45"/>
      <c r="AA85" s="45"/>
      <c r="AB85" s="45"/>
      <c r="AC85" s="45" t="e">
        <f t="shared" si="41"/>
        <v>#DIV/0!</v>
      </c>
      <c r="AD85" s="45" t="e">
        <f t="shared" si="42"/>
        <v>#DIV/0!</v>
      </c>
      <c r="AE85" s="45" t="e">
        <f t="shared" si="43"/>
        <v>#DIV/0!</v>
      </c>
      <c r="AF85" s="45" t="e">
        <f t="shared" si="44"/>
        <v>#DIV/0!</v>
      </c>
      <c r="AG85" s="45" t="e">
        <f t="shared" si="45"/>
        <v>#DIV/0!</v>
      </c>
      <c r="AH85" s="45" t="e">
        <f t="shared" si="46"/>
        <v>#DIV/0!</v>
      </c>
      <c r="AI85" s="45" t="e">
        <f t="shared" si="47"/>
        <v>#DIV/0!</v>
      </c>
      <c r="AJ85" s="45" t="e">
        <f t="shared" si="48"/>
        <v>#DIV/0!</v>
      </c>
      <c r="AK85" s="45" t="e">
        <f t="shared" si="49"/>
        <v>#DIV/0!</v>
      </c>
      <c r="AL85" s="45" t="e">
        <f>T$3+K85/ATM_Conf!$C$5</f>
        <v>#DIV/0!</v>
      </c>
      <c r="AM85" s="45" t="e">
        <f>U$3+L85/ATM_Conf!$C$5</f>
        <v>#DIV/0!</v>
      </c>
      <c r="AN85" s="45" t="e">
        <f>V$3+M85/ATM_Conf!$C$5</f>
        <v>#DIV/0!</v>
      </c>
      <c r="AO85" s="45" t="e">
        <f>W$3+N85/ATM_Conf!$C$5</f>
        <v>#DIV/0!</v>
      </c>
      <c r="AP85" s="45" t="e">
        <f>X$3+O85/ATM_Conf!$C$5</f>
        <v>#DIV/0!</v>
      </c>
      <c r="AQ85" s="45" t="e">
        <f>Y$3+P85/ATM_Conf!$C$5</f>
        <v>#DIV/0!</v>
      </c>
      <c r="AR85" s="45" t="e">
        <f>Z$3+Q85/ATM_Conf!$C$5</f>
        <v>#DIV/0!</v>
      </c>
      <c r="AS85" s="45" t="e">
        <f>AA$3+R85/ATM_Conf!$C$5</f>
        <v>#DIV/0!</v>
      </c>
      <c r="AT85" s="45" t="e">
        <f>AB$3+S85/ATM_Conf!$C$5</f>
        <v>#DIV/0!</v>
      </c>
      <c r="AU85" s="45" t="e">
        <f>BD$3*MIN(1,(ATM_Conf!$C$6-Links!F85)/(ATM_Conf!$C$6-ATM_Conf!$C$7))</f>
        <v>#DIV/0!</v>
      </c>
      <c r="AV85" s="45" t="e">
        <f>BE$3*MIN(1,(ATM_Conf!$C$6-Links!G85)/(ATM_Conf!$C$6-ATM_Conf!$C$7))</f>
        <v>#DIV/0!</v>
      </c>
      <c r="AW85" s="45" t="e">
        <f>BF$3*MIN(1,(ATM_Conf!$C$6-Links!H85)/(ATM_Conf!$C$6-ATM_Conf!$C$7))</f>
        <v>#DIV/0!</v>
      </c>
      <c r="AX85" s="45" t="e">
        <f>BG$3*MIN(1,(ATM_Conf!$C$6-Links!I85)/(ATM_Conf!$C$6-ATM_Conf!$C$7))</f>
        <v>#DIV/0!</v>
      </c>
      <c r="AY85" s="45" t="e">
        <f>BH$3*MIN(1,(ATM_Conf!$C$6-Links!J85)/(ATM_Conf!$C$6-ATM_Conf!$C$7))</f>
        <v>#DIV/0!</v>
      </c>
      <c r="AZ85" s="45" t="e">
        <f>BI$3*MIN(1,(ATM_Conf!$C$6-Links!K85)/(ATM_Conf!$C$6-ATM_Conf!$C$7))</f>
        <v>#DIV/0!</v>
      </c>
      <c r="BA85" s="45" t="e">
        <f>BJ$3*MIN(1,(ATM_Conf!$C$6-Links!L85)/(ATM_Conf!$C$6-ATM_Conf!$C$7))</f>
        <v>#DIV/0!</v>
      </c>
      <c r="BB85" s="45" t="e">
        <f>BK$3*MIN(1,(ATM_Conf!$C$6-Links!M85)/(ATM_Conf!$C$6-ATM_Conf!$C$7))</f>
        <v>#DIV/0!</v>
      </c>
      <c r="BC85" s="45" t="e">
        <f>BL$3*MIN(1,(ATM_Conf!$C$6-Links!N85)/(ATM_Conf!$C$6-ATM_Conf!$C$7))</f>
        <v>#DIV/0!</v>
      </c>
      <c r="BD85" s="45"/>
      <c r="BE85" s="45"/>
      <c r="BF85" s="45"/>
      <c r="BG85" s="45"/>
      <c r="BH85" s="45"/>
      <c r="BI85" s="45"/>
      <c r="BJ85" s="45"/>
      <c r="BK85" s="45"/>
      <c r="BL85" s="45"/>
      <c r="BM85" s="53"/>
      <c r="BN85" s="53"/>
      <c r="BO85" s="53"/>
      <c r="BP85" s="53"/>
      <c r="BQ85" s="53"/>
      <c r="BR85" s="53"/>
      <c r="BS85" s="53"/>
      <c r="BT85" s="53"/>
      <c r="BU85" s="53"/>
      <c r="BV85" s="53" t="e">
        <f t="shared" si="50"/>
        <v>#DIV/0!</v>
      </c>
      <c r="BW85" s="53" t="e">
        <f t="shared" si="51"/>
        <v>#DIV/0!</v>
      </c>
      <c r="BX85" s="53" t="e">
        <f t="shared" si="52"/>
        <v>#DIV/0!</v>
      </c>
      <c r="BY85" s="53" t="e">
        <f t="shared" si="53"/>
        <v>#DIV/0!</v>
      </c>
      <c r="BZ85" s="53" t="e">
        <f t="shared" si="54"/>
        <v>#DIV/0!</v>
      </c>
      <c r="CA85" s="53" t="e">
        <f t="shared" si="55"/>
        <v>#DIV/0!</v>
      </c>
      <c r="CB85" s="53" t="e">
        <f t="shared" si="56"/>
        <v>#DIV/0!</v>
      </c>
      <c r="CC85" s="53" t="e">
        <f t="shared" si="57"/>
        <v>#DIV/0!</v>
      </c>
      <c r="CD85" s="53" t="e">
        <f t="shared" si="58"/>
        <v>#DIV/0!</v>
      </c>
      <c r="CE85" s="55">
        <f t="shared" si="40"/>
        <v>0</v>
      </c>
      <c r="CF85" s="55">
        <f t="shared" si="39"/>
        <v>0</v>
      </c>
      <c r="CG85" s="55">
        <f t="shared" si="39"/>
        <v>0</v>
      </c>
      <c r="CH85" s="55">
        <f t="shared" si="39"/>
        <v>0</v>
      </c>
      <c r="CI85" s="55">
        <f t="shared" si="39"/>
        <v>0</v>
      </c>
      <c r="CJ85" s="55">
        <f t="shared" si="39"/>
        <v>0</v>
      </c>
      <c r="CK85" s="55">
        <f t="shared" si="39"/>
        <v>0</v>
      </c>
      <c r="CL85" s="55">
        <f t="shared" si="39"/>
        <v>0</v>
      </c>
      <c r="CM85" s="55">
        <f t="shared" si="39"/>
        <v>0</v>
      </c>
    </row>
    <row r="86" spans="1:91" x14ac:dyDescent="0.15">
      <c r="A86" s="42">
        <v>84</v>
      </c>
      <c r="B86" s="45">
        <f t="shared" si="61"/>
        <v>1</v>
      </c>
      <c r="C86" s="45">
        <f t="shared" si="60"/>
        <v>1</v>
      </c>
      <c r="D86" s="45">
        <f t="shared" si="60"/>
        <v>1</v>
      </c>
      <c r="E86" s="45">
        <f t="shared" si="60"/>
        <v>1</v>
      </c>
      <c r="F86" s="45">
        <f t="shared" si="60"/>
        <v>1</v>
      </c>
      <c r="G86" s="45">
        <f t="shared" si="60"/>
        <v>1</v>
      </c>
      <c r="H86" s="45">
        <f t="shared" si="60"/>
        <v>1</v>
      </c>
      <c r="I86" s="45">
        <f t="shared" si="60"/>
        <v>1</v>
      </c>
      <c r="J86" s="45">
        <f t="shared" si="60"/>
        <v>1</v>
      </c>
      <c r="K86" s="45" t="e">
        <f>K85+ATM_Conf!$C$5*(T85-AC85)</f>
        <v>#DIV/0!</v>
      </c>
      <c r="L86" s="45" t="e">
        <f>L85+ATM_Conf!$C$5*(U85-AD85)</f>
        <v>#DIV/0!</v>
      </c>
      <c r="M86" s="45" t="e">
        <f>M85+ATM_Conf!$C$5*(V85-AE85)</f>
        <v>#DIV/0!</v>
      </c>
      <c r="N86" s="45" t="e">
        <f>N85+ATM_Conf!$C$5*(W85-AF85)</f>
        <v>#DIV/0!</v>
      </c>
      <c r="O86" s="45" t="e">
        <f>O85+ATM_Conf!$C$5*(X85-AG85)</f>
        <v>#DIV/0!</v>
      </c>
      <c r="P86" s="45" t="e">
        <f>P85+ATM_Conf!$C$5*(Y85-AH85)</f>
        <v>#DIV/0!</v>
      </c>
      <c r="Q86" s="45" t="e">
        <f>Q85+ATM_Conf!$C$5*(Z85-AI85)</f>
        <v>#DIV/0!</v>
      </c>
      <c r="R86" s="45" t="e">
        <f>R85+ATM_Conf!$C$5*(AA85-AJ85)</f>
        <v>#DIV/0!</v>
      </c>
      <c r="S86" s="45" t="e">
        <f>S85+ATM_Conf!$C$5*(AB85-AK85)</f>
        <v>#DIV/0!</v>
      </c>
      <c r="T86" s="45"/>
      <c r="U86" s="45"/>
      <c r="V86" s="45"/>
      <c r="W86" s="45"/>
      <c r="X86" s="45"/>
      <c r="Y86" s="45"/>
      <c r="Z86" s="45"/>
      <c r="AA86" s="45"/>
      <c r="AB86" s="45"/>
      <c r="AC86" s="45" t="e">
        <f t="shared" si="41"/>
        <v>#DIV/0!</v>
      </c>
      <c r="AD86" s="45" t="e">
        <f t="shared" si="42"/>
        <v>#DIV/0!</v>
      </c>
      <c r="AE86" s="45" t="e">
        <f t="shared" si="43"/>
        <v>#DIV/0!</v>
      </c>
      <c r="AF86" s="45" t="e">
        <f t="shared" si="44"/>
        <v>#DIV/0!</v>
      </c>
      <c r="AG86" s="45" t="e">
        <f t="shared" si="45"/>
        <v>#DIV/0!</v>
      </c>
      <c r="AH86" s="45" t="e">
        <f t="shared" si="46"/>
        <v>#DIV/0!</v>
      </c>
      <c r="AI86" s="45" t="e">
        <f t="shared" si="47"/>
        <v>#DIV/0!</v>
      </c>
      <c r="AJ86" s="45" t="e">
        <f t="shared" si="48"/>
        <v>#DIV/0!</v>
      </c>
      <c r="AK86" s="45" t="e">
        <f t="shared" si="49"/>
        <v>#DIV/0!</v>
      </c>
      <c r="AL86" s="45" t="e">
        <f>T$3+K86/ATM_Conf!$C$5</f>
        <v>#DIV/0!</v>
      </c>
      <c r="AM86" s="45" t="e">
        <f>U$3+L86/ATM_Conf!$C$5</f>
        <v>#DIV/0!</v>
      </c>
      <c r="AN86" s="45" t="e">
        <f>V$3+M86/ATM_Conf!$C$5</f>
        <v>#DIV/0!</v>
      </c>
      <c r="AO86" s="45" t="e">
        <f>W$3+N86/ATM_Conf!$C$5</f>
        <v>#DIV/0!</v>
      </c>
      <c r="AP86" s="45" t="e">
        <f>X$3+O86/ATM_Conf!$C$5</f>
        <v>#DIV/0!</v>
      </c>
      <c r="AQ86" s="45" t="e">
        <f>Y$3+P86/ATM_Conf!$C$5</f>
        <v>#DIV/0!</v>
      </c>
      <c r="AR86" s="45" t="e">
        <f>Z$3+Q86/ATM_Conf!$C$5</f>
        <v>#DIV/0!</v>
      </c>
      <c r="AS86" s="45" t="e">
        <f>AA$3+R86/ATM_Conf!$C$5</f>
        <v>#DIV/0!</v>
      </c>
      <c r="AT86" s="45" t="e">
        <f>AB$3+S86/ATM_Conf!$C$5</f>
        <v>#DIV/0!</v>
      </c>
      <c r="AU86" s="45" t="e">
        <f>BD$3*MIN(1,(ATM_Conf!$C$6-Links!F86)/(ATM_Conf!$C$6-ATM_Conf!$C$7))</f>
        <v>#DIV/0!</v>
      </c>
      <c r="AV86" s="45" t="e">
        <f>BE$3*MIN(1,(ATM_Conf!$C$6-Links!G86)/(ATM_Conf!$C$6-ATM_Conf!$C$7))</f>
        <v>#DIV/0!</v>
      </c>
      <c r="AW86" s="45" t="e">
        <f>BF$3*MIN(1,(ATM_Conf!$C$6-Links!H86)/(ATM_Conf!$C$6-ATM_Conf!$C$7))</f>
        <v>#DIV/0!</v>
      </c>
      <c r="AX86" s="45" t="e">
        <f>BG$3*MIN(1,(ATM_Conf!$C$6-Links!I86)/(ATM_Conf!$C$6-ATM_Conf!$C$7))</f>
        <v>#DIV/0!</v>
      </c>
      <c r="AY86" s="45" t="e">
        <f>BH$3*MIN(1,(ATM_Conf!$C$6-Links!J86)/(ATM_Conf!$C$6-ATM_Conf!$C$7))</f>
        <v>#DIV/0!</v>
      </c>
      <c r="AZ86" s="45" t="e">
        <f>BI$3*MIN(1,(ATM_Conf!$C$6-Links!K86)/(ATM_Conf!$C$6-ATM_Conf!$C$7))</f>
        <v>#DIV/0!</v>
      </c>
      <c r="BA86" s="45" t="e">
        <f>BJ$3*MIN(1,(ATM_Conf!$C$6-Links!L86)/(ATM_Conf!$C$6-ATM_Conf!$C$7))</f>
        <v>#DIV/0!</v>
      </c>
      <c r="BB86" s="45" t="e">
        <f>BK$3*MIN(1,(ATM_Conf!$C$6-Links!M86)/(ATM_Conf!$C$6-ATM_Conf!$C$7))</f>
        <v>#DIV/0!</v>
      </c>
      <c r="BC86" s="45" t="e">
        <f>BL$3*MIN(1,(ATM_Conf!$C$6-Links!N86)/(ATM_Conf!$C$6-ATM_Conf!$C$7))</f>
        <v>#DIV/0!</v>
      </c>
      <c r="BD86" s="45"/>
      <c r="BE86" s="45"/>
      <c r="BF86" s="45"/>
      <c r="BG86" s="45"/>
      <c r="BH86" s="45"/>
      <c r="BI86" s="45"/>
      <c r="BJ86" s="45"/>
      <c r="BK86" s="45"/>
      <c r="BL86" s="45"/>
      <c r="BM86" s="53"/>
      <c r="BN86" s="53"/>
      <c r="BO86" s="53"/>
      <c r="BP86" s="53"/>
      <c r="BQ86" s="53"/>
      <c r="BR86" s="53"/>
      <c r="BS86" s="53"/>
      <c r="BT86" s="53"/>
      <c r="BU86" s="53"/>
      <c r="BV86" s="53" t="e">
        <f t="shared" si="50"/>
        <v>#DIV/0!</v>
      </c>
      <c r="BW86" s="53" t="e">
        <f t="shared" si="51"/>
        <v>#DIV/0!</v>
      </c>
      <c r="BX86" s="53" t="e">
        <f t="shared" si="52"/>
        <v>#DIV/0!</v>
      </c>
      <c r="BY86" s="53" t="e">
        <f t="shared" si="53"/>
        <v>#DIV/0!</v>
      </c>
      <c r="BZ86" s="53" t="e">
        <f t="shared" si="54"/>
        <v>#DIV/0!</v>
      </c>
      <c r="CA86" s="53" t="e">
        <f t="shared" si="55"/>
        <v>#DIV/0!</v>
      </c>
      <c r="CB86" s="53" t="e">
        <f t="shared" si="56"/>
        <v>#DIV/0!</v>
      </c>
      <c r="CC86" s="53" t="e">
        <f t="shared" si="57"/>
        <v>#DIV/0!</v>
      </c>
      <c r="CD86" s="53" t="e">
        <f t="shared" si="58"/>
        <v>#DIV/0!</v>
      </c>
      <c r="CE86" s="55">
        <f t="shared" si="40"/>
        <v>0</v>
      </c>
      <c r="CF86" s="55">
        <f t="shared" si="39"/>
        <v>0</v>
      </c>
      <c r="CG86" s="55">
        <f t="shared" si="39"/>
        <v>0</v>
      </c>
      <c r="CH86" s="55">
        <f t="shared" si="39"/>
        <v>0</v>
      </c>
      <c r="CI86" s="55">
        <f t="shared" si="39"/>
        <v>0</v>
      </c>
      <c r="CJ86" s="55">
        <f t="shared" si="39"/>
        <v>0</v>
      </c>
      <c r="CK86" s="55">
        <f t="shared" si="39"/>
        <v>0</v>
      </c>
      <c r="CL86" s="55">
        <f t="shared" si="39"/>
        <v>0</v>
      </c>
      <c r="CM86" s="55">
        <f t="shared" si="39"/>
        <v>0</v>
      </c>
    </row>
    <row r="87" spans="1:91" x14ac:dyDescent="0.15">
      <c r="A87" s="42">
        <v>85</v>
      </c>
      <c r="B87" s="47">
        <v>1</v>
      </c>
      <c r="C87" s="47">
        <v>1</v>
      </c>
      <c r="D87" s="47">
        <v>1</v>
      </c>
      <c r="E87" s="47">
        <v>1</v>
      </c>
      <c r="F87" s="47">
        <v>1</v>
      </c>
      <c r="G87" s="47">
        <v>1</v>
      </c>
      <c r="H87" s="47">
        <v>1</v>
      </c>
      <c r="I87" s="47">
        <v>1</v>
      </c>
      <c r="J87" s="47">
        <v>1</v>
      </c>
      <c r="K87" s="45" t="e">
        <f>K86+ATM_Conf!$C$5*(T86-AC86)</f>
        <v>#DIV/0!</v>
      </c>
      <c r="L87" s="45" t="e">
        <f>L86+ATM_Conf!$C$5*(U86-AD86)</f>
        <v>#DIV/0!</v>
      </c>
      <c r="M87" s="45" t="e">
        <f>M86+ATM_Conf!$C$5*(V86-AE86)</f>
        <v>#DIV/0!</v>
      </c>
      <c r="N87" s="45" t="e">
        <f>N86+ATM_Conf!$C$5*(W86-AF86)</f>
        <v>#DIV/0!</v>
      </c>
      <c r="O87" s="45" t="e">
        <f>O86+ATM_Conf!$C$5*(X86-AG86)</f>
        <v>#DIV/0!</v>
      </c>
      <c r="P87" s="45" t="e">
        <f>P86+ATM_Conf!$C$5*(Y86-AH86)</f>
        <v>#DIV/0!</v>
      </c>
      <c r="Q87" s="45" t="e">
        <f>Q86+ATM_Conf!$C$5*(Z86-AI86)</f>
        <v>#DIV/0!</v>
      </c>
      <c r="R87" s="45" t="e">
        <f>R86+ATM_Conf!$C$5*(AA86-AJ86)</f>
        <v>#DIV/0!</v>
      </c>
      <c r="S87" s="45" t="e">
        <f>S86+ATM_Conf!$C$5*(AB86-AK86)</f>
        <v>#DIV/0!</v>
      </c>
      <c r="T87" s="45"/>
      <c r="U87" s="45"/>
      <c r="V87" s="45"/>
      <c r="W87" s="45"/>
      <c r="X87" s="45"/>
      <c r="Y87" s="45"/>
      <c r="Z87" s="45"/>
      <c r="AA87" s="45"/>
      <c r="AB87" s="45"/>
      <c r="AC87" s="45" t="e">
        <f t="shared" si="41"/>
        <v>#DIV/0!</v>
      </c>
      <c r="AD87" s="45" t="e">
        <f t="shared" si="42"/>
        <v>#DIV/0!</v>
      </c>
      <c r="AE87" s="45" t="e">
        <f t="shared" si="43"/>
        <v>#DIV/0!</v>
      </c>
      <c r="AF87" s="45" t="e">
        <f t="shared" si="44"/>
        <v>#DIV/0!</v>
      </c>
      <c r="AG87" s="45" t="e">
        <f t="shared" si="45"/>
        <v>#DIV/0!</v>
      </c>
      <c r="AH87" s="45" t="e">
        <f t="shared" si="46"/>
        <v>#DIV/0!</v>
      </c>
      <c r="AI87" s="45" t="e">
        <f t="shared" si="47"/>
        <v>#DIV/0!</v>
      </c>
      <c r="AJ87" s="45" t="e">
        <f t="shared" si="48"/>
        <v>#DIV/0!</v>
      </c>
      <c r="AK87" s="45" t="e">
        <f t="shared" si="49"/>
        <v>#DIV/0!</v>
      </c>
      <c r="AL87" s="45" t="e">
        <f>T$3+K87/ATM_Conf!$C$5</f>
        <v>#DIV/0!</v>
      </c>
      <c r="AM87" s="45" t="e">
        <f>U$3+L87/ATM_Conf!$C$5</f>
        <v>#DIV/0!</v>
      </c>
      <c r="AN87" s="45" t="e">
        <f>V$3+M87/ATM_Conf!$C$5</f>
        <v>#DIV/0!</v>
      </c>
      <c r="AO87" s="45" t="e">
        <f>W$3+N87/ATM_Conf!$C$5</f>
        <v>#DIV/0!</v>
      </c>
      <c r="AP87" s="45" t="e">
        <f>X$3+O87/ATM_Conf!$C$5</f>
        <v>#DIV/0!</v>
      </c>
      <c r="AQ87" s="45" t="e">
        <f>Y$3+P87/ATM_Conf!$C$5</f>
        <v>#DIV/0!</v>
      </c>
      <c r="AR87" s="45" t="e">
        <f>Z$3+Q87/ATM_Conf!$C$5</f>
        <v>#DIV/0!</v>
      </c>
      <c r="AS87" s="45" t="e">
        <f>AA$3+R87/ATM_Conf!$C$5</f>
        <v>#DIV/0!</v>
      </c>
      <c r="AT87" s="45" t="e">
        <f>AB$3+S87/ATM_Conf!$C$5</f>
        <v>#DIV/0!</v>
      </c>
      <c r="AU87" s="45" t="e">
        <f>BD$3*MIN(1,(ATM_Conf!$C$6-Links!F87)/(ATM_Conf!$C$6-ATM_Conf!$C$7))</f>
        <v>#DIV/0!</v>
      </c>
      <c r="AV87" s="45" t="e">
        <f>BE$3*MIN(1,(ATM_Conf!$C$6-Links!G87)/(ATM_Conf!$C$6-ATM_Conf!$C$7))</f>
        <v>#DIV/0!</v>
      </c>
      <c r="AW87" s="45" t="e">
        <f>BF$3*MIN(1,(ATM_Conf!$C$6-Links!H87)/(ATM_Conf!$C$6-ATM_Conf!$C$7))</f>
        <v>#DIV/0!</v>
      </c>
      <c r="AX87" s="45" t="e">
        <f>BG$3*MIN(1,(ATM_Conf!$C$6-Links!I87)/(ATM_Conf!$C$6-ATM_Conf!$C$7))</f>
        <v>#DIV/0!</v>
      </c>
      <c r="AY87" s="45" t="e">
        <f>BH$3*MIN(1,(ATM_Conf!$C$6-Links!J87)/(ATM_Conf!$C$6-ATM_Conf!$C$7))</f>
        <v>#DIV/0!</v>
      </c>
      <c r="AZ87" s="45" t="e">
        <f>BI$3*MIN(1,(ATM_Conf!$C$6-Links!K87)/(ATM_Conf!$C$6-ATM_Conf!$C$7))</f>
        <v>#DIV/0!</v>
      </c>
      <c r="BA87" s="45" t="e">
        <f>BJ$3*MIN(1,(ATM_Conf!$C$6-Links!L87)/(ATM_Conf!$C$6-ATM_Conf!$C$7))</f>
        <v>#DIV/0!</v>
      </c>
      <c r="BB87" s="45" t="e">
        <f>BK$3*MIN(1,(ATM_Conf!$C$6-Links!M87)/(ATM_Conf!$C$6-ATM_Conf!$C$7))</f>
        <v>#DIV/0!</v>
      </c>
      <c r="BC87" s="45" t="e">
        <f>BL$3*MIN(1,(ATM_Conf!$C$6-Links!N87)/(ATM_Conf!$C$6-ATM_Conf!$C$7))</f>
        <v>#DIV/0!</v>
      </c>
      <c r="BD87" s="45"/>
      <c r="BE87" s="45"/>
      <c r="BF87" s="45"/>
      <c r="BG87" s="45"/>
      <c r="BH87" s="45"/>
      <c r="BI87" s="45"/>
      <c r="BJ87" s="45"/>
      <c r="BK87" s="45"/>
      <c r="BL87" s="45"/>
      <c r="BM87" s="53">
        <f>(B87-B75)^2</f>
        <v>0</v>
      </c>
      <c r="BN87" s="53">
        <f t="shared" ref="BN87:BU87" si="62">(C87-C75)^2</f>
        <v>0</v>
      </c>
      <c r="BO87" s="53">
        <f t="shared" si="62"/>
        <v>0</v>
      </c>
      <c r="BP87" s="53">
        <f t="shared" si="62"/>
        <v>0</v>
      </c>
      <c r="BQ87" s="53">
        <f t="shared" si="62"/>
        <v>0</v>
      </c>
      <c r="BR87" s="53">
        <f t="shared" si="62"/>
        <v>0</v>
      </c>
      <c r="BS87" s="53">
        <f t="shared" si="62"/>
        <v>0</v>
      </c>
      <c r="BT87" s="53">
        <f t="shared" si="62"/>
        <v>0</v>
      </c>
      <c r="BU87" s="53">
        <f t="shared" si="62"/>
        <v>0</v>
      </c>
      <c r="BV87" s="53" t="e">
        <f t="shared" si="50"/>
        <v>#DIV/0!</v>
      </c>
      <c r="BW87" s="53" t="e">
        <f t="shared" si="51"/>
        <v>#DIV/0!</v>
      </c>
      <c r="BX87" s="53" t="e">
        <f t="shared" si="52"/>
        <v>#DIV/0!</v>
      </c>
      <c r="BY87" s="53" t="e">
        <f t="shared" si="53"/>
        <v>#DIV/0!</v>
      </c>
      <c r="BZ87" s="53" t="e">
        <f t="shared" si="54"/>
        <v>#DIV/0!</v>
      </c>
      <c r="CA87" s="53" t="e">
        <f t="shared" si="55"/>
        <v>#DIV/0!</v>
      </c>
      <c r="CB87" s="53" t="e">
        <f t="shared" si="56"/>
        <v>#DIV/0!</v>
      </c>
      <c r="CC87" s="53" t="e">
        <f t="shared" si="57"/>
        <v>#DIV/0!</v>
      </c>
      <c r="CD87" s="53" t="e">
        <f t="shared" si="58"/>
        <v>#DIV/0!</v>
      </c>
      <c r="CE87" s="55">
        <f t="shared" si="40"/>
        <v>0</v>
      </c>
      <c r="CF87" s="55">
        <f t="shared" si="39"/>
        <v>0</v>
      </c>
      <c r="CG87" s="55">
        <f t="shared" si="39"/>
        <v>0</v>
      </c>
      <c r="CH87" s="55">
        <f t="shared" si="39"/>
        <v>0</v>
      </c>
      <c r="CI87" s="55">
        <f t="shared" si="39"/>
        <v>0</v>
      </c>
      <c r="CJ87" s="55">
        <f t="shared" si="39"/>
        <v>0</v>
      </c>
      <c r="CK87" s="55">
        <f t="shared" si="39"/>
        <v>0</v>
      </c>
      <c r="CL87" s="55">
        <f t="shared" si="39"/>
        <v>0</v>
      </c>
      <c r="CM87" s="55">
        <f t="shared" si="39"/>
        <v>0</v>
      </c>
    </row>
    <row r="88" spans="1:91" x14ac:dyDescent="0.15">
      <c r="A88" s="42">
        <v>86</v>
      </c>
      <c r="B88" s="45">
        <f>B$87</f>
        <v>1</v>
      </c>
      <c r="C88" s="45">
        <f t="shared" ref="C88:J98" si="63">C$87</f>
        <v>1</v>
      </c>
      <c r="D88" s="45">
        <f t="shared" si="63"/>
        <v>1</v>
      </c>
      <c r="E88" s="45">
        <f t="shared" si="63"/>
        <v>1</v>
      </c>
      <c r="F88" s="45">
        <f t="shared" si="63"/>
        <v>1</v>
      </c>
      <c r="G88" s="45">
        <f t="shared" si="63"/>
        <v>1</v>
      </c>
      <c r="H88" s="45">
        <f t="shared" si="63"/>
        <v>1</v>
      </c>
      <c r="I88" s="45">
        <f t="shared" si="63"/>
        <v>1</v>
      </c>
      <c r="J88" s="45">
        <f t="shared" si="63"/>
        <v>1</v>
      </c>
      <c r="K88" s="45" t="e">
        <f>K87+ATM_Conf!$C$5*(T87-AC87)</f>
        <v>#DIV/0!</v>
      </c>
      <c r="L88" s="45" t="e">
        <f>L87+ATM_Conf!$C$5*(U87-AD87)</f>
        <v>#DIV/0!</v>
      </c>
      <c r="M88" s="45" t="e">
        <f>M87+ATM_Conf!$C$5*(V87-AE87)</f>
        <v>#DIV/0!</v>
      </c>
      <c r="N88" s="45" t="e">
        <f>N87+ATM_Conf!$C$5*(W87-AF87)</f>
        <v>#DIV/0!</v>
      </c>
      <c r="O88" s="45" t="e">
        <f>O87+ATM_Conf!$C$5*(X87-AG87)</f>
        <v>#DIV/0!</v>
      </c>
      <c r="P88" s="45" t="e">
        <f>P87+ATM_Conf!$C$5*(Y87-AH87)</f>
        <v>#DIV/0!</v>
      </c>
      <c r="Q88" s="45" t="e">
        <f>Q87+ATM_Conf!$C$5*(Z87-AI87)</f>
        <v>#DIV/0!</v>
      </c>
      <c r="R88" s="45" t="e">
        <f>R87+ATM_Conf!$C$5*(AA87-AJ87)</f>
        <v>#DIV/0!</v>
      </c>
      <c r="S88" s="45" t="e">
        <f>S87+ATM_Conf!$C$5*(AB87-AK87)</f>
        <v>#DIV/0!</v>
      </c>
      <c r="T88" s="45"/>
      <c r="U88" s="45"/>
      <c r="V88" s="45"/>
      <c r="W88" s="45"/>
      <c r="X88" s="45"/>
      <c r="Y88" s="45"/>
      <c r="Z88" s="45"/>
      <c r="AA88" s="45"/>
      <c r="AB88" s="45"/>
      <c r="AC88" s="45" t="e">
        <f t="shared" si="41"/>
        <v>#DIV/0!</v>
      </c>
      <c r="AD88" s="45" t="e">
        <f t="shared" si="42"/>
        <v>#DIV/0!</v>
      </c>
      <c r="AE88" s="45" t="e">
        <f t="shared" si="43"/>
        <v>#DIV/0!</v>
      </c>
      <c r="AF88" s="45" t="e">
        <f t="shared" si="44"/>
        <v>#DIV/0!</v>
      </c>
      <c r="AG88" s="45" t="e">
        <f t="shared" si="45"/>
        <v>#DIV/0!</v>
      </c>
      <c r="AH88" s="45" t="e">
        <f t="shared" si="46"/>
        <v>#DIV/0!</v>
      </c>
      <c r="AI88" s="45" t="e">
        <f t="shared" si="47"/>
        <v>#DIV/0!</v>
      </c>
      <c r="AJ88" s="45" t="e">
        <f t="shared" si="48"/>
        <v>#DIV/0!</v>
      </c>
      <c r="AK88" s="45" t="e">
        <f t="shared" si="49"/>
        <v>#DIV/0!</v>
      </c>
      <c r="AL88" s="45" t="e">
        <f>T$3+K88/ATM_Conf!$C$5</f>
        <v>#DIV/0!</v>
      </c>
      <c r="AM88" s="45" t="e">
        <f>U$3+L88/ATM_Conf!$C$5</f>
        <v>#DIV/0!</v>
      </c>
      <c r="AN88" s="45" t="e">
        <f>V$3+M88/ATM_Conf!$C$5</f>
        <v>#DIV/0!</v>
      </c>
      <c r="AO88" s="45" t="e">
        <f>W$3+N88/ATM_Conf!$C$5</f>
        <v>#DIV/0!</v>
      </c>
      <c r="AP88" s="45" t="e">
        <f>X$3+O88/ATM_Conf!$C$5</f>
        <v>#DIV/0!</v>
      </c>
      <c r="AQ88" s="45" t="e">
        <f>Y$3+P88/ATM_Conf!$C$5</f>
        <v>#DIV/0!</v>
      </c>
      <c r="AR88" s="45" t="e">
        <f>Z$3+Q88/ATM_Conf!$C$5</f>
        <v>#DIV/0!</v>
      </c>
      <c r="AS88" s="45" t="e">
        <f>AA$3+R88/ATM_Conf!$C$5</f>
        <v>#DIV/0!</v>
      </c>
      <c r="AT88" s="45" t="e">
        <f>AB$3+S88/ATM_Conf!$C$5</f>
        <v>#DIV/0!</v>
      </c>
      <c r="AU88" s="45" t="e">
        <f>BD$3*MIN(1,(ATM_Conf!$C$6-Links!F88)/(ATM_Conf!$C$6-ATM_Conf!$C$7))</f>
        <v>#DIV/0!</v>
      </c>
      <c r="AV88" s="45" t="e">
        <f>BE$3*MIN(1,(ATM_Conf!$C$6-Links!G88)/(ATM_Conf!$C$6-ATM_Conf!$C$7))</f>
        <v>#DIV/0!</v>
      </c>
      <c r="AW88" s="45" t="e">
        <f>BF$3*MIN(1,(ATM_Conf!$C$6-Links!H88)/(ATM_Conf!$C$6-ATM_Conf!$C$7))</f>
        <v>#DIV/0!</v>
      </c>
      <c r="AX88" s="45" t="e">
        <f>BG$3*MIN(1,(ATM_Conf!$C$6-Links!I88)/(ATM_Conf!$C$6-ATM_Conf!$C$7))</f>
        <v>#DIV/0!</v>
      </c>
      <c r="AY88" s="45" t="e">
        <f>BH$3*MIN(1,(ATM_Conf!$C$6-Links!J88)/(ATM_Conf!$C$6-ATM_Conf!$C$7))</f>
        <v>#DIV/0!</v>
      </c>
      <c r="AZ88" s="45" t="e">
        <f>BI$3*MIN(1,(ATM_Conf!$C$6-Links!K88)/(ATM_Conf!$C$6-ATM_Conf!$C$7))</f>
        <v>#DIV/0!</v>
      </c>
      <c r="BA88" s="45" t="e">
        <f>BJ$3*MIN(1,(ATM_Conf!$C$6-Links!L88)/(ATM_Conf!$C$6-ATM_Conf!$C$7))</f>
        <v>#DIV/0!</v>
      </c>
      <c r="BB88" s="45" t="e">
        <f>BK$3*MIN(1,(ATM_Conf!$C$6-Links!M88)/(ATM_Conf!$C$6-ATM_Conf!$C$7))</f>
        <v>#DIV/0!</v>
      </c>
      <c r="BC88" s="45" t="e">
        <f>BL$3*MIN(1,(ATM_Conf!$C$6-Links!N88)/(ATM_Conf!$C$6-ATM_Conf!$C$7))</f>
        <v>#DIV/0!</v>
      </c>
      <c r="BD88" s="45"/>
      <c r="BE88" s="45"/>
      <c r="BF88" s="45"/>
      <c r="BG88" s="45"/>
      <c r="BH88" s="45"/>
      <c r="BI88" s="45"/>
      <c r="BJ88" s="45"/>
      <c r="BK88" s="45"/>
      <c r="BL88" s="45"/>
      <c r="BM88" s="53"/>
      <c r="BN88" s="53"/>
      <c r="BO88" s="53"/>
      <c r="BP88" s="53"/>
      <c r="BQ88" s="53"/>
      <c r="BR88" s="53"/>
      <c r="BS88" s="53"/>
      <c r="BT88" s="53"/>
      <c r="BU88" s="53"/>
      <c r="BV88" s="53" t="e">
        <f t="shared" si="50"/>
        <v>#DIV/0!</v>
      </c>
      <c r="BW88" s="53" t="e">
        <f t="shared" si="51"/>
        <v>#DIV/0!</v>
      </c>
      <c r="BX88" s="53" t="e">
        <f t="shared" si="52"/>
        <v>#DIV/0!</v>
      </c>
      <c r="BY88" s="53" t="e">
        <f t="shared" si="53"/>
        <v>#DIV/0!</v>
      </c>
      <c r="BZ88" s="53" t="e">
        <f t="shared" si="54"/>
        <v>#DIV/0!</v>
      </c>
      <c r="CA88" s="53" t="e">
        <f t="shared" si="55"/>
        <v>#DIV/0!</v>
      </c>
      <c r="CB88" s="53" t="e">
        <f t="shared" si="56"/>
        <v>#DIV/0!</v>
      </c>
      <c r="CC88" s="53" t="e">
        <f t="shared" si="57"/>
        <v>#DIV/0!</v>
      </c>
      <c r="CD88" s="53" t="e">
        <f t="shared" si="58"/>
        <v>#DIV/0!</v>
      </c>
      <c r="CE88" s="55">
        <f t="shared" si="40"/>
        <v>0</v>
      </c>
      <c r="CF88" s="55">
        <f t="shared" si="39"/>
        <v>0</v>
      </c>
      <c r="CG88" s="55">
        <f t="shared" si="39"/>
        <v>0</v>
      </c>
      <c r="CH88" s="55">
        <f t="shared" si="39"/>
        <v>0</v>
      </c>
      <c r="CI88" s="55">
        <f t="shared" si="39"/>
        <v>0</v>
      </c>
      <c r="CJ88" s="55">
        <f t="shared" si="39"/>
        <v>0</v>
      </c>
      <c r="CK88" s="55">
        <f t="shared" si="39"/>
        <v>0</v>
      </c>
      <c r="CL88" s="55">
        <f t="shared" si="39"/>
        <v>0</v>
      </c>
      <c r="CM88" s="55">
        <f t="shared" si="39"/>
        <v>0</v>
      </c>
    </row>
    <row r="89" spans="1:91" x14ac:dyDescent="0.15">
      <c r="A89" s="42">
        <v>87</v>
      </c>
      <c r="B89" s="45">
        <f t="shared" ref="B89:B98" si="64">B$87</f>
        <v>1</v>
      </c>
      <c r="C89" s="45">
        <f t="shared" si="63"/>
        <v>1</v>
      </c>
      <c r="D89" s="45">
        <f t="shared" si="63"/>
        <v>1</v>
      </c>
      <c r="E89" s="45">
        <f t="shared" si="63"/>
        <v>1</v>
      </c>
      <c r="F89" s="45">
        <f t="shared" si="63"/>
        <v>1</v>
      </c>
      <c r="G89" s="45">
        <f t="shared" si="63"/>
        <v>1</v>
      </c>
      <c r="H89" s="45">
        <f t="shared" si="63"/>
        <v>1</v>
      </c>
      <c r="I89" s="45">
        <f t="shared" si="63"/>
        <v>1</v>
      </c>
      <c r="J89" s="45">
        <f t="shared" si="63"/>
        <v>1</v>
      </c>
      <c r="K89" s="45" t="e">
        <f>K88+ATM_Conf!$C$5*(T88-AC88)</f>
        <v>#DIV/0!</v>
      </c>
      <c r="L89" s="45" t="e">
        <f>L88+ATM_Conf!$C$5*(U88-AD88)</f>
        <v>#DIV/0!</v>
      </c>
      <c r="M89" s="45" t="e">
        <f>M88+ATM_Conf!$C$5*(V88-AE88)</f>
        <v>#DIV/0!</v>
      </c>
      <c r="N89" s="45" t="e">
        <f>N88+ATM_Conf!$C$5*(W88-AF88)</f>
        <v>#DIV/0!</v>
      </c>
      <c r="O89" s="45" t="e">
        <f>O88+ATM_Conf!$C$5*(X88-AG88)</f>
        <v>#DIV/0!</v>
      </c>
      <c r="P89" s="45" t="e">
        <f>P88+ATM_Conf!$C$5*(Y88-AH88)</f>
        <v>#DIV/0!</v>
      </c>
      <c r="Q89" s="45" t="e">
        <f>Q88+ATM_Conf!$C$5*(Z88-AI88)</f>
        <v>#DIV/0!</v>
      </c>
      <c r="R89" s="45" t="e">
        <f>R88+ATM_Conf!$C$5*(AA88-AJ88)</f>
        <v>#DIV/0!</v>
      </c>
      <c r="S89" s="45" t="e">
        <f>S88+ATM_Conf!$C$5*(AB88-AK88)</f>
        <v>#DIV/0!</v>
      </c>
      <c r="T89" s="45"/>
      <c r="U89" s="45"/>
      <c r="V89" s="45"/>
      <c r="W89" s="45"/>
      <c r="X89" s="45"/>
      <c r="Y89" s="45"/>
      <c r="Z89" s="45"/>
      <c r="AA89" s="45"/>
      <c r="AB89" s="45"/>
      <c r="AC89" s="45" t="e">
        <f t="shared" si="41"/>
        <v>#DIV/0!</v>
      </c>
      <c r="AD89" s="45" t="e">
        <f t="shared" si="42"/>
        <v>#DIV/0!</v>
      </c>
      <c r="AE89" s="45" t="e">
        <f t="shared" si="43"/>
        <v>#DIV/0!</v>
      </c>
      <c r="AF89" s="45" t="e">
        <f t="shared" si="44"/>
        <v>#DIV/0!</v>
      </c>
      <c r="AG89" s="45" t="e">
        <f t="shared" si="45"/>
        <v>#DIV/0!</v>
      </c>
      <c r="AH89" s="45" t="e">
        <f t="shared" si="46"/>
        <v>#DIV/0!</v>
      </c>
      <c r="AI89" s="45" t="e">
        <f t="shared" si="47"/>
        <v>#DIV/0!</v>
      </c>
      <c r="AJ89" s="45" t="e">
        <f t="shared" si="48"/>
        <v>#DIV/0!</v>
      </c>
      <c r="AK89" s="45" t="e">
        <f t="shared" si="49"/>
        <v>#DIV/0!</v>
      </c>
      <c r="AL89" s="45" t="e">
        <f>T$3+K89/ATM_Conf!$C$5</f>
        <v>#DIV/0!</v>
      </c>
      <c r="AM89" s="45" t="e">
        <f>U$3+L89/ATM_Conf!$C$5</f>
        <v>#DIV/0!</v>
      </c>
      <c r="AN89" s="45" t="e">
        <f>V$3+M89/ATM_Conf!$C$5</f>
        <v>#DIV/0!</v>
      </c>
      <c r="AO89" s="45" t="e">
        <f>W$3+N89/ATM_Conf!$C$5</f>
        <v>#DIV/0!</v>
      </c>
      <c r="AP89" s="45" t="e">
        <f>X$3+O89/ATM_Conf!$C$5</f>
        <v>#DIV/0!</v>
      </c>
      <c r="AQ89" s="45" t="e">
        <f>Y$3+P89/ATM_Conf!$C$5</f>
        <v>#DIV/0!</v>
      </c>
      <c r="AR89" s="45" t="e">
        <f>Z$3+Q89/ATM_Conf!$C$5</f>
        <v>#DIV/0!</v>
      </c>
      <c r="AS89" s="45" t="e">
        <f>AA$3+R89/ATM_Conf!$C$5</f>
        <v>#DIV/0!</v>
      </c>
      <c r="AT89" s="45" t="e">
        <f>AB$3+S89/ATM_Conf!$C$5</f>
        <v>#DIV/0!</v>
      </c>
      <c r="AU89" s="45" t="e">
        <f>BD$3*MIN(1,(ATM_Conf!$C$6-Links!F89)/(ATM_Conf!$C$6-ATM_Conf!$C$7))</f>
        <v>#DIV/0!</v>
      </c>
      <c r="AV89" s="45" t="e">
        <f>BE$3*MIN(1,(ATM_Conf!$C$6-Links!G89)/(ATM_Conf!$C$6-ATM_Conf!$C$7))</f>
        <v>#DIV/0!</v>
      </c>
      <c r="AW89" s="45" t="e">
        <f>BF$3*MIN(1,(ATM_Conf!$C$6-Links!H89)/(ATM_Conf!$C$6-ATM_Conf!$C$7))</f>
        <v>#DIV/0!</v>
      </c>
      <c r="AX89" s="45" t="e">
        <f>BG$3*MIN(1,(ATM_Conf!$C$6-Links!I89)/(ATM_Conf!$C$6-ATM_Conf!$C$7))</f>
        <v>#DIV/0!</v>
      </c>
      <c r="AY89" s="45" t="e">
        <f>BH$3*MIN(1,(ATM_Conf!$C$6-Links!J89)/(ATM_Conf!$C$6-ATM_Conf!$C$7))</f>
        <v>#DIV/0!</v>
      </c>
      <c r="AZ89" s="45" t="e">
        <f>BI$3*MIN(1,(ATM_Conf!$C$6-Links!K89)/(ATM_Conf!$C$6-ATM_Conf!$C$7))</f>
        <v>#DIV/0!</v>
      </c>
      <c r="BA89" s="45" t="e">
        <f>BJ$3*MIN(1,(ATM_Conf!$C$6-Links!L89)/(ATM_Conf!$C$6-ATM_Conf!$C$7))</f>
        <v>#DIV/0!</v>
      </c>
      <c r="BB89" s="45" t="e">
        <f>BK$3*MIN(1,(ATM_Conf!$C$6-Links!M89)/(ATM_Conf!$C$6-ATM_Conf!$C$7))</f>
        <v>#DIV/0!</v>
      </c>
      <c r="BC89" s="45" t="e">
        <f>BL$3*MIN(1,(ATM_Conf!$C$6-Links!N89)/(ATM_Conf!$C$6-ATM_Conf!$C$7))</f>
        <v>#DIV/0!</v>
      </c>
      <c r="BD89" s="45"/>
      <c r="BE89" s="45"/>
      <c r="BF89" s="45"/>
      <c r="BG89" s="45"/>
      <c r="BH89" s="45"/>
      <c r="BI89" s="45"/>
      <c r="BJ89" s="45"/>
      <c r="BK89" s="45"/>
      <c r="BL89" s="45"/>
      <c r="BM89" s="53"/>
      <c r="BN89" s="53"/>
      <c r="BO89" s="53"/>
      <c r="BP89" s="53"/>
      <c r="BQ89" s="53"/>
      <c r="BR89" s="53"/>
      <c r="BS89" s="53"/>
      <c r="BT89" s="53"/>
      <c r="BU89" s="53"/>
      <c r="BV89" s="53" t="e">
        <f t="shared" si="50"/>
        <v>#DIV/0!</v>
      </c>
      <c r="BW89" s="53" t="e">
        <f t="shared" si="51"/>
        <v>#DIV/0!</v>
      </c>
      <c r="BX89" s="53" t="e">
        <f t="shared" si="52"/>
        <v>#DIV/0!</v>
      </c>
      <c r="BY89" s="53" t="e">
        <f t="shared" si="53"/>
        <v>#DIV/0!</v>
      </c>
      <c r="BZ89" s="53" t="e">
        <f t="shared" si="54"/>
        <v>#DIV/0!</v>
      </c>
      <c r="CA89" s="53" t="e">
        <f t="shared" si="55"/>
        <v>#DIV/0!</v>
      </c>
      <c r="CB89" s="53" t="e">
        <f t="shared" si="56"/>
        <v>#DIV/0!</v>
      </c>
      <c r="CC89" s="53" t="e">
        <f t="shared" si="57"/>
        <v>#DIV/0!</v>
      </c>
      <c r="CD89" s="53" t="e">
        <f t="shared" si="58"/>
        <v>#DIV/0!</v>
      </c>
      <c r="CE89" s="55">
        <f t="shared" si="40"/>
        <v>0</v>
      </c>
      <c r="CF89" s="55">
        <f t="shared" si="39"/>
        <v>0</v>
      </c>
      <c r="CG89" s="55">
        <f t="shared" si="39"/>
        <v>0</v>
      </c>
      <c r="CH89" s="55">
        <f t="shared" si="39"/>
        <v>0</v>
      </c>
      <c r="CI89" s="55">
        <f t="shared" si="39"/>
        <v>0</v>
      </c>
      <c r="CJ89" s="55">
        <f t="shared" si="39"/>
        <v>0</v>
      </c>
      <c r="CK89" s="55">
        <f t="shared" si="39"/>
        <v>0</v>
      </c>
      <c r="CL89" s="55">
        <f t="shared" si="39"/>
        <v>0</v>
      </c>
      <c r="CM89" s="55">
        <f t="shared" si="39"/>
        <v>0</v>
      </c>
    </row>
    <row r="90" spans="1:91" x14ac:dyDescent="0.15">
      <c r="A90" s="42">
        <v>88</v>
      </c>
      <c r="B90" s="45">
        <f t="shared" si="64"/>
        <v>1</v>
      </c>
      <c r="C90" s="45">
        <f t="shared" si="63"/>
        <v>1</v>
      </c>
      <c r="D90" s="45">
        <f t="shared" si="63"/>
        <v>1</v>
      </c>
      <c r="E90" s="45">
        <f t="shared" si="63"/>
        <v>1</v>
      </c>
      <c r="F90" s="45">
        <f t="shared" si="63"/>
        <v>1</v>
      </c>
      <c r="G90" s="45">
        <f t="shared" si="63"/>
        <v>1</v>
      </c>
      <c r="H90" s="45">
        <f t="shared" si="63"/>
        <v>1</v>
      </c>
      <c r="I90" s="45">
        <f t="shared" si="63"/>
        <v>1</v>
      </c>
      <c r="J90" s="45">
        <f t="shared" si="63"/>
        <v>1</v>
      </c>
      <c r="K90" s="45" t="e">
        <f>K89+ATM_Conf!$C$5*(T89-AC89)</f>
        <v>#DIV/0!</v>
      </c>
      <c r="L90" s="45" t="e">
        <f>L89+ATM_Conf!$C$5*(U89-AD89)</f>
        <v>#DIV/0!</v>
      </c>
      <c r="M90" s="45" t="e">
        <f>M89+ATM_Conf!$C$5*(V89-AE89)</f>
        <v>#DIV/0!</v>
      </c>
      <c r="N90" s="45" t="e">
        <f>N89+ATM_Conf!$C$5*(W89-AF89)</f>
        <v>#DIV/0!</v>
      </c>
      <c r="O90" s="45" t="e">
        <f>O89+ATM_Conf!$C$5*(X89-AG89)</f>
        <v>#DIV/0!</v>
      </c>
      <c r="P90" s="45" t="e">
        <f>P89+ATM_Conf!$C$5*(Y89-AH89)</f>
        <v>#DIV/0!</v>
      </c>
      <c r="Q90" s="45" t="e">
        <f>Q89+ATM_Conf!$C$5*(Z89-AI89)</f>
        <v>#DIV/0!</v>
      </c>
      <c r="R90" s="45" t="e">
        <f>R89+ATM_Conf!$C$5*(AA89-AJ89)</f>
        <v>#DIV/0!</v>
      </c>
      <c r="S90" s="45" t="e">
        <f>S89+ATM_Conf!$C$5*(AB89-AK89)</f>
        <v>#DIV/0!</v>
      </c>
      <c r="T90" s="45"/>
      <c r="U90" s="45"/>
      <c r="V90" s="45"/>
      <c r="W90" s="45"/>
      <c r="X90" s="45"/>
      <c r="Y90" s="45"/>
      <c r="Z90" s="45"/>
      <c r="AA90" s="45"/>
      <c r="AB90" s="45"/>
      <c r="AC90" s="45" t="e">
        <f t="shared" si="41"/>
        <v>#DIV/0!</v>
      </c>
      <c r="AD90" s="45" t="e">
        <f t="shared" si="42"/>
        <v>#DIV/0!</v>
      </c>
      <c r="AE90" s="45" t="e">
        <f t="shared" si="43"/>
        <v>#DIV/0!</v>
      </c>
      <c r="AF90" s="45" t="e">
        <f t="shared" si="44"/>
        <v>#DIV/0!</v>
      </c>
      <c r="AG90" s="45" t="e">
        <f t="shared" si="45"/>
        <v>#DIV/0!</v>
      </c>
      <c r="AH90" s="45" t="e">
        <f t="shared" si="46"/>
        <v>#DIV/0!</v>
      </c>
      <c r="AI90" s="45" t="e">
        <f t="shared" si="47"/>
        <v>#DIV/0!</v>
      </c>
      <c r="AJ90" s="45" t="e">
        <f t="shared" si="48"/>
        <v>#DIV/0!</v>
      </c>
      <c r="AK90" s="45" t="e">
        <f t="shared" si="49"/>
        <v>#DIV/0!</v>
      </c>
      <c r="AL90" s="45" t="e">
        <f>T$3+K90/ATM_Conf!$C$5</f>
        <v>#DIV/0!</v>
      </c>
      <c r="AM90" s="45" t="e">
        <f>U$3+L90/ATM_Conf!$C$5</f>
        <v>#DIV/0!</v>
      </c>
      <c r="AN90" s="45" t="e">
        <f>V$3+M90/ATM_Conf!$C$5</f>
        <v>#DIV/0!</v>
      </c>
      <c r="AO90" s="45" t="e">
        <f>W$3+N90/ATM_Conf!$C$5</f>
        <v>#DIV/0!</v>
      </c>
      <c r="AP90" s="45" t="e">
        <f>X$3+O90/ATM_Conf!$C$5</f>
        <v>#DIV/0!</v>
      </c>
      <c r="AQ90" s="45" t="e">
        <f>Y$3+P90/ATM_Conf!$C$5</f>
        <v>#DIV/0!</v>
      </c>
      <c r="AR90" s="45" t="e">
        <f>Z$3+Q90/ATM_Conf!$C$5</f>
        <v>#DIV/0!</v>
      </c>
      <c r="AS90" s="45" t="e">
        <f>AA$3+R90/ATM_Conf!$C$5</f>
        <v>#DIV/0!</v>
      </c>
      <c r="AT90" s="45" t="e">
        <f>AB$3+S90/ATM_Conf!$C$5</f>
        <v>#DIV/0!</v>
      </c>
      <c r="AU90" s="45" t="e">
        <f>BD$3*MIN(1,(ATM_Conf!$C$6-Links!F90)/(ATM_Conf!$C$6-ATM_Conf!$C$7))</f>
        <v>#DIV/0!</v>
      </c>
      <c r="AV90" s="45" t="e">
        <f>BE$3*MIN(1,(ATM_Conf!$C$6-Links!G90)/(ATM_Conf!$C$6-ATM_Conf!$C$7))</f>
        <v>#DIV/0!</v>
      </c>
      <c r="AW90" s="45" t="e">
        <f>BF$3*MIN(1,(ATM_Conf!$C$6-Links!H90)/(ATM_Conf!$C$6-ATM_Conf!$C$7))</f>
        <v>#DIV/0!</v>
      </c>
      <c r="AX90" s="45" t="e">
        <f>BG$3*MIN(1,(ATM_Conf!$C$6-Links!I90)/(ATM_Conf!$C$6-ATM_Conf!$C$7))</f>
        <v>#DIV/0!</v>
      </c>
      <c r="AY90" s="45" t="e">
        <f>BH$3*MIN(1,(ATM_Conf!$C$6-Links!J90)/(ATM_Conf!$C$6-ATM_Conf!$C$7))</f>
        <v>#DIV/0!</v>
      </c>
      <c r="AZ90" s="45" t="e">
        <f>BI$3*MIN(1,(ATM_Conf!$C$6-Links!K90)/(ATM_Conf!$C$6-ATM_Conf!$C$7))</f>
        <v>#DIV/0!</v>
      </c>
      <c r="BA90" s="45" t="e">
        <f>BJ$3*MIN(1,(ATM_Conf!$C$6-Links!L90)/(ATM_Conf!$C$6-ATM_Conf!$C$7))</f>
        <v>#DIV/0!</v>
      </c>
      <c r="BB90" s="45" t="e">
        <f>BK$3*MIN(1,(ATM_Conf!$C$6-Links!M90)/(ATM_Conf!$C$6-ATM_Conf!$C$7))</f>
        <v>#DIV/0!</v>
      </c>
      <c r="BC90" s="45" t="e">
        <f>BL$3*MIN(1,(ATM_Conf!$C$6-Links!N90)/(ATM_Conf!$C$6-ATM_Conf!$C$7))</f>
        <v>#DIV/0!</v>
      </c>
      <c r="BD90" s="45"/>
      <c r="BE90" s="45"/>
      <c r="BF90" s="45"/>
      <c r="BG90" s="45"/>
      <c r="BH90" s="45"/>
      <c r="BI90" s="45"/>
      <c r="BJ90" s="45"/>
      <c r="BK90" s="45"/>
      <c r="BL90" s="45"/>
      <c r="BM90" s="53"/>
      <c r="BN90" s="53"/>
      <c r="BO90" s="53"/>
      <c r="BP90" s="53"/>
      <c r="BQ90" s="53"/>
      <c r="BR90" s="53"/>
      <c r="BS90" s="53"/>
      <c r="BT90" s="53"/>
      <c r="BU90" s="53"/>
      <c r="BV90" s="53" t="e">
        <f t="shared" si="50"/>
        <v>#DIV/0!</v>
      </c>
      <c r="BW90" s="53" t="e">
        <f t="shared" si="51"/>
        <v>#DIV/0!</v>
      </c>
      <c r="BX90" s="53" t="e">
        <f t="shared" si="52"/>
        <v>#DIV/0!</v>
      </c>
      <c r="BY90" s="53" t="e">
        <f t="shared" si="53"/>
        <v>#DIV/0!</v>
      </c>
      <c r="BZ90" s="53" t="e">
        <f t="shared" si="54"/>
        <v>#DIV/0!</v>
      </c>
      <c r="CA90" s="53" t="e">
        <f t="shared" si="55"/>
        <v>#DIV/0!</v>
      </c>
      <c r="CB90" s="53" t="e">
        <f t="shared" si="56"/>
        <v>#DIV/0!</v>
      </c>
      <c r="CC90" s="53" t="e">
        <f t="shared" si="57"/>
        <v>#DIV/0!</v>
      </c>
      <c r="CD90" s="53" t="e">
        <f t="shared" si="58"/>
        <v>#DIV/0!</v>
      </c>
      <c r="CE90" s="55">
        <f t="shared" si="40"/>
        <v>0</v>
      </c>
      <c r="CF90" s="55">
        <f t="shared" si="39"/>
        <v>0</v>
      </c>
      <c r="CG90" s="55">
        <f t="shared" si="39"/>
        <v>0</v>
      </c>
      <c r="CH90" s="55">
        <f t="shared" si="39"/>
        <v>0</v>
      </c>
      <c r="CI90" s="55">
        <f t="shared" si="39"/>
        <v>0</v>
      </c>
      <c r="CJ90" s="55">
        <f t="shared" si="39"/>
        <v>0</v>
      </c>
      <c r="CK90" s="55">
        <f t="shared" si="39"/>
        <v>0</v>
      </c>
      <c r="CL90" s="55">
        <f t="shared" si="39"/>
        <v>0</v>
      </c>
      <c r="CM90" s="55">
        <f t="shared" si="39"/>
        <v>0</v>
      </c>
    </row>
    <row r="91" spans="1:91" x14ac:dyDescent="0.15">
      <c r="A91" s="42">
        <v>89</v>
      </c>
      <c r="B91" s="45">
        <f t="shared" si="64"/>
        <v>1</v>
      </c>
      <c r="C91" s="45">
        <f t="shared" si="63"/>
        <v>1</v>
      </c>
      <c r="D91" s="45">
        <f t="shared" si="63"/>
        <v>1</v>
      </c>
      <c r="E91" s="45">
        <f t="shared" si="63"/>
        <v>1</v>
      </c>
      <c r="F91" s="45">
        <f t="shared" si="63"/>
        <v>1</v>
      </c>
      <c r="G91" s="45">
        <f t="shared" si="63"/>
        <v>1</v>
      </c>
      <c r="H91" s="45">
        <f t="shared" si="63"/>
        <v>1</v>
      </c>
      <c r="I91" s="45">
        <f t="shared" si="63"/>
        <v>1</v>
      </c>
      <c r="J91" s="45">
        <f t="shared" si="63"/>
        <v>1</v>
      </c>
      <c r="K91" s="45" t="e">
        <f>K90+ATM_Conf!$C$5*(T90-AC90)</f>
        <v>#DIV/0!</v>
      </c>
      <c r="L91" s="45" t="e">
        <f>L90+ATM_Conf!$C$5*(U90-AD90)</f>
        <v>#DIV/0!</v>
      </c>
      <c r="M91" s="45" t="e">
        <f>M90+ATM_Conf!$C$5*(V90-AE90)</f>
        <v>#DIV/0!</v>
      </c>
      <c r="N91" s="45" t="e">
        <f>N90+ATM_Conf!$C$5*(W90-AF90)</f>
        <v>#DIV/0!</v>
      </c>
      <c r="O91" s="45" t="e">
        <f>O90+ATM_Conf!$C$5*(X90-AG90)</f>
        <v>#DIV/0!</v>
      </c>
      <c r="P91" s="45" t="e">
        <f>P90+ATM_Conf!$C$5*(Y90-AH90)</f>
        <v>#DIV/0!</v>
      </c>
      <c r="Q91" s="45" t="e">
        <f>Q90+ATM_Conf!$C$5*(Z90-AI90)</f>
        <v>#DIV/0!</v>
      </c>
      <c r="R91" s="45" t="e">
        <f>R90+ATM_Conf!$C$5*(AA90-AJ90)</f>
        <v>#DIV/0!</v>
      </c>
      <c r="S91" s="45" t="e">
        <f>S90+ATM_Conf!$C$5*(AB90-AK90)</f>
        <v>#DIV/0!</v>
      </c>
      <c r="T91" s="45"/>
      <c r="U91" s="45"/>
      <c r="V91" s="45"/>
      <c r="W91" s="45"/>
      <c r="X91" s="45"/>
      <c r="Y91" s="45"/>
      <c r="Z91" s="45"/>
      <c r="AA91" s="45"/>
      <c r="AB91" s="45"/>
      <c r="AC91" s="45" t="e">
        <f t="shared" si="41"/>
        <v>#DIV/0!</v>
      </c>
      <c r="AD91" s="45" t="e">
        <f t="shared" si="42"/>
        <v>#DIV/0!</v>
      </c>
      <c r="AE91" s="45" t="e">
        <f t="shared" si="43"/>
        <v>#DIV/0!</v>
      </c>
      <c r="AF91" s="45" t="e">
        <f t="shared" si="44"/>
        <v>#DIV/0!</v>
      </c>
      <c r="AG91" s="45" t="e">
        <f t="shared" si="45"/>
        <v>#DIV/0!</v>
      </c>
      <c r="AH91" s="45" t="e">
        <f t="shared" si="46"/>
        <v>#DIV/0!</v>
      </c>
      <c r="AI91" s="45" t="e">
        <f t="shared" si="47"/>
        <v>#DIV/0!</v>
      </c>
      <c r="AJ91" s="45" t="e">
        <f t="shared" si="48"/>
        <v>#DIV/0!</v>
      </c>
      <c r="AK91" s="45" t="e">
        <f t="shared" si="49"/>
        <v>#DIV/0!</v>
      </c>
      <c r="AL91" s="45" t="e">
        <f>T$3+K91/ATM_Conf!$C$5</f>
        <v>#DIV/0!</v>
      </c>
      <c r="AM91" s="45" t="e">
        <f>U$3+L91/ATM_Conf!$C$5</f>
        <v>#DIV/0!</v>
      </c>
      <c r="AN91" s="45" t="e">
        <f>V$3+M91/ATM_Conf!$C$5</f>
        <v>#DIV/0!</v>
      </c>
      <c r="AO91" s="45" t="e">
        <f>W$3+N91/ATM_Conf!$C$5</f>
        <v>#DIV/0!</v>
      </c>
      <c r="AP91" s="45" t="e">
        <f>X$3+O91/ATM_Conf!$C$5</f>
        <v>#DIV/0!</v>
      </c>
      <c r="AQ91" s="45" t="e">
        <f>Y$3+P91/ATM_Conf!$C$5</f>
        <v>#DIV/0!</v>
      </c>
      <c r="AR91" s="45" t="e">
        <f>Z$3+Q91/ATM_Conf!$C$5</f>
        <v>#DIV/0!</v>
      </c>
      <c r="AS91" s="45" t="e">
        <f>AA$3+R91/ATM_Conf!$C$5</f>
        <v>#DIV/0!</v>
      </c>
      <c r="AT91" s="45" t="e">
        <f>AB$3+S91/ATM_Conf!$C$5</f>
        <v>#DIV/0!</v>
      </c>
      <c r="AU91" s="45" t="e">
        <f>BD$3*MIN(1,(ATM_Conf!$C$6-Links!F91)/(ATM_Conf!$C$6-ATM_Conf!$C$7))</f>
        <v>#DIV/0!</v>
      </c>
      <c r="AV91" s="45" t="e">
        <f>BE$3*MIN(1,(ATM_Conf!$C$6-Links!G91)/(ATM_Conf!$C$6-ATM_Conf!$C$7))</f>
        <v>#DIV/0!</v>
      </c>
      <c r="AW91" s="45" t="e">
        <f>BF$3*MIN(1,(ATM_Conf!$C$6-Links!H91)/(ATM_Conf!$C$6-ATM_Conf!$C$7))</f>
        <v>#DIV/0!</v>
      </c>
      <c r="AX91" s="45" t="e">
        <f>BG$3*MIN(1,(ATM_Conf!$C$6-Links!I91)/(ATM_Conf!$C$6-ATM_Conf!$C$7))</f>
        <v>#DIV/0!</v>
      </c>
      <c r="AY91" s="45" t="e">
        <f>BH$3*MIN(1,(ATM_Conf!$C$6-Links!J91)/(ATM_Conf!$C$6-ATM_Conf!$C$7))</f>
        <v>#DIV/0!</v>
      </c>
      <c r="AZ91" s="45" t="e">
        <f>BI$3*MIN(1,(ATM_Conf!$C$6-Links!K91)/(ATM_Conf!$C$6-ATM_Conf!$C$7))</f>
        <v>#DIV/0!</v>
      </c>
      <c r="BA91" s="45" t="e">
        <f>BJ$3*MIN(1,(ATM_Conf!$C$6-Links!L91)/(ATM_Conf!$C$6-ATM_Conf!$C$7))</f>
        <v>#DIV/0!</v>
      </c>
      <c r="BB91" s="45" t="e">
        <f>BK$3*MIN(1,(ATM_Conf!$C$6-Links!M91)/(ATM_Conf!$C$6-ATM_Conf!$C$7))</f>
        <v>#DIV/0!</v>
      </c>
      <c r="BC91" s="45" t="e">
        <f>BL$3*MIN(1,(ATM_Conf!$C$6-Links!N91)/(ATM_Conf!$C$6-ATM_Conf!$C$7))</f>
        <v>#DIV/0!</v>
      </c>
      <c r="BD91" s="45"/>
      <c r="BE91" s="45"/>
      <c r="BF91" s="45"/>
      <c r="BG91" s="45"/>
      <c r="BH91" s="45"/>
      <c r="BI91" s="45"/>
      <c r="BJ91" s="45"/>
      <c r="BK91" s="45"/>
      <c r="BL91" s="45"/>
      <c r="BM91" s="53"/>
      <c r="BN91" s="53"/>
      <c r="BO91" s="53"/>
      <c r="BP91" s="53"/>
      <c r="BQ91" s="53"/>
      <c r="BR91" s="53"/>
      <c r="BS91" s="53"/>
      <c r="BT91" s="53"/>
      <c r="BU91" s="53"/>
      <c r="BV91" s="53" t="e">
        <f t="shared" si="50"/>
        <v>#DIV/0!</v>
      </c>
      <c r="BW91" s="53" t="e">
        <f t="shared" si="51"/>
        <v>#DIV/0!</v>
      </c>
      <c r="BX91" s="53" t="e">
        <f t="shared" si="52"/>
        <v>#DIV/0!</v>
      </c>
      <c r="BY91" s="53" t="e">
        <f t="shared" si="53"/>
        <v>#DIV/0!</v>
      </c>
      <c r="BZ91" s="53" t="e">
        <f t="shared" si="54"/>
        <v>#DIV/0!</v>
      </c>
      <c r="CA91" s="53" t="e">
        <f t="shared" si="55"/>
        <v>#DIV/0!</v>
      </c>
      <c r="CB91" s="53" t="e">
        <f t="shared" si="56"/>
        <v>#DIV/0!</v>
      </c>
      <c r="CC91" s="53" t="e">
        <f t="shared" si="57"/>
        <v>#DIV/0!</v>
      </c>
      <c r="CD91" s="53" t="e">
        <f t="shared" si="58"/>
        <v>#DIV/0!</v>
      </c>
      <c r="CE91" s="55">
        <f t="shared" si="40"/>
        <v>0</v>
      </c>
      <c r="CF91" s="55">
        <f t="shared" si="39"/>
        <v>0</v>
      </c>
      <c r="CG91" s="55">
        <f t="shared" si="39"/>
        <v>0</v>
      </c>
      <c r="CH91" s="55">
        <f t="shared" si="39"/>
        <v>0</v>
      </c>
      <c r="CI91" s="55">
        <f t="shared" si="39"/>
        <v>0</v>
      </c>
      <c r="CJ91" s="55">
        <f t="shared" si="39"/>
        <v>0</v>
      </c>
      <c r="CK91" s="55">
        <f t="shared" si="39"/>
        <v>0</v>
      </c>
      <c r="CL91" s="55">
        <f t="shared" si="39"/>
        <v>0</v>
      </c>
      <c r="CM91" s="55">
        <f t="shared" si="39"/>
        <v>0</v>
      </c>
    </row>
    <row r="92" spans="1:91" x14ac:dyDescent="0.15">
      <c r="A92" s="42">
        <v>90</v>
      </c>
      <c r="B92" s="45">
        <f t="shared" si="64"/>
        <v>1</v>
      </c>
      <c r="C92" s="45">
        <f t="shared" si="63"/>
        <v>1</v>
      </c>
      <c r="D92" s="45">
        <f t="shared" si="63"/>
        <v>1</v>
      </c>
      <c r="E92" s="45">
        <f t="shared" si="63"/>
        <v>1</v>
      </c>
      <c r="F92" s="45">
        <f t="shared" si="63"/>
        <v>1</v>
      </c>
      <c r="G92" s="45">
        <f t="shared" si="63"/>
        <v>1</v>
      </c>
      <c r="H92" s="45">
        <f t="shared" si="63"/>
        <v>1</v>
      </c>
      <c r="I92" s="45">
        <f t="shared" si="63"/>
        <v>1</v>
      </c>
      <c r="J92" s="45">
        <f t="shared" si="63"/>
        <v>1</v>
      </c>
      <c r="K92" s="45" t="e">
        <f>K91+ATM_Conf!$C$5*(T91-AC91)</f>
        <v>#DIV/0!</v>
      </c>
      <c r="L92" s="45" t="e">
        <f>L91+ATM_Conf!$C$5*(U91-AD91)</f>
        <v>#DIV/0!</v>
      </c>
      <c r="M92" s="45" t="e">
        <f>M91+ATM_Conf!$C$5*(V91-AE91)</f>
        <v>#DIV/0!</v>
      </c>
      <c r="N92" s="45" t="e">
        <f>N91+ATM_Conf!$C$5*(W91-AF91)</f>
        <v>#DIV/0!</v>
      </c>
      <c r="O92" s="45" t="e">
        <f>O91+ATM_Conf!$C$5*(X91-AG91)</f>
        <v>#DIV/0!</v>
      </c>
      <c r="P92" s="45" t="e">
        <f>P91+ATM_Conf!$C$5*(Y91-AH91)</f>
        <v>#DIV/0!</v>
      </c>
      <c r="Q92" s="45" t="e">
        <f>Q91+ATM_Conf!$C$5*(Z91-AI91)</f>
        <v>#DIV/0!</v>
      </c>
      <c r="R92" s="45" t="e">
        <f>R91+ATM_Conf!$C$5*(AA91-AJ91)</f>
        <v>#DIV/0!</v>
      </c>
      <c r="S92" s="45" t="e">
        <f>S91+ATM_Conf!$C$5*(AB91-AK91)</f>
        <v>#DIV/0!</v>
      </c>
      <c r="T92" s="45"/>
      <c r="U92" s="45"/>
      <c r="V92" s="45"/>
      <c r="W92" s="45"/>
      <c r="X92" s="45"/>
      <c r="Y92" s="45"/>
      <c r="Z92" s="45"/>
      <c r="AA92" s="45"/>
      <c r="AB92" s="45"/>
      <c r="AC92" s="45" t="e">
        <f t="shared" si="41"/>
        <v>#DIV/0!</v>
      </c>
      <c r="AD92" s="45" t="e">
        <f t="shared" si="42"/>
        <v>#DIV/0!</v>
      </c>
      <c r="AE92" s="45" t="e">
        <f t="shared" si="43"/>
        <v>#DIV/0!</v>
      </c>
      <c r="AF92" s="45" t="e">
        <f t="shared" si="44"/>
        <v>#DIV/0!</v>
      </c>
      <c r="AG92" s="45" t="e">
        <f t="shared" si="45"/>
        <v>#DIV/0!</v>
      </c>
      <c r="AH92" s="45" t="e">
        <f t="shared" si="46"/>
        <v>#DIV/0!</v>
      </c>
      <c r="AI92" s="45" t="e">
        <f t="shared" si="47"/>
        <v>#DIV/0!</v>
      </c>
      <c r="AJ92" s="45" t="e">
        <f t="shared" si="48"/>
        <v>#DIV/0!</v>
      </c>
      <c r="AK92" s="45" t="e">
        <f t="shared" si="49"/>
        <v>#DIV/0!</v>
      </c>
      <c r="AL92" s="45" t="e">
        <f>T$3+K92/ATM_Conf!$C$5</f>
        <v>#DIV/0!</v>
      </c>
      <c r="AM92" s="45" t="e">
        <f>U$3+L92/ATM_Conf!$C$5</f>
        <v>#DIV/0!</v>
      </c>
      <c r="AN92" s="45" t="e">
        <f>V$3+M92/ATM_Conf!$C$5</f>
        <v>#DIV/0!</v>
      </c>
      <c r="AO92" s="45" t="e">
        <f>W$3+N92/ATM_Conf!$C$5</f>
        <v>#DIV/0!</v>
      </c>
      <c r="AP92" s="45" t="e">
        <f>X$3+O92/ATM_Conf!$C$5</f>
        <v>#DIV/0!</v>
      </c>
      <c r="AQ92" s="45" t="e">
        <f>Y$3+P92/ATM_Conf!$C$5</f>
        <v>#DIV/0!</v>
      </c>
      <c r="AR92" s="45" t="e">
        <f>Z$3+Q92/ATM_Conf!$C$5</f>
        <v>#DIV/0!</v>
      </c>
      <c r="AS92" s="45" t="e">
        <f>AA$3+R92/ATM_Conf!$C$5</f>
        <v>#DIV/0!</v>
      </c>
      <c r="AT92" s="45" t="e">
        <f>AB$3+S92/ATM_Conf!$C$5</f>
        <v>#DIV/0!</v>
      </c>
      <c r="AU92" s="45" t="e">
        <f>BD$3*MIN(1,(ATM_Conf!$C$6-Links!F92)/(ATM_Conf!$C$6-ATM_Conf!$C$7))</f>
        <v>#DIV/0!</v>
      </c>
      <c r="AV92" s="45" t="e">
        <f>BE$3*MIN(1,(ATM_Conf!$C$6-Links!G92)/(ATM_Conf!$C$6-ATM_Conf!$C$7))</f>
        <v>#DIV/0!</v>
      </c>
      <c r="AW92" s="45" t="e">
        <f>BF$3*MIN(1,(ATM_Conf!$C$6-Links!H92)/(ATM_Conf!$C$6-ATM_Conf!$C$7))</f>
        <v>#DIV/0!</v>
      </c>
      <c r="AX92" s="45" t="e">
        <f>BG$3*MIN(1,(ATM_Conf!$C$6-Links!I92)/(ATM_Conf!$C$6-ATM_Conf!$C$7))</f>
        <v>#DIV/0!</v>
      </c>
      <c r="AY92" s="45" t="e">
        <f>BH$3*MIN(1,(ATM_Conf!$C$6-Links!J92)/(ATM_Conf!$C$6-ATM_Conf!$C$7))</f>
        <v>#DIV/0!</v>
      </c>
      <c r="AZ92" s="45" t="e">
        <f>BI$3*MIN(1,(ATM_Conf!$C$6-Links!K92)/(ATM_Conf!$C$6-ATM_Conf!$C$7))</f>
        <v>#DIV/0!</v>
      </c>
      <c r="BA92" s="45" t="e">
        <f>BJ$3*MIN(1,(ATM_Conf!$C$6-Links!L92)/(ATM_Conf!$C$6-ATM_Conf!$C$7))</f>
        <v>#DIV/0!</v>
      </c>
      <c r="BB92" s="45" t="e">
        <f>BK$3*MIN(1,(ATM_Conf!$C$6-Links!M92)/(ATM_Conf!$C$6-ATM_Conf!$C$7))</f>
        <v>#DIV/0!</v>
      </c>
      <c r="BC92" s="45" t="e">
        <f>BL$3*MIN(1,(ATM_Conf!$C$6-Links!N92)/(ATM_Conf!$C$6-ATM_Conf!$C$7))</f>
        <v>#DIV/0!</v>
      </c>
      <c r="BD92" s="45"/>
      <c r="BE92" s="45"/>
      <c r="BF92" s="45"/>
      <c r="BG92" s="45"/>
      <c r="BH92" s="45"/>
      <c r="BI92" s="45"/>
      <c r="BJ92" s="45"/>
      <c r="BK92" s="45"/>
      <c r="BL92" s="45"/>
      <c r="BM92" s="53"/>
      <c r="BN92" s="53"/>
      <c r="BO92" s="53"/>
      <c r="BP92" s="53"/>
      <c r="BQ92" s="53"/>
      <c r="BR92" s="53"/>
      <c r="BS92" s="53"/>
      <c r="BT92" s="53"/>
      <c r="BU92" s="53"/>
      <c r="BV92" s="53" t="e">
        <f t="shared" si="50"/>
        <v>#DIV/0!</v>
      </c>
      <c r="BW92" s="53" t="e">
        <f t="shared" si="51"/>
        <v>#DIV/0!</v>
      </c>
      <c r="BX92" s="53" t="e">
        <f t="shared" si="52"/>
        <v>#DIV/0!</v>
      </c>
      <c r="BY92" s="53" t="e">
        <f t="shared" si="53"/>
        <v>#DIV/0!</v>
      </c>
      <c r="BZ92" s="53" t="e">
        <f t="shared" si="54"/>
        <v>#DIV/0!</v>
      </c>
      <c r="CA92" s="53" t="e">
        <f t="shared" si="55"/>
        <v>#DIV/0!</v>
      </c>
      <c r="CB92" s="53" t="e">
        <f t="shared" si="56"/>
        <v>#DIV/0!</v>
      </c>
      <c r="CC92" s="53" t="e">
        <f t="shared" si="57"/>
        <v>#DIV/0!</v>
      </c>
      <c r="CD92" s="53" t="e">
        <f t="shared" si="58"/>
        <v>#DIV/0!</v>
      </c>
      <c r="CE92" s="55">
        <f t="shared" si="40"/>
        <v>0</v>
      </c>
      <c r="CF92" s="55">
        <f t="shared" si="39"/>
        <v>0</v>
      </c>
      <c r="CG92" s="55">
        <f t="shared" si="39"/>
        <v>0</v>
      </c>
      <c r="CH92" s="55">
        <f t="shared" si="39"/>
        <v>0</v>
      </c>
      <c r="CI92" s="55">
        <f t="shared" si="39"/>
        <v>0</v>
      </c>
      <c r="CJ92" s="55">
        <f t="shared" si="39"/>
        <v>0</v>
      </c>
      <c r="CK92" s="55">
        <f t="shared" si="39"/>
        <v>0</v>
      </c>
      <c r="CL92" s="55">
        <f t="shared" si="39"/>
        <v>0</v>
      </c>
      <c r="CM92" s="55">
        <f t="shared" si="39"/>
        <v>0</v>
      </c>
    </row>
    <row r="93" spans="1:91" x14ac:dyDescent="0.15">
      <c r="A93" s="42">
        <v>91</v>
      </c>
      <c r="B93" s="45">
        <f t="shared" si="64"/>
        <v>1</v>
      </c>
      <c r="C93" s="45">
        <f t="shared" si="63"/>
        <v>1</v>
      </c>
      <c r="D93" s="45">
        <f t="shared" si="63"/>
        <v>1</v>
      </c>
      <c r="E93" s="45">
        <f t="shared" si="63"/>
        <v>1</v>
      </c>
      <c r="F93" s="45">
        <f t="shared" si="63"/>
        <v>1</v>
      </c>
      <c r="G93" s="45">
        <f t="shared" si="63"/>
        <v>1</v>
      </c>
      <c r="H93" s="45">
        <f t="shared" si="63"/>
        <v>1</v>
      </c>
      <c r="I93" s="45">
        <f t="shared" si="63"/>
        <v>1</v>
      </c>
      <c r="J93" s="45">
        <f t="shared" si="63"/>
        <v>1</v>
      </c>
      <c r="K93" s="45" t="e">
        <f>K92+ATM_Conf!$C$5*(T92-AC92)</f>
        <v>#DIV/0!</v>
      </c>
      <c r="L93" s="45" t="e">
        <f>L92+ATM_Conf!$C$5*(U92-AD92)</f>
        <v>#DIV/0!</v>
      </c>
      <c r="M93" s="45" t="e">
        <f>M92+ATM_Conf!$C$5*(V92-AE92)</f>
        <v>#DIV/0!</v>
      </c>
      <c r="N93" s="45" t="e">
        <f>N92+ATM_Conf!$C$5*(W92-AF92)</f>
        <v>#DIV/0!</v>
      </c>
      <c r="O93" s="45" t="e">
        <f>O92+ATM_Conf!$C$5*(X92-AG92)</f>
        <v>#DIV/0!</v>
      </c>
      <c r="P93" s="45" t="e">
        <f>P92+ATM_Conf!$C$5*(Y92-AH92)</f>
        <v>#DIV/0!</v>
      </c>
      <c r="Q93" s="45" t="e">
        <f>Q92+ATM_Conf!$C$5*(Z92-AI92)</f>
        <v>#DIV/0!</v>
      </c>
      <c r="R93" s="45" t="e">
        <f>R92+ATM_Conf!$C$5*(AA92-AJ92)</f>
        <v>#DIV/0!</v>
      </c>
      <c r="S93" s="45" t="e">
        <f>S92+ATM_Conf!$C$5*(AB92-AK92)</f>
        <v>#DIV/0!</v>
      </c>
      <c r="T93" s="45"/>
      <c r="U93" s="45"/>
      <c r="V93" s="45"/>
      <c r="W93" s="45"/>
      <c r="X93" s="45"/>
      <c r="Y93" s="45"/>
      <c r="Z93" s="45"/>
      <c r="AA93" s="45"/>
      <c r="AB93" s="45"/>
      <c r="AC93" s="45" t="e">
        <f t="shared" si="41"/>
        <v>#DIV/0!</v>
      </c>
      <c r="AD93" s="45" t="e">
        <f t="shared" si="42"/>
        <v>#DIV/0!</v>
      </c>
      <c r="AE93" s="45" t="e">
        <f t="shared" si="43"/>
        <v>#DIV/0!</v>
      </c>
      <c r="AF93" s="45" t="e">
        <f t="shared" si="44"/>
        <v>#DIV/0!</v>
      </c>
      <c r="AG93" s="45" t="e">
        <f t="shared" si="45"/>
        <v>#DIV/0!</v>
      </c>
      <c r="AH93" s="45" t="e">
        <f t="shared" si="46"/>
        <v>#DIV/0!</v>
      </c>
      <c r="AI93" s="45" t="e">
        <f t="shared" si="47"/>
        <v>#DIV/0!</v>
      </c>
      <c r="AJ93" s="45" t="e">
        <f t="shared" si="48"/>
        <v>#DIV/0!</v>
      </c>
      <c r="AK93" s="45" t="e">
        <f t="shared" si="49"/>
        <v>#DIV/0!</v>
      </c>
      <c r="AL93" s="45" t="e">
        <f>T$3+K93/ATM_Conf!$C$5</f>
        <v>#DIV/0!</v>
      </c>
      <c r="AM93" s="45" t="e">
        <f>U$3+L93/ATM_Conf!$C$5</f>
        <v>#DIV/0!</v>
      </c>
      <c r="AN93" s="45" t="e">
        <f>V$3+M93/ATM_Conf!$C$5</f>
        <v>#DIV/0!</v>
      </c>
      <c r="AO93" s="45" t="e">
        <f>W$3+N93/ATM_Conf!$C$5</f>
        <v>#DIV/0!</v>
      </c>
      <c r="AP93" s="45" t="e">
        <f>X$3+O93/ATM_Conf!$C$5</f>
        <v>#DIV/0!</v>
      </c>
      <c r="AQ93" s="45" t="e">
        <f>Y$3+P93/ATM_Conf!$C$5</f>
        <v>#DIV/0!</v>
      </c>
      <c r="AR93" s="45" t="e">
        <f>Z$3+Q93/ATM_Conf!$C$5</f>
        <v>#DIV/0!</v>
      </c>
      <c r="AS93" s="45" t="e">
        <f>AA$3+R93/ATM_Conf!$C$5</f>
        <v>#DIV/0!</v>
      </c>
      <c r="AT93" s="45" t="e">
        <f>AB$3+S93/ATM_Conf!$C$5</f>
        <v>#DIV/0!</v>
      </c>
      <c r="AU93" s="45" t="e">
        <f>BD$3*MIN(1,(ATM_Conf!$C$6-Links!F93)/(ATM_Conf!$C$6-ATM_Conf!$C$7))</f>
        <v>#DIV/0!</v>
      </c>
      <c r="AV93" s="45" t="e">
        <f>BE$3*MIN(1,(ATM_Conf!$C$6-Links!G93)/(ATM_Conf!$C$6-ATM_Conf!$C$7))</f>
        <v>#DIV/0!</v>
      </c>
      <c r="AW93" s="45" t="e">
        <f>BF$3*MIN(1,(ATM_Conf!$C$6-Links!H93)/(ATM_Conf!$C$6-ATM_Conf!$C$7))</f>
        <v>#DIV/0!</v>
      </c>
      <c r="AX93" s="45" t="e">
        <f>BG$3*MIN(1,(ATM_Conf!$C$6-Links!I93)/(ATM_Conf!$C$6-ATM_Conf!$C$7))</f>
        <v>#DIV/0!</v>
      </c>
      <c r="AY93" s="45" t="e">
        <f>BH$3*MIN(1,(ATM_Conf!$C$6-Links!J93)/(ATM_Conf!$C$6-ATM_Conf!$C$7))</f>
        <v>#DIV/0!</v>
      </c>
      <c r="AZ93" s="45" t="e">
        <f>BI$3*MIN(1,(ATM_Conf!$C$6-Links!K93)/(ATM_Conf!$C$6-ATM_Conf!$C$7))</f>
        <v>#DIV/0!</v>
      </c>
      <c r="BA93" s="45" t="e">
        <f>BJ$3*MIN(1,(ATM_Conf!$C$6-Links!L93)/(ATM_Conf!$C$6-ATM_Conf!$C$7))</f>
        <v>#DIV/0!</v>
      </c>
      <c r="BB93" s="45" t="e">
        <f>BK$3*MIN(1,(ATM_Conf!$C$6-Links!M93)/(ATM_Conf!$C$6-ATM_Conf!$C$7))</f>
        <v>#DIV/0!</v>
      </c>
      <c r="BC93" s="45" t="e">
        <f>BL$3*MIN(1,(ATM_Conf!$C$6-Links!N93)/(ATM_Conf!$C$6-ATM_Conf!$C$7))</f>
        <v>#DIV/0!</v>
      </c>
      <c r="BD93" s="45"/>
      <c r="BE93" s="45"/>
      <c r="BF93" s="45"/>
      <c r="BG93" s="45"/>
      <c r="BH93" s="45"/>
      <c r="BI93" s="45"/>
      <c r="BJ93" s="45"/>
      <c r="BK93" s="45"/>
      <c r="BL93" s="45"/>
      <c r="BM93" s="53"/>
      <c r="BN93" s="53"/>
      <c r="BO93" s="53"/>
      <c r="BP93" s="53"/>
      <c r="BQ93" s="53"/>
      <c r="BR93" s="53"/>
      <c r="BS93" s="53"/>
      <c r="BT93" s="53"/>
      <c r="BU93" s="53"/>
      <c r="BV93" s="53" t="e">
        <f t="shared" si="50"/>
        <v>#DIV/0!</v>
      </c>
      <c r="BW93" s="53" t="e">
        <f t="shared" si="51"/>
        <v>#DIV/0!</v>
      </c>
      <c r="BX93" s="53" t="e">
        <f t="shared" si="52"/>
        <v>#DIV/0!</v>
      </c>
      <c r="BY93" s="53" t="e">
        <f t="shared" si="53"/>
        <v>#DIV/0!</v>
      </c>
      <c r="BZ93" s="53" t="e">
        <f t="shared" si="54"/>
        <v>#DIV/0!</v>
      </c>
      <c r="CA93" s="53" t="e">
        <f t="shared" si="55"/>
        <v>#DIV/0!</v>
      </c>
      <c r="CB93" s="53" t="e">
        <f t="shared" si="56"/>
        <v>#DIV/0!</v>
      </c>
      <c r="CC93" s="53" t="e">
        <f t="shared" si="57"/>
        <v>#DIV/0!</v>
      </c>
      <c r="CD93" s="53" t="e">
        <f t="shared" si="58"/>
        <v>#DIV/0!</v>
      </c>
      <c r="CE93" s="55">
        <f t="shared" si="40"/>
        <v>0</v>
      </c>
      <c r="CF93" s="55">
        <f t="shared" si="39"/>
        <v>0</v>
      </c>
      <c r="CG93" s="55">
        <f t="shared" si="39"/>
        <v>0</v>
      </c>
      <c r="CH93" s="55">
        <f t="shared" si="39"/>
        <v>0</v>
      </c>
      <c r="CI93" s="55">
        <f t="shared" si="39"/>
        <v>0</v>
      </c>
      <c r="CJ93" s="55">
        <f t="shared" si="39"/>
        <v>0</v>
      </c>
      <c r="CK93" s="55">
        <f t="shared" si="39"/>
        <v>0</v>
      </c>
      <c r="CL93" s="55">
        <f t="shared" si="39"/>
        <v>0</v>
      </c>
      <c r="CM93" s="55">
        <f t="shared" si="39"/>
        <v>0</v>
      </c>
    </row>
    <row r="94" spans="1:91" x14ac:dyDescent="0.15">
      <c r="A94" s="42">
        <v>92</v>
      </c>
      <c r="B94" s="45">
        <f t="shared" si="64"/>
        <v>1</v>
      </c>
      <c r="C94" s="45">
        <f t="shared" si="63"/>
        <v>1</v>
      </c>
      <c r="D94" s="45">
        <f t="shared" si="63"/>
        <v>1</v>
      </c>
      <c r="E94" s="45">
        <f t="shared" si="63"/>
        <v>1</v>
      </c>
      <c r="F94" s="45">
        <f t="shared" si="63"/>
        <v>1</v>
      </c>
      <c r="G94" s="45">
        <f t="shared" si="63"/>
        <v>1</v>
      </c>
      <c r="H94" s="45">
        <f t="shared" si="63"/>
        <v>1</v>
      </c>
      <c r="I94" s="45">
        <f t="shared" si="63"/>
        <v>1</v>
      </c>
      <c r="J94" s="45">
        <f t="shared" si="63"/>
        <v>1</v>
      </c>
      <c r="K94" s="45" t="e">
        <f>K93+ATM_Conf!$C$5*(T93-AC93)</f>
        <v>#DIV/0!</v>
      </c>
      <c r="L94" s="45" t="e">
        <f>L93+ATM_Conf!$C$5*(U93-AD93)</f>
        <v>#DIV/0!</v>
      </c>
      <c r="M94" s="45" t="e">
        <f>M93+ATM_Conf!$C$5*(V93-AE93)</f>
        <v>#DIV/0!</v>
      </c>
      <c r="N94" s="45" t="e">
        <f>N93+ATM_Conf!$C$5*(W93-AF93)</f>
        <v>#DIV/0!</v>
      </c>
      <c r="O94" s="45" t="e">
        <f>O93+ATM_Conf!$C$5*(X93-AG93)</f>
        <v>#DIV/0!</v>
      </c>
      <c r="P94" s="45" t="e">
        <f>P93+ATM_Conf!$C$5*(Y93-AH93)</f>
        <v>#DIV/0!</v>
      </c>
      <c r="Q94" s="45" t="e">
        <f>Q93+ATM_Conf!$C$5*(Z93-AI93)</f>
        <v>#DIV/0!</v>
      </c>
      <c r="R94" s="45" t="e">
        <f>R93+ATM_Conf!$C$5*(AA93-AJ93)</f>
        <v>#DIV/0!</v>
      </c>
      <c r="S94" s="45" t="e">
        <f>S93+ATM_Conf!$C$5*(AB93-AK93)</f>
        <v>#DIV/0!</v>
      </c>
      <c r="T94" s="45"/>
      <c r="U94" s="45"/>
      <c r="V94" s="45"/>
      <c r="W94" s="45"/>
      <c r="X94" s="45"/>
      <c r="Y94" s="45"/>
      <c r="Z94" s="45"/>
      <c r="AA94" s="45"/>
      <c r="AB94" s="45"/>
      <c r="AC94" s="45" t="e">
        <f t="shared" si="41"/>
        <v>#DIV/0!</v>
      </c>
      <c r="AD94" s="45" t="e">
        <f t="shared" si="42"/>
        <v>#DIV/0!</v>
      </c>
      <c r="AE94" s="45" t="e">
        <f t="shared" si="43"/>
        <v>#DIV/0!</v>
      </c>
      <c r="AF94" s="45" t="e">
        <f t="shared" si="44"/>
        <v>#DIV/0!</v>
      </c>
      <c r="AG94" s="45" t="e">
        <f t="shared" si="45"/>
        <v>#DIV/0!</v>
      </c>
      <c r="AH94" s="45" t="e">
        <f t="shared" si="46"/>
        <v>#DIV/0!</v>
      </c>
      <c r="AI94" s="45" t="e">
        <f t="shared" si="47"/>
        <v>#DIV/0!</v>
      </c>
      <c r="AJ94" s="45" t="e">
        <f t="shared" si="48"/>
        <v>#DIV/0!</v>
      </c>
      <c r="AK94" s="45" t="e">
        <f t="shared" si="49"/>
        <v>#DIV/0!</v>
      </c>
      <c r="AL94" s="45" t="e">
        <f>T$3+K94/ATM_Conf!$C$5</f>
        <v>#DIV/0!</v>
      </c>
      <c r="AM94" s="45" t="e">
        <f>U$3+L94/ATM_Conf!$C$5</f>
        <v>#DIV/0!</v>
      </c>
      <c r="AN94" s="45" t="e">
        <f>V$3+M94/ATM_Conf!$C$5</f>
        <v>#DIV/0!</v>
      </c>
      <c r="AO94" s="45" t="e">
        <f>W$3+N94/ATM_Conf!$C$5</f>
        <v>#DIV/0!</v>
      </c>
      <c r="AP94" s="45" t="e">
        <f>X$3+O94/ATM_Conf!$C$5</f>
        <v>#DIV/0!</v>
      </c>
      <c r="AQ94" s="45" t="e">
        <f>Y$3+P94/ATM_Conf!$C$5</f>
        <v>#DIV/0!</v>
      </c>
      <c r="AR94" s="45" t="e">
        <f>Z$3+Q94/ATM_Conf!$C$5</f>
        <v>#DIV/0!</v>
      </c>
      <c r="AS94" s="45" t="e">
        <f>AA$3+R94/ATM_Conf!$C$5</f>
        <v>#DIV/0!</v>
      </c>
      <c r="AT94" s="45" t="e">
        <f>AB$3+S94/ATM_Conf!$C$5</f>
        <v>#DIV/0!</v>
      </c>
      <c r="AU94" s="45" t="e">
        <f>BD$3*MIN(1,(ATM_Conf!$C$6-Links!F94)/(ATM_Conf!$C$6-ATM_Conf!$C$7))</f>
        <v>#DIV/0!</v>
      </c>
      <c r="AV94" s="45" t="e">
        <f>BE$3*MIN(1,(ATM_Conf!$C$6-Links!G94)/(ATM_Conf!$C$6-ATM_Conf!$C$7))</f>
        <v>#DIV/0!</v>
      </c>
      <c r="AW94" s="45" t="e">
        <f>BF$3*MIN(1,(ATM_Conf!$C$6-Links!H94)/(ATM_Conf!$C$6-ATM_Conf!$C$7))</f>
        <v>#DIV/0!</v>
      </c>
      <c r="AX94" s="45" t="e">
        <f>BG$3*MIN(1,(ATM_Conf!$C$6-Links!I94)/(ATM_Conf!$C$6-ATM_Conf!$C$7))</f>
        <v>#DIV/0!</v>
      </c>
      <c r="AY94" s="45" t="e">
        <f>BH$3*MIN(1,(ATM_Conf!$C$6-Links!J94)/(ATM_Conf!$C$6-ATM_Conf!$C$7))</f>
        <v>#DIV/0!</v>
      </c>
      <c r="AZ94" s="45" t="e">
        <f>BI$3*MIN(1,(ATM_Conf!$C$6-Links!K94)/(ATM_Conf!$C$6-ATM_Conf!$C$7))</f>
        <v>#DIV/0!</v>
      </c>
      <c r="BA94" s="45" t="e">
        <f>BJ$3*MIN(1,(ATM_Conf!$C$6-Links!L94)/(ATM_Conf!$C$6-ATM_Conf!$C$7))</f>
        <v>#DIV/0!</v>
      </c>
      <c r="BB94" s="45" t="e">
        <f>BK$3*MIN(1,(ATM_Conf!$C$6-Links!M94)/(ATM_Conf!$C$6-ATM_Conf!$C$7))</f>
        <v>#DIV/0!</v>
      </c>
      <c r="BC94" s="45" t="e">
        <f>BL$3*MIN(1,(ATM_Conf!$C$6-Links!N94)/(ATM_Conf!$C$6-ATM_Conf!$C$7))</f>
        <v>#DIV/0!</v>
      </c>
      <c r="BD94" s="45"/>
      <c r="BE94" s="45"/>
      <c r="BF94" s="45"/>
      <c r="BG94" s="45"/>
      <c r="BH94" s="45"/>
      <c r="BI94" s="45"/>
      <c r="BJ94" s="45"/>
      <c r="BK94" s="45"/>
      <c r="BL94" s="45"/>
      <c r="BM94" s="53"/>
      <c r="BN94" s="53"/>
      <c r="BO94" s="53"/>
      <c r="BP94" s="53"/>
      <c r="BQ94" s="53"/>
      <c r="BR94" s="53"/>
      <c r="BS94" s="53"/>
      <c r="BT94" s="53"/>
      <c r="BU94" s="53"/>
      <c r="BV94" s="53" t="e">
        <f t="shared" si="50"/>
        <v>#DIV/0!</v>
      </c>
      <c r="BW94" s="53" t="e">
        <f t="shared" si="51"/>
        <v>#DIV/0!</v>
      </c>
      <c r="BX94" s="53" t="e">
        <f t="shared" si="52"/>
        <v>#DIV/0!</v>
      </c>
      <c r="BY94" s="53" t="e">
        <f t="shared" si="53"/>
        <v>#DIV/0!</v>
      </c>
      <c r="BZ94" s="53" t="e">
        <f t="shared" si="54"/>
        <v>#DIV/0!</v>
      </c>
      <c r="CA94" s="53" t="e">
        <f t="shared" si="55"/>
        <v>#DIV/0!</v>
      </c>
      <c r="CB94" s="53" t="e">
        <f t="shared" si="56"/>
        <v>#DIV/0!</v>
      </c>
      <c r="CC94" s="53" t="e">
        <f t="shared" si="57"/>
        <v>#DIV/0!</v>
      </c>
      <c r="CD94" s="53" t="e">
        <f t="shared" si="58"/>
        <v>#DIV/0!</v>
      </c>
      <c r="CE94" s="55">
        <f t="shared" si="40"/>
        <v>0</v>
      </c>
      <c r="CF94" s="55">
        <f t="shared" si="39"/>
        <v>0</v>
      </c>
      <c r="CG94" s="55">
        <f t="shared" si="39"/>
        <v>0</v>
      </c>
      <c r="CH94" s="55">
        <f t="shared" si="39"/>
        <v>0</v>
      </c>
      <c r="CI94" s="55">
        <f t="shared" si="39"/>
        <v>0</v>
      </c>
      <c r="CJ94" s="55">
        <f t="shared" si="39"/>
        <v>0</v>
      </c>
      <c r="CK94" s="55">
        <f t="shared" si="39"/>
        <v>0</v>
      </c>
      <c r="CL94" s="55">
        <f t="shared" si="39"/>
        <v>0</v>
      </c>
      <c r="CM94" s="55">
        <f t="shared" si="39"/>
        <v>0</v>
      </c>
    </row>
    <row r="95" spans="1:91" x14ac:dyDescent="0.15">
      <c r="A95" s="42">
        <v>93</v>
      </c>
      <c r="B95" s="45">
        <f t="shared" si="64"/>
        <v>1</v>
      </c>
      <c r="C95" s="45">
        <f t="shared" si="63"/>
        <v>1</v>
      </c>
      <c r="D95" s="45">
        <f t="shared" si="63"/>
        <v>1</v>
      </c>
      <c r="E95" s="45">
        <f t="shared" si="63"/>
        <v>1</v>
      </c>
      <c r="F95" s="45">
        <f t="shared" si="63"/>
        <v>1</v>
      </c>
      <c r="G95" s="45">
        <f t="shared" si="63"/>
        <v>1</v>
      </c>
      <c r="H95" s="45">
        <f t="shared" si="63"/>
        <v>1</v>
      </c>
      <c r="I95" s="45">
        <f t="shared" si="63"/>
        <v>1</v>
      </c>
      <c r="J95" s="45">
        <f t="shared" si="63"/>
        <v>1</v>
      </c>
      <c r="K95" s="45" t="e">
        <f>K94+ATM_Conf!$C$5*(T94-AC94)</f>
        <v>#DIV/0!</v>
      </c>
      <c r="L95" s="45" t="e">
        <f>L94+ATM_Conf!$C$5*(U94-AD94)</f>
        <v>#DIV/0!</v>
      </c>
      <c r="M95" s="45" t="e">
        <f>M94+ATM_Conf!$C$5*(V94-AE94)</f>
        <v>#DIV/0!</v>
      </c>
      <c r="N95" s="45" t="e">
        <f>N94+ATM_Conf!$C$5*(W94-AF94)</f>
        <v>#DIV/0!</v>
      </c>
      <c r="O95" s="45" t="e">
        <f>O94+ATM_Conf!$C$5*(X94-AG94)</f>
        <v>#DIV/0!</v>
      </c>
      <c r="P95" s="45" t="e">
        <f>P94+ATM_Conf!$C$5*(Y94-AH94)</f>
        <v>#DIV/0!</v>
      </c>
      <c r="Q95" s="45" t="e">
        <f>Q94+ATM_Conf!$C$5*(Z94-AI94)</f>
        <v>#DIV/0!</v>
      </c>
      <c r="R95" s="45" t="e">
        <f>R94+ATM_Conf!$C$5*(AA94-AJ94)</f>
        <v>#DIV/0!</v>
      </c>
      <c r="S95" s="45" t="e">
        <f>S94+ATM_Conf!$C$5*(AB94-AK94)</f>
        <v>#DIV/0!</v>
      </c>
      <c r="T95" s="45"/>
      <c r="U95" s="45"/>
      <c r="V95" s="45"/>
      <c r="W95" s="45"/>
      <c r="X95" s="45"/>
      <c r="Y95" s="45"/>
      <c r="Z95" s="45"/>
      <c r="AA95" s="45"/>
      <c r="AB95" s="45"/>
      <c r="AC95" s="45" t="e">
        <f t="shared" si="41"/>
        <v>#DIV/0!</v>
      </c>
      <c r="AD95" s="45" t="e">
        <f t="shared" si="42"/>
        <v>#DIV/0!</v>
      </c>
      <c r="AE95" s="45" t="e">
        <f t="shared" si="43"/>
        <v>#DIV/0!</v>
      </c>
      <c r="AF95" s="45" t="e">
        <f t="shared" si="44"/>
        <v>#DIV/0!</v>
      </c>
      <c r="AG95" s="45" t="e">
        <f t="shared" si="45"/>
        <v>#DIV/0!</v>
      </c>
      <c r="AH95" s="45" t="e">
        <f t="shared" si="46"/>
        <v>#DIV/0!</v>
      </c>
      <c r="AI95" s="45" t="e">
        <f t="shared" si="47"/>
        <v>#DIV/0!</v>
      </c>
      <c r="AJ95" s="45" t="e">
        <f t="shared" si="48"/>
        <v>#DIV/0!</v>
      </c>
      <c r="AK95" s="45" t="e">
        <f t="shared" si="49"/>
        <v>#DIV/0!</v>
      </c>
      <c r="AL95" s="45" t="e">
        <f>T$3+K95/ATM_Conf!$C$5</f>
        <v>#DIV/0!</v>
      </c>
      <c r="AM95" s="45" t="e">
        <f>U$3+L95/ATM_Conf!$C$5</f>
        <v>#DIV/0!</v>
      </c>
      <c r="AN95" s="45" t="e">
        <f>V$3+M95/ATM_Conf!$C$5</f>
        <v>#DIV/0!</v>
      </c>
      <c r="AO95" s="45" t="e">
        <f>W$3+N95/ATM_Conf!$C$5</f>
        <v>#DIV/0!</v>
      </c>
      <c r="AP95" s="45" t="e">
        <f>X$3+O95/ATM_Conf!$C$5</f>
        <v>#DIV/0!</v>
      </c>
      <c r="AQ95" s="45" t="e">
        <f>Y$3+P95/ATM_Conf!$C$5</f>
        <v>#DIV/0!</v>
      </c>
      <c r="AR95" s="45" t="e">
        <f>Z$3+Q95/ATM_Conf!$C$5</f>
        <v>#DIV/0!</v>
      </c>
      <c r="AS95" s="45" t="e">
        <f>AA$3+R95/ATM_Conf!$C$5</f>
        <v>#DIV/0!</v>
      </c>
      <c r="AT95" s="45" t="e">
        <f>AB$3+S95/ATM_Conf!$C$5</f>
        <v>#DIV/0!</v>
      </c>
      <c r="AU95" s="45" t="e">
        <f>BD$3*MIN(1,(ATM_Conf!$C$6-Links!F95)/(ATM_Conf!$C$6-ATM_Conf!$C$7))</f>
        <v>#DIV/0!</v>
      </c>
      <c r="AV95" s="45" t="e">
        <f>BE$3*MIN(1,(ATM_Conf!$C$6-Links!G95)/(ATM_Conf!$C$6-ATM_Conf!$C$7))</f>
        <v>#DIV/0!</v>
      </c>
      <c r="AW95" s="45" t="e">
        <f>BF$3*MIN(1,(ATM_Conf!$C$6-Links!H95)/(ATM_Conf!$C$6-ATM_Conf!$C$7))</f>
        <v>#DIV/0!</v>
      </c>
      <c r="AX95" s="45" t="e">
        <f>BG$3*MIN(1,(ATM_Conf!$C$6-Links!I95)/(ATM_Conf!$C$6-ATM_Conf!$C$7))</f>
        <v>#DIV/0!</v>
      </c>
      <c r="AY95" s="45" t="e">
        <f>BH$3*MIN(1,(ATM_Conf!$C$6-Links!J95)/(ATM_Conf!$C$6-ATM_Conf!$C$7))</f>
        <v>#DIV/0!</v>
      </c>
      <c r="AZ95" s="45" t="e">
        <f>BI$3*MIN(1,(ATM_Conf!$C$6-Links!K95)/(ATM_Conf!$C$6-ATM_Conf!$C$7))</f>
        <v>#DIV/0!</v>
      </c>
      <c r="BA95" s="45" t="e">
        <f>BJ$3*MIN(1,(ATM_Conf!$C$6-Links!L95)/(ATM_Conf!$C$6-ATM_Conf!$C$7))</f>
        <v>#DIV/0!</v>
      </c>
      <c r="BB95" s="45" t="e">
        <f>BK$3*MIN(1,(ATM_Conf!$C$6-Links!M95)/(ATM_Conf!$C$6-ATM_Conf!$C$7))</f>
        <v>#DIV/0!</v>
      </c>
      <c r="BC95" s="45" t="e">
        <f>BL$3*MIN(1,(ATM_Conf!$C$6-Links!N95)/(ATM_Conf!$C$6-ATM_Conf!$C$7))</f>
        <v>#DIV/0!</v>
      </c>
      <c r="BD95" s="45"/>
      <c r="BE95" s="45"/>
      <c r="BF95" s="45"/>
      <c r="BG95" s="45"/>
      <c r="BH95" s="45"/>
      <c r="BI95" s="45"/>
      <c r="BJ95" s="45"/>
      <c r="BK95" s="45"/>
      <c r="BL95" s="45"/>
      <c r="BM95" s="53"/>
      <c r="BN95" s="53"/>
      <c r="BO95" s="53"/>
      <c r="BP95" s="53"/>
      <c r="BQ95" s="53"/>
      <c r="BR95" s="53"/>
      <c r="BS95" s="53"/>
      <c r="BT95" s="53"/>
      <c r="BU95" s="53"/>
      <c r="BV95" s="53" t="e">
        <f t="shared" si="50"/>
        <v>#DIV/0!</v>
      </c>
      <c r="BW95" s="53" t="e">
        <f t="shared" si="51"/>
        <v>#DIV/0!</v>
      </c>
      <c r="BX95" s="53" t="e">
        <f t="shared" si="52"/>
        <v>#DIV/0!</v>
      </c>
      <c r="BY95" s="53" t="e">
        <f t="shared" si="53"/>
        <v>#DIV/0!</v>
      </c>
      <c r="BZ95" s="53" t="e">
        <f t="shared" si="54"/>
        <v>#DIV/0!</v>
      </c>
      <c r="CA95" s="53" t="e">
        <f t="shared" si="55"/>
        <v>#DIV/0!</v>
      </c>
      <c r="CB95" s="53" t="e">
        <f t="shared" si="56"/>
        <v>#DIV/0!</v>
      </c>
      <c r="CC95" s="53" t="e">
        <f t="shared" si="57"/>
        <v>#DIV/0!</v>
      </c>
      <c r="CD95" s="53" t="e">
        <f t="shared" si="58"/>
        <v>#DIV/0!</v>
      </c>
      <c r="CE95" s="55">
        <f t="shared" si="40"/>
        <v>0</v>
      </c>
      <c r="CF95" s="55">
        <f t="shared" si="39"/>
        <v>0</v>
      </c>
      <c r="CG95" s="55">
        <f t="shared" si="39"/>
        <v>0</v>
      </c>
      <c r="CH95" s="55">
        <f t="shared" si="39"/>
        <v>0</v>
      </c>
      <c r="CI95" s="55">
        <f t="shared" si="39"/>
        <v>0</v>
      </c>
      <c r="CJ95" s="55">
        <f t="shared" si="39"/>
        <v>0</v>
      </c>
      <c r="CK95" s="55">
        <f t="shared" si="39"/>
        <v>0</v>
      </c>
      <c r="CL95" s="55">
        <f t="shared" si="39"/>
        <v>0</v>
      </c>
      <c r="CM95" s="55">
        <f t="shared" si="39"/>
        <v>0</v>
      </c>
    </row>
    <row r="96" spans="1:91" x14ac:dyDescent="0.15">
      <c r="A96" s="42">
        <v>94</v>
      </c>
      <c r="B96" s="45">
        <f t="shared" si="64"/>
        <v>1</v>
      </c>
      <c r="C96" s="45">
        <f t="shared" si="63"/>
        <v>1</v>
      </c>
      <c r="D96" s="45">
        <f t="shared" si="63"/>
        <v>1</v>
      </c>
      <c r="E96" s="45">
        <f t="shared" si="63"/>
        <v>1</v>
      </c>
      <c r="F96" s="45">
        <f t="shared" si="63"/>
        <v>1</v>
      </c>
      <c r="G96" s="45">
        <f t="shared" si="63"/>
        <v>1</v>
      </c>
      <c r="H96" s="45">
        <f t="shared" si="63"/>
        <v>1</v>
      </c>
      <c r="I96" s="45">
        <f t="shared" si="63"/>
        <v>1</v>
      </c>
      <c r="J96" s="45">
        <f t="shared" si="63"/>
        <v>1</v>
      </c>
      <c r="K96" s="45" t="e">
        <f>K95+ATM_Conf!$C$5*(T95-AC95)</f>
        <v>#DIV/0!</v>
      </c>
      <c r="L96" s="45" t="e">
        <f>L95+ATM_Conf!$C$5*(U95-AD95)</f>
        <v>#DIV/0!</v>
      </c>
      <c r="M96" s="45" t="e">
        <f>M95+ATM_Conf!$C$5*(V95-AE95)</f>
        <v>#DIV/0!</v>
      </c>
      <c r="N96" s="45" t="e">
        <f>N95+ATM_Conf!$C$5*(W95-AF95)</f>
        <v>#DIV/0!</v>
      </c>
      <c r="O96" s="45" t="e">
        <f>O95+ATM_Conf!$C$5*(X95-AG95)</f>
        <v>#DIV/0!</v>
      </c>
      <c r="P96" s="45" t="e">
        <f>P95+ATM_Conf!$C$5*(Y95-AH95)</f>
        <v>#DIV/0!</v>
      </c>
      <c r="Q96" s="45" t="e">
        <f>Q95+ATM_Conf!$C$5*(Z95-AI95)</f>
        <v>#DIV/0!</v>
      </c>
      <c r="R96" s="45" t="e">
        <f>R95+ATM_Conf!$C$5*(AA95-AJ95)</f>
        <v>#DIV/0!</v>
      </c>
      <c r="S96" s="45" t="e">
        <f>S95+ATM_Conf!$C$5*(AB95-AK95)</f>
        <v>#DIV/0!</v>
      </c>
      <c r="T96" s="45"/>
      <c r="U96" s="45"/>
      <c r="V96" s="45"/>
      <c r="W96" s="45"/>
      <c r="X96" s="45"/>
      <c r="Y96" s="45"/>
      <c r="Z96" s="45"/>
      <c r="AA96" s="45"/>
      <c r="AB96" s="45"/>
      <c r="AC96" s="45" t="e">
        <f t="shared" si="41"/>
        <v>#DIV/0!</v>
      </c>
      <c r="AD96" s="45" t="e">
        <f t="shared" si="42"/>
        <v>#DIV/0!</v>
      </c>
      <c r="AE96" s="45" t="e">
        <f t="shared" si="43"/>
        <v>#DIV/0!</v>
      </c>
      <c r="AF96" s="45" t="e">
        <f t="shared" si="44"/>
        <v>#DIV/0!</v>
      </c>
      <c r="AG96" s="45" t="e">
        <f t="shared" si="45"/>
        <v>#DIV/0!</v>
      </c>
      <c r="AH96" s="45" t="e">
        <f t="shared" si="46"/>
        <v>#DIV/0!</v>
      </c>
      <c r="AI96" s="45" t="e">
        <f t="shared" si="47"/>
        <v>#DIV/0!</v>
      </c>
      <c r="AJ96" s="45" t="e">
        <f t="shared" si="48"/>
        <v>#DIV/0!</v>
      </c>
      <c r="AK96" s="45" t="e">
        <f t="shared" si="49"/>
        <v>#DIV/0!</v>
      </c>
      <c r="AL96" s="45" t="e">
        <f>T$3+K96/ATM_Conf!$C$5</f>
        <v>#DIV/0!</v>
      </c>
      <c r="AM96" s="45" t="e">
        <f>U$3+L96/ATM_Conf!$C$5</f>
        <v>#DIV/0!</v>
      </c>
      <c r="AN96" s="45" t="e">
        <f>V$3+M96/ATM_Conf!$C$5</f>
        <v>#DIV/0!</v>
      </c>
      <c r="AO96" s="45" t="e">
        <f>W$3+N96/ATM_Conf!$C$5</f>
        <v>#DIV/0!</v>
      </c>
      <c r="AP96" s="45" t="e">
        <f>X$3+O96/ATM_Conf!$C$5</f>
        <v>#DIV/0!</v>
      </c>
      <c r="AQ96" s="45" t="e">
        <f>Y$3+P96/ATM_Conf!$C$5</f>
        <v>#DIV/0!</v>
      </c>
      <c r="AR96" s="45" t="e">
        <f>Z$3+Q96/ATM_Conf!$C$5</f>
        <v>#DIV/0!</v>
      </c>
      <c r="AS96" s="45" t="e">
        <f>AA$3+R96/ATM_Conf!$C$5</f>
        <v>#DIV/0!</v>
      </c>
      <c r="AT96" s="45" t="e">
        <f>AB$3+S96/ATM_Conf!$C$5</f>
        <v>#DIV/0!</v>
      </c>
      <c r="AU96" s="45" t="e">
        <f>BD$3*MIN(1,(ATM_Conf!$C$6-Links!F96)/(ATM_Conf!$C$6-ATM_Conf!$C$7))</f>
        <v>#DIV/0!</v>
      </c>
      <c r="AV96" s="45" t="e">
        <f>BE$3*MIN(1,(ATM_Conf!$C$6-Links!G96)/(ATM_Conf!$C$6-ATM_Conf!$C$7))</f>
        <v>#DIV/0!</v>
      </c>
      <c r="AW96" s="45" t="e">
        <f>BF$3*MIN(1,(ATM_Conf!$C$6-Links!H96)/(ATM_Conf!$C$6-ATM_Conf!$C$7))</f>
        <v>#DIV/0!</v>
      </c>
      <c r="AX96" s="45" t="e">
        <f>BG$3*MIN(1,(ATM_Conf!$C$6-Links!I96)/(ATM_Conf!$C$6-ATM_Conf!$C$7))</f>
        <v>#DIV/0!</v>
      </c>
      <c r="AY96" s="45" t="e">
        <f>BH$3*MIN(1,(ATM_Conf!$C$6-Links!J96)/(ATM_Conf!$C$6-ATM_Conf!$C$7))</f>
        <v>#DIV/0!</v>
      </c>
      <c r="AZ96" s="45" t="e">
        <f>BI$3*MIN(1,(ATM_Conf!$C$6-Links!K96)/(ATM_Conf!$C$6-ATM_Conf!$C$7))</f>
        <v>#DIV/0!</v>
      </c>
      <c r="BA96" s="45" t="e">
        <f>BJ$3*MIN(1,(ATM_Conf!$C$6-Links!L96)/(ATM_Conf!$C$6-ATM_Conf!$C$7))</f>
        <v>#DIV/0!</v>
      </c>
      <c r="BB96" s="45" t="e">
        <f>BK$3*MIN(1,(ATM_Conf!$C$6-Links!M96)/(ATM_Conf!$C$6-ATM_Conf!$C$7))</f>
        <v>#DIV/0!</v>
      </c>
      <c r="BC96" s="45" t="e">
        <f>BL$3*MIN(1,(ATM_Conf!$C$6-Links!N96)/(ATM_Conf!$C$6-ATM_Conf!$C$7))</f>
        <v>#DIV/0!</v>
      </c>
      <c r="BD96" s="45"/>
      <c r="BE96" s="45"/>
      <c r="BF96" s="45"/>
      <c r="BG96" s="45"/>
      <c r="BH96" s="45"/>
      <c r="BI96" s="45"/>
      <c r="BJ96" s="45"/>
      <c r="BK96" s="45"/>
      <c r="BL96" s="45"/>
      <c r="BM96" s="53"/>
      <c r="BN96" s="53"/>
      <c r="BO96" s="53"/>
      <c r="BP96" s="53"/>
      <c r="BQ96" s="53"/>
      <c r="BR96" s="53"/>
      <c r="BS96" s="53"/>
      <c r="BT96" s="53"/>
      <c r="BU96" s="53"/>
      <c r="BV96" s="53" t="e">
        <f t="shared" si="50"/>
        <v>#DIV/0!</v>
      </c>
      <c r="BW96" s="53" t="e">
        <f t="shared" si="51"/>
        <v>#DIV/0!</v>
      </c>
      <c r="BX96" s="53" t="e">
        <f t="shared" si="52"/>
        <v>#DIV/0!</v>
      </c>
      <c r="BY96" s="53" t="e">
        <f t="shared" si="53"/>
        <v>#DIV/0!</v>
      </c>
      <c r="BZ96" s="53" t="e">
        <f t="shared" si="54"/>
        <v>#DIV/0!</v>
      </c>
      <c r="CA96" s="53" t="e">
        <f t="shared" si="55"/>
        <v>#DIV/0!</v>
      </c>
      <c r="CB96" s="53" t="e">
        <f t="shared" si="56"/>
        <v>#DIV/0!</v>
      </c>
      <c r="CC96" s="53" t="e">
        <f t="shared" si="57"/>
        <v>#DIV/0!</v>
      </c>
      <c r="CD96" s="53" t="e">
        <f t="shared" si="58"/>
        <v>#DIV/0!</v>
      </c>
      <c r="CE96" s="55">
        <f t="shared" si="40"/>
        <v>0</v>
      </c>
      <c r="CF96" s="55">
        <f t="shared" si="39"/>
        <v>0</v>
      </c>
      <c r="CG96" s="55">
        <f t="shared" si="39"/>
        <v>0</v>
      </c>
      <c r="CH96" s="55">
        <f t="shared" si="39"/>
        <v>0</v>
      </c>
      <c r="CI96" s="55">
        <f t="shared" si="39"/>
        <v>0</v>
      </c>
      <c r="CJ96" s="55">
        <f t="shared" si="39"/>
        <v>0</v>
      </c>
      <c r="CK96" s="55">
        <f t="shared" si="39"/>
        <v>0</v>
      </c>
      <c r="CL96" s="55">
        <f t="shared" si="39"/>
        <v>0</v>
      </c>
      <c r="CM96" s="55">
        <f t="shared" si="39"/>
        <v>0</v>
      </c>
    </row>
    <row r="97" spans="1:91" x14ac:dyDescent="0.15">
      <c r="A97" s="42">
        <v>95</v>
      </c>
      <c r="B97" s="45">
        <f t="shared" si="64"/>
        <v>1</v>
      </c>
      <c r="C97" s="45">
        <f t="shared" si="63"/>
        <v>1</v>
      </c>
      <c r="D97" s="45">
        <f t="shared" si="63"/>
        <v>1</v>
      </c>
      <c r="E97" s="45">
        <f t="shared" si="63"/>
        <v>1</v>
      </c>
      <c r="F97" s="45">
        <f t="shared" si="63"/>
        <v>1</v>
      </c>
      <c r="G97" s="45">
        <f t="shared" si="63"/>
        <v>1</v>
      </c>
      <c r="H97" s="45">
        <f t="shared" si="63"/>
        <v>1</v>
      </c>
      <c r="I97" s="45">
        <f t="shared" si="63"/>
        <v>1</v>
      </c>
      <c r="J97" s="45">
        <f t="shared" si="63"/>
        <v>1</v>
      </c>
      <c r="K97" s="45" t="e">
        <f>K96+ATM_Conf!$C$5*(T96-AC96)</f>
        <v>#DIV/0!</v>
      </c>
      <c r="L97" s="45" t="e">
        <f>L96+ATM_Conf!$C$5*(U96-AD96)</f>
        <v>#DIV/0!</v>
      </c>
      <c r="M97" s="45" t="e">
        <f>M96+ATM_Conf!$C$5*(V96-AE96)</f>
        <v>#DIV/0!</v>
      </c>
      <c r="N97" s="45" t="e">
        <f>N96+ATM_Conf!$C$5*(W96-AF96)</f>
        <v>#DIV/0!</v>
      </c>
      <c r="O97" s="45" t="e">
        <f>O96+ATM_Conf!$C$5*(X96-AG96)</f>
        <v>#DIV/0!</v>
      </c>
      <c r="P97" s="45" t="e">
        <f>P96+ATM_Conf!$C$5*(Y96-AH96)</f>
        <v>#DIV/0!</v>
      </c>
      <c r="Q97" s="45" t="e">
        <f>Q96+ATM_Conf!$C$5*(Z96-AI96)</f>
        <v>#DIV/0!</v>
      </c>
      <c r="R97" s="45" t="e">
        <f>R96+ATM_Conf!$C$5*(AA96-AJ96)</f>
        <v>#DIV/0!</v>
      </c>
      <c r="S97" s="45" t="e">
        <f>S96+ATM_Conf!$C$5*(AB96-AK96)</f>
        <v>#DIV/0!</v>
      </c>
      <c r="T97" s="45"/>
      <c r="U97" s="45"/>
      <c r="V97" s="45"/>
      <c r="W97" s="45"/>
      <c r="X97" s="45"/>
      <c r="Y97" s="45"/>
      <c r="Z97" s="45"/>
      <c r="AA97" s="45"/>
      <c r="AB97" s="45"/>
      <c r="AC97" s="45" t="e">
        <f t="shared" si="41"/>
        <v>#DIV/0!</v>
      </c>
      <c r="AD97" s="45" t="e">
        <f t="shared" si="42"/>
        <v>#DIV/0!</v>
      </c>
      <c r="AE97" s="45" t="e">
        <f t="shared" si="43"/>
        <v>#DIV/0!</v>
      </c>
      <c r="AF97" s="45" t="e">
        <f t="shared" si="44"/>
        <v>#DIV/0!</v>
      </c>
      <c r="AG97" s="45" t="e">
        <f t="shared" si="45"/>
        <v>#DIV/0!</v>
      </c>
      <c r="AH97" s="45" t="e">
        <f t="shared" si="46"/>
        <v>#DIV/0!</v>
      </c>
      <c r="AI97" s="45" t="e">
        <f t="shared" si="47"/>
        <v>#DIV/0!</v>
      </c>
      <c r="AJ97" s="45" t="e">
        <f t="shared" si="48"/>
        <v>#DIV/0!</v>
      </c>
      <c r="AK97" s="45" t="e">
        <f t="shared" si="49"/>
        <v>#DIV/0!</v>
      </c>
      <c r="AL97" s="45" t="e">
        <f>T$3+K97/ATM_Conf!$C$5</f>
        <v>#DIV/0!</v>
      </c>
      <c r="AM97" s="45" t="e">
        <f>U$3+L97/ATM_Conf!$C$5</f>
        <v>#DIV/0!</v>
      </c>
      <c r="AN97" s="45" t="e">
        <f>V$3+M97/ATM_Conf!$C$5</f>
        <v>#DIV/0!</v>
      </c>
      <c r="AO97" s="45" t="e">
        <f>W$3+N97/ATM_Conf!$C$5</f>
        <v>#DIV/0!</v>
      </c>
      <c r="AP97" s="45" t="e">
        <f>X$3+O97/ATM_Conf!$C$5</f>
        <v>#DIV/0!</v>
      </c>
      <c r="AQ97" s="45" t="e">
        <f>Y$3+P97/ATM_Conf!$C$5</f>
        <v>#DIV/0!</v>
      </c>
      <c r="AR97" s="45" t="e">
        <f>Z$3+Q97/ATM_Conf!$C$5</f>
        <v>#DIV/0!</v>
      </c>
      <c r="AS97" s="45" t="e">
        <f>AA$3+R97/ATM_Conf!$C$5</f>
        <v>#DIV/0!</v>
      </c>
      <c r="AT97" s="45" t="e">
        <f>AB$3+S97/ATM_Conf!$C$5</f>
        <v>#DIV/0!</v>
      </c>
      <c r="AU97" s="45" t="e">
        <f>BD$3*MIN(1,(ATM_Conf!$C$6-Links!F97)/(ATM_Conf!$C$6-ATM_Conf!$C$7))</f>
        <v>#DIV/0!</v>
      </c>
      <c r="AV97" s="45" t="e">
        <f>BE$3*MIN(1,(ATM_Conf!$C$6-Links!G97)/(ATM_Conf!$C$6-ATM_Conf!$C$7))</f>
        <v>#DIV/0!</v>
      </c>
      <c r="AW97" s="45" t="e">
        <f>BF$3*MIN(1,(ATM_Conf!$C$6-Links!H97)/(ATM_Conf!$C$6-ATM_Conf!$C$7))</f>
        <v>#DIV/0!</v>
      </c>
      <c r="AX97" s="45" t="e">
        <f>BG$3*MIN(1,(ATM_Conf!$C$6-Links!I97)/(ATM_Conf!$C$6-ATM_Conf!$C$7))</f>
        <v>#DIV/0!</v>
      </c>
      <c r="AY97" s="45" t="e">
        <f>BH$3*MIN(1,(ATM_Conf!$C$6-Links!J97)/(ATM_Conf!$C$6-ATM_Conf!$C$7))</f>
        <v>#DIV/0!</v>
      </c>
      <c r="AZ97" s="45" t="e">
        <f>BI$3*MIN(1,(ATM_Conf!$C$6-Links!K97)/(ATM_Conf!$C$6-ATM_Conf!$C$7))</f>
        <v>#DIV/0!</v>
      </c>
      <c r="BA97" s="45" t="e">
        <f>BJ$3*MIN(1,(ATM_Conf!$C$6-Links!L97)/(ATM_Conf!$C$6-ATM_Conf!$C$7))</f>
        <v>#DIV/0!</v>
      </c>
      <c r="BB97" s="45" t="e">
        <f>BK$3*MIN(1,(ATM_Conf!$C$6-Links!M97)/(ATM_Conf!$C$6-ATM_Conf!$C$7))</f>
        <v>#DIV/0!</v>
      </c>
      <c r="BC97" s="45" t="e">
        <f>BL$3*MIN(1,(ATM_Conf!$C$6-Links!N97)/(ATM_Conf!$C$6-ATM_Conf!$C$7))</f>
        <v>#DIV/0!</v>
      </c>
      <c r="BD97" s="45"/>
      <c r="BE97" s="45"/>
      <c r="BF97" s="45"/>
      <c r="BG97" s="45"/>
      <c r="BH97" s="45"/>
      <c r="BI97" s="45"/>
      <c r="BJ97" s="45"/>
      <c r="BK97" s="45"/>
      <c r="BL97" s="45"/>
      <c r="BM97" s="53"/>
      <c r="BN97" s="53"/>
      <c r="BO97" s="53"/>
      <c r="BP97" s="53"/>
      <c r="BQ97" s="53"/>
      <c r="BR97" s="53"/>
      <c r="BS97" s="53"/>
      <c r="BT97" s="53"/>
      <c r="BU97" s="53"/>
      <c r="BV97" s="53" t="e">
        <f t="shared" si="50"/>
        <v>#DIV/0!</v>
      </c>
      <c r="BW97" s="53" t="e">
        <f t="shared" si="51"/>
        <v>#DIV/0!</v>
      </c>
      <c r="BX97" s="53" t="e">
        <f t="shared" si="52"/>
        <v>#DIV/0!</v>
      </c>
      <c r="BY97" s="53" t="e">
        <f t="shared" si="53"/>
        <v>#DIV/0!</v>
      </c>
      <c r="BZ97" s="53" t="e">
        <f t="shared" si="54"/>
        <v>#DIV/0!</v>
      </c>
      <c r="CA97" s="53" t="e">
        <f t="shared" si="55"/>
        <v>#DIV/0!</v>
      </c>
      <c r="CB97" s="53" t="e">
        <f t="shared" si="56"/>
        <v>#DIV/0!</v>
      </c>
      <c r="CC97" s="53" t="e">
        <f t="shared" si="57"/>
        <v>#DIV/0!</v>
      </c>
      <c r="CD97" s="53" t="e">
        <f t="shared" si="58"/>
        <v>#DIV/0!</v>
      </c>
      <c r="CE97" s="55">
        <f t="shared" si="40"/>
        <v>0</v>
      </c>
      <c r="CF97" s="55">
        <f t="shared" si="39"/>
        <v>0</v>
      </c>
      <c r="CG97" s="55">
        <f t="shared" ref="CF97:CM128" si="65">CG$3</f>
        <v>0</v>
      </c>
      <c r="CH97" s="55">
        <f t="shared" si="65"/>
        <v>0</v>
      </c>
      <c r="CI97" s="55">
        <f t="shared" si="65"/>
        <v>0</v>
      </c>
      <c r="CJ97" s="55">
        <f t="shared" si="65"/>
        <v>0</v>
      </c>
      <c r="CK97" s="55">
        <f t="shared" si="65"/>
        <v>0</v>
      </c>
      <c r="CL97" s="55">
        <f t="shared" si="65"/>
        <v>0</v>
      </c>
      <c r="CM97" s="55">
        <f t="shared" si="65"/>
        <v>0</v>
      </c>
    </row>
    <row r="98" spans="1:91" x14ac:dyDescent="0.15">
      <c r="A98" s="42">
        <v>96</v>
      </c>
      <c r="B98" s="45">
        <f t="shared" si="64"/>
        <v>1</v>
      </c>
      <c r="C98" s="45">
        <f t="shared" si="63"/>
        <v>1</v>
      </c>
      <c r="D98" s="45">
        <f t="shared" si="63"/>
        <v>1</v>
      </c>
      <c r="E98" s="45">
        <f t="shared" si="63"/>
        <v>1</v>
      </c>
      <c r="F98" s="45">
        <f t="shared" si="63"/>
        <v>1</v>
      </c>
      <c r="G98" s="45">
        <f t="shared" si="63"/>
        <v>1</v>
      </c>
      <c r="H98" s="45">
        <f t="shared" si="63"/>
        <v>1</v>
      </c>
      <c r="I98" s="45">
        <f t="shared" si="63"/>
        <v>1</v>
      </c>
      <c r="J98" s="45">
        <f t="shared" si="63"/>
        <v>1</v>
      </c>
      <c r="K98" s="45" t="e">
        <f>K97+ATM_Conf!$C$5*(T97-AC97)</f>
        <v>#DIV/0!</v>
      </c>
      <c r="L98" s="45" t="e">
        <f>L97+ATM_Conf!$C$5*(U97-AD97)</f>
        <v>#DIV/0!</v>
      </c>
      <c r="M98" s="45" t="e">
        <f>M97+ATM_Conf!$C$5*(V97-AE97)</f>
        <v>#DIV/0!</v>
      </c>
      <c r="N98" s="45" t="e">
        <f>N97+ATM_Conf!$C$5*(W97-AF97)</f>
        <v>#DIV/0!</v>
      </c>
      <c r="O98" s="45" t="e">
        <f>O97+ATM_Conf!$C$5*(X97-AG97)</f>
        <v>#DIV/0!</v>
      </c>
      <c r="P98" s="45" t="e">
        <f>P97+ATM_Conf!$C$5*(Y97-AH97)</f>
        <v>#DIV/0!</v>
      </c>
      <c r="Q98" s="45" t="e">
        <f>Q97+ATM_Conf!$C$5*(Z97-AI97)</f>
        <v>#DIV/0!</v>
      </c>
      <c r="R98" s="45" t="e">
        <f>R97+ATM_Conf!$C$5*(AA97-AJ97)</f>
        <v>#DIV/0!</v>
      </c>
      <c r="S98" s="45" t="e">
        <f>S97+ATM_Conf!$C$5*(AB97-AK97)</f>
        <v>#DIV/0!</v>
      </c>
      <c r="T98" s="45"/>
      <c r="U98" s="45"/>
      <c r="V98" s="45"/>
      <c r="W98" s="45"/>
      <c r="X98" s="45"/>
      <c r="Y98" s="45"/>
      <c r="Z98" s="45"/>
      <c r="AA98" s="45"/>
      <c r="AB98" s="45"/>
      <c r="AC98" s="45" t="e">
        <f t="shared" si="41"/>
        <v>#DIV/0!</v>
      </c>
      <c r="AD98" s="45" t="e">
        <f t="shared" si="42"/>
        <v>#DIV/0!</v>
      </c>
      <c r="AE98" s="45" t="e">
        <f t="shared" si="43"/>
        <v>#DIV/0!</v>
      </c>
      <c r="AF98" s="45" t="e">
        <f t="shared" si="44"/>
        <v>#DIV/0!</v>
      </c>
      <c r="AG98" s="45" t="e">
        <f t="shared" si="45"/>
        <v>#DIV/0!</v>
      </c>
      <c r="AH98" s="45" t="e">
        <f t="shared" si="46"/>
        <v>#DIV/0!</v>
      </c>
      <c r="AI98" s="45" t="e">
        <f t="shared" si="47"/>
        <v>#DIV/0!</v>
      </c>
      <c r="AJ98" s="45" t="e">
        <f t="shared" si="48"/>
        <v>#DIV/0!</v>
      </c>
      <c r="AK98" s="45" t="e">
        <f t="shared" si="49"/>
        <v>#DIV/0!</v>
      </c>
      <c r="AL98" s="45" t="e">
        <f>T$3+K98/ATM_Conf!$C$5</f>
        <v>#DIV/0!</v>
      </c>
      <c r="AM98" s="45" t="e">
        <f>U$3+L98/ATM_Conf!$C$5</f>
        <v>#DIV/0!</v>
      </c>
      <c r="AN98" s="45" t="e">
        <f>V$3+M98/ATM_Conf!$C$5</f>
        <v>#DIV/0!</v>
      </c>
      <c r="AO98" s="45" t="e">
        <f>W$3+N98/ATM_Conf!$C$5</f>
        <v>#DIV/0!</v>
      </c>
      <c r="AP98" s="45" t="e">
        <f>X$3+O98/ATM_Conf!$C$5</f>
        <v>#DIV/0!</v>
      </c>
      <c r="AQ98" s="45" t="e">
        <f>Y$3+P98/ATM_Conf!$C$5</f>
        <v>#DIV/0!</v>
      </c>
      <c r="AR98" s="45" t="e">
        <f>Z$3+Q98/ATM_Conf!$C$5</f>
        <v>#DIV/0!</v>
      </c>
      <c r="AS98" s="45" t="e">
        <f>AA$3+R98/ATM_Conf!$C$5</f>
        <v>#DIV/0!</v>
      </c>
      <c r="AT98" s="45" t="e">
        <f>AB$3+S98/ATM_Conf!$C$5</f>
        <v>#DIV/0!</v>
      </c>
      <c r="AU98" s="45" t="e">
        <f>BD$3*MIN(1,(ATM_Conf!$C$6-Links!F98)/(ATM_Conf!$C$6-ATM_Conf!$C$7))</f>
        <v>#DIV/0!</v>
      </c>
      <c r="AV98" s="45" t="e">
        <f>BE$3*MIN(1,(ATM_Conf!$C$6-Links!G98)/(ATM_Conf!$C$6-ATM_Conf!$C$7))</f>
        <v>#DIV/0!</v>
      </c>
      <c r="AW98" s="45" t="e">
        <f>BF$3*MIN(1,(ATM_Conf!$C$6-Links!H98)/(ATM_Conf!$C$6-ATM_Conf!$C$7))</f>
        <v>#DIV/0!</v>
      </c>
      <c r="AX98" s="45" t="e">
        <f>BG$3*MIN(1,(ATM_Conf!$C$6-Links!I98)/(ATM_Conf!$C$6-ATM_Conf!$C$7))</f>
        <v>#DIV/0!</v>
      </c>
      <c r="AY98" s="45" t="e">
        <f>BH$3*MIN(1,(ATM_Conf!$C$6-Links!J98)/(ATM_Conf!$C$6-ATM_Conf!$C$7))</f>
        <v>#DIV/0!</v>
      </c>
      <c r="AZ98" s="45" t="e">
        <f>BI$3*MIN(1,(ATM_Conf!$C$6-Links!K98)/(ATM_Conf!$C$6-ATM_Conf!$C$7))</f>
        <v>#DIV/0!</v>
      </c>
      <c r="BA98" s="45" t="e">
        <f>BJ$3*MIN(1,(ATM_Conf!$C$6-Links!L98)/(ATM_Conf!$C$6-ATM_Conf!$C$7))</f>
        <v>#DIV/0!</v>
      </c>
      <c r="BB98" s="45" t="e">
        <f>BK$3*MIN(1,(ATM_Conf!$C$6-Links!M98)/(ATM_Conf!$C$6-ATM_Conf!$C$7))</f>
        <v>#DIV/0!</v>
      </c>
      <c r="BC98" s="45" t="e">
        <f>BL$3*MIN(1,(ATM_Conf!$C$6-Links!N98)/(ATM_Conf!$C$6-ATM_Conf!$C$7))</f>
        <v>#DIV/0!</v>
      </c>
      <c r="BD98" s="45"/>
      <c r="BE98" s="45"/>
      <c r="BF98" s="45"/>
      <c r="BG98" s="45"/>
      <c r="BH98" s="45"/>
      <c r="BI98" s="45"/>
      <c r="BJ98" s="45"/>
      <c r="BK98" s="45"/>
      <c r="BL98" s="45"/>
      <c r="BM98" s="53"/>
      <c r="BN98" s="53"/>
      <c r="BO98" s="53"/>
      <c r="BP98" s="53"/>
      <c r="BQ98" s="53"/>
      <c r="BR98" s="53"/>
      <c r="BS98" s="53"/>
      <c r="BT98" s="53"/>
      <c r="BU98" s="53"/>
      <c r="BV98" s="53" t="e">
        <f t="shared" si="50"/>
        <v>#DIV/0!</v>
      </c>
      <c r="BW98" s="53" t="e">
        <f t="shared" si="51"/>
        <v>#DIV/0!</v>
      </c>
      <c r="BX98" s="53" t="e">
        <f t="shared" si="52"/>
        <v>#DIV/0!</v>
      </c>
      <c r="BY98" s="53" t="e">
        <f t="shared" si="53"/>
        <v>#DIV/0!</v>
      </c>
      <c r="BZ98" s="53" t="e">
        <f t="shared" si="54"/>
        <v>#DIV/0!</v>
      </c>
      <c r="CA98" s="53" t="e">
        <f t="shared" si="55"/>
        <v>#DIV/0!</v>
      </c>
      <c r="CB98" s="53" t="e">
        <f t="shared" si="56"/>
        <v>#DIV/0!</v>
      </c>
      <c r="CC98" s="53" t="e">
        <f t="shared" si="57"/>
        <v>#DIV/0!</v>
      </c>
      <c r="CD98" s="53" t="e">
        <f t="shared" si="58"/>
        <v>#DIV/0!</v>
      </c>
      <c r="CE98" s="55">
        <f t="shared" si="40"/>
        <v>0</v>
      </c>
      <c r="CF98" s="55">
        <f t="shared" si="65"/>
        <v>0</v>
      </c>
      <c r="CG98" s="55">
        <f t="shared" si="65"/>
        <v>0</v>
      </c>
      <c r="CH98" s="55">
        <f t="shared" si="65"/>
        <v>0</v>
      </c>
      <c r="CI98" s="55">
        <f t="shared" si="65"/>
        <v>0</v>
      </c>
      <c r="CJ98" s="55">
        <f t="shared" si="65"/>
        <v>0</v>
      </c>
      <c r="CK98" s="55">
        <f t="shared" si="65"/>
        <v>0</v>
      </c>
      <c r="CL98" s="55">
        <f t="shared" si="65"/>
        <v>0</v>
      </c>
      <c r="CM98" s="55">
        <f t="shared" si="65"/>
        <v>0</v>
      </c>
    </row>
    <row r="99" spans="1:91" x14ac:dyDescent="0.15">
      <c r="A99" s="42">
        <v>97</v>
      </c>
      <c r="B99" s="47">
        <v>1</v>
      </c>
      <c r="C99" s="47">
        <v>1</v>
      </c>
      <c r="D99" s="47">
        <v>1</v>
      </c>
      <c r="E99" s="47">
        <v>1</v>
      </c>
      <c r="F99" s="47">
        <v>1</v>
      </c>
      <c r="G99" s="47">
        <v>1</v>
      </c>
      <c r="H99" s="47">
        <v>1</v>
      </c>
      <c r="I99" s="47">
        <v>1</v>
      </c>
      <c r="J99" s="47">
        <v>1</v>
      </c>
      <c r="K99" s="45" t="e">
        <f>K98+ATM_Conf!$C$5*(T98-AC98)</f>
        <v>#DIV/0!</v>
      </c>
      <c r="L99" s="45" t="e">
        <f>L98+ATM_Conf!$C$5*(U98-AD98)</f>
        <v>#DIV/0!</v>
      </c>
      <c r="M99" s="45" t="e">
        <f>M98+ATM_Conf!$C$5*(V98-AE98)</f>
        <v>#DIV/0!</v>
      </c>
      <c r="N99" s="45" t="e">
        <f>N98+ATM_Conf!$C$5*(W98-AF98)</f>
        <v>#DIV/0!</v>
      </c>
      <c r="O99" s="45" t="e">
        <f>O98+ATM_Conf!$C$5*(X98-AG98)</f>
        <v>#DIV/0!</v>
      </c>
      <c r="P99" s="45" t="e">
        <f>P98+ATM_Conf!$C$5*(Y98-AH98)</f>
        <v>#DIV/0!</v>
      </c>
      <c r="Q99" s="45" t="e">
        <f>Q98+ATM_Conf!$C$5*(Z98-AI98)</f>
        <v>#DIV/0!</v>
      </c>
      <c r="R99" s="45" t="e">
        <f>R98+ATM_Conf!$C$5*(AA98-AJ98)</f>
        <v>#DIV/0!</v>
      </c>
      <c r="S99" s="45" t="e">
        <f>S98+ATM_Conf!$C$5*(AB98-AK98)</f>
        <v>#DIV/0!</v>
      </c>
      <c r="T99" s="45"/>
      <c r="U99" s="45"/>
      <c r="V99" s="45"/>
      <c r="W99" s="45"/>
      <c r="X99" s="45"/>
      <c r="Y99" s="45"/>
      <c r="Z99" s="45"/>
      <c r="AA99" s="45"/>
      <c r="AB99" s="45"/>
      <c r="AC99" s="45" t="e">
        <f t="shared" si="41"/>
        <v>#DIV/0!</v>
      </c>
      <c r="AD99" s="45" t="e">
        <f t="shared" si="42"/>
        <v>#DIV/0!</v>
      </c>
      <c r="AE99" s="45" t="e">
        <f t="shared" si="43"/>
        <v>#DIV/0!</v>
      </c>
      <c r="AF99" s="45" t="e">
        <f t="shared" si="44"/>
        <v>#DIV/0!</v>
      </c>
      <c r="AG99" s="45" t="e">
        <f t="shared" si="45"/>
        <v>#DIV/0!</v>
      </c>
      <c r="AH99" s="45" t="e">
        <f t="shared" si="46"/>
        <v>#DIV/0!</v>
      </c>
      <c r="AI99" s="45" t="e">
        <f t="shared" si="47"/>
        <v>#DIV/0!</v>
      </c>
      <c r="AJ99" s="45" t="e">
        <f t="shared" si="48"/>
        <v>#DIV/0!</v>
      </c>
      <c r="AK99" s="45" t="e">
        <f t="shared" si="49"/>
        <v>#DIV/0!</v>
      </c>
      <c r="AL99" s="45" t="e">
        <f>T$3+K99/ATM_Conf!$C$5</f>
        <v>#DIV/0!</v>
      </c>
      <c r="AM99" s="45" t="e">
        <f>U$3+L99/ATM_Conf!$C$5</f>
        <v>#DIV/0!</v>
      </c>
      <c r="AN99" s="45" t="e">
        <f>V$3+M99/ATM_Conf!$C$5</f>
        <v>#DIV/0!</v>
      </c>
      <c r="AO99" s="45" t="e">
        <f>W$3+N99/ATM_Conf!$C$5</f>
        <v>#DIV/0!</v>
      </c>
      <c r="AP99" s="45" t="e">
        <f>X$3+O99/ATM_Conf!$C$5</f>
        <v>#DIV/0!</v>
      </c>
      <c r="AQ99" s="45" t="e">
        <f>Y$3+P99/ATM_Conf!$C$5</f>
        <v>#DIV/0!</v>
      </c>
      <c r="AR99" s="45" t="e">
        <f>Z$3+Q99/ATM_Conf!$C$5</f>
        <v>#DIV/0!</v>
      </c>
      <c r="AS99" s="45" t="e">
        <f>AA$3+R99/ATM_Conf!$C$5</f>
        <v>#DIV/0!</v>
      </c>
      <c r="AT99" s="45" t="e">
        <f>AB$3+S99/ATM_Conf!$C$5</f>
        <v>#DIV/0!</v>
      </c>
      <c r="AU99" s="45" t="e">
        <f>BD$3*MIN(1,(ATM_Conf!$C$6-Links!F99)/(ATM_Conf!$C$6-ATM_Conf!$C$7))</f>
        <v>#DIV/0!</v>
      </c>
      <c r="AV99" s="45" t="e">
        <f>BE$3*MIN(1,(ATM_Conf!$C$6-Links!G99)/(ATM_Conf!$C$6-ATM_Conf!$C$7))</f>
        <v>#DIV/0!</v>
      </c>
      <c r="AW99" s="45" t="e">
        <f>BF$3*MIN(1,(ATM_Conf!$C$6-Links!H99)/(ATM_Conf!$C$6-ATM_Conf!$C$7))</f>
        <v>#DIV/0!</v>
      </c>
      <c r="AX99" s="45" t="e">
        <f>BG$3*MIN(1,(ATM_Conf!$C$6-Links!I99)/(ATM_Conf!$C$6-ATM_Conf!$C$7))</f>
        <v>#DIV/0!</v>
      </c>
      <c r="AY99" s="45" t="e">
        <f>BH$3*MIN(1,(ATM_Conf!$C$6-Links!J99)/(ATM_Conf!$C$6-ATM_Conf!$C$7))</f>
        <v>#DIV/0!</v>
      </c>
      <c r="AZ99" s="45" t="e">
        <f>BI$3*MIN(1,(ATM_Conf!$C$6-Links!K99)/(ATM_Conf!$C$6-ATM_Conf!$C$7))</f>
        <v>#DIV/0!</v>
      </c>
      <c r="BA99" s="45" t="e">
        <f>BJ$3*MIN(1,(ATM_Conf!$C$6-Links!L99)/(ATM_Conf!$C$6-ATM_Conf!$C$7))</f>
        <v>#DIV/0!</v>
      </c>
      <c r="BB99" s="45" t="e">
        <f>BK$3*MIN(1,(ATM_Conf!$C$6-Links!M99)/(ATM_Conf!$C$6-ATM_Conf!$C$7))</f>
        <v>#DIV/0!</v>
      </c>
      <c r="BC99" s="45" t="e">
        <f>BL$3*MIN(1,(ATM_Conf!$C$6-Links!N99)/(ATM_Conf!$C$6-ATM_Conf!$C$7))</f>
        <v>#DIV/0!</v>
      </c>
      <c r="BD99" s="45"/>
      <c r="BE99" s="45"/>
      <c r="BF99" s="45"/>
      <c r="BG99" s="45"/>
      <c r="BH99" s="45"/>
      <c r="BI99" s="45"/>
      <c r="BJ99" s="45"/>
      <c r="BK99" s="45"/>
      <c r="BL99" s="45"/>
      <c r="BM99" s="53">
        <f>(B99-B87)^2</f>
        <v>0</v>
      </c>
      <c r="BN99" s="53">
        <f t="shared" ref="BN99:BU99" si="66">(C99-C87)^2</f>
        <v>0</v>
      </c>
      <c r="BO99" s="53">
        <f t="shared" si="66"/>
        <v>0</v>
      </c>
      <c r="BP99" s="53">
        <f t="shared" si="66"/>
        <v>0</v>
      </c>
      <c r="BQ99" s="53">
        <f t="shared" si="66"/>
        <v>0</v>
      </c>
      <c r="BR99" s="53">
        <f t="shared" si="66"/>
        <v>0</v>
      </c>
      <c r="BS99" s="53">
        <f t="shared" si="66"/>
        <v>0</v>
      </c>
      <c r="BT99" s="53">
        <f t="shared" si="66"/>
        <v>0</v>
      </c>
      <c r="BU99" s="53">
        <f t="shared" si="66"/>
        <v>0</v>
      </c>
      <c r="BV99" s="53" t="e">
        <f t="shared" si="50"/>
        <v>#DIV/0!</v>
      </c>
      <c r="BW99" s="53" t="e">
        <f t="shared" si="51"/>
        <v>#DIV/0!</v>
      </c>
      <c r="BX99" s="53" t="e">
        <f t="shared" si="52"/>
        <v>#DIV/0!</v>
      </c>
      <c r="BY99" s="53" t="e">
        <f t="shared" si="53"/>
        <v>#DIV/0!</v>
      </c>
      <c r="BZ99" s="53" t="e">
        <f t="shared" si="54"/>
        <v>#DIV/0!</v>
      </c>
      <c r="CA99" s="53" t="e">
        <f t="shared" si="55"/>
        <v>#DIV/0!</v>
      </c>
      <c r="CB99" s="53" t="e">
        <f t="shared" si="56"/>
        <v>#DIV/0!</v>
      </c>
      <c r="CC99" s="53" t="e">
        <f t="shared" si="57"/>
        <v>#DIV/0!</v>
      </c>
      <c r="CD99" s="53" t="e">
        <f t="shared" si="58"/>
        <v>#DIV/0!</v>
      </c>
      <c r="CE99" s="55">
        <f t="shared" si="40"/>
        <v>0</v>
      </c>
      <c r="CF99" s="55">
        <f t="shared" si="65"/>
        <v>0</v>
      </c>
      <c r="CG99" s="55">
        <f t="shared" si="65"/>
        <v>0</v>
      </c>
      <c r="CH99" s="55">
        <f t="shared" si="65"/>
        <v>0</v>
      </c>
      <c r="CI99" s="55">
        <f t="shared" si="65"/>
        <v>0</v>
      </c>
      <c r="CJ99" s="55">
        <f t="shared" si="65"/>
        <v>0</v>
      </c>
      <c r="CK99" s="55">
        <f t="shared" si="65"/>
        <v>0</v>
      </c>
      <c r="CL99" s="55">
        <f t="shared" si="65"/>
        <v>0</v>
      </c>
      <c r="CM99" s="55">
        <f t="shared" si="65"/>
        <v>0</v>
      </c>
    </row>
    <row r="100" spans="1:91" x14ac:dyDescent="0.15">
      <c r="A100" s="42">
        <v>98</v>
      </c>
      <c r="B100" s="45">
        <f>B$99</f>
        <v>1</v>
      </c>
      <c r="C100" s="45">
        <f t="shared" ref="C100:J110" si="67">C$99</f>
        <v>1</v>
      </c>
      <c r="D100" s="45">
        <f t="shared" si="67"/>
        <v>1</v>
      </c>
      <c r="E100" s="45">
        <f t="shared" si="67"/>
        <v>1</v>
      </c>
      <c r="F100" s="45">
        <f t="shared" si="67"/>
        <v>1</v>
      </c>
      <c r="G100" s="45">
        <f t="shared" si="67"/>
        <v>1</v>
      </c>
      <c r="H100" s="45">
        <f t="shared" si="67"/>
        <v>1</v>
      </c>
      <c r="I100" s="45">
        <f t="shared" si="67"/>
        <v>1</v>
      </c>
      <c r="J100" s="45">
        <f t="shared" si="67"/>
        <v>1</v>
      </c>
      <c r="K100" s="45" t="e">
        <f>K99+ATM_Conf!$C$5*(T99-AC99)</f>
        <v>#DIV/0!</v>
      </c>
      <c r="L100" s="45" t="e">
        <f>L99+ATM_Conf!$C$5*(U99-AD99)</f>
        <v>#DIV/0!</v>
      </c>
      <c r="M100" s="45" t="e">
        <f>M99+ATM_Conf!$C$5*(V99-AE99)</f>
        <v>#DIV/0!</v>
      </c>
      <c r="N100" s="45" t="e">
        <f>N99+ATM_Conf!$C$5*(W99-AF99)</f>
        <v>#DIV/0!</v>
      </c>
      <c r="O100" s="45" t="e">
        <f>O99+ATM_Conf!$C$5*(X99-AG99)</f>
        <v>#DIV/0!</v>
      </c>
      <c r="P100" s="45" t="e">
        <f>P99+ATM_Conf!$C$5*(Y99-AH99)</f>
        <v>#DIV/0!</v>
      </c>
      <c r="Q100" s="45" t="e">
        <f>Q99+ATM_Conf!$C$5*(Z99-AI99)</f>
        <v>#DIV/0!</v>
      </c>
      <c r="R100" s="45" t="e">
        <f>R99+ATM_Conf!$C$5*(AA99-AJ99)</f>
        <v>#DIV/0!</v>
      </c>
      <c r="S100" s="45" t="e">
        <f>S99+ATM_Conf!$C$5*(AB99-AK99)</f>
        <v>#DIV/0!</v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 t="e">
        <f t="shared" si="41"/>
        <v>#DIV/0!</v>
      </c>
      <c r="AD100" s="45" t="e">
        <f t="shared" si="42"/>
        <v>#DIV/0!</v>
      </c>
      <c r="AE100" s="45" t="e">
        <f t="shared" si="43"/>
        <v>#DIV/0!</v>
      </c>
      <c r="AF100" s="45" t="e">
        <f t="shared" si="44"/>
        <v>#DIV/0!</v>
      </c>
      <c r="AG100" s="45" t="e">
        <f t="shared" si="45"/>
        <v>#DIV/0!</v>
      </c>
      <c r="AH100" s="45" t="e">
        <f t="shared" si="46"/>
        <v>#DIV/0!</v>
      </c>
      <c r="AI100" s="45" t="e">
        <f t="shared" si="47"/>
        <v>#DIV/0!</v>
      </c>
      <c r="AJ100" s="45" t="e">
        <f t="shared" si="48"/>
        <v>#DIV/0!</v>
      </c>
      <c r="AK100" s="45" t="e">
        <f t="shared" si="49"/>
        <v>#DIV/0!</v>
      </c>
      <c r="AL100" s="45" t="e">
        <f>T$3+K100/ATM_Conf!$C$5</f>
        <v>#DIV/0!</v>
      </c>
      <c r="AM100" s="45" t="e">
        <f>U$3+L100/ATM_Conf!$C$5</f>
        <v>#DIV/0!</v>
      </c>
      <c r="AN100" s="45" t="e">
        <f>V$3+M100/ATM_Conf!$C$5</f>
        <v>#DIV/0!</v>
      </c>
      <c r="AO100" s="45" t="e">
        <f>W$3+N100/ATM_Conf!$C$5</f>
        <v>#DIV/0!</v>
      </c>
      <c r="AP100" s="45" t="e">
        <f>X$3+O100/ATM_Conf!$C$5</f>
        <v>#DIV/0!</v>
      </c>
      <c r="AQ100" s="45" t="e">
        <f>Y$3+P100/ATM_Conf!$C$5</f>
        <v>#DIV/0!</v>
      </c>
      <c r="AR100" s="45" t="e">
        <f>Z$3+Q100/ATM_Conf!$C$5</f>
        <v>#DIV/0!</v>
      </c>
      <c r="AS100" s="45" t="e">
        <f>AA$3+R100/ATM_Conf!$C$5</f>
        <v>#DIV/0!</v>
      </c>
      <c r="AT100" s="45" t="e">
        <f>AB$3+S100/ATM_Conf!$C$5</f>
        <v>#DIV/0!</v>
      </c>
      <c r="AU100" s="45" t="e">
        <f>BD$3*MIN(1,(ATM_Conf!$C$6-Links!F100)/(ATM_Conf!$C$6-ATM_Conf!$C$7))</f>
        <v>#DIV/0!</v>
      </c>
      <c r="AV100" s="45" t="e">
        <f>BE$3*MIN(1,(ATM_Conf!$C$6-Links!G100)/(ATM_Conf!$C$6-ATM_Conf!$C$7))</f>
        <v>#DIV/0!</v>
      </c>
      <c r="AW100" s="45" t="e">
        <f>BF$3*MIN(1,(ATM_Conf!$C$6-Links!H100)/(ATM_Conf!$C$6-ATM_Conf!$C$7))</f>
        <v>#DIV/0!</v>
      </c>
      <c r="AX100" s="45" t="e">
        <f>BG$3*MIN(1,(ATM_Conf!$C$6-Links!I100)/(ATM_Conf!$C$6-ATM_Conf!$C$7))</f>
        <v>#DIV/0!</v>
      </c>
      <c r="AY100" s="45" t="e">
        <f>BH$3*MIN(1,(ATM_Conf!$C$6-Links!J100)/(ATM_Conf!$C$6-ATM_Conf!$C$7))</f>
        <v>#DIV/0!</v>
      </c>
      <c r="AZ100" s="45" t="e">
        <f>BI$3*MIN(1,(ATM_Conf!$C$6-Links!K100)/(ATM_Conf!$C$6-ATM_Conf!$C$7))</f>
        <v>#DIV/0!</v>
      </c>
      <c r="BA100" s="45" t="e">
        <f>BJ$3*MIN(1,(ATM_Conf!$C$6-Links!L100)/(ATM_Conf!$C$6-ATM_Conf!$C$7))</f>
        <v>#DIV/0!</v>
      </c>
      <c r="BB100" s="45" t="e">
        <f>BK$3*MIN(1,(ATM_Conf!$C$6-Links!M100)/(ATM_Conf!$C$6-ATM_Conf!$C$7))</f>
        <v>#DIV/0!</v>
      </c>
      <c r="BC100" s="45" t="e">
        <f>BL$3*MIN(1,(ATM_Conf!$C$6-Links!N100)/(ATM_Conf!$C$6-ATM_Conf!$C$7))</f>
        <v>#DIV/0!</v>
      </c>
      <c r="BD100" s="45"/>
      <c r="BE100" s="45"/>
      <c r="BF100" s="45"/>
      <c r="BG100" s="45"/>
      <c r="BH100" s="45"/>
      <c r="BI100" s="45"/>
      <c r="BJ100" s="45"/>
      <c r="BK100" s="45"/>
      <c r="BL100" s="45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 t="e">
        <f t="shared" si="50"/>
        <v>#DIV/0!</v>
      </c>
      <c r="BW100" s="53" t="e">
        <f t="shared" si="51"/>
        <v>#DIV/0!</v>
      </c>
      <c r="BX100" s="53" t="e">
        <f t="shared" si="52"/>
        <v>#DIV/0!</v>
      </c>
      <c r="BY100" s="53" t="e">
        <f t="shared" si="53"/>
        <v>#DIV/0!</v>
      </c>
      <c r="BZ100" s="53" t="e">
        <f t="shared" si="54"/>
        <v>#DIV/0!</v>
      </c>
      <c r="CA100" s="53" t="e">
        <f t="shared" si="55"/>
        <v>#DIV/0!</v>
      </c>
      <c r="CB100" s="53" t="e">
        <f t="shared" si="56"/>
        <v>#DIV/0!</v>
      </c>
      <c r="CC100" s="53" t="e">
        <f t="shared" si="57"/>
        <v>#DIV/0!</v>
      </c>
      <c r="CD100" s="53" t="e">
        <f t="shared" si="58"/>
        <v>#DIV/0!</v>
      </c>
      <c r="CE100" s="55">
        <f t="shared" si="40"/>
        <v>0</v>
      </c>
      <c r="CF100" s="55">
        <f t="shared" si="65"/>
        <v>0</v>
      </c>
      <c r="CG100" s="55">
        <f t="shared" si="65"/>
        <v>0</v>
      </c>
      <c r="CH100" s="55">
        <f t="shared" si="65"/>
        <v>0</v>
      </c>
      <c r="CI100" s="55">
        <f t="shared" si="65"/>
        <v>0</v>
      </c>
      <c r="CJ100" s="55">
        <f t="shared" si="65"/>
        <v>0</v>
      </c>
      <c r="CK100" s="55">
        <f t="shared" si="65"/>
        <v>0</v>
      </c>
      <c r="CL100" s="55">
        <f t="shared" si="65"/>
        <v>0</v>
      </c>
      <c r="CM100" s="55">
        <f t="shared" si="65"/>
        <v>0</v>
      </c>
    </row>
    <row r="101" spans="1:91" x14ac:dyDescent="0.15">
      <c r="A101" s="42">
        <v>99</v>
      </c>
      <c r="B101" s="45">
        <f t="shared" ref="B101:B110" si="68">B$99</f>
        <v>1</v>
      </c>
      <c r="C101" s="45">
        <f t="shared" si="67"/>
        <v>1</v>
      </c>
      <c r="D101" s="45">
        <f t="shared" si="67"/>
        <v>1</v>
      </c>
      <c r="E101" s="45">
        <f t="shared" si="67"/>
        <v>1</v>
      </c>
      <c r="F101" s="45">
        <f t="shared" si="67"/>
        <v>1</v>
      </c>
      <c r="G101" s="45">
        <f t="shared" si="67"/>
        <v>1</v>
      </c>
      <c r="H101" s="45">
        <f t="shared" si="67"/>
        <v>1</v>
      </c>
      <c r="I101" s="45">
        <f t="shared" si="67"/>
        <v>1</v>
      </c>
      <c r="J101" s="45">
        <f t="shared" si="67"/>
        <v>1</v>
      </c>
      <c r="K101" s="45" t="e">
        <f>K100+ATM_Conf!$C$5*(T100-AC100)</f>
        <v>#DIV/0!</v>
      </c>
      <c r="L101" s="45" t="e">
        <f>L100+ATM_Conf!$C$5*(U100-AD100)</f>
        <v>#DIV/0!</v>
      </c>
      <c r="M101" s="45" t="e">
        <f>M100+ATM_Conf!$C$5*(V100-AE100)</f>
        <v>#DIV/0!</v>
      </c>
      <c r="N101" s="45" t="e">
        <f>N100+ATM_Conf!$C$5*(W100-AF100)</f>
        <v>#DIV/0!</v>
      </c>
      <c r="O101" s="45" t="e">
        <f>O100+ATM_Conf!$C$5*(X100-AG100)</f>
        <v>#DIV/0!</v>
      </c>
      <c r="P101" s="45" t="e">
        <f>P100+ATM_Conf!$C$5*(Y100-AH100)</f>
        <v>#DIV/0!</v>
      </c>
      <c r="Q101" s="45" t="e">
        <f>Q100+ATM_Conf!$C$5*(Z100-AI100)</f>
        <v>#DIV/0!</v>
      </c>
      <c r="R101" s="45" t="e">
        <f>R100+ATM_Conf!$C$5*(AA100-AJ100)</f>
        <v>#DIV/0!</v>
      </c>
      <c r="S101" s="45" t="e">
        <f>S100+ATM_Conf!$C$5*(AB100-AK100)</f>
        <v>#DIV/0!</v>
      </c>
      <c r="T101" s="45"/>
      <c r="U101" s="45"/>
      <c r="V101" s="45"/>
      <c r="W101" s="45"/>
      <c r="X101" s="45"/>
      <c r="Y101" s="45"/>
      <c r="Z101" s="45"/>
      <c r="AA101" s="45"/>
      <c r="AB101" s="45"/>
      <c r="AC101" s="45" t="e">
        <f t="shared" si="41"/>
        <v>#DIV/0!</v>
      </c>
      <c r="AD101" s="45" t="e">
        <f t="shared" si="42"/>
        <v>#DIV/0!</v>
      </c>
      <c r="AE101" s="45" t="e">
        <f t="shared" si="43"/>
        <v>#DIV/0!</v>
      </c>
      <c r="AF101" s="45" t="e">
        <f t="shared" si="44"/>
        <v>#DIV/0!</v>
      </c>
      <c r="AG101" s="45" t="e">
        <f t="shared" si="45"/>
        <v>#DIV/0!</v>
      </c>
      <c r="AH101" s="45" t="e">
        <f t="shared" si="46"/>
        <v>#DIV/0!</v>
      </c>
      <c r="AI101" s="45" t="e">
        <f t="shared" si="47"/>
        <v>#DIV/0!</v>
      </c>
      <c r="AJ101" s="45" t="e">
        <f t="shared" si="48"/>
        <v>#DIV/0!</v>
      </c>
      <c r="AK101" s="45" t="e">
        <f t="shared" si="49"/>
        <v>#DIV/0!</v>
      </c>
      <c r="AL101" s="45" t="e">
        <f>T$3+K101/ATM_Conf!$C$5</f>
        <v>#DIV/0!</v>
      </c>
      <c r="AM101" s="45" t="e">
        <f>U$3+L101/ATM_Conf!$C$5</f>
        <v>#DIV/0!</v>
      </c>
      <c r="AN101" s="45" t="e">
        <f>V$3+M101/ATM_Conf!$C$5</f>
        <v>#DIV/0!</v>
      </c>
      <c r="AO101" s="45" t="e">
        <f>W$3+N101/ATM_Conf!$C$5</f>
        <v>#DIV/0!</v>
      </c>
      <c r="AP101" s="45" t="e">
        <f>X$3+O101/ATM_Conf!$C$5</f>
        <v>#DIV/0!</v>
      </c>
      <c r="AQ101" s="45" t="e">
        <f>Y$3+P101/ATM_Conf!$C$5</f>
        <v>#DIV/0!</v>
      </c>
      <c r="AR101" s="45" t="e">
        <f>Z$3+Q101/ATM_Conf!$C$5</f>
        <v>#DIV/0!</v>
      </c>
      <c r="AS101" s="45" t="e">
        <f>AA$3+R101/ATM_Conf!$C$5</f>
        <v>#DIV/0!</v>
      </c>
      <c r="AT101" s="45" t="e">
        <f>AB$3+S101/ATM_Conf!$C$5</f>
        <v>#DIV/0!</v>
      </c>
      <c r="AU101" s="45" t="e">
        <f>BD$3*MIN(1,(ATM_Conf!$C$6-Links!F101)/(ATM_Conf!$C$6-ATM_Conf!$C$7))</f>
        <v>#DIV/0!</v>
      </c>
      <c r="AV101" s="45" t="e">
        <f>BE$3*MIN(1,(ATM_Conf!$C$6-Links!G101)/(ATM_Conf!$C$6-ATM_Conf!$C$7))</f>
        <v>#DIV/0!</v>
      </c>
      <c r="AW101" s="45" t="e">
        <f>BF$3*MIN(1,(ATM_Conf!$C$6-Links!H101)/(ATM_Conf!$C$6-ATM_Conf!$C$7))</f>
        <v>#DIV/0!</v>
      </c>
      <c r="AX101" s="45" t="e">
        <f>BG$3*MIN(1,(ATM_Conf!$C$6-Links!I101)/(ATM_Conf!$C$6-ATM_Conf!$C$7))</f>
        <v>#DIV/0!</v>
      </c>
      <c r="AY101" s="45" t="e">
        <f>BH$3*MIN(1,(ATM_Conf!$C$6-Links!J101)/(ATM_Conf!$C$6-ATM_Conf!$C$7))</f>
        <v>#DIV/0!</v>
      </c>
      <c r="AZ101" s="45" t="e">
        <f>BI$3*MIN(1,(ATM_Conf!$C$6-Links!K101)/(ATM_Conf!$C$6-ATM_Conf!$C$7))</f>
        <v>#DIV/0!</v>
      </c>
      <c r="BA101" s="45" t="e">
        <f>BJ$3*MIN(1,(ATM_Conf!$C$6-Links!L101)/(ATM_Conf!$C$6-ATM_Conf!$C$7))</f>
        <v>#DIV/0!</v>
      </c>
      <c r="BB101" s="45" t="e">
        <f>BK$3*MIN(1,(ATM_Conf!$C$6-Links!M101)/(ATM_Conf!$C$6-ATM_Conf!$C$7))</f>
        <v>#DIV/0!</v>
      </c>
      <c r="BC101" s="45" t="e">
        <f>BL$3*MIN(1,(ATM_Conf!$C$6-Links!N101)/(ATM_Conf!$C$6-ATM_Conf!$C$7))</f>
        <v>#DIV/0!</v>
      </c>
      <c r="BD101" s="45"/>
      <c r="BE101" s="45"/>
      <c r="BF101" s="45"/>
      <c r="BG101" s="45"/>
      <c r="BH101" s="45"/>
      <c r="BI101" s="45"/>
      <c r="BJ101" s="45"/>
      <c r="BK101" s="45"/>
      <c r="BL101" s="45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 t="e">
        <f t="shared" si="50"/>
        <v>#DIV/0!</v>
      </c>
      <c r="BW101" s="53" t="e">
        <f t="shared" si="51"/>
        <v>#DIV/0!</v>
      </c>
      <c r="BX101" s="53" t="e">
        <f t="shared" si="52"/>
        <v>#DIV/0!</v>
      </c>
      <c r="BY101" s="53" t="e">
        <f t="shared" si="53"/>
        <v>#DIV/0!</v>
      </c>
      <c r="BZ101" s="53" t="e">
        <f t="shared" si="54"/>
        <v>#DIV/0!</v>
      </c>
      <c r="CA101" s="53" t="e">
        <f t="shared" si="55"/>
        <v>#DIV/0!</v>
      </c>
      <c r="CB101" s="53" t="e">
        <f t="shared" si="56"/>
        <v>#DIV/0!</v>
      </c>
      <c r="CC101" s="53" t="e">
        <f t="shared" si="57"/>
        <v>#DIV/0!</v>
      </c>
      <c r="CD101" s="53" t="e">
        <f t="shared" si="58"/>
        <v>#DIV/0!</v>
      </c>
      <c r="CE101" s="55">
        <f t="shared" si="40"/>
        <v>0</v>
      </c>
      <c r="CF101" s="55">
        <f t="shared" si="65"/>
        <v>0</v>
      </c>
      <c r="CG101" s="55">
        <f t="shared" si="65"/>
        <v>0</v>
      </c>
      <c r="CH101" s="55">
        <f t="shared" si="65"/>
        <v>0</v>
      </c>
      <c r="CI101" s="55">
        <f t="shared" si="65"/>
        <v>0</v>
      </c>
      <c r="CJ101" s="55">
        <f t="shared" si="65"/>
        <v>0</v>
      </c>
      <c r="CK101" s="55">
        <f t="shared" si="65"/>
        <v>0</v>
      </c>
      <c r="CL101" s="55">
        <f t="shared" si="65"/>
        <v>0</v>
      </c>
      <c r="CM101" s="55">
        <f t="shared" si="65"/>
        <v>0</v>
      </c>
    </row>
    <row r="102" spans="1:91" x14ac:dyDescent="0.15">
      <c r="A102" s="42">
        <v>100</v>
      </c>
      <c r="B102" s="45">
        <f t="shared" si="68"/>
        <v>1</v>
      </c>
      <c r="C102" s="45">
        <f t="shared" si="67"/>
        <v>1</v>
      </c>
      <c r="D102" s="45">
        <f t="shared" si="67"/>
        <v>1</v>
      </c>
      <c r="E102" s="45">
        <f t="shared" si="67"/>
        <v>1</v>
      </c>
      <c r="F102" s="45">
        <f t="shared" si="67"/>
        <v>1</v>
      </c>
      <c r="G102" s="45">
        <f t="shared" si="67"/>
        <v>1</v>
      </c>
      <c r="H102" s="45">
        <f t="shared" si="67"/>
        <v>1</v>
      </c>
      <c r="I102" s="45">
        <f t="shared" si="67"/>
        <v>1</v>
      </c>
      <c r="J102" s="45">
        <f t="shared" si="67"/>
        <v>1</v>
      </c>
      <c r="K102" s="45" t="e">
        <f>K101+ATM_Conf!$C$5*(T101-AC101)</f>
        <v>#DIV/0!</v>
      </c>
      <c r="L102" s="45" t="e">
        <f>L101+ATM_Conf!$C$5*(U101-AD101)</f>
        <v>#DIV/0!</v>
      </c>
      <c r="M102" s="45" t="e">
        <f>M101+ATM_Conf!$C$5*(V101-AE101)</f>
        <v>#DIV/0!</v>
      </c>
      <c r="N102" s="45" t="e">
        <f>N101+ATM_Conf!$C$5*(W101-AF101)</f>
        <v>#DIV/0!</v>
      </c>
      <c r="O102" s="45" t="e">
        <f>O101+ATM_Conf!$C$5*(X101-AG101)</f>
        <v>#DIV/0!</v>
      </c>
      <c r="P102" s="45" t="e">
        <f>P101+ATM_Conf!$C$5*(Y101-AH101)</f>
        <v>#DIV/0!</v>
      </c>
      <c r="Q102" s="45" t="e">
        <f>Q101+ATM_Conf!$C$5*(Z101-AI101)</f>
        <v>#DIV/0!</v>
      </c>
      <c r="R102" s="45" t="e">
        <f>R101+ATM_Conf!$C$5*(AA101-AJ101)</f>
        <v>#DIV/0!</v>
      </c>
      <c r="S102" s="45" t="e">
        <f>S101+ATM_Conf!$C$5*(AB101-AK101)</f>
        <v>#DIV/0!</v>
      </c>
      <c r="T102" s="45"/>
      <c r="U102" s="45"/>
      <c r="V102" s="45"/>
      <c r="W102" s="45"/>
      <c r="X102" s="45"/>
      <c r="Y102" s="45"/>
      <c r="Z102" s="45"/>
      <c r="AA102" s="45"/>
      <c r="AB102" s="45"/>
      <c r="AC102" s="45" t="e">
        <f t="shared" si="41"/>
        <v>#DIV/0!</v>
      </c>
      <c r="AD102" s="45" t="e">
        <f t="shared" si="42"/>
        <v>#DIV/0!</v>
      </c>
      <c r="AE102" s="45" t="e">
        <f t="shared" si="43"/>
        <v>#DIV/0!</v>
      </c>
      <c r="AF102" s="45" t="e">
        <f t="shared" si="44"/>
        <v>#DIV/0!</v>
      </c>
      <c r="AG102" s="45" t="e">
        <f t="shared" si="45"/>
        <v>#DIV/0!</v>
      </c>
      <c r="AH102" s="45" t="e">
        <f t="shared" si="46"/>
        <v>#DIV/0!</v>
      </c>
      <c r="AI102" s="45" t="e">
        <f t="shared" si="47"/>
        <v>#DIV/0!</v>
      </c>
      <c r="AJ102" s="45" t="e">
        <f t="shared" si="48"/>
        <v>#DIV/0!</v>
      </c>
      <c r="AK102" s="45" t="e">
        <f t="shared" si="49"/>
        <v>#DIV/0!</v>
      </c>
      <c r="AL102" s="45" t="e">
        <f>T$3+K102/ATM_Conf!$C$5</f>
        <v>#DIV/0!</v>
      </c>
      <c r="AM102" s="45" t="e">
        <f>U$3+L102/ATM_Conf!$C$5</f>
        <v>#DIV/0!</v>
      </c>
      <c r="AN102" s="45" t="e">
        <f>V$3+M102/ATM_Conf!$C$5</f>
        <v>#DIV/0!</v>
      </c>
      <c r="AO102" s="45" t="e">
        <f>W$3+N102/ATM_Conf!$C$5</f>
        <v>#DIV/0!</v>
      </c>
      <c r="AP102" s="45" t="e">
        <f>X$3+O102/ATM_Conf!$C$5</f>
        <v>#DIV/0!</v>
      </c>
      <c r="AQ102" s="45" t="e">
        <f>Y$3+P102/ATM_Conf!$C$5</f>
        <v>#DIV/0!</v>
      </c>
      <c r="AR102" s="45" t="e">
        <f>Z$3+Q102/ATM_Conf!$C$5</f>
        <v>#DIV/0!</v>
      </c>
      <c r="AS102" s="45" t="e">
        <f>AA$3+R102/ATM_Conf!$C$5</f>
        <v>#DIV/0!</v>
      </c>
      <c r="AT102" s="45" t="e">
        <f>AB$3+S102/ATM_Conf!$C$5</f>
        <v>#DIV/0!</v>
      </c>
      <c r="AU102" s="45" t="e">
        <f>BD$3*MIN(1,(ATM_Conf!$C$6-Links!F102)/(ATM_Conf!$C$6-ATM_Conf!$C$7))</f>
        <v>#DIV/0!</v>
      </c>
      <c r="AV102" s="45" t="e">
        <f>BE$3*MIN(1,(ATM_Conf!$C$6-Links!G102)/(ATM_Conf!$C$6-ATM_Conf!$C$7))</f>
        <v>#DIV/0!</v>
      </c>
      <c r="AW102" s="45" t="e">
        <f>BF$3*MIN(1,(ATM_Conf!$C$6-Links!H102)/(ATM_Conf!$C$6-ATM_Conf!$C$7))</f>
        <v>#DIV/0!</v>
      </c>
      <c r="AX102" s="45" t="e">
        <f>BG$3*MIN(1,(ATM_Conf!$C$6-Links!I102)/(ATM_Conf!$C$6-ATM_Conf!$C$7))</f>
        <v>#DIV/0!</v>
      </c>
      <c r="AY102" s="45" t="e">
        <f>BH$3*MIN(1,(ATM_Conf!$C$6-Links!J102)/(ATM_Conf!$C$6-ATM_Conf!$C$7))</f>
        <v>#DIV/0!</v>
      </c>
      <c r="AZ102" s="45" t="e">
        <f>BI$3*MIN(1,(ATM_Conf!$C$6-Links!K102)/(ATM_Conf!$C$6-ATM_Conf!$C$7))</f>
        <v>#DIV/0!</v>
      </c>
      <c r="BA102" s="45" t="e">
        <f>BJ$3*MIN(1,(ATM_Conf!$C$6-Links!L102)/(ATM_Conf!$C$6-ATM_Conf!$C$7))</f>
        <v>#DIV/0!</v>
      </c>
      <c r="BB102" s="45" t="e">
        <f>BK$3*MIN(1,(ATM_Conf!$C$6-Links!M102)/(ATM_Conf!$C$6-ATM_Conf!$C$7))</f>
        <v>#DIV/0!</v>
      </c>
      <c r="BC102" s="45" t="e">
        <f>BL$3*MIN(1,(ATM_Conf!$C$6-Links!N102)/(ATM_Conf!$C$6-ATM_Conf!$C$7))</f>
        <v>#DIV/0!</v>
      </c>
      <c r="BD102" s="45"/>
      <c r="BE102" s="45"/>
      <c r="BF102" s="45"/>
      <c r="BG102" s="45"/>
      <c r="BH102" s="45"/>
      <c r="BI102" s="45"/>
      <c r="BJ102" s="45"/>
      <c r="BK102" s="45"/>
      <c r="BL102" s="45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 t="e">
        <f t="shared" si="50"/>
        <v>#DIV/0!</v>
      </c>
      <c r="BW102" s="53" t="e">
        <f t="shared" si="51"/>
        <v>#DIV/0!</v>
      </c>
      <c r="BX102" s="53" t="e">
        <f t="shared" si="52"/>
        <v>#DIV/0!</v>
      </c>
      <c r="BY102" s="53" t="e">
        <f t="shared" si="53"/>
        <v>#DIV/0!</v>
      </c>
      <c r="BZ102" s="53" t="e">
        <f t="shared" si="54"/>
        <v>#DIV/0!</v>
      </c>
      <c r="CA102" s="53" t="e">
        <f t="shared" si="55"/>
        <v>#DIV/0!</v>
      </c>
      <c r="CB102" s="53" t="e">
        <f t="shared" si="56"/>
        <v>#DIV/0!</v>
      </c>
      <c r="CC102" s="53" t="e">
        <f t="shared" si="57"/>
        <v>#DIV/0!</v>
      </c>
      <c r="CD102" s="53" t="e">
        <f t="shared" si="58"/>
        <v>#DIV/0!</v>
      </c>
      <c r="CE102" s="55">
        <f t="shared" si="40"/>
        <v>0</v>
      </c>
      <c r="CF102" s="55">
        <f t="shared" si="65"/>
        <v>0</v>
      </c>
      <c r="CG102" s="55">
        <f t="shared" si="65"/>
        <v>0</v>
      </c>
      <c r="CH102" s="55">
        <f t="shared" si="65"/>
        <v>0</v>
      </c>
      <c r="CI102" s="55">
        <f t="shared" si="65"/>
        <v>0</v>
      </c>
      <c r="CJ102" s="55">
        <f t="shared" si="65"/>
        <v>0</v>
      </c>
      <c r="CK102" s="55">
        <f t="shared" si="65"/>
        <v>0</v>
      </c>
      <c r="CL102" s="55">
        <f t="shared" si="65"/>
        <v>0</v>
      </c>
      <c r="CM102" s="55">
        <f t="shared" si="65"/>
        <v>0</v>
      </c>
    </row>
    <row r="103" spans="1:91" x14ac:dyDescent="0.15">
      <c r="A103" s="42">
        <v>101</v>
      </c>
      <c r="B103" s="45">
        <f t="shared" si="68"/>
        <v>1</v>
      </c>
      <c r="C103" s="45">
        <f t="shared" si="67"/>
        <v>1</v>
      </c>
      <c r="D103" s="45">
        <f t="shared" si="67"/>
        <v>1</v>
      </c>
      <c r="E103" s="45">
        <f t="shared" si="67"/>
        <v>1</v>
      </c>
      <c r="F103" s="45">
        <f t="shared" si="67"/>
        <v>1</v>
      </c>
      <c r="G103" s="45">
        <f t="shared" si="67"/>
        <v>1</v>
      </c>
      <c r="H103" s="45">
        <f t="shared" si="67"/>
        <v>1</v>
      </c>
      <c r="I103" s="45">
        <f t="shared" si="67"/>
        <v>1</v>
      </c>
      <c r="J103" s="45">
        <f t="shared" si="67"/>
        <v>1</v>
      </c>
      <c r="K103" s="45" t="e">
        <f>K102+ATM_Conf!$C$5*(T102-AC102)</f>
        <v>#DIV/0!</v>
      </c>
      <c r="L103" s="45" t="e">
        <f>L102+ATM_Conf!$C$5*(U102-AD102)</f>
        <v>#DIV/0!</v>
      </c>
      <c r="M103" s="45" t="e">
        <f>M102+ATM_Conf!$C$5*(V102-AE102)</f>
        <v>#DIV/0!</v>
      </c>
      <c r="N103" s="45" t="e">
        <f>N102+ATM_Conf!$C$5*(W102-AF102)</f>
        <v>#DIV/0!</v>
      </c>
      <c r="O103" s="45" t="e">
        <f>O102+ATM_Conf!$C$5*(X102-AG102)</f>
        <v>#DIV/0!</v>
      </c>
      <c r="P103" s="45" t="e">
        <f>P102+ATM_Conf!$C$5*(Y102-AH102)</f>
        <v>#DIV/0!</v>
      </c>
      <c r="Q103" s="45" t="e">
        <f>Q102+ATM_Conf!$C$5*(Z102-AI102)</f>
        <v>#DIV/0!</v>
      </c>
      <c r="R103" s="45" t="e">
        <f>R102+ATM_Conf!$C$5*(AA102-AJ102)</f>
        <v>#DIV/0!</v>
      </c>
      <c r="S103" s="45" t="e">
        <f>S102+ATM_Conf!$C$5*(AB102-AK102)</f>
        <v>#DIV/0!</v>
      </c>
      <c r="T103" s="45"/>
      <c r="U103" s="45"/>
      <c r="V103" s="45"/>
      <c r="W103" s="45"/>
      <c r="X103" s="45"/>
      <c r="Y103" s="45"/>
      <c r="Z103" s="45"/>
      <c r="AA103" s="45"/>
      <c r="AB103" s="45"/>
      <c r="AC103" s="45" t="e">
        <f t="shared" si="41"/>
        <v>#DIV/0!</v>
      </c>
      <c r="AD103" s="45" t="e">
        <f t="shared" si="42"/>
        <v>#DIV/0!</v>
      </c>
      <c r="AE103" s="45" t="e">
        <f t="shared" si="43"/>
        <v>#DIV/0!</v>
      </c>
      <c r="AF103" s="45" t="e">
        <f t="shared" si="44"/>
        <v>#DIV/0!</v>
      </c>
      <c r="AG103" s="45" t="e">
        <f t="shared" si="45"/>
        <v>#DIV/0!</v>
      </c>
      <c r="AH103" s="45" t="e">
        <f t="shared" si="46"/>
        <v>#DIV/0!</v>
      </c>
      <c r="AI103" s="45" t="e">
        <f t="shared" si="47"/>
        <v>#DIV/0!</v>
      </c>
      <c r="AJ103" s="45" t="e">
        <f t="shared" si="48"/>
        <v>#DIV/0!</v>
      </c>
      <c r="AK103" s="45" t="e">
        <f t="shared" si="49"/>
        <v>#DIV/0!</v>
      </c>
      <c r="AL103" s="45" t="e">
        <f>T$3+K103/ATM_Conf!$C$5</f>
        <v>#DIV/0!</v>
      </c>
      <c r="AM103" s="45" t="e">
        <f>U$3+L103/ATM_Conf!$C$5</f>
        <v>#DIV/0!</v>
      </c>
      <c r="AN103" s="45" t="e">
        <f>V$3+M103/ATM_Conf!$C$5</f>
        <v>#DIV/0!</v>
      </c>
      <c r="AO103" s="45" t="e">
        <f>W$3+N103/ATM_Conf!$C$5</f>
        <v>#DIV/0!</v>
      </c>
      <c r="AP103" s="45" t="e">
        <f>X$3+O103/ATM_Conf!$C$5</f>
        <v>#DIV/0!</v>
      </c>
      <c r="AQ103" s="45" t="e">
        <f>Y$3+P103/ATM_Conf!$C$5</f>
        <v>#DIV/0!</v>
      </c>
      <c r="AR103" s="45" t="e">
        <f>Z$3+Q103/ATM_Conf!$C$5</f>
        <v>#DIV/0!</v>
      </c>
      <c r="AS103" s="45" t="e">
        <f>AA$3+R103/ATM_Conf!$C$5</f>
        <v>#DIV/0!</v>
      </c>
      <c r="AT103" s="45" t="e">
        <f>AB$3+S103/ATM_Conf!$C$5</f>
        <v>#DIV/0!</v>
      </c>
      <c r="AU103" s="45" t="e">
        <f>BD$3*MIN(1,(ATM_Conf!$C$6-Links!F103)/(ATM_Conf!$C$6-ATM_Conf!$C$7))</f>
        <v>#DIV/0!</v>
      </c>
      <c r="AV103" s="45" t="e">
        <f>BE$3*MIN(1,(ATM_Conf!$C$6-Links!G103)/(ATM_Conf!$C$6-ATM_Conf!$C$7))</f>
        <v>#DIV/0!</v>
      </c>
      <c r="AW103" s="45" t="e">
        <f>BF$3*MIN(1,(ATM_Conf!$C$6-Links!H103)/(ATM_Conf!$C$6-ATM_Conf!$C$7))</f>
        <v>#DIV/0!</v>
      </c>
      <c r="AX103" s="45" t="e">
        <f>BG$3*MIN(1,(ATM_Conf!$C$6-Links!I103)/(ATM_Conf!$C$6-ATM_Conf!$C$7))</f>
        <v>#DIV/0!</v>
      </c>
      <c r="AY103" s="45" t="e">
        <f>BH$3*MIN(1,(ATM_Conf!$C$6-Links!J103)/(ATM_Conf!$C$6-ATM_Conf!$C$7))</f>
        <v>#DIV/0!</v>
      </c>
      <c r="AZ103" s="45" t="e">
        <f>BI$3*MIN(1,(ATM_Conf!$C$6-Links!K103)/(ATM_Conf!$C$6-ATM_Conf!$C$7))</f>
        <v>#DIV/0!</v>
      </c>
      <c r="BA103" s="45" t="e">
        <f>BJ$3*MIN(1,(ATM_Conf!$C$6-Links!L103)/(ATM_Conf!$C$6-ATM_Conf!$C$7))</f>
        <v>#DIV/0!</v>
      </c>
      <c r="BB103" s="45" t="e">
        <f>BK$3*MIN(1,(ATM_Conf!$C$6-Links!M103)/(ATM_Conf!$C$6-ATM_Conf!$C$7))</f>
        <v>#DIV/0!</v>
      </c>
      <c r="BC103" s="45" t="e">
        <f>BL$3*MIN(1,(ATM_Conf!$C$6-Links!N103)/(ATM_Conf!$C$6-ATM_Conf!$C$7))</f>
        <v>#DIV/0!</v>
      </c>
      <c r="BD103" s="45"/>
      <c r="BE103" s="45"/>
      <c r="BF103" s="45"/>
      <c r="BG103" s="45"/>
      <c r="BH103" s="45"/>
      <c r="BI103" s="45"/>
      <c r="BJ103" s="45"/>
      <c r="BK103" s="45"/>
      <c r="BL103" s="45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 t="e">
        <f t="shared" si="50"/>
        <v>#DIV/0!</v>
      </c>
      <c r="BW103" s="53" t="e">
        <f t="shared" si="51"/>
        <v>#DIV/0!</v>
      </c>
      <c r="BX103" s="53" t="e">
        <f t="shared" si="52"/>
        <v>#DIV/0!</v>
      </c>
      <c r="BY103" s="53" t="e">
        <f t="shared" si="53"/>
        <v>#DIV/0!</v>
      </c>
      <c r="BZ103" s="53" t="e">
        <f t="shared" si="54"/>
        <v>#DIV/0!</v>
      </c>
      <c r="CA103" s="53" t="e">
        <f t="shared" si="55"/>
        <v>#DIV/0!</v>
      </c>
      <c r="CB103" s="53" t="e">
        <f t="shared" si="56"/>
        <v>#DIV/0!</v>
      </c>
      <c r="CC103" s="53" t="e">
        <f t="shared" si="57"/>
        <v>#DIV/0!</v>
      </c>
      <c r="CD103" s="53" t="e">
        <f t="shared" si="58"/>
        <v>#DIV/0!</v>
      </c>
      <c r="CE103" s="55">
        <f t="shared" si="40"/>
        <v>0</v>
      </c>
      <c r="CF103" s="55">
        <f t="shared" si="65"/>
        <v>0</v>
      </c>
      <c r="CG103" s="55">
        <f t="shared" si="65"/>
        <v>0</v>
      </c>
      <c r="CH103" s="55">
        <f t="shared" si="65"/>
        <v>0</v>
      </c>
      <c r="CI103" s="55">
        <f t="shared" si="65"/>
        <v>0</v>
      </c>
      <c r="CJ103" s="55">
        <f t="shared" si="65"/>
        <v>0</v>
      </c>
      <c r="CK103" s="55">
        <f t="shared" si="65"/>
        <v>0</v>
      </c>
      <c r="CL103" s="55">
        <f t="shared" si="65"/>
        <v>0</v>
      </c>
      <c r="CM103" s="55">
        <f t="shared" si="65"/>
        <v>0</v>
      </c>
    </row>
    <row r="104" spans="1:91" x14ac:dyDescent="0.15">
      <c r="A104" s="42">
        <v>102</v>
      </c>
      <c r="B104" s="45">
        <f t="shared" si="68"/>
        <v>1</v>
      </c>
      <c r="C104" s="45">
        <f t="shared" si="67"/>
        <v>1</v>
      </c>
      <c r="D104" s="45">
        <f t="shared" si="67"/>
        <v>1</v>
      </c>
      <c r="E104" s="45">
        <f t="shared" si="67"/>
        <v>1</v>
      </c>
      <c r="F104" s="45">
        <f t="shared" si="67"/>
        <v>1</v>
      </c>
      <c r="G104" s="45">
        <f t="shared" si="67"/>
        <v>1</v>
      </c>
      <c r="H104" s="45">
        <f t="shared" si="67"/>
        <v>1</v>
      </c>
      <c r="I104" s="45">
        <f t="shared" si="67"/>
        <v>1</v>
      </c>
      <c r="J104" s="45">
        <f t="shared" si="67"/>
        <v>1</v>
      </c>
      <c r="K104" s="45" t="e">
        <f>K103+ATM_Conf!$C$5*(T103-AC103)</f>
        <v>#DIV/0!</v>
      </c>
      <c r="L104" s="45" t="e">
        <f>L103+ATM_Conf!$C$5*(U103-AD103)</f>
        <v>#DIV/0!</v>
      </c>
      <c r="M104" s="45" t="e">
        <f>M103+ATM_Conf!$C$5*(V103-AE103)</f>
        <v>#DIV/0!</v>
      </c>
      <c r="N104" s="45" t="e">
        <f>N103+ATM_Conf!$C$5*(W103-AF103)</f>
        <v>#DIV/0!</v>
      </c>
      <c r="O104" s="45" t="e">
        <f>O103+ATM_Conf!$C$5*(X103-AG103)</f>
        <v>#DIV/0!</v>
      </c>
      <c r="P104" s="45" t="e">
        <f>P103+ATM_Conf!$C$5*(Y103-AH103)</f>
        <v>#DIV/0!</v>
      </c>
      <c r="Q104" s="45" t="e">
        <f>Q103+ATM_Conf!$C$5*(Z103-AI103)</f>
        <v>#DIV/0!</v>
      </c>
      <c r="R104" s="45" t="e">
        <f>R103+ATM_Conf!$C$5*(AA103-AJ103)</f>
        <v>#DIV/0!</v>
      </c>
      <c r="S104" s="45" t="e">
        <f>S103+ATM_Conf!$C$5*(AB103-AK103)</f>
        <v>#DIV/0!</v>
      </c>
      <c r="T104" s="45"/>
      <c r="U104" s="45"/>
      <c r="V104" s="45"/>
      <c r="W104" s="45"/>
      <c r="X104" s="45"/>
      <c r="Y104" s="45"/>
      <c r="Z104" s="45"/>
      <c r="AA104" s="45"/>
      <c r="AB104" s="45"/>
      <c r="AC104" s="45" t="e">
        <f t="shared" si="41"/>
        <v>#DIV/0!</v>
      </c>
      <c r="AD104" s="45" t="e">
        <f t="shared" si="42"/>
        <v>#DIV/0!</v>
      </c>
      <c r="AE104" s="45" t="e">
        <f t="shared" si="43"/>
        <v>#DIV/0!</v>
      </c>
      <c r="AF104" s="45" t="e">
        <f t="shared" si="44"/>
        <v>#DIV/0!</v>
      </c>
      <c r="AG104" s="45" t="e">
        <f t="shared" si="45"/>
        <v>#DIV/0!</v>
      </c>
      <c r="AH104" s="45" t="e">
        <f t="shared" si="46"/>
        <v>#DIV/0!</v>
      </c>
      <c r="AI104" s="45" t="e">
        <f t="shared" si="47"/>
        <v>#DIV/0!</v>
      </c>
      <c r="AJ104" s="45" t="e">
        <f t="shared" si="48"/>
        <v>#DIV/0!</v>
      </c>
      <c r="AK104" s="45" t="e">
        <f t="shared" si="49"/>
        <v>#DIV/0!</v>
      </c>
      <c r="AL104" s="45" t="e">
        <f>T$3+K104/ATM_Conf!$C$5</f>
        <v>#DIV/0!</v>
      </c>
      <c r="AM104" s="45" t="e">
        <f>U$3+L104/ATM_Conf!$C$5</f>
        <v>#DIV/0!</v>
      </c>
      <c r="AN104" s="45" t="e">
        <f>V$3+M104/ATM_Conf!$C$5</f>
        <v>#DIV/0!</v>
      </c>
      <c r="AO104" s="45" t="e">
        <f>W$3+N104/ATM_Conf!$C$5</f>
        <v>#DIV/0!</v>
      </c>
      <c r="AP104" s="45" t="e">
        <f>X$3+O104/ATM_Conf!$C$5</f>
        <v>#DIV/0!</v>
      </c>
      <c r="AQ104" s="45" t="e">
        <f>Y$3+P104/ATM_Conf!$C$5</f>
        <v>#DIV/0!</v>
      </c>
      <c r="AR104" s="45" t="e">
        <f>Z$3+Q104/ATM_Conf!$C$5</f>
        <v>#DIV/0!</v>
      </c>
      <c r="AS104" s="45" t="e">
        <f>AA$3+R104/ATM_Conf!$C$5</f>
        <v>#DIV/0!</v>
      </c>
      <c r="AT104" s="45" t="e">
        <f>AB$3+S104/ATM_Conf!$C$5</f>
        <v>#DIV/0!</v>
      </c>
      <c r="AU104" s="45" t="e">
        <f>BD$3*MIN(1,(ATM_Conf!$C$6-Links!F104)/(ATM_Conf!$C$6-ATM_Conf!$C$7))</f>
        <v>#DIV/0!</v>
      </c>
      <c r="AV104" s="45" t="e">
        <f>BE$3*MIN(1,(ATM_Conf!$C$6-Links!G104)/(ATM_Conf!$C$6-ATM_Conf!$C$7))</f>
        <v>#DIV/0!</v>
      </c>
      <c r="AW104" s="45" t="e">
        <f>BF$3*MIN(1,(ATM_Conf!$C$6-Links!H104)/(ATM_Conf!$C$6-ATM_Conf!$C$7))</f>
        <v>#DIV/0!</v>
      </c>
      <c r="AX104" s="45" t="e">
        <f>BG$3*MIN(1,(ATM_Conf!$C$6-Links!I104)/(ATM_Conf!$C$6-ATM_Conf!$C$7))</f>
        <v>#DIV/0!</v>
      </c>
      <c r="AY104" s="45" t="e">
        <f>BH$3*MIN(1,(ATM_Conf!$C$6-Links!J104)/(ATM_Conf!$C$6-ATM_Conf!$C$7))</f>
        <v>#DIV/0!</v>
      </c>
      <c r="AZ104" s="45" t="e">
        <f>BI$3*MIN(1,(ATM_Conf!$C$6-Links!K104)/(ATM_Conf!$C$6-ATM_Conf!$C$7))</f>
        <v>#DIV/0!</v>
      </c>
      <c r="BA104" s="45" t="e">
        <f>BJ$3*MIN(1,(ATM_Conf!$C$6-Links!L104)/(ATM_Conf!$C$6-ATM_Conf!$C$7))</f>
        <v>#DIV/0!</v>
      </c>
      <c r="BB104" s="45" t="e">
        <f>BK$3*MIN(1,(ATM_Conf!$C$6-Links!M104)/(ATM_Conf!$C$6-ATM_Conf!$C$7))</f>
        <v>#DIV/0!</v>
      </c>
      <c r="BC104" s="45" t="e">
        <f>BL$3*MIN(1,(ATM_Conf!$C$6-Links!N104)/(ATM_Conf!$C$6-ATM_Conf!$C$7))</f>
        <v>#DIV/0!</v>
      </c>
      <c r="BD104" s="45"/>
      <c r="BE104" s="45"/>
      <c r="BF104" s="45"/>
      <c r="BG104" s="45"/>
      <c r="BH104" s="45"/>
      <c r="BI104" s="45"/>
      <c r="BJ104" s="45"/>
      <c r="BK104" s="45"/>
      <c r="BL104" s="45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 t="e">
        <f t="shared" si="50"/>
        <v>#DIV/0!</v>
      </c>
      <c r="BW104" s="53" t="e">
        <f t="shared" si="51"/>
        <v>#DIV/0!</v>
      </c>
      <c r="BX104" s="53" t="e">
        <f t="shared" si="52"/>
        <v>#DIV/0!</v>
      </c>
      <c r="BY104" s="53" t="e">
        <f t="shared" si="53"/>
        <v>#DIV/0!</v>
      </c>
      <c r="BZ104" s="53" t="e">
        <f t="shared" si="54"/>
        <v>#DIV/0!</v>
      </c>
      <c r="CA104" s="53" t="e">
        <f t="shared" si="55"/>
        <v>#DIV/0!</v>
      </c>
      <c r="CB104" s="53" t="e">
        <f t="shared" si="56"/>
        <v>#DIV/0!</v>
      </c>
      <c r="CC104" s="53" t="e">
        <f t="shared" si="57"/>
        <v>#DIV/0!</v>
      </c>
      <c r="CD104" s="53" t="e">
        <f t="shared" si="58"/>
        <v>#DIV/0!</v>
      </c>
      <c r="CE104" s="55">
        <f t="shared" si="40"/>
        <v>0</v>
      </c>
      <c r="CF104" s="55">
        <f t="shared" si="65"/>
        <v>0</v>
      </c>
      <c r="CG104" s="55">
        <f t="shared" si="65"/>
        <v>0</v>
      </c>
      <c r="CH104" s="55">
        <f t="shared" si="65"/>
        <v>0</v>
      </c>
      <c r="CI104" s="55">
        <f t="shared" si="65"/>
        <v>0</v>
      </c>
      <c r="CJ104" s="55">
        <f t="shared" si="65"/>
        <v>0</v>
      </c>
      <c r="CK104" s="55">
        <f t="shared" si="65"/>
        <v>0</v>
      </c>
      <c r="CL104" s="55">
        <f t="shared" si="65"/>
        <v>0</v>
      </c>
      <c r="CM104" s="55">
        <f t="shared" si="65"/>
        <v>0</v>
      </c>
    </row>
    <row r="105" spans="1:91" x14ac:dyDescent="0.15">
      <c r="A105" s="42">
        <v>103</v>
      </c>
      <c r="B105" s="45">
        <f t="shared" si="68"/>
        <v>1</v>
      </c>
      <c r="C105" s="45">
        <f t="shared" si="67"/>
        <v>1</v>
      </c>
      <c r="D105" s="45">
        <f t="shared" si="67"/>
        <v>1</v>
      </c>
      <c r="E105" s="45">
        <f t="shared" si="67"/>
        <v>1</v>
      </c>
      <c r="F105" s="45">
        <f t="shared" si="67"/>
        <v>1</v>
      </c>
      <c r="G105" s="45">
        <f t="shared" si="67"/>
        <v>1</v>
      </c>
      <c r="H105" s="45">
        <f t="shared" si="67"/>
        <v>1</v>
      </c>
      <c r="I105" s="45">
        <f t="shared" si="67"/>
        <v>1</v>
      </c>
      <c r="J105" s="45">
        <f t="shared" si="67"/>
        <v>1</v>
      </c>
      <c r="K105" s="45" t="e">
        <f>K104+ATM_Conf!$C$5*(T104-AC104)</f>
        <v>#DIV/0!</v>
      </c>
      <c r="L105" s="45" t="e">
        <f>L104+ATM_Conf!$C$5*(U104-AD104)</f>
        <v>#DIV/0!</v>
      </c>
      <c r="M105" s="45" t="e">
        <f>M104+ATM_Conf!$C$5*(V104-AE104)</f>
        <v>#DIV/0!</v>
      </c>
      <c r="N105" s="45" t="e">
        <f>N104+ATM_Conf!$C$5*(W104-AF104)</f>
        <v>#DIV/0!</v>
      </c>
      <c r="O105" s="45" t="e">
        <f>O104+ATM_Conf!$C$5*(X104-AG104)</f>
        <v>#DIV/0!</v>
      </c>
      <c r="P105" s="45" t="e">
        <f>P104+ATM_Conf!$C$5*(Y104-AH104)</f>
        <v>#DIV/0!</v>
      </c>
      <c r="Q105" s="45" t="e">
        <f>Q104+ATM_Conf!$C$5*(Z104-AI104)</f>
        <v>#DIV/0!</v>
      </c>
      <c r="R105" s="45" t="e">
        <f>R104+ATM_Conf!$C$5*(AA104-AJ104)</f>
        <v>#DIV/0!</v>
      </c>
      <c r="S105" s="45" t="e">
        <f>S104+ATM_Conf!$C$5*(AB104-AK104)</f>
        <v>#DIV/0!</v>
      </c>
      <c r="T105" s="45"/>
      <c r="U105" s="45"/>
      <c r="V105" s="45"/>
      <c r="W105" s="45"/>
      <c r="X105" s="45"/>
      <c r="Y105" s="45"/>
      <c r="Z105" s="45"/>
      <c r="AA105" s="45"/>
      <c r="AB105" s="45"/>
      <c r="AC105" s="45" t="e">
        <f t="shared" si="41"/>
        <v>#DIV/0!</v>
      </c>
      <c r="AD105" s="45" t="e">
        <f t="shared" si="42"/>
        <v>#DIV/0!</v>
      </c>
      <c r="AE105" s="45" t="e">
        <f t="shared" si="43"/>
        <v>#DIV/0!</v>
      </c>
      <c r="AF105" s="45" t="e">
        <f t="shared" si="44"/>
        <v>#DIV/0!</v>
      </c>
      <c r="AG105" s="45" t="e">
        <f t="shared" si="45"/>
        <v>#DIV/0!</v>
      </c>
      <c r="AH105" s="45" t="e">
        <f t="shared" si="46"/>
        <v>#DIV/0!</v>
      </c>
      <c r="AI105" s="45" t="e">
        <f t="shared" si="47"/>
        <v>#DIV/0!</v>
      </c>
      <c r="AJ105" s="45" t="e">
        <f t="shared" si="48"/>
        <v>#DIV/0!</v>
      </c>
      <c r="AK105" s="45" t="e">
        <f t="shared" si="49"/>
        <v>#DIV/0!</v>
      </c>
      <c r="AL105" s="45" t="e">
        <f>T$3+K105/ATM_Conf!$C$5</f>
        <v>#DIV/0!</v>
      </c>
      <c r="AM105" s="45" t="e">
        <f>U$3+L105/ATM_Conf!$C$5</f>
        <v>#DIV/0!</v>
      </c>
      <c r="AN105" s="45" t="e">
        <f>V$3+M105/ATM_Conf!$C$5</f>
        <v>#DIV/0!</v>
      </c>
      <c r="AO105" s="45" t="e">
        <f>W$3+N105/ATM_Conf!$C$5</f>
        <v>#DIV/0!</v>
      </c>
      <c r="AP105" s="45" t="e">
        <f>X$3+O105/ATM_Conf!$C$5</f>
        <v>#DIV/0!</v>
      </c>
      <c r="AQ105" s="45" t="e">
        <f>Y$3+P105/ATM_Conf!$C$5</f>
        <v>#DIV/0!</v>
      </c>
      <c r="AR105" s="45" t="e">
        <f>Z$3+Q105/ATM_Conf!$C$5</f>
        <v>#DIV/0!</v>
      </c>
      <c r="AS105" s="45" t="e">
        <f>AA$3+R105/ATM_Conf!$C$5</f>
        <v>#DIV/0!</v>
      </c>
      <c r="AT105" s="45" t="e">
        <f>AB$3+S105/ATM_Conf!$C$5</f>
        <v>#DIV/0!</v>
      </c>
      <c r="AU105" s="45" t="e">
        <f>BD$3*MIN(1,(ATM_Conf!$C$6-Links!F105)/(ATM_Conf!$C$6-ATM_Conf!$C$7))</f>
        <v>#DIV/0!</v>
      </c>
      <c r="AV105" s="45" t="e">
        <f>BE$3*MIN(1,(ATM_Conf!$C$6-Links!G105)/(ATM_Conf!$C$6-ATM_Conf!$C$7))</f>
        <v>#DIV/0!</v>
      </c>
      <c r="AW105" s="45" t="e">
        <f>BF$3*MIN(1,(ATM_Conf!$C$6-Links!H105)/(ATM_Conf!$C$6-ATM_Conf!$C$7))</f>
        <v>#DIV/0!</v>
      </c>
      <c r="AX105" s="45" t="e">
        <f>BG$3*MIN(1,(ATM_Conf!$C$6-Links!I105)/(ATM_Conf!$C$6-ATM_Conf!$C$7))</f>
        <v>#DIV/0!</v>
      </c>
      <c r="AY105" s="45" t="e">
        <f>BH$3*MIN(1,(ATM_Conf!$C$6-Links!J105)/(ATM_Conf!$C$6-ATM_Conf!$C$7))</f>
        <v>#DIV/0!</v>
      </c>
      <c r="AZ105" s="45" t="e">
        <f>BI$3*MIN(1,(ATM_Conf!$C$6-Links!K105)/(ATM_Conf!$C$6-ATM_Conf!$C$7))</f>
        <v>#DIV/0!</v>
      </c>
      <c r="BA105" s="45" t="e">
        <f>BJ$3*MIN(1,(ATM_Conf!$C$6-Links!L105)/(ATM_Conf!$C$6-ATM_Conf!$C$7))</f>
        <v>#DIV/0!</v>
      </c>
      <c r="BB105" s="45" t="e">
        <f>BK$3*MIN(1,(ATM_Conf!$C$6-Links!M105)/(ATM_Conf!$C$6-ATM_Conf!$C$7))</f>
        <v>#DIV/0!</v>
      </c>
      <c r="BC105" s="45" t="e">
        <f>BL$3*MIN(1,(ATM_Conf!$C$6-Links!N105)/(ATM_Conf!$C$6-ATM_Conf!$C$7))</f>
        <v>#DIV/0!</v>
      </c>
      <c r="BD105" s="45"/>
      <c r="BE105" s="45"/>
      <c r="BF105" s="45"/>
      <c r="BG105" s="45"/>
      <c r="BH105" s="45"/>
      <c r="BI105" s="45"/>
      <c r="BJ105" s="45"/>
      <c r="BK105" s="45"/>
      <c r="BL105" s="45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 t="e">
        <f t="shared" si="50"/>
        <v>#DIV/0!</v>
      </c>
      <c r="BW105" s="53" t="e">
        <f t="shared" si="51"/>
        <v>#DIV/0!</v>
      </c>
      <c r="BX105" s="53" t="e">
        <f t="shared" si="52"/>
        <v>#DIV/0!</v>
      </c>
      <c r="BY105" s="53" t="e">
        <f t="shared" si="53"/>
        <v>#DIV/0!</v>
      </c>
      <c r="BZ105" s="53" t="e">
        <f t="shared" si="54"/>
        <v>#DIV/0!</v>
      </c>
      <c r="CA105" s="53" t="e">
        <f t="shared" si="55"/>
        <v>#DIV/0!</v>
      </c>
      <c r="CB105" s="53" t="e">
        <f t="shared" si="56"/>
        <v>#DIV/0!</v>
      </c>
      <c r="CC105" s="53" t="e">
        <f t="shared" si="57"/>
        <v>#DIV/0!</v>
      </c>
      <c r="CD105" s="53" t="e">
        <f t="shared" si="58"/>
        <v>#DIV/0!</v>
      </c>
      <c r="CE105" s="55">
        <f t="shared" si="40"/>
        <v>0</v>
      </c>
      <c r="CF105" s="55">
        <f t="shared" si="65"/>
        <v>0</v>
      </c>
      <c r="CG105" s="55">
        <f t="shared" si="65"/>
        <v>0</v>
      </c>
      <c r="CH105" s="55">
        <f t="shared" si="65"/>
        <v>0</v>
      </c>
      <c r="CI105" s="55">
        <f t="shared" si="65"/>
        <v>0</v>
      </c>
      <c r="CJ105" s="55">
        <f t="shared" si="65"/>
        <v>0</v>
      </c>
      <c r="CK105" s="55">
        <f t="shared" si="65"/>
        <v>0</v>
      </c>
      <c r="CL105" s="55">
        <f t="shared" si="65"/>
        <v>0</v>
      </c>
      <c r="CM105" s="55">
        <f t="shared" si="65"/>
        <v>0</v>
      </c>
    </row>
    <row r="106" spans="1:91" x14ac:dyDescent="0.15">
      <c r="A106" s="42">
        <v>104</v>
      </c>
      <c r="B106" s="45">
        <f t="shared" si="68"/>
        <v>1</v>
      </c>
      <c r="C106" s="45">
        <f t="shared" si="67"/>
        <v>1</v>
      </c>
      <c r="D106" s="45">
        <f t="shared" si="67"/>
        <v>1</v>
      </c>
      <c r="E106" s="45">
        <f t="shared" si="67"/>
        <v>1</v>
      </c>
      <c r="F106" s="45">
        <f t="shared" si="67"/>
        <v>1</v>
      </c>
      <c r="G106" s="45">
        <f t="shared" si="67"/>
        <v>1</v>
      </c>
      <c r="H106" s="45">
        <f t="shared" si="67"/>
        <v>1</v>
      </c>
      <c r="I106" s="45">
        <f t="shared" si="67"/>
        <v>1</v>
      </c>
      <c r="J106" s="45">
        <f t="shared" si="67"/>
        <v>1</v>
      </c>
      <c r="K106" s="45" t="e">
        <f>K105+ATM_Conf!$C$5*(T105-AC105)</f>
        <v>#DIV/0!</v>
      </c>
      <c r="L106" s="45" t="e">
        <f>L105+ATM_Conf!$C$5*(U105-AD105)</f>
        <v>#DIV/0!</v>
      </c>
      <c r="M106" s="45" t="e">
        <f>M105+ATM_Conf!$C$5*(V105-AE105)</f>
        <v>#DIV/0!</v>
      </c>
      <c r="N106" s="45" t="e">
        <f>N105+ATM_Conf!$C$5*(W105-AF105)</f>
        <v>#DIV/0!</v>
      </c>
      <c r="O106" s="45" t="e">
        <f>O105+ATM_Conf!$C$5*(X105-AG105)</f>
        <v>#DIV/0!</v>
      </c>
      <c r="P106" s="45" t="e">
        <f>P105+ATM_Conf!$C$5*(Y105-AH105)</f>
        <v>#DIV/0!</v>
      </c>
      <c r="Q106" s="45" t="e">
        <f>Q105+ATM_Conf!$C$5*(Z105-AI105)</f>
        <v>#DIV/0!</v>
      </c>
      <c r="R106" s="45" t="e">
        <f>R105+ATM_Conf!$C$5*(AA105-AJ105)</f>
        <v>#DIV/0!</v>
      </c>
      <c r="S106" s="45" t="e">
        <f>S105+ATM_Conf!$C$5*(AB105-AK105)</f>
        <v>#DIV/0!</v>
      </c>
      <c r="T106" s="45"/>
      <c r="U106" s="45"/>
      <c r="V106" s="45"/>
      <c r="W106" s="45"/>
      <c r="X106" s="45"/>
      <c r="Y106" s="45"/>
      <c r="Z106" s="45"/>
      <c r="AA106" s="45"/>
      <c r="AB106" s="45"/>
      <c r="AC106" s="45" t="e">
        <f t="shared" si="41"/>
        <v>#DIV/0!</v>
      </c>
      <c r="AD106" s="45" t="e">
        <f t="shared" si="42"/>
        <v>#DIV/0!</v>
      </c>
      <c r="AE106" s="45" t="e">
        <f t="shared" si="43"/>
        <v>#DIV/0!</v>
      </c>
      <c r="AF106" s="45" t="e">
        <f t="shared" si="44"/>
        <v>#DIV/0!</v>
      </c>
      <c r="AG106" s="45" t="e">
        <f t="shared" si="45"/>
        <v>#DIV/0!</v>
      </c>
      <c r="AH106" s="45" t="e">
        <f t="shared" si="46"/>
        <v>#DIV/0!</v>
      </c>
      <c r="AI106" s="45" t="e">
        <f t="shared" si="47"/>
        <v>#DIV/0!</v>
      </c>
      <c r="AJ106" s="45" t="e">
        <f t="shared" si="48"/>
        <v>#DIV/0!</v>
      </c>
      <c r="AK106" s="45" t="e">
        <f t="shared" si="49"/>
        <v>#DIV/0!</v>
      </c>
      <c r="AL106" s="45" t="e">
        <f>T$3+K106/ATM_Conf!$C$5</f>
        <v>#DIV/0!</v>
      </c>
      <c r="AM106" s="45" t="e">
        <f>U$3+L106/ATM_Conf!$C$5</f>
        <v>#DIV/0!</v>
      </c>
      <c r="AN106" s="45" t="e">
        <f>V$3+M106/ATM_Conf!$C$5</f>
        <v>#DIV/0!</v>
      </c>
      <c r="AO106" s="45" t="e">
        <f>W$3+N106/ATM_Conf!$C$5</f>
        <v>#DIV/0!</v>
      </c>
      <c r="AP106" s="45" t="e">
        <f>X$3+O106/ATM_Conf!$C$5</f>
        <v>#DIV/0!</v>
      </c>
      <c r="AQ106" s="45" t="e">
        <f>Y$3+P106/ATM_Conf!$C$5</f>
        <v>#DIV/0!</v>
      </c>
      <c r="AR106" s="45" t="e">
        <f>Z$3+Q106/ATM_Conf!$C$5</f>
        <v>#DIV/0!</v>
      </c>
      <c r="AS106" s="45" t="e">
        <f>AA$3+R106/ATM_Conf!$C$5</f>
        <v>#DIV/0!</v>
      </c>
      <c r="AT106" s="45" t="e">
        <f>AB$3+S106/ATM_Conf!$C$5</f>
        <v>#DIV/0!</v>
      </c>
      <c r="AU106" s="45" t="e">
        <f>BD$3*MIN(1,(ATM_Conf!$C$6-Links!F106)/(ATM_Conf!$C$6-ATM_Conf!$C$7))</f>
        <v>#DIV/0!</v>
      </c>
      <c r="AV106" s="45" t="e">
        <f>BE$3*MIN(1,(ATM_Conf!$C$6-Links!G106)/(ATM_Conf!$C$6-ATM_Conf!$C$7))</f>
        <v>#DIV/0!</v>
      </c>
      <c r="AW106" s="45" t="e">
        <f>BF$3*MIN(1,(ATM_Conf!$C$6-Links!H106)/(ATM_Conf!$C$6-ATM_Conf!$C$7))</f>
        <v>#DIV/0!</v>
      </c>
      <c r="AX106" s="45" t="e">
        <f>BG$3*MIN(1,(ATM_Conf!$C$6-Links!I106)/(ATM_Conf!$C$6-ATM_Conf!$C$7))</f>
        <v>#DIV/0!</v>
      </c>
      <c r="AY106" s="45" t="e">
        <f>BH$3*MIN(1,(ATM_Conf!$C$6-Links!J106)/(ATM_Conf!$C$6-ATM_Conf!$C$7))</f>
        <v>#DIV/0!</v>
      </c>
      <c r="AZ106" s="45" t="e">
        <f>BI$3*MIN(1,(ATM_Conf!$C$6-Links!K106)/(ATM_Conf!$C$6-ATM_Conf!$C$7))</f>
        <v>#DIV/0!</v>
      </c>
      <c r="BA106" s="45" t="e">
        <f>BJ$3*MIN(1,(ATM_Conf!$C$6-Links!L106)/(ATM_Conf!$C$6-ATM_Conf!$C$7))</f>
        <v>#DIV/0!</v>
      </c>
      <c r="BB106" s="45" t="e">
        <f>BK$3*MIN(1,(ATM_Conf!$C$6-Links!M106)/(ATM_Conf!$C$6-ATM_Conf!$C$7))</f>
        <v>#DIV/0!</v>
      </c>
      <c r="BC106" s="45" t="e">
        <f>BL$3*MIN(1,(ATM_Conf!$C$6-Links!N106)/(ATM_Conf!$C$6-ATM_Conf!$C$7))</f>
        <v>#DIV/0!</v>
      </c>
      <c r="BD106" s="45"/>
      <c r="BE106" s="45"/>
      <c r="BF106" s="45"/>
      <c r="BG106" s="45"/>
      <c r="BH106" s="45"/>
      <c r="BI106" s="45"/>
      <c r="BJ106" s="45"/>
      <c r="BK106" s="45"/>
      <c r="BL106" s="45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 t="e">
        <f t="shared" si="50"/>
        <v>#DIV/0!</v>
      </c>
      <c r="BW106" s="53" t="e">
        <f t="shared" si="51"/>
        <v>#DIV/0!</v>
      </c>
      <c r="BX106" s="53" t="e">
        <f t="shared" si="52"/>
        <v>#DIV/0!</v>
      </c>
      <c r="BY106" s="53" t="e">
        <f t="shared" si="53"/>
        <v>#DIV/0!</v>
      </c>
      <c r="BZ106" s="53" t="e">
        <f t="shared" si="54"/>
        <v>#DIV/0!</v>
      </c>
      <c r="CA106" s="53" t="e">
        <f t="shared" si="55"/>
        <v>#DIV/0!</v>
      </c>
      <c r="CB106" s="53" t="e">
        <f t="shared" si="56"/>
        <v>#DIV/0!</v>
      </c>
      <c r="CC106" s="53" t="e">
        <f t="shared" si="57"/>
        <v>#DIV/0!</v>
      </c>
      <c r="CD106" s="53" t="e">
        <f t="shared" si="58"/>
        <v>#DIV/0!</v>
      </c>
      <c r="CE106" s="55">
        <f t="shared" si="40"/>
        <v>0</v>
      </c>
      <c r="CF106" s="55">
        <f t="shared" si="65"/>
        <v>0</v>
      </c>
      <c r="CG106" s="55">
        <f t="shared" si="65"/>
        <v>0</v>
      </c>
      <c r="CH106" s="55">
        <f t="shared" si="65"/>
        <v>0</v>
      </c>
      <c r="CI106" s="55">
        <f t="shared" si="65"/>
        <v>0</v>
      </c>
      <c r="CJ106" s="55">
        <f t="shared" si="65"/>
        <v>0</v>
      </c>
      <c r="CK106" s="55">
        <f t="shared" si="65"/>
        <v>0</v>
      </c>
      <c r="CL106" s="55">
        <f t="shared" si="65"/>
        <v>0</v>
      </c>
      <c r="CM106" s="55">
        <f t="shared" si="65"/>
        <v>0</v>
      </c>
    </row>
    <row r="107" spans="1:91" x14ac:dyDescent="0.15">
      <c r="A107" s="42">
        <v>105</v>
      </c>
      <c r="B107" s="45">
        <f t="shared" si="68"/>
        <v>1</v>
      </c>
      <c r="C107" s="45">
        <f t="shared" si="67"/>
        <v>1</v>
      </c>
      <c r="D107" s="45">
        <f t="shared" si="67"/>
        <v>1</v>
      </c>
      <c r="E107" s="45">
        <f t="shared" si="67"/>
        <v>1</v>
      </c>
      <c r="F107" s="45">
        <f t="shared" si="67"/>
        <v>1</v>
      </c>
      <c r="G107" s="45">
        <f t="shared" si="67"/>
        <v>1</v>
      </c>
      <c r="H107" s="45">
        <f t="shared" si="67"/>
        <v>1</v>
      </c>
      <c r="I107" s="45">
        <f t="shared" si="67"/>
        <v>1</v>
      </c>
      <c r="J107" s="45">
        <f t="shared" si="67"/>
        <v>1</v>
      </c>
      <c r="K107" s="45" t="e">
        <f>K106+ATM_Conf!$C$5*(T106-AC106)</f>
        <v>#DIV/0!</v>
      </c>
      <c r="L107" s="45" t="e">
        <f>L106+ATM_Conf!$C$5*(U106-AD106)</f>
        <v>#DIV/0!</v>
      </c>
      <c r="M107" s="45" t="e">
        <f>M106+ATM_Conf!$C$5*(V106-AE106)</f>
        <v>#DIV/0!</v>
      </c>
      <c r="N107" s="45" t="e">
        <f>N106+ATM_Conf!$C$5*(W106-AF106)</f>
        <v>#DIV/0!</v>
      </c>
      <c r="O107" s="45" t="e">
        <f>O106+ATM_Conf!$C$5*(X106-AG106)</f>
        <v>#DIV/0!</v>
      </c>
      <c r="P107" s="45" t="e">
        <f>P106+ATM_Conf!$C$5*(Y106-AH106)</f>
        <v>#DIV/0!</v>
      </c>
      <c r="Q107" s="45" t="e">
        <f>Q106+ATM_Conf!$C$5*(Z106-AI106)</f>
        <v>#DIV/0!</v>
      </c>
      <c r="R107" s="45" t="e">
        <f>R106+ATM_Conf!$C$5*(AA106-AJ106)</f>
        <v>#DIV/0!</v>
      </c>
      <c r="S107" s="45" t="e">
        <f>S106+ATM_Conf!$C$5*(AB106-AK106)</f>
        <v>#DIV/0!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 t="e">
        <f t="shared" si="41"/>
        <v>#DIV/0!</v>
      </c>
      <c r="AD107" s="45" t="e">
        <f t="shared" si="42"/>
        <v>#DIV/0!</v>
      </c>
      <c r="AE107" s="45" t="e">
        <f t="shared" si="43"/>
        <v>#DIV/0!</v>
      </c>
      <c r="AF107" s="45" t="e">
        <f t="shared" si="44"/>
        <v>#DIV/0!</v>
      </c>
      <c r="AG107" s="45" t="e">
        <f t="shared" si="45"/>
        <v>#DIV/0!</v>
      </c>
      <c r="AH107" s="45" t="e">
        <f t="shared" si="46"/>
        <v>#DIV/0!</v>
      </c>
      <c r="AI107" s="45" t="e">
        <f t="shared" si="47"/>
        <v>#DIV/0!</v>
      </c>
      <c r="AJ107" s="45" t="e">
        <f t="shared" si="48"/>
        <v>#DIV/0!</v>
      </c>
      <c r="AK107" s="45" t="e">
        <f t="shared" si="49"/>
        <v>#DIV/0!</v>
      </c>
      <c r="AL107" s="45" t="e">
        <f>T$3+K107/ATM_Conf!$C$5</f>
        <v>#DIV/0!</v>
      </c>
      <c r="AM107" s="45" t="e">
        <f>U$3+L107/ATM_Conf!$C$5</f>
        <v>#DIV/0!</v>
      </c>
      <c r="AN107" s="45" t="e">
        <f>V$3+M107/ATM_Conf!$C$5</f>
        <v>#DIV/0!</v>
      </c>
      <c r="AO107" s="45" t="e">
        <f>W$3+N107/ATM_Conf!$C$5</f>
        <v>#DIV/0!</v>
      </c>
      <c r="AP107" s="45" t="e">
        <f>X$3+O107/ATM_Conf!$C$5</f>
        <v>#DIV/0!</v>
      </c>
      <c r="AQ107" s="45" t="e">
        <f>Y$3+P107/ATM_Conf!$C$5</f>
        <v>#DIV/0!</v>
      </c>
      <c r="AR107" s="45" t="e">
        <f>Z$3+Q107/ATM_Conf!$C$5</f>
        <v>#DIV/0!</v>
      </c>
      <c r="AS107" s="45" t="e">
        <f>AA$3+R107/ATM_Conf!$C$5</f>
        <v>#DIV/0!</v>
      </c>
      <c r="AT107" s="45" t="e">
        <f>AB$3+S107/ATM_Conf!$C$5</f>
        <v>#DIV/0!</v>
      </c>
      <c r="AU107" s="45" t="e">
        <f>BD$3*MIN(1,(ATM_Conf!$C$6-Links!F107)/(ATM_Conf!$C$6-ATM_Conf!$C$7))</f>
        <v>#DIV/0!</v>
      </c>
      <c r="AV107" s="45" t="e">
        <f>BE$3*MIN(1,(ATM_Conf!$C$6-Links!G107)/(ATM_Conf!$C$6-ATM_Conf!$C$7))</f>
        <v>#DIV/0!</v>
      </c>
      <c r="AW107" s="45" t="e">
        <f>BF$3*MIN(1,(ATM_Conf!$C$6-Links!H107)/(ATM_Conf!$C$6-ATM_Conf!$C$7))</f>
        <v>#DIV/0!</v>
      </c>
      <c r="AX107" s="45" t="e">
        <f>BG$3*MIN(1,(ATM_Conf!$C$6-Links!I107)/(ATM_Conf!$C$6-ATM_Conf!$C$7))</f>
        <v>#DIV/0!</v>
      </c>
      <c r="AY107" s="45" t="e">
        <f>BH$3*MIN(1,(ATM_Conf!$C$6-Links!J107)/(ATM_Conf!$C$6-ATM_Conf!$C$7))</f>
        <v>#DIV/0!</v>
      </c>
      <c r="AZ107" s="45" t="e">
        <f>BI$3*MIN(1,(ATM_Conf!$C$6-Links!K107)/(ATM_Conf!$C$6-ATM_Conf!$C$7))</f>
        <v>#DIV/0!</v>
      </c>
      <c r="BA107" s="45" t="e">
        <f>BJ$3*MIN(1,(ATM_Conf!$C$6-Links!L107)/(ATM_Conf!$C$6-ATM_Conf!$C$7))</f>
        <v>#DIV/0!</v>
      </c>
      <c r="BB107" s="45" t="e">
        <f>BK$3*MIN(1,(ATM_Conf!$C$6-Links!M107)/(ATM_Conf!$C$6-ATM_Conf!$C$7))</f>
        <v>#DIV/0!</v>
      </c>
      <c r="BC107" s="45" t="e">
        <f>BL$3*MIN(1,(ATM_Conf!$C$6-Links!N107)/(ATM_Conf!$C$6-ATM_Conf!$C$7))</f>
        <v>#DIV/0!</v>
      </c>
      <c r="BD107" s="45"/>
      <c r="BE107" s="45"/>
      <c r="BF107" s="45"/>
      <c r="BG107" s="45"/>
      <c r="BH107" s="45"/>
      <c r="BI107" s="45"/>
      <c r="BJ107" s="45"/>
      <c r="BK107" s="45"/>
      <c r="BL107" s="45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 t="e">
        <f t="shared" si="50"/>
        <v>#DIV/0!</v>
      </c>
      <c r="BW107" s="53" t="e">
        <f t="shared" si="51"/>
        <v>#DIV/0!</v>
      </c>
      <c r="BX107" s="53" t="e">
        <f t="shared" si="52"/>
        <v>#DIV/0!</v>
      </c>
      <c r="BY107" s="53" t="e">
        <f t="shared" si="53"/>
        <v>#DIV/0!</v>
      </c>
      <c r="BZ107" s="53" t="e">
        <f t="shared" si="54"/>
        <v>#DIV/0!</v>
      </c>
      <c r="CA107" s="53" t="e">
        <f t="shared" si="55"/>
        <v>#DIV/0!</v>
      </c>
      <c r="CB107" s="53" t="e">
        <f t="shared" si="56"/>
        <v>#DIV/0!</v>
      </c>
      <c r="CC107" s="53" t="e">
        <f t="shared" si="57"/>
        <v>#DIV/0!</v>
      </c>
      <c r="CD107" s="53" t="e">
        <f t="shared" si="58"/>
        <v>#DIV/0!</v>
      </c>
      <c r="CE107" s="55">
        <f t="shared" si="40"/>
        <v>0</v>
      </c>
      <c r="CF107" s="55">
        <f t="shared" si="65"/>
        <v>0</v>
      </c>
      <c r="CG107" s="55">
        <f t="shared" si="65"/>
        <v>0</v>
      </c>
      <c r="CH107" s="55">
        <f t="shared" si="65"/>
        <v>0</v>
      </c>
      <c r="CI107" s="55">
        <f t="shared" si="65"/>
        <v>0</v>
      </c>
      <c r="CJ107" s="55">
        <f t="shared" si="65"/>
        <v>0</v>
      </c>
      <c r="CK107" s="55">
        <f t="shared" si="65"/>
        <v>0</v>
      </c>
      <c r="CL107" s="55">
        <f t="shared" si="65"/>
        <v>0</v>
      </c>
      <c r="CM107" s="55">
        <f t="shared" si="65"/>
        <v>0</v>
      </c>
    </row>
    <row r="108" spans="1:91" x14ac:dyDescent="0.15">
      <c r="A108" s="42">
        <v>106</v>
      </c>
      <c r="B108" s="45">
        <f t="shared" si="68"/>
        <v>1</v>
      </c>
      <c r="C108" s="45">
        <f t="shared" si="67"/>
        <v>1</v>
      </c>
      <c r="D108" s="45">
        <f t="shared" si="67"/>
        <v>1</v>
      </c>
      <c r="E108" s="45">
        <f t="shared" si="67"/>
        <v>1</v>
      </c>
      <c r="F108" s="45">
        <f t="shared" si="67"/>
        <v>1</v>
      </c>
      <c r="G108" s="45">
        <f t="shared" si="67"/>
        <v>1</v>
      </c>
      <c r="H108" s="45">
        <f t="shared" si="67"/>
        <v>1</v>
      </c>
      <c r="I108" s="45">
        <f t="shared" si="67"/>
        <v>1</v>
      </c>
      <c r="J108" s="45">
        <f t="shared" si="67"/>
        <v>1</v>
      </c>
      <c r="K108" s="45" t="e">
        <f>K107+ATM_Conf!$C$5*(T107-AC107)</f>
        <v>#DIV/0!</v>
      </c>
      <c r="L108" s="45" t="e">
        <f>L107+ATM_Conf!$C$5*(U107-AD107)</f>
        <v>#DIV/0!</v>
      </c>
      <c r="M108" s="45" t="e">
        <f>M107+ATM_Conf!$C$5*(V107-AE107)</f>
        <v>#DIV/0!</v>
      </c>
      <c r="N108" s="45" t="e">
        <f>N107+ATM_Conf!$C$5*(W107-AF107)</f>
        <v>#DIV/0!</v>
      </c>
      <c r="O108" s="45" t="e">
        <f>O107+ATM_Conf!$C$5*(X107-AG107)</f>
        <v>#DIV/0!</v>
      </c>
      <c r="P108" s="45" t="e">
        <f>P107+ATM_Conf!$C$5*(Y107-AH107)</f>
        <v>#DIV/0!</v>
      </c>
      <c r="Q108" s="45" t="e">
        <f>Q107+ATM_Conf!$C$5*(Z107-AI107)</f>
        <v>#DIV/0!</v>
      </c>
      <c r="R108" s="45" t="e">
        <f>R107+ATM_Conf!$C$5*(AA107-AJ107)</f>
        <v>#DIV/0!</v>
      </c>
      <c r="S108" s="45" t="e">
        <f>S107+ATM_Conf!$C$5*(AB107-AK107)</f>
        <v>#DIV/0!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 t="e">
        <f t="shared" si="41"/>
        <v>#DIV/0!</v>
      </c>
      <c r="AD108" s="45" t="e">
        <f t="shared" si="42"/>
        <v>#DIV/0!</v>
      </c>
      <c r="AE108" s="45" t="e">
        <f t="shared" si="43"/>
        <v>#DIV/0!</v>
      </c>
      <c r="AF108" s="45" t="e">
        <f t="shared" si="44"/>
        <v>#DIV/0!</v>
      </c>
      <c r="AG108" s="45" t="e">
        <f t="shared" si="45"/>
        <v>#DIV/0!</v>
      </c>
      <c r="AH108" s="45" t="e">
        <f t="shared" si="46"/>
        <v>#DIV/0!</v>
      </c>
      <c r="AI108" s="45" t="e">
        <f t="shared" si="47"/>
        <v>#DIV/0!</v>
      </c>
      <c r="AJ108" s="45" t="e">
        <f t="shared" si="48"/>
        <v>#DIV/0!</v>
      </c>
      <c r="AK108" s="45" t="e">
        <f t="shared" si="49"/>
        <v>#DIV/0!</v>
      </c>
      <c r="AL108" s="45" t="e">
        <f>T$3+K108/ATM_Conf!$C$5</f>
        <v>#DIV/0!</v>
      </c>
      <c r="AM108" s="45" t="e">
        <f>U$3+L108/ATM_Conf!$C$5</f>
        <v>#DIV/0!</v>
      </c>
      <c r="AN108" s="45" t="e">
        <f>V$3+M108/ATM_Conf!$C$5</f>
        <v>#DIV/0!</v>
      </c>
      <c r="AO108" s="45" t="e">
        <f>W$3+N108/ATM_Conf!$C$5</f>
        <v>#DIV/0!</v>
      </c>
      <c r="AP108" s="45" t="e">
        <f>X$3+O108/ATM_Conf!$C$5</f>
        <v>#DIV/0!</v>
      </c>
      <c r="AQ108" s="45" t="e">
        <f>Y$3+P108/ATM_Conf!$C$5</f>
        <v>#DIV/0!</v>
      </c>
      <c r="AR108" s="45" t="e">
        <f>Z$3+Q108/ATM_Conf!$C$5</f>
        <v>#DIV/0!</v>
      </c>
      <c r="AS108" s="45" t="e">
        <f>AA$3+R108/ATM_Conf!$C$5</f>
        <v>#DIV/0!</v>
      </c>
      <c r="AT108" s="45" t="e">
        <f>AB$3+S108/ATM_Conf!$C$5</f>
        <v>#DIV/0!</v>
      </c>
      <c r="AU108" s="45" t="e">
        <f>BD$3*MIN(1,(ATM_Conf!$C$6-Links!F108)/(ATM_Conf!$C$6-ATM_Conf!$C$7))</f>
        <v>#DIV/0!</v>
      </c>
      <c r="AV108" s="45" t="e">
        <f>BE$3*MIN(1,(ATM_Conf!$C$6-Links!G108)/(ATM_Conf!$C$6-ATM_Conf!$C$7))</f>
        <v>#DIV/0!</v>
      </c>
      <c r="AW108" s="45" t="e">
        <f>BF$3*MIN(1,(ATM_Conf!$C$6-Links!H108)/(ATM_Conf!$C$6-ATM_Conf!$C$7))</f>
        <v>#DIV/0!</v>
      </c>
      <c r="AX108" s="45" t="e">
        <f>BG$3*MIN(1,(ATM_Conf!$C$6-Links!I108)/(ATM_Conf!$C$6-ATM_Conf!$C$7))</f>
        <v>#DIV/0!</v>
      </c>
      <c r="AY108" s="45" t="e">
        <f>BH$3*MIN(1,(ATM_Conf!$C$6-Links!J108)/(ATM_Conf!$C$6-ATM_Conf!$C$7))</f>
        <v>#DIV/0!</v>
      </c>
      <c r="AZ108" s="45" t="e">
        <f>BI$3*MIN(1,(ATM_Conf!$C$6-Links!K108)/(ATM_Conf!$C$6-ATM_Conf!$C$7))</f>
        <v>#DIV/0!</v>
      </c>
      <c r="BA108" s="45" t="e">
        <f>BJ$3*MIN(1,(ATM_Conf!$C$6-Links!L108)/(ATM_Conf!$C$6-ATM_Conf!$C$7))</f>
        <v>#DIV/0!</v>
      </c>
      <c r="BB108" s="45" t="e">
        <f>BK$3*MIN(1,(ATM_Conf!$C$6-Links!M108)/(ATM_Conf!$C$6-ATM_Conf!$C$7))</f>
        <v>#DIV/0!</v>
      </c>
      <c r="BC108" s="45" t="e">
        <f>BL$3*MIN(1,(ATM_Conf!$C$6-Links!N108)/(ATM_Conf!$C$6-ATM_Conf!$C$7))</f>
        <v>#DIV/0!</v>
      </c>
      <c r="BD108" s="45"/>
      <c r="BE108" s="45"/>
      <c r="BF108" s="45"/>
      <c r="BG108" s="45"/>
      <c r="BH108" s="45"/>
      <c r="BI108" s="45"/>
      <c r="BJ108" s="45"/>
      <c r="BK108" s="45"/>
      <c r="BL108" s="45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 t="e">
        <f t="shared" si="50"/>
        <v>#DIV/0!</v>
      </c>
      <c r="BW108" s="53" t="e">
        <f t="shared" si="51"/>
        <v>#DIV/0!</v>
      </c>
      <c r="BX108" s="53" t="e">
        <f t="shared" si="52"/>
        <v>#DIV/0!</v>
      </c>
      <c r="BY108" s="53" t="e">
        <f t="shared" si="53"/>
        <v>#DIV/0!</v>
      </c>
      <c r="BZ108" s="53" t="e">
        <f t="shared" si="54"/>
        <v>#DIV/0!</v>
      </c>
      <c r="CA108" s="53" t="e">
        <f t="shared" si="55"/>
        <v>#DIV/0!</v>
      </c>
      <c r="CB108" s="53" t="e">
        <f t="shared" si="56"/>
        <v>#DIV/0!</v>
      </c>
      <c r="CC108" s="53" t="e">
        <f t="shared" si="57"/>
        <v>#DIV/0!</v>
      </c>
      <c r="CD108" s="53" t="e">
        <f t="shared" si="58"/>
        <v>#DIV/0!</v>
      </c>
      <c r="CE108" s="55">
        <f t="shared" si="40"/>
        <v>0</v>
      </c>
      <c r="CF108" s="55">
        <f t="shared" si="65"/>
        <v>0</v>
      </c>
      <c r="CG108" s="55">
        <f t="shared" si="65"/>
        <v>0</v>
      </c>
      <c r="CH108" s="55">
        <f t="shared" si="65"/>
        <v>0</v>
      </c>
      <c r="CI108" s="55">
        <f t="shared" si="65"/>
        <v>0</v>
      </c>
      <c r="CJ108" s="55">
        <f t="shared" si="65"/>
        <v>0</v>
      </c>
      <c r="CK108" s="55">
        <f t="shared" si="65"/>
        <v>0</v>
      </c>
      <c r="CL108" s="55">
        <f t="shared" si="65"/>
        <v>0</v>
      </c>
      <c r="CM108" s="55">
        <f t="shared" si="65"/>
        <v>0</v>
      </c>
    </row>
    <row r="109" spans="1:91" x14ac:dyDescent="0.15">
      <c r="A109" s="42">
        <v>107</v>
      </c>
      <c r="B109" s="45">
        <f t="shared" si="68"/>
        <v>1</v>
      </c>
      <c r="C109" s="45">
        <f t="shared" si="67"/>
        <v>1</v>
      </c>
      <c r="D109" s="45">
        <f t="shared" si="67"/>
        <v>1</v>
      </c>
      <c r="E109" s="45">
        <f t="shared" si="67"/>
        <v>1</v>
      </c>
      <c r="F109" s="45">
        <f t="shared" si="67"/>
        <v>1</v>
      </c>
      <c r="G109" s="45">
        <f t="shared" si="67"/>
        <v>1</v>
      </c>
      <c r="H109" s="45">
        <f t="shared" si="67"/>
        <v>1</v>
      </c>
      <c r="I109" s="45">
        <f t="shared" si="67"/>
        <v>1</v>
      </c>
      <c r="J109" s="45">
        <f t="shared" si="67"/>
        <v>1</v>
      </c>
      <c r="K109" s="45" t="e">
        <f>K108+ATM_Conf!$C$5*(T108-AC108)</f>
        <v>#DIV/0!</v>
      </c>
      <c r="L109" s="45" t="e">
        <f>L108+ATM_Conf!$C$5*(U108-AD108)</f>
        <v>#DIV/0!</v>
      </c>
      <c r="M109" s="45" t="e">
        <f>M108+ATM_Conf!$C$5*(V108-AE108)</f>
        <v>#DIV/0!</v>
      </c>
      <c r="N109" s="45" t="e">
        <f>N108+ATM_Conf!$C$5*(W108-AF108)</f>
        <v>#DIV/0!</v>
      </c>
      <c r="O109" s="45" t="e">
        <f>O108+ATM_Conf!$C$5*(X108-AG108)</f>
        <v>#DIV/0!</v>
      </c>
      <c r="P109" s="45" t="e">
        <f>P108+ATM_Conf!$C$5*(Y108-AH108)</f>
        <v>#DIV/0!</v>
      </c>
      <c r="Q109" s="45" t="e">
        <f>Q108+ATM_Conf!$C$5*(Z108-AI108)</f>
        <v>#DIV/0!</v>
      </c>
      <c r="R109" s="45" t="e">
        <f>R108+ATM_Conf!$C$5*(AA108-AJ108)</f>
        <v>#DIV/0!</v>
      </c>
      <c r="S109" s="45" t="e">
        <f>S108+ATM_Conf!$C$5*(AB108-AK108)</f>
        <v>#DIV/0!</v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 t="e">
        <f t="shared" si="41"/>
        <v>#DIV/0!</v>
      </c>
      <c r="AD109" s="45" t="e">
        <f t="shared" si="42"/>
        <v>#DIV/0!</v>
      </c>
      <c r="AE109" s="45" t="e">
        <f t="shared" si="43"/>
        <v>#DIV/0!</v>
      </c>
      <c r="AF109" s="45" t="e">
        <f t="shared" si="44"/>
        <v>#DIV/0!</v>
      </c>
      <c r="AG109" s="45" t="e">
        <f t="shared" si="45"/>
        <v>#DIV/0!</v>
      </c>
      <c r="AH109" s="45" t="e">
        <f t="shared" si="46"/>
        <v>#DIV/0!</v>
      </c>
      <c r="AI109" s="45" t="e">
        <f t="shared" si="47"/>
        <v>#DIV/0!</v>
      </c>
      <c r="AJ109" s="45" t="e">
        <f t="shared" si="48"/>
        <v>#DIV/0!</v>
      </c>
      <c r="AK109" s="45" t="e">
        <f t="shared" si="49"/>
        <v>#DIV/0!</v>
      </c>
      <c r="AL109" s="45" t="e">
        <f>T$3+K109/ATM_Conf!$C$5</f>
        <v>#DIV/0!</v>
      </c>
      <c r="AM109" s="45" t="e">
        <f>U$3+L109/ATM_Conf!$C$5</f>
        <v>#DIV/0!</v>
      </c>
      <c r="AN109" s="45" t="e">
        <f>V$3+M109/ATM_Conf!$C$5</f>
        <v>#DIV/0!</v>
      </c>
      <c r="AO109" s="45" t="e">
        <f>W$3+N109/ATM_Conf!$C$5</f>
        <v>#DIV/0!</v>
      </c>
      <c r="AP109" s="45" t="e">
        <f>X$3+O109/ATM_Conf!$C$5</f>
        <v>#DIV/0!</v>
      </c>
      <c r="AQ109" s="45" t="e">
        <f>Y$3+P109/ATM_Conf!$C$5</f>
        <v>#DIV/0!</v>
      </c>
      <c r="AR109" s="45" t="e">
        <f>Z$3+Q109/ATM_Conf!$C$5</f>
        <v>#DIV/0!</v>
      </c>
      <c r="AS109" s="45" t="e">
        <f>AA$3+R109/ATM_Conf!$C$5</f>
        <v>#DIV/0!</v>
      </c>
      <c r="AT109" s="45" t="e">
        <f>AB$3+S109/ATM_Conf!$C$5</f>
        <v>#DIV/0!</v>
      </c>
      <c r="AU109" s="45" t="e">
        <f>BD$3*MIN(1,(ATM_Conf!$C$6-Links!F109)/(ATM_Conf!$C$6-ATM_Conf!$C$7))</f>
        <v>#DIV/0!</v>
      </c>
      <c r="AV109" s="45" t="e">
        <f>BE$3*MIN(1,(ATM_Conf!$C$6-Links!G109)/(ATM_Conf!$C$6-ATM_Conf!$C$7))</f>
        <v>#DIV/0!</v>
      </c>
      <c r="AW109" s="45" t="e">
        <f>BF$3*MIN(1,(ATM_Conf!$C$6-Links!H109)/(ATM_Conf!$C$6-ATM_Conf!$C$7))</f>
        <v>#DIV/0!</v>
      </c>
      <c r="AX109" s="45" t="e">
        <f>BG$3*MIN(1,(ATM_Conf!$C$6-Links!I109)/(ATM_Conf!$C$6-ATM_Conf!$C$7))</f>
        <v>#DIV/0!</v>
      </c>
      <c r="AY109" s="45" t="e">
        <f>BH$3*MIN(1,(ATM_Conf!$C$6-Links!J109)/(ATM_Conf!$C$6-ATM_Conf!$C$7))</f>
        <v>#DIV/0!</v>
      </c>
      <c r="AZ109" s="45" t="e">
        <f>BI$3*MIN(1,(ATM_Conf!$C$6-Links!K109)/(ATM_Conf!$C$6-ATM_Conf!$C$7))</f>
        <v>#DIV/0!</v>
      </c>
      <c r="BA109" s="45" t="e">
        <f>BJ$3*MIN(1,(ATM_Conf!$C$6-Links!L109)/(ATM_Conf!$C$6-ATM_Conf!$C$7))</f>
        <v>#DIV/0!</v>
      </c>
      <c r="BB109" s="45" t="e">
        <f>BK$3*MIN(1,(ATM_Conf!$C$6-Links!M109)/(ATM_Conf!$C$6-ATM_Conf!$C$7))</f>
        <v>#DIV/0!</v>
      </c>
      <c r="BC109" s="45" t="e">
        <f>BL$3*MIN(1,(ATM_Conf!$C$6-Links!N109)/(ATM_Conf!$C$6-ATM_Conf!$C$7))</f>
        <v>#DIV/0!</v>
      </c>
      <c r="BD109" s="45"/>
      <c r="BE109" s="45"/>
      <c r="BF109" s="45"/>
      <c r="BG109" s="45"/>
      <c r="BH109" s="45"/>
      <c r="BI109" s="45"/>
      <c r="BJ109" s="45"/>
      <c r="BK109" s="45"/>
      <c r="BL109" s="45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 t="e">
        <f t="shared" si="50"/>
        <v>#DIV/0!</v>
      </c>
      <c r="BW109" s="53" t="e">
        <f t="shared" si="51"/>
        <v>#DIV/0!</v>
      </c>
      <c r="BX109" s="53" t="e">
        <f t="shared" si="52"/>
        <v>#DIV/0!</v>
      </c>
      <c r="BY109" s="53" t="e">
        <f t="shared" si="53"/>
        <v>#DIV/0!</v>
      </c>
      <c r="BZ109" s="53" t="e">
        <f t="shared" si="54"/>
        <v>#DIV/0!</v>
      </c>
      <c r="CA109" s="53" t="e">
        <f t="shared" si="55"/>
        <v>#DIV/0!</v>
      </c>
      <c r="CB109" s="53" t="e">
        <f t="shared" si="56"/>
        <v>#DIV/0!</v>
      </c>
      <c r="CC109" s="53" t="e">
        <f t="shared" si="57"/>
        <v>#DIV/0!</v>
      </c>
      <c r="CD109" s="53" t="e">
        <f t="shared" si="58"/>
        <v>#DIV/0!</v>
      </c>
      <c r="CE109" s="55">
        <f t="shared" si="40"/>
        <v>0</v>
      </c>
      <c r="CF109" s="55">
        <f t="shared" si="65"/>
        <v>0</v>
      </c>
      <c r="CG109" s="55">
        <f t="shared" si="65"/>
        <v>0</v>
      </c>
      <c r="CH109" s="55">
        <f t="shared" si="65"/>
        <v>0</v>
      </c>
      <c r="CI109" s="55">
        <f t="shared" si="65"/>
        <v>0</v>
      </c>
      <c r="CJ109" s="55">
        <f t="shared" si="65"/>
        <v>0</v>
      </c>
      <c r="CK109" s="55">
        <f t="shared" si="65"/>
        <v>0</v>
      </c>
      <c r="CL109" s="55">
        <f t="shared" si="65"/>
        <v>0</v>
      </c>
      <c r="CM109" s="55">
        <f t="shared" si="65"/>
        <v>0</v>
      </c>
    </row>
    <row r="110" spans="1:91" x14ac:dyDescent="0.15">
      <c r="A110" s="42">
        <v>108</v>
      </c>
      <c r="B110" s="45">
        <f t="shared" si="68"/>
        <v>1</v>
      </c>
      <c r="C110" s="45">
        <f t="shared" si="67"/>
        <v>1</v>
      </c>
      <c r="D110" s="45">
        <f t="shared" si="67"/>
        <v>1</v>
      </c>
      <c r="E110" s="45">
        <f t="shared" si="67"/>
        <v>1</v>
      </c>
      <c r="F110" s="45">
        <f t="shared" si="67"/>
        <v>1</v>
      </c>
      <c r="G110" s="45">
        <f t="shared" si="67"/>
        <v>1</v>
      </c>
      <c r="H110" s="45">
        <f t="shared" si="67"/>
        <v>1</v>
      </c>
      <c r="I110" s="45">
        <f t="shared" si="67"/>
        <v>1</v>
      </c>
      <c r="J110" s="45">
        <f t="shared" si="67"/>
        <v>1</v>
      </c>
      <c r="K110" s="45" t="e">
        <f>K109+ATM_Conf!$C$5*(T109-AC109)</f>
        <v>#DIV/0!</v>
      </c>
      <c r="L110" s="45" t="e">
        <f>L109+ATM_Conf!$C$5*(U109-AD109)</f>
        <v>#DIV/0!</v>
      </c>
      <c r="M110" s="45" t="e">
        <f>M109+ATM_Conf!$C$5*(V109-AE109)</f>
        <v>#DIV/0!</v>
      </c>
      <c r="N110" s="45" t="e">
        <f>N109+ATM_Conf!$C$5*(W109-AF109)</f>
        <v>#DIV/0!</v>
      </c>
      <c r="O110" s="45" t="e">
        <f>O109+ATM_Conf!$C$5*(X109-AG109)</f>
        <v>#DIV/0!</v>
      </c>
      <c r="P110" s="45" t="e">
        <f>P109+ATM_Conf!$C$5*(Y109-AH109)</f>
        <v>#DIV/0!</v>
      </c>
      <c r="Q110" s="45" t="e">
        <f>Q109+ATM_Conf!$C$5*(Z109-AI109)</f>
        <v>#DIV/0!</v>
      </c>
      <c r="R110" s="45" t="e">
        <f>R109+ATM_Conf!$C$5*(AA109-AJ109)</f>
        <v>#DIV/0!</v>
      </c>
      <c r="S110" s="45" t="e">
        <f>S109+ATM_Conf!$C$5*(AB109-AK109)</f>
        <v>#DIV/0!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 t="e">
        <f t="shared" si="41"/>
        <v>#DIV/0!</v>
      </c>
      <c r="AD110" s="45" t="e">
        <f t="shared" si="42"/>
        <v>#DIV/0!</v>
      </c>
      <c r="AE110" s="45" t="e">
        <f t="shared" si="43"/>
        <v>#DIV/0!</v>
      </c>
      <c r="AF110" s="45" t="e">
        <f t="shared" si="44"/>
        <v>#DIV/0!</v>
      </c>
      <c r="AG110" s="45" t="e">
        <f t="shared" si="45"/>
        <v>#DIV/0!</v>
      </c>
      <c r="AH110" s="45" t="e">
        <f t="shared" si="46"/>
        <v>#DIV/0!</v>
      </c>
      <c r="AI110" s="45" t="e">
        <f t="shared" si="47"/>
        <v>#DIV/0!</v>
      </c>
      <c r="AJ110" s="45" t="e">
        <f t="shared" si="48"/>
        <v>#DIV/0!</v>
      </c>
      <c r="AK110" s="45" t="e">
        <f t="shared" si="49"/>
        <v>#DIV/0!</v>
      </c>
      <c r="AL110" s="45" t="e">
        <f>T$3+K110/ATM_Conf!$C$5</f>
        <v>#DIV/0!</v>
      </c>
      <c r="AM110" s="45" t="e">
        <f>U$3+L110/ATM_Conf!$C$5</f>
        <v>#DIV/0!</v>
      </c>
      <c r="AN110" s="45" t="e">
        <f>V$3+M110/ATM_Conf!$C$5</f>
        <v>#DIV/0!</v>
      </c>
      <c r="AO110" s="45" t="e">
        <f>W$3+N110/ATM_Conf!$C$5</f>
        <v>#DIV/0!</v>
      </c>
      <c r="AP110" s="45" t="e">
        <f>X$3+O110/ATM_Conf!$C$5</f>
        <v>#DIV/0!</v>
      </c>
      <c r="AQ110" s="45" t="e">
        <f>Y$3+P110/ATM_Conf!$C$5</f>
        <v>#DIV/0!</v>
      </c>
      <c r="AR110" s="45" t="e">
        <f>Z$3+Q110/ATM_Conf!$C$5</f>
        <v>#DIV/0!</v>
      </c>
      <c r="AS110" s="45" t="e">
        <f>AA$3+R110/ATM_Conf!$C$5</f>
        <v>#DIV/0!</v>
      </c>
      <c r="AT110" s="45" t="e">
        <f>AB$3+S110/ATM_Conf!$C$5</f>
        <v>#DIV/0!</v>
      </c>
      <c r="AU110" s="45" t="e">
        <f>BD$3*MIN(1,(ATM_Conf!$C$6-Links!F110)/(ATM_Conf!$C$6-ATM_Conf!$C$7))</f>
        <v>#DIV/0!</v>
      </c>
      <c r="AV110" s="45" t="e">
        <f>BE$3*MIN(1,(ATM_Conf!$C$6-Links!G110)/(ATM_Conf!$C$6-ATM_Conf!$C$7))</f>
        <v>#DIV/0!</v>
      </c>
      <c r="AW110" s="45" t="e">
        <f>BF$3*MIN(1,(ATM_Conf!$C$6-Links!H110)/(ATM_Conf!$C$6-ATM_Conf!$C$7))</f>
        <v>#DIV/0!</v>
      </c>
      <c r="AX110" s="45" t="e">
        <f>BG$3*MIN(1,(ATM_Conf!$C$6-Links!I110)/(ATM_Conf!$C$6-ATM_Conf!$C$7))</f>
        <v>#DIV/0!</v>
      </c>
      <c r="AY110" s="45" t="e">
        <f>BH$3*MIN(1,(ATM_Conf!$C$6-Links!J110)/(ATM_Conf!$C$6-ATM_Conf!$C$7))</f>
        <v>#DIV/0!</v>
      </c>
      <c r="AZ110" s="45" t="e">
        <f>BI$3*MIN(1,(ATM_Conf!$C$6-Links!K110)/(ATM_Conf!$C$6-ATM_Conf!$C$7))</f>
        <v>#DIV/0!</v>
      </c>
      <c r="BA110" s="45" t="e">
        <f>BJ$3*MIN(1,(ATM_Conf!$C$6-Links!L110)/(ATM_Conf!$C$6-ATM_Conf!$C$7))</f>
        <v>#DIV/0!</v>
      </c>
      <c r="BB110" s="45" t="e">
        <f>BK$3*MIN(1,(ATM_Conf!$C$6-Links!M110)/(ATM_Conf!$C$6-ATM_Conf!$C$7))</f>
        <v>#DIV/0!</v>
      </c>
      <c r="BC110" s="45" t="e">
        <f>BL$3*MIN(1,(ATM_Conf!$C$6-Links!N110)/(ATM_Conf!$C$6-ATM_Conf!$C$7))</f>
        <v>#DIV/0!</v>
      </c>
      <c r="BD110" s="45"/>
      <c r="BE110" s="45"/>
      <c r="BF110" s="45"/>
      <c r="BG110" s="45"/>
      <c r="BH110" s="45"/>
      <c r="BI110" s="45"/>
      <c r="BJ110" s="45"/>
      <c r="BK110" s="45"/>
      <c r="BL110" s="45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 t="e">
        <f t="shared" si="50"/>
        <v>#DIV/0!</v>
      </c>
      <c r="BW110" s="53" t="e">
        <f t="shared" si="51"/>
        <v>#DIV/0!</v>
      </c>
      <c r="BX110" s="53" t="e">
        <f t="shared" si="52"/>
        <v>#DIV/0!</v>
      </c>
      <c r="BY110" s="53" t="e">
        <f t="shared" si="53"/>
        <v>#DIV/0!</v>
      </c>
      <c r="BZ110" s="53" t="e">
        <f t="shared" si="54"/>
        <v>#DIV/0!</v>
      </c>
      <c r="CA110" s="53" t="e">
        <f t="shared" si="55"/>
        <v>#DIV/0!</v>
      </c>
      <c r="CB110" s="53" t="e">
        <f t="shared" si="56"/>
        <v>#DIV/0!</v>
      </c>
      <c r="CC110" s="53" t="e">
        <f t="shared" si="57"/>
        <v>#DIV/0!</v>
      </c>
      <c r="CD110" s="53" t="e">
        <f t="shared" si="58"/>
        <v>#DIV/0!</v>
      </c>
      <c r="CE110" s="55">
        <f t="shared" si="40"/>
        <v>0</v>
      </c>
      <c r="CF110" s="55">
        <f t="shared" si="65"/>
        <v>0</v>
      </c>
      <c r="CG110" s="55">
        <f t="shared" si="65"/>
        <v>0</v>
      </c>
      <c r="CH110" s="55">
        <f t="shared" si="65"/>
        <v>0</v>
      </c>
      <c r="CI110" s="55">
        <f t="shared" si="65"/>
        <v>0</v>
      </c>
      <c r="CJ110" s="55">
        <f t="shared" si="65"/>
        <v>0</v>
      </c>
      <c r="CK110" s="55">
        <f t="shared" si="65"/>
        <v>0</v>
      </c>
      <c r="CL110" s="55">
        <f t="shared" si="65"/>
        <v>0</v>
      </c>
      <c r="CM110" s="55">
        <f t="shared" si="65"/>
        <v>0</v>
      </c>
    </row>
    <row r="111" spans="1:91" x14ac:dyDescent="0.15">
      <c r="A111" s="42">
        <v>109</v>
      </c>
      <c r="B111" s="47">
        <v>1</v>
      </c>
      <c r="C111" s="47">
        <v>1</v>
      </c>
      <c r="D111" s="47">
        <v>1</v>
      </c>
      <c r="E111" s="47">
        <v>1</v>
      </c>
      <c r="F111" s="47">
        <v>1</v>
      </c>
      <c r="G111" s="47">
        <v>1</v>
      </c>
      <c r="H111" s="47">
        <v>1</v>
      </c>
      <c r="I111" s="47">
        <v>1</v>
      </c>
      <c r="J111" s="47">
        <v>1</v>
      </c>
      <c r="K111" s="45" t="e">
        <f>K110+ATM_Conf!$C$5*(T110-AC110)</f>
        <v>#DIV/0!</v>
      </c>
      <c r="L111" s="45" t="e">
        <f>L110+ATM_Conf!$C$5*(U110-AD110)</f>
        <v>#DIV/0!</v>
      </c>
      <c r="M111" s="45" t="e">
        <f>M110+ATM_Conf!$C$5*(V110-AE110)</f>
        <v>#DIV/0!</v>
      </c>
      <c r="N111" s="45" t="e">
        <f>N110+ATM_Conf!$C$5*(W110-AF110)</f>
        <v>#DIV/0!</v>
      </c>
      <c r="O111" s="45" t="e">
        <f>O110+ATM_Conf!$C$5*(X110-AG110)</f>
        <v>#DIV/0!</v>
      </c>
      <c r="P111" s="45" t="e">
        <f>P110+ATM_Conf!$C$5*(Y110-AH110)</f>
        <v>#DIV/0!</v>
      </c>
      <c r="Q111" s="45" t="e">
        <f>Q110+ATM_Conf!$C$5*(Z110-AI110)</f>
        <v>#DIV/0!</v>
      </c>
      <c r="R111" s="45" t="e">
        <f>R110+ATM_Conf!$C$5*(AA110-AJ110)</f>
        <v>#DIV/0!</v>
      </c>
      <c r="S111" s="45" t="e">
        <f>S110+ATM_Conf!$C$5*(AB110-AK110)</f>
        <v>#DIV/0!</v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 t="e">
        <f t="shared" si="41"/>
        <v>#DIV/0!</v>
      </c>
      <c r="AD111" s="45" t="e">
        <f t="shared" si="42"/>
        <v>#DIV/0!</v>
      </c>
      <c r="AE111" s="45" t="e">
        <f t="shared" si="43"/>
        <v>#DIV/0!</v>
      </c>
      <c r="AF111" s="45" t="e">
        <f t="shared" si="44"/>
        <v>#DIV/0!</v>
      </c>
      <c r="AG111" s="45" t="e">
        <f t="shared" si="45"/>
        <v>#DIV/0!</v>
      </c>
      <c r="AH111" s="45" t="e">
        <f t="shared" si="46"/>
        <v>#DIV/0!</v>
      </c>
      <c r="AI111" s="45" t="e">
        <f t="shared" si="47"/>
        <v>#DIV/0!</v>
      </c>
      <c r="AJ111" s="45" t="e">
        <f t="shared" si="48"/>
        <v>#DIV/0!</v>
      </c>
      <c r="AK111" s="45" t="e">
        <f t="shared" si="49"/>
        <v>#DIV/0!</v>
      </c>
      <c r="AL111" s="45" t="e">
        <f>T$3+K111/ATM_Conf!$C$5</f>
        <v>#DIV/0!</v>
      </c>
      <c r="AM111" s="45" t="e">
        <f>U$3+L111/ATM_Conf!$C$5</f>
        <v>#DIV/0!</v>
      </c>
      <c r="AN111" s="45" t="e">
        <f>V$3+M111/ATM_Conf!$C$5</f>
        <v>#DIV/0!</v>
      </c>
      <c r="AO111" s="45" t="e">
        <f>W$3+N111/ATM_Conf!$C$5</f>
        <v>#DIV/0!</v>
      </c>
      <c r="AP111" s="45" t="e">
        <f>X$3+O111/ATM_Conf!$C$5</f>
        <v>#DIV/0!</v>
      </c>
      <c r="AQ111" s="45" t="e">
        <f>Y$3+P111/ATM_Conf!$C$5</f>
        <v>#DIV/0!</v>
      </c>
      <c r="AR111" s="45" t="e">
        <f>Z$3+Q111/ATM_Conf!$C$5</f>
        <v>#DIV/0!</v>
      </c>
      <c r="AS111" s="45" t="e">
        <f>AA$3+R111/ATM_Conf!$C$5</f>
        <v>#DIV/0!</v>
      </c>
      <c r="AT111" s="45" t="e">
        <f>AB$3+S111/ATM_Conf!$C$5</f>
        <v>#DIV/0!</v>
      </c>
      <c r="AU111" s="45" t="e">
        <f>BD$3*MIN(1,(ATM_Conf!$C$6-Links!F111)/(ATM_Conf!$C$6-ATM_Conf!$C$7))</f>
        <v>#DIV/0!</v>
      </c>
      <c r="AV111" s="45" t="e">
        <f>BE$3*MIN(1,(ATM_Conf!$C$6-Links!G111)/(ATM_Conf!$C$6-ATM_Conf!$C$7))</f>
        <v>#DIV/0!</v>
      </c>
      <c r="AW111" s="45" t="e">
        <f>BF$3*MIN(1,(ATM_Conf!$C$6-Links!H111)/(ATM_Conf!$C$6-ATM_Conf!$C$7))</f>
        <v>#DIV/0!</v>
      </c>
      <c r="AX111" s="45" t="e">
        <f>BG$3*MIN(1,(ATM_Conf!$C$6-Links!I111)/(ATM_Conf!$C$6-ATM_Conf!$C$7))</f>
        <v>#DIV/0!</v>
      </c>
      <c r="AY111" s="45" t="e">
        <f>BH$3*MIN(1,(ATM_Conf!$C$6-Links!J111)/(ATM_Conf!$C$6-ATM_Conf!$C$7))</f>
        <v>#DIV/0!</v>
      </c>
      <c r="AZ111" s="45" t="e">
        <f>BI$3*MIN(1,(ATM_Conf!$C$6-Links!K111)/(ATM_Conf!$C$6-ATM_Conf!$C$7))</f>
        <v>#DIV/0!</v>
      </c>
      <c r="BA111" s="45" t="e">
        <f>BJ$3*MIN(1,(ATM_Conf!$C$6-Links!L111)/(ATM_Conf!$C$6-ATM_Conf!$C$7))</f>
        <v>#DIV/0!</v>
      </c>
      <c r="BB111" s="45" t="e">
        <f>BK$3*MIN(1,(ATM_Conf!$C$6-Links!M111)/(ATM_Conf!$C$6-ATM_Conf!$C$7))</f>
        <v>#DIV/0!</v>
      </c>
      <c r="BC111" s="45" t="e">
        <f>BL$3*MIN(1,(ATM_Conf!$C$6-Links!N111)/(ATM_Conf!$C$6-ATM_Conf!$C$7))</f>
        <v>#DIV/0!</v>
      </c>
      <c r="BD111" s="45"/>
      <c r="BE111" s="45"/>
      <c r="BF111" s="45"/>
      <c r="BG111" s="45"/>
      <c r="BH111" s="45"/>
      <c r="BI111" s="45"/>
      <c r="BJ111" s="45"/>
      <c r="BK111" s="45"/>
      <c r="BL111" s="45"/>
      <c r="BM111" s="53">
        <f>(B111-B99)^2</f>
        <v>0</v>
      </c>
      <c r="BN111" s="53">
        <f t="shared" ref="BN111:BU111" si="69">(C111-C99)^2</f>
        <v>0</v>
      </c>
      <c r="BO111" s="53">
        <f t="shared" si="69"/>
        <v>0</v>
      </c>
      <c r="BP111" s="53">
        <f t="shared" si="69"/>
        <v>0</v>
      </c>
      <c r="BQ111" s="53">
        <f t="shared" si="69"/>
        <v>0</v>
      </c>
      <c r="BR111" s="53">
        <f t="shared" si="69"/>
        <v>0</v>
      </c>
      <c r="BS111" s="53">
        <f t="shared" si="69"/>
        <v>0</v>
      </c>
      <c r="BT111" s="53">
        <f t="shared" si="69"/>
        <v>0</v>
      </c>
      <c r="BU111" s="53">
        <f t="shared" si="69"/>
        <v>0</v>
      </c>
      <c r="BV111" s="53" t="e">
        <f t="shared" si="50"/>
        <v>#DIV/0!</v>
      </c>
      <c r="BW111" s="53" t="e">
        <f t="shared" si="51"/>
        <v>#DIV/0!</v>
      </c>
      <c r="BX111" s="53" t="e">
        <f t="shared" si="52"/>
        <v>#DIV/0!</v>
      </c>
      <c r="BY111" s="53" t="e">
        <f t="shared" si="53"/>
        <v>#DIV/0!</v>
      </c>
      <c r="BZ111" s="53" t="e">
        <f t="shared" si="54"/>
        <v>#DIV/0!</v>
      </c>
      <c r="CA111" s="53" t="e">
        <f t="shared" si="55"/>
        <v>#DIV/0!</v>
      </c>
      <c r="CB111" s="53" t="e">
        <f t="shared" si="56"/>
        <v>#DIV/0!</v>
      </c>
      <c r="CC111" s="53" t="e">
        <f t="shared" si="57"/>
        <v>#DIV/0!</v>
      </c>
      <c r="CD111" s="53" t="e">
        <f t="shared" si="58"/>
        <v>#DIV/0!</v>
      </c>
      <c r="CE111" s="55">
        <f t="shared" si="40"/>
        <v>0</v>
      </c>
      <c r="CF111" s="55">
        <f t="shared" si="65"/>
        <v>0</v>
      </c>
      <c r="CG111" s="55">
        <f t="shared" si="65"/>
        <v>0</v>
      </c>
      <c r="CH111" s="55">
        <f t="shared" si="65"/>
        <v>0</v>
      </c>
      <c r="CI111" s="55">
        <f t="shared" si="65"/>
        <v>0</v>
      </c>
      <c r="CJ111" s="55">
        <f t="shared" si="65"/>
        <v>0</v>
      </c>
      <c r="CK111" s="55">
        <f t="shared" si="65"/>
        <v>0</v>
      </c>
      <c r="CL111" s="55">
        <f t="shared" si="65"/>
        <v>0</v>
      </c>
      <c r="CM111" s="55">
        <f t="shared" si="65"/>
        <v>0</v>
      </c>
    </row>
    <row r="112" spans="1:91" x14ac:dyDescent="0.15">
      <c r="A112" s="42">
        <v>110</v>
      </c>
      <c r="B112" s="45">
        <f>B$111</f>
        <v>1</v>
      </c>
      <c r="C112" s="45">
        <f t="shared" ref="C112:J122" si="70">C$111</f>
        <v>1</v>
      </c>
      <c r="D112" s="45">
        <f t="shared" si="70"/>
        <v>1</v>
      </c>
      <c r="E112" s="45">
        <f t="shared" si="70"/>
        <v>1</v>
      </c>
      <c r="F112" s="45">
        <f t="shared" si="70"/>
        <v>1</v>
      </c>
      <c r="G112" s="45">
        <f t="shared" si="70"/>
        <v>1</v>
      </c>
      <c r="H112" s="45">
        <f t="shared" si="70"/>
        <v>1</v>
      </c>
      <c r="I112" s="45">
        <f t="shared" si="70"/>
        <v>1</v>
      </c>
      <c r="J112" s="45">
        <f t="shared" si="70"/>
        <v>1</v>
      </c>
      <c r="K112" s="45" t="e">
        <f>K111+ATM_Conf!$C$5*(T111-AC111)</f>
        <v>#DIV/0!</v>
      </c>
      <c r="L112" s="45" t="e">
        <f>L111+ATM_Conf!$C$5*(U111-AD111)</f>
        <v>#DIV/0!</v>
      </c>
      <c r="M112" s="45" t="e">
        <f>M111+ATM_Conf!$C$5*(V111-AE111)</f>
        <v>#DIV/0!</v>
      </c>
      <c r="N112" s="45" t="e">
        <f>N111+ATM_Conf!$C$5*(W111-AF111)</f>
        <v>#DIV/0!</v>
      </c>
      <c r="O112" s="45" t="e">
        <f>O111+ATM_Conf!$C$5*(X111-AG111)</f>
        <v>#DIV/0!</v>
      </c>
      <c r="P112" s="45" t="e">
        <f>P111+ATM_Conf!$C$5*(Y111-AH111)</f>
        <v>#DIV/0!</v>
      </c>
      <c r="Q112" s="45" t="e">
        <f>Q111+ATM_Conf!$C$5*(Z111-AI111)</f>
        <v>#DIV/0!</v>
      </c>
      <c r="R112" s="45" t="e">
        <f>R111+ATM_Conf!$C$5*(AA111-AJ111)</f>
        <v>#DIV/0!</v>
      </c>
      <c r="S112" s="45" t="e">
        <f>S111+ATM_Conf!$C$5*(AB111-AK111)</f>
        <v>#DIV/0!</v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 t="e">
        <f t="shared" si="41"/>
        <v>#DIV/0!</v>
      </c>
      <c r="AD112" s="45" t="e">
        <f t="shared" si="42"/>
        <v>#DIV/0!</v>
      </c>
      <c r="AE112" s="45" t="e">
        <f t="shared" si="43"/>
        <v>#DIV/0!</v>
      </c>
      <c r="AF112" s="45" t="e">
        <f t="shared" si="44"/>
        <v>#DIV/0!</v>
      </c>
      <c r="AG112" s="45" t="e">
        <f t="shared" si="45"/>
        <v>#DIV/0!</v>
      </c>
      <c r="AH112" s="45" t="e">
        <f t="shared" si="46"/>
        <v>#DIV/0!</v>
      </c>
      <c r="AI112" s="45" t="e">
        <f t="shared" si="47"/>
        <v>#DIV/0!</v>
      </c>
      <c r="AJ112" s="45" t="e">
        <f t="shared" si="48"/>
        <v>#DIV/0!</v>
      </c>
      <c r="AK112" s="45" t="e">
        <f t="shared" si="49"/>
        <v>#DIV/0!</v>
      </c>
      <c r="AL112" s="45" t="e">
        <f>T$3+K112/ATM_Conf!$C$5</f>
        <v>#DIV/0!</v>
      </c>
      <c r="AM112" s="45" t="e">
        <f>U$3+L112/ATM_Conf!$C$5</f>
        <v>#DIV/0!</v>
      </c>
      <c r="AN112" s="45" t="e">
        <f>V$3+M112/ATM_Conf!$C$5</f>
        <v>#DIV/0!</v>
      </c>
      <c r="AO112" s="45" t="e">
        <f>W$3+N112/ATM_Conf!$C$5</f>
        <v>#DIV/0!</v>
      </c>
      <c r="AP112" s="45" t="e">
        <f>X$3+O112/ATM_Conf!$C$5</f>
        <v>#DIV/0!</v>
      </c>
      <c r="AQ112" s="45" t="e">
        <f>Y$3+P112/ATM_Conf!$C$5</f>
        <v>#DIV/0!</v>
      </c>
      <c r="AR112" s="45" t="e">
        <f>Z$3+Q112/ATM_Conf!$C$5</f>
        <v>#DIV/0!</v>
      </c>
      <c r="AS112" s="45" t="e">
        <f>AA$3+R112/ATM_Conf!$C$5</f>
        <v>#DIV/0!</v>
      </c>
      <c r="AT112" s="45" t="e">
        <f>AB$3+S112/ATM_Conf!$C$5</f>
        <v>#DIV/0!</v>
      </c>
      <c r="AU112" s="45" t="e">
        <f>BD$3*MIN(1,(ATM_Conf!$C$6-Links!F112)/(ATM_Conf!$C$6-ATM_Conf!$C$7))</f>
        <v>#DIV/0!</v>
      </c>
      <c r="AV112" s="45" t="e">
        <f>BE$3*MIN(1,(ATM_Conf!$C$6-Links!G112)/(ATM_Conf!$C$6-ATM_Conf!$C$7))</f>
        <v>#DIV/0!</v>
      </c>
      <c r="AW112" s="45" t="e">
        <f>BF$3*MIN(1,(ATM_Conf!$C$6-Links!H112)/(ATM_Conf!$C$6-ATM_Conf!$C$7))</f>
        <v>#DIV/0!</v>
      </c>
      <c r="AX112" s="45" t="e">
        <f>BG$3*MIN(1,(ATM_Conf!$C$6-Links!I112)/(ATM_Conf!$C$6-ATM_Conf!$C$7))</f>
        <v>#DIV/0!</v>
      </c>
      <c r="AY112" s="45" t="e">
        <f>BH$3*MIN(1,(ATM_Conf!$C$6-Links!J112)/(ATM_Conf!$C$6-ATM_Conf!$C$7))</f>
        <v>#DIV/0!</v>
      </c>
      <c r="AZ112" s="45" t="e">
        <f>BI$3*MIN(1,(ATM_Conf!$C$6-Links!K112)/(ATM_Conf!$C$6-ATM_Conf!$C$7))</f>
        <v>#DIV/0!</v>
      </c>
      <c r="BA112" s="45" t="e">
        <f>BJ$3*MIN(1,(ATM_Conf!$C$6-Links!L112)/(ATM_Conf!$C$6-ATM_Conf!$C$7))</f>
        <v>#DIV/0!</v>
      </c>
      <c r="BB112" s="45" t="e">
        <f>BK$3*MIN(1,(ATM_Conf!$C$6-Links!M112)/(ATM_Conf!$C$6-ATM_Conf!$C$7))</f>
        <v>#DIV/0!</v>
      </c>
      <c r="BC112" s="45" t="e">
        <f>BL$3*MIN(1,(ATM_Conf!$C$6-Links!N112)/(ATM_Conf!$C$6-ATM_Conf!$C$7))</f>
        <v>#DIV/0!</v>
      </c>
      <c r="BD112" s="45"/>
      <c r="BE112" s="45"/>
      <c r="BF112" s="45"/>
      <c r="BG112" s="45"/>
      <c r="BH112" s="45"/>
      <c r="BI112" s="45"/>
      <c r="BJ112" s="45"/>
      <c r="BK112" s="45"/>
      <c r="BL112" s="45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 t="e">
        <f t="shared" si="50"/>
        <v>#DIV/0!</v>
      </c>
      <c r="BW112" s="53" t="e">
        <f t="shared" si="51"/>
        <v>#DIV/0!</v>
      </c>
      <c r="BX112" s="53" t="e">
        <f t="shared" si="52"/>
        <v>#DIV/0!</v>
      </c>
      <c r="BY112" s="53" t="e">
        <f t="shared" si="53"/>
        <v>#DIV/0!</v>
      </c>
      <c r="BZ112" s="53" t="e">
        <f t="shared" si="54"/>
        <v>#DIV/0!</v>
      </c>
      <c r="CA112" s="53" t="e">
        <f t="shared" si="55"/>
        <v>#DIV/0!</v>
      </c>
      <c r="CB112" s="53" t="e">
        <f t="shared" si="56"/>
        <v>#DIV/0!</v>
      </c>
      <c r="CC112" s="53" t="e">
        <f t="shared" si="57"/>
        <v>#DIV/0!</v>
      </c>
      <c r="CD112" s="53" t="e">
        <f t="shared" si="58"/>
        <v>#DIV/0!</v>
      </c>
      <c r="CE112" s="55">
        <f t="shared" si="40"/>
        <v>0</v>
      </c>
      <c r="CF112" s="55">
        <f t="shared" si="65"/>
        <v>0</v>
      </c>
      <c r="CG112" s="55">
        <f t="shared" si="65"/>
        <v>0</v>
      </c>
      <c r="CH112" s="55">
        <f t="shared" si="65"/>
        <v>0</v>
      </c>
      <c r="CI112" s="55">
        <f t="shared" si="65"/>
        <v>0</v>
      </c>
      <c r="CJ112" s="55">
        <f t="shared" si="65"/>
        <v>0</v>
      </c>
      <c r="CK112" s="55">
        <f t="shared" si="65"/>
        <v>0</v>
      </c>
      <c r="CL112" s="55">
        <f t="shared" si="65"/>
        <v>0</v>
      </c>
      <c r="CM112" s="55">
        <f t="shared" si="65"/>
        <v>0</v>
      </c>
    </row>
    <row r="113" spans="1:91" x14ac:dyDescent="0.15">
      <c r="A113" s="42">
        <v>111</v>
      </c>
      <c r="B113" s="45">
        <f t="shared" ref="B113:B121" si="71">B$111</f>
        <v>1</v>
      </c>
      <c r="C113" s="45">
        <f t="shared" si="70"/>
        <v>1</v>
      </c>
      <c r="D113" s="45">
        <f t="shared" si="70"/>
        <v>1</v>
      </c>
      <c r="E113" s="45">
        <f t="shared" si="70"/>
        <v>1</v>
      </c>
      <c r="F113" s="45">
        <f t="shared" si="70"/>
        <v>1</v>
      </c>
      <c r="G113" s="45">
        <f t="shared" si="70"/>
        <v>1</v>
      </c>
      <c r="H113" s="45">
        <f t="shared" si="70"/>
        <v>1</v>
      </c>
      <c r="I113" s="45">
        <f t="shared" si="70"/>
        <v>1</v>
      </c>
      <c r="J113" s="45">
        <f t="shared" si="70"/>
        <v>1</v>
      </c>
      <c r="K113" s="45" t="e">
        <f>K112+ATM_Conf!$C$5*(T112-AC112)</f>
        <v>#DIV/0!</v>
      </c>
      <c r="L113" s="45" t="e">
        <f>L112+ATM_Conf!$C$5*(U112-AD112)</f>
        <v>#DIV/0!</v>
      </c>
      <c r="M113" s="45" t="e">
        <f>M112+ATM_Conf!$C$5*(V112-AE112)</f>
        <v>#DIV/0!</v>
      </c>
      <c r="N113" s="45" t="e">
        <f>N112+ATM_Conf!$C$5*(W112-AF112)</f>
        <v>#DIV/0!</v>
      </c>
      <c r="O113" s="45" t="e">
        <f>O112+ATM_Conf!$C$5*(X112-AG112)</f>
        <v>#DIV/0!</v>
      </c>
      <c r="P113" s="45" t="e">
        <f>P112+ATM_Conf!$C$5*(Y112-AH112)</f>
        <v>#DIV/0!</v>
      </c>
      <c r="Q113" s="45" t="e">
        <f>Q112+ATM_Conf!$C$5*(Z112-AI112)</f>
        <v>#DIV/0!</v>
      </c>
      <c r="R113" s="45" t="e">
        <f>R112+ATM_Conf!$C$5*(AA112-AJ112)</f>
        <v>#DIV/0!</v>
      </c>
      <c r="S113" s="45" t="e">
        <f>S112+ATM_Conf!$C$5*(AB112-AK112)</f>
        <v>#DIV/0!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 t="e">
        <f t="shared" si="41"/>
        <v>#DIV/0!</v>
      </c>
      <c r="AD113" s="45" t="e">
        <f t="shared" si="42"/>
        <v>#DIV/0!</v>
      </c>
      <c r="AE113" s="45" t="e">
        <f t="shared" si="43"/>
        <v>#DIV/0!</v>
      </c>
      <c r="AF113" s="45" t="e">
        <f t="shared" si="44"/>
        <v>#DIV/0!</v>
      </c>
      <c r="AG113" s="45" t="e">
        <f t="shared" si="45"/>
        <v>#DIV/0!</v>
      </c>
      <c r="AH113" s="45" t="e">
        <f t="shared" si="46"/>
        <v>#DIV/0!</v>
      </c>
      <c r="AI113" s="45" t="e">
        <f t="shared" si="47"/>
        <v>#DIV/0!</v>
      </c>
      <c r="AJ113" s="45" t="e">
        <f t="shared" si="48"/>
        <v>#DIV/0!</v>
      </c>
      <c r="AK113" s="45" t="e">
        <f t="shared" si="49"/>
        <v>#DIV/0!</v>
      </c>
      <c r="AL113" s="45" t="e">
        <f>T$3+K113/ATM_Conf!$C$5</f>
        <v>#DIV/0!</v>
      </c>
      <c r="AM113" s="45" t="e">
        <f>U$3+L113/ATM_Conf!$C$5</f>
        <v>#DIV/0!</v>
      </c>
      <c r="AN113" s="45" t="e">
        <f>V$3+M113/ATM_Conf!$C$5</f>
        <v>#DIV/0!</v>
      </c>
      <c r="AO113" s="45" t="e">
        <f>W$3+N113/ATM_Conf!$C$5</f>
        <v>#DIV/0!</v>
      </c>
      <c r="AP113" s="45" t="e">
        <f>X$3+O113/ATM_Conf!$C$5</f>
        <v>#DIV/0!</v>
      </c>
      <c r="AQ113" s="45" t="e">
        <f>Y$3+P113/ATM_Conf!$C$5</f>
        <v>#DIV/0!</v>
      </c>
      <c r="AR113" s="45" t="e">
        <f>Z$3+Q113/ATM_Conf!$C$5</f>
        <v>#DIV/0!</v>
      </c>
      <c r="AS113" s="45" t="e">
        <f>AA$3+R113/ATM_Conf!$C$5</f>
        <v>#DIV/0!</v>
      </c>
      <c r="AT113" s="45" t="e">
        <f>AB$3+S113/ATM_Conf!$C$5</f>
        <v>#DIV/0!</v>
      </c>
      <c r="AU113" s="45" t="e">
        <f>BD$3*MIN(1,(ATM_Conf!$C$6-Links!F113)/(ATM_Conf!$C$6-ATM_Conf!$C$7))</f>
        <v>#DIV/0!</v>
      </c>
      <c r="AV113" s="45" t="e">
        <f>BE$3*MIN(1,(ATM_Conf!$C$6-Links!G113)/(ATM_Conf!$C$6-ATM_Conf!$C$7))</f>
        <v>#DIV/0!</v>
      </c>
      <c r="AW113" s="45" t="e">
        <f>BF$3*MIN(1,(ATM_Conf!$C$6-Links!H113)/(ATM_Conf!$C$6-ATM_Conf!$C$7))</f>
        <v>#DIV/0!</v>
      </c>
      <c r="AX113" s="45" t="e">
        <f>BG$3*MIN(1,(ATM_Conf!$C$6-Links!I113)/(ATM_Conf!$C$6-ATM_Conf!$C$7))</f>
        <v>#DIV/0!</v>
      </c>
      <c r="AY113" s="45" t="e">
        <f>BH$3*MIN(1,(ATM_Conf!$C$6-Links!J113)/(ATM_Conf!$C$6-ATM_Conf!$C$7))</f>
        <v>#DIV/0!</v>
      </c>
      <c r="AZ113" s="45" t="e">
        <f>BI$3*MIN(1,(ATM_Conf!$C$6-Links!K113)/(ATM_Conf!$C$6-ATM_Conf!$C$7))</f>
        <v>#DIV/0!</v>
      </c>
      <c r="BA113" s="45" t="e">
        <f>BJ$3*MIN(1,(ATM_Conf!$C$6-Links!L113)/(ATM_Conf!$C$6-ATM_Conf!$C$7))</f>
        <v>#DIV/0!</v>
      </c>
      <c r="BB113" s="45" t="e">
        <f>BK$3*MIN(1,(ATM_Conf!$C$6-Links!M113)/(ATM_Conf!$C$6-ATM_Conf!$C$7))</f>
        <v>#DIV/0!</v>
      </c>
      <c r="BC113" s="45" t="e">
        <f>BL$3*MIN(1,(ATM_Conf!$C$6-Links!N113)/(ATM_Conf!$C$6-ATM_Conf!$C$7))</f>
        <v>#DIV/0!</v>
      </c>
      <c r="BD113" s="45"/>
      <c r="BE113" s="45"/>
      <c r="BF113" s="45"/>
      <c r="BG113" s="45"/>
      <c r="BH113" s="45"/>
      <c r="BI113" s="45"/>
      <c r="BJ113" s="45"/>
      <c r="BK113" s="45"/>
      <c r="BL113" s="45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 t="e">
        <f t="shared" si="50"/>
        <v>#DIV/0!</v>
      </c>
      <c r="BW113" s="53" t="e">
        <f t="shared" si="51"/>
        <v>#DIV/0!</v>
      </c>
      <c r="BX113" s="53" t="e">
        <f t="shared" si="52"/>
        <v>#DIV/0!</v>
      </c>
      <c r="BY113" s="53" t="e">
        <f t="shared" si="53"/>
        <v>#DIV/0!</v>
      </c>
      <c r="BZ113" s="53" t="e">
        <f t="shared" si="54"/>
        <v>#DIV/0!</v>
      </c>
      <c r="CA113" s="53" t="e">
        <f t="shared" si="55"/>
        <v>#DIV/0!</v>
      </c>
      <c r="CB113" s="53" t="e">
        <f t="shared" si="56"/>
        <v>#DIV/0!</v>
      </c>
      <c r="CC113" s="53" t="e">
        <f t="shared" si="57"/>
        <v>#DIV/0!</v>
      </c>
      <c r="CD113" s="53" t="e">
        <f t="shared" si="58"/>
        <v>#DIV/0!</v>
      </c>
      <c r="CE113" s="55">
        <f t="shared" si="40"/>
        <v>0</v>
      </c>
      <c r="CF113" s="55">
        <f t="shared" si="65"/>
        <v>0</v>
      </c>
      <c r="CG113" s="55">
        <f t="shared" si="65"/>
        <v>0</v>
      </c>
      <c r="CH113" s="55">
        <f t="shared" si="65"/>
        <v>0</v>
      </c>
      <c r="CI113" s="55">
        <f t="shared" si="65"/>
        <v>0</v>
      </c>
      <c r="CJ113" s="55">
        <f t="shared" si="65"/>
        <v>0</v>
      </c>
      <c r="CK113" s="55">
        <f t="shared" si="65"/>
        <v>0</v>
      </c>
      <c r="CL113" s="55">
        <f t="shared" si="65"/>
        <v>0</v>
      </c>
      <c r="CM113" s="55">
        <f t="shared" si="65"/>
        <v>0</v>
      </c>
    </row>
    <row r="114" spans="1:91" x14ac:dyDescent="0.15">
      <c r="A114" s="42">
        <v>112</v>
      </c>
      <c r="B114" s="45">
        <f t="shared" si="71"/>
        <v>1</v>
      </c>
      <c r="C114" s="45">
        <f t="shared" si="70"/>
        <v>1</v>
      </c>
      <c r="D114" s="45">
        <f t="shared" si="70"/>
        <v>1</v>
      </c>
      <c r="E114" s="45">
        <f t="shared" si="70"/>
        <v>1</v>
      </c>
      <c r="F114" s="45">
        <f t="shared" si="70"/>
        <v>1</v>
      </c>
      <c r="G114" s="45">
        <f t="shared" si="70"/>
        <v>1</v>
      </c>
      <c r="H114" s="45">
        <f t="shared" si="70"/>
        <v>1</v>
      </c>
      <c r="I114" s="45">
        <f t="shared" si="70"/>
        <v>1</v>
      </c>
      <c r="J114" s="45">
        <f t="shared" si="70"/>
        <v>1</v>
      </c>
      <c r="K114" s="45" t="e">
        <f>K113+ATM_Conf!$C$5*(T113-AC113)</f>
        <v>#DIV/0!</v>
      </c>
      <c r="L114" s="45" t="e">
        <f>L113+ATM_Conf!$C$5*(U113-AD113)</f>
        <v>#DIV/0!</v>
      </c>
      <c r="M114" s="45" t="e">
        <f>M113+ATM_Conf!$C$5*(V113-AE113)</f>
        <v>#DIV/0!</v>
      </c>
      <c r="N114" s="45" t="e">
        <f>N113+ATM_Conf!$C$5*(W113-AF113)</f>
        <v>#DIV/0!</v>
      </c>
      <c r="O114" s="45" t="e">
        <f>O113+ATM_Conf!$C$5*(X113-AG113)</f>
        <v>#DIV/0!</v>
      </c>
      <c r="P114" s="45" t="e">
        <f>P113+ATM_Conf!$C$5*(Y113-AH113)</f>
        <v>#DIV/0!</v>
      </c>
      <c r="Q114" s="45" t="e">
        <f>Q113+ATM_Conf!$C$5*(Z113-AI113)</f>
        <v>#DIV/0!</v>
      </c>
      <c r="R114" s="45" t="e">
        <f>R113+ATM_Conf!$C$5*(AA113-AJ113)</f>
        <v>#DIV/0!</v>
      </c>
      <c r="S114" s="45" t="e">
        <f>S113+ATM_Conf!$C$5*(AB113-AK113)</f>
        <v>#DIV/0!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 t="e">
        <f t="shared" si="41"/>
        <v>#DIV/0!</v>
      </c>
      <c r="AD114" s="45" t="e">
        <f t="shared" si="42"/>
        <v>#DIV/0!</v>
      </c>
      <c r="AE114" s="45" t="e">
        <f t="shared" si="43"/>
        <v>#DIV/0!</v>
      </c>
      <c r="AF114" s="45" t="e">
        <f t="shared" si="44"/>
        <v>#DIV/0!</v>
      </c>
      <c r="AG114" s="45" t="e">
        <f t="shared" si="45"/>
        <v>#DIV/0!</v>
      </c>
      <c r="AH114" s="45" t="e">
        <f t="shared" si="46"/>
        <v>#DIV/0!</v>
      </c>
      <c r="AI114" s="45" t="e">
        <f t="shared" si="47"/>
        <v>#DIV/0!</v>
      </c>
      <c r="AJ114" s="45" t="e">
        <f t="shared" si="48"/>
        <v>#DIV/0!</v>
      </c>
      <c r="AK114" s="45" t="e">
        <f t="shared" si="49"/>
        <v>#DIV/0!</v>
      </c>
      <c r="AL114" s="45" t="e">
        <f>T$3+K114/ATM_Conf!$C$5</f>
        <v>#DIV/0!</v>
      </c>
      <c r="AM114" s="45" t="e">
        <f>U$3+L114/ATM_Conf!$C$5</f>
        <v>#DIV/0!</v>
      </c>
      <c r="AN114" s="45" t="e">
        <f>V$3+M114/ATM_Conf!$C$5</f>
        <v>#DIV/0!</v>
      </c>
      <c r="AO114" s="45" t="e">
        <f>W$3+N114/ATM_Conf!$C$5</f>
        <v>#DIV/0!</v>
      </c>
      <c r="AP114" s="45" t="e">
        <f>X$3+O114/ATM_Conf!$C$5</f>
        <v>#DIV/0!</v>
      </c>
      <c r="AQ114" s="45" t="e">
        <f>Y$3+P114/ATM_Conf!$C$5</f>
        <v>#DIV/0!</v>
      </c>
      <c r="AR114" s="45" t="e">
        <f>Z$3+Q114/ATM_Conf!$C$5</f>
        <v>#DIV/0!</v>
      </c>
      <c r="AS114" s="45" t="e">
        <f>AA$3+R114/ATM_Conf!$C$5</f>
        <v>#DIV/0!</v>
      </c>
      <c r="AT114" s="45" t="e">
        <f>AB$3+S114/ATM_Conf!$C$5</f>
        <v>#DIV/0!</v>
      </c>
      <c r="AU114" s="45" t="e">
        <f>BD$3*MIN(1,(ATM_Conf!$C$6-Links!F114)/(ATM_Conf!$C$6-ATM_Conf!$C$7))</f>
        <v>#DIV/0!</v>
      </c>
      <c r="AV114" s="45" t="e">
        <f>BE$3*MIN(1,(ATM_Conf!$C$6-Links!G114)/(ATM_Conf!$C$6-ATM_Conf!$C$7))</f>
        <v>#DIV/0!</v>
      </c>
      <c r="AW114" s="45" t="e">
        <f>BF$3*MIN(1,(ATM_Conf!$C$6-Links!H114)/(ATM_Conf!$C$6-ATM_Conf!$C$7))</f>
        <v>#DIV/0!</v>
      </c>
      <c r="AX114" s="45" t="e">
        <f>BG$3*MIN(1,(ATM_Conf!$C$6-Links!I114)/(ATM_Conf!$C$6-ATM_Conf!$C$7))</f>
        <v>#DIV/0!</v>
      </c>
      <c r="AY114" s="45" t="e">
        <f>BH$3*MIN(1,(ATM_Conf!$C$6-Links!J114)/(ATM_Conf!$C$6-ATM_Conf!$C$7))</f>
        <v>#DIV/0!</v>
      </c>
      <c r="AZ114" s="45" t="e">
        <f>BI$3*MIN(1,(ATM_Conf!$C$6-Links!K114)/(ATM_Conf!$C$6-ATM_Conf!$C$7))</f>
        <v>#DIV/0!</v>
      </c>
      <c r="BA114" s="45" t="e">
        <f>BJ$3*MIN(1,(ATM_Conf!$C$6-Links!L114)/(ATM_Conf!$C$6-ATM_Conf!$C$7))</f>
        <v>#DIV/0!</v>
      </c>
      <c r="BB114" s="45" t="e">
        <f>BK$3*MIN(1,(ATM_Conf!$C$6-Links!M114)/(ATM_Conf!$C$6-ATM_Conf!$C$7))</f>
        <v>#DIV/0!</v>
      </c>
      <c r="BC114" s="45" t="e">
        <f>BL$3*MIN(1,(ATM_Conf!$C$6-Links!N114)/(ATM_Conf!$C$6-ATM_Conf!$C$7))</f>
        <v>#DIV/0!</v>
      </c>
      <c r="BD114" s="45"/>
      <c r="BE114" s="45"/>
      <c r="BF114" s="45"/>
      <c r="BG114" s="45"/>
      <c r="BH114" s="45"/>
      <c r="BI114" s="45"/>
      <c r="BJ114" s="45"/>
      <c r="BK114" s="45"/>
      <c r="BL114" s="45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 t="e">
        <f t="shared" si="50"/>
        <v>#DIV/0!</v>
      </c>
      <c r="BW114" s="53" t="e">
        <f t="shared" si="51"/>
        <v>#DIV/0!</v>
      </c>
      <c r="BX114" s="53" t="e">
        <f t="shared" si="52"/>
        <v>#DIV/0!</v>
      </c>
      <c r="BY114" s="53" t="e">
        <f t="shared" si="53"/>
        <v>#DIV/0!</v>
      </c>
      <c r="BZ114" s="53" t="e">
        <f t="shared" si="54"/>
        <v>#DIV/0!</v>
      </c>
      <c r="CA114" s="53" t="e">
        <f t="shared" si="55"/>
        <v>#DIV/0!</v>
      </c>
      <c r="CB114" s="53" t="e">
        <f t="shared" si="56"/>
        <v>#DIV/0!</v>
      </c>
      <c r="CC114" s="53" t="e">
        <f t="shared" si="57"/>
        <v>#DIV/0!</v>
      </c>
      <c r="CD114" s="53" t="e">
        <f t="shared" si="58"/>
        <v>#DIV/0!</v>
      </c>
      <c r="CE114" s="55">
        <f t="shared" si="40"/>
        <v>0</v>
      </c>
      <c r="CF114" s="55">
        <f t="shared" si="65"/>
        <v>0</v>
      </c>
      <c r="CG114" s="55">
        <f t="shared" si="65"/>
        <v>0</v>
      </c>
      <c r="CH114" s="55">
        <f t="shared" si="65"/>
        <v>0</v>
      </c>
      <c r="CI114" s="55">
        <f t="shared" si="65"/>
        <v>0</v>
      </c>
      <c r="CJ114" s="55">
        <f t="shared" si="65"/>
        <v>0</v>
      </c>
      <c r="CK114" s="55">
        <f t="shared" si="65"/>
        <v>0</v>
      </c>
      <c r="CL114" s="55">
        <f t="shared" si="65"/>
        <v>0</v>
      </c>
      <c r="CM114" s="55">
        <f t="shared" si="65"/>
        <v>0</v>
      </c>
    </row>
    <row r="115" spans="1:91" x14ac:dyDescent="0.15">
      <c r="A115" s="42">
        <v>113</v>
      </c>
      <c r="B115" s="45">
        <f t="shared" si="71"/>
        <v>1</v>
      </c>
      <c r="C115" s="45">
        <f t="shared" si="70"/>
        <v>1</v>
      </c>
      <c r="D115" s="45">
        <f t="shared" si="70"/>
        <v>1</v>
      </c>
      <c r="E115" s="45">
        <f t="shared" si="70"/>
        <v>1</v>
      </c>
      <c r="F115" s="45">
        <f t="shared" si="70"/>
        <v>1</v>
      </c>
      <c r="G115" s="45">
        <f t="shared" si="70"/>
        <v>1</v>
      </c>
      <c r="H115" s="45">
        <f t="shared" si="70"/>
        <v>1</v>
      </c>
      <c r="I115" s="45">
        <f t="shared" si="70"/>
        <v>1</v>
      </c>
      <c r="J115" s="45">
        <f t="shared" si="70"/>
        <v>1</v>
      </c>
      <c r="K115" s="45" t="e">
        <f>K114+ATM_Conf!$C$5*(T114-AC114)</f>
        <v>#DIV/0!</v>
      </c>
      <c r="L115" s="45" t="e">
        <f>L114+ATM_Conf!$C$5*(U114-AD114)</f>
        <v>#DIV/0!</v>
      </c>
      <c r="M115" s="45" t="e">
        <f>M114+ATM_Conf!$C$5*(V114-AE114)</f>
        <v>#DIV/0!</v>
      </c>
      <c r="N115" s="45" t="e">
        <f>N114+ATM_Conf!$C$5*(W114-AF114)</f>
        <v>#DIV/0!</v>
      </c>
      <c r="O115" s="45" t="e">
        <f>O114+ATM_Conf!$C$5*(X114-AG114)</f>
        <v>#DIV/0!</v>
      </c>
      <c r="P115" s="45" t="e">
        <f>P114+ATM_Conf!$C$5*(Y114-AH114)</f>
        <v>#DIV/0!</v>
      </c>
      <c r="Q115" s="45" t="e">
        <f>Q114+ATM_Conf!$C$5*(Z114-AI114)</f>
        <v>#DIV/0!</v>
      </c>
      <c r="R115" s="45" t="e">
        <f>R114+ATM_Conf!$C$5*(AA114-AJ114)</f>
        <v>#DIV/0!</v>
      </c>
      <c r="S115" s="45" t="e">
        <f>S114+ATM_Conf!$C$5*(AB114-AK114)</f>
        <v>#DIV/0!</v>
      </c>
      <c r="T115" s="45"/>
      <c r="U115" s="45"/>
      <c r="V115" s="45"/>
      <c r="W115" s="45"/>
      <c r="X115" s="45"/>
      <c r="Y115" s="45"/>
      <c r="Z115" s="45"/>
      <c r="AA115" s="45"/>
      <c r="AB115" s="45"/>
      <c r="AC115" s="45" t="e">
        <f t="shared" si="41"/>
        <v>#DIV/0!</v>
      </c>
      <c r="AD115" s="45" t="e">
        <f t="shared" si="42"/>
        <v>#DIV/0!</v>
      </c>
      <c r="AE115" s="45" t="e">
        <f t="shared" si="43"/>
        <v>#DIV/0!</v>
      </c>
      <c r="AF115" s="45" t="e">
        <f t="shared" si="44"/>
        <v>#DIV/0!</v>
      </c>
      <c r="AG115" s="45" t="e">
        <f t="shared" si="45"/>
        <v>#DIV/0!</v>
      </c>
      <c r="AH115" s="45" t="e">
        <f t="shared" si="46"/>
        <v>#DIV/0!</v>
      </c>
      <c r="AI115" s="45" t="e">
        <f t="shared" si="47"/>
        <v>#DIV/0!</v>
      </c>
      <c r="AJ115" s="45" t="e">
        <f t="shared" si="48"/>
        <v>#DIV/0!</v>
      </c>
      <c r="AK115" s="45" t="e">
        <f t="shared" si="49"/>
        <v>#DIV/0!</v>
      </c>
      <c r="AL115" s="45" t="e">
        <f>T$3+K115/ATM_Conf!$C$5</f>
        <v>#DIV/0!</v>
      </c>
      <c r="AM115" s="45" t="e">
        <f>U$3+L115/ATM_Conf!$C$5</f>
        <v>#DIV/0!</v>
      </c>
      <c r="AN115" s="45" t="e">
        <f>V$3+M115/ATM_Conf!$C$5</f>
        <v>#DIV/0!</v>
      </c>
      <c r="AO115" s="45" t="e">
        <f>W$3+N115/ATM_Conf!$C$5</f>
        <v>#DIV/0!</v>
      </c>
      <c r="AP115" s="45" t="e">
        <f>X$3+O115/ATM_Conf!$C$5</f>
        <v>#DIV/0!</v>
      </c>
      <c r="AQ115" s="45" t="e">
        <f>Y$3+P115/ATM_Conf!$C$5</f>
        <v>#DIV/0!</v>
      </c>
      <c r="AR115" s="45" t="e">
        <f>Z$3+Q115/ATM_Conf!$C$5</f>
        <v>#DIV/0!</v>
      </c>
      <c r="AS115" s="45" t="e">
        <f>AA$3+R115/ATM_Conf!$C$5</f>
        <v>#DIV/0!</v>
      </c>
      <c r="AT115" s="45" t="e">
        <f>AB$3+S115/ATM_Conf!$C$5</f>
        <v>#DIV/0!</v>
      </c>
      <c r="AU115" s="45" t="e">
        <f>BD$3*MIN(1,(ATM_Conf!$C$6-Links!F115)/(ATM_Conf!$C$6-ATM_Conf!$C$7))</f>
        <v>#DIV/0!</v>
      </c>
      <c r="AV115" s="45" t="e">
        <f>BE$3*MIN(1,(ATM_Conf!$C$6-Links!G115)/(ATM_Conf!$C$6-ATM_Conf!$C$7))</f>
        <v>#DIV/0!</v>
      </c>
      <c r="AW115" s="45" t="e">
        <f>BF$3*MIN(1,(ATM_Conf!$C$6-Links!H115)/(ATM_Conf!$C$6-ATM_Conf!$C$7))</f>
        <v>#DIV/0!</v>
      </c>
      <c r="AX115" s="45" t="e">
        <f>BG$3*MIN(1,(ATM_Conf!$C$6-Links!I115)/(ATM_Conf!$C$6-ATM_Conf!$C$7))</f>
        <v>#DIV/0!</v>
      </c>
      <c r="AY115" s="45" t="e">
        <f>BH$3*MIN(1,(ATM_Conf!$C$6-Links!J115)/(ATM_Conf!$C$6-ATM_Conf!$C$7))</f>
        <v>#DIV/0!</v>
      </c>
      <c r="AZ115" s="45" t="e">
        <f>BI$3*MIN(1,(ATM_Conf!$C$6-Links!K115)/(ATM_Conf!$C$6-ATM_Conf!$C$7))</f>
        <v>#DIV/0!</v>
      </c>
      <c r="BA115" s="45" t="e">
        <f>BJ$3*MIN(1,(ATM_Conf!$C$6-Links!L115)/(ATM_Conf!$C$6-ATM_Conf!$C$7))</f>
        <v>#DIV/0!</v>
      </c>
      <c r="BB115" s="45" t="e">
        <f>BK$3*MIN(1,(ATM_Conf!$C$6-Links!M115)/(ATM_Conf!$C$6-ATM_Conf!$C$7))</f>
        <v>#DIV/0!</v>
      </c>
      <c r="BC115" s="45" t="e">
        <f>BL$3*MIN(1,(ATM_Conf!$C$6-Links!N115)/(ATM_Conf!$C$6-ATM_Conf!$C$7))</f>
        <v>#DIV/0!</v>
      </c>
      <c r="BD115" s="45"/>
      <c r="BE115" s="45"/>
      <c r="BF115" s="45"/>
      <c r="BG115" s="45"/>
      <c r="BH115" s="45"/>
      <c r="BI115" s="45"/>
      <c r="BJ115" s="45"/>
      <c r="BK115" s="45"/>
      <c r="BL115" s="45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 t="e">
        <f t="shared" si="50"/>
        <v>#DIV/0!</v>
      </c>
      <c r="BW115" s="53" t="e">
        <f t="shared" si="51"/>
        <v>#DIV/0!</v>
      </c>
      <c r="BX115" s="53" t="e">
        <f t="shared" si="52"/>
        <v>#DIV/0!</v>
      </c>
      <c r="BY115" s="53" t="e">
        <f t="shared" si="53"/>
        <v>#DIV/0!</v>
      </c>
      <c r="BZ115" s="53" t="e">
        <f t="shared" si="54"/>
        <v>#DIV/0!</v>
      </c>
      <c r="CA115" s="53" t="e">
        <f t="shared" si="55"/>
        <v>#DIV/0!</v>
      </c>
      <c r="CB115" s="53" t="e">
        <f t="shared" si="56"/>
        <v>#DIV/0!</v>
      </c>
      <c r="CC115" s="53" t="e">
        <f t="shared" si="57"/>
        <v>#DIV/0!</v>
      </c>
      <c r="CD115" s="53" t="e">
        <f t="shared" si="58"/>
        <v>#DIV/0!</v>
      </c>
      <c r="CE115" s="55">
        <f t="shared" si="40"/>
        <v>0</v>
      </c>
      <c r="CF115" s="55">
        <f t="shared" si="65"/>
        <v>0</v>
      </c>
      <c r="CG115" s="55">
        <f t="shared" si="65"/>
        <v>0</v>
      </c>
      <c r="CH115" s="55">
        <f t="shared" si="65"/>
        <v>0</v>
      </c>
      <c r="CI115" s="55">
        <f t="shared" si="65"/>
        <v>0</v>
      </c>
      <c r="CJ115" s="55">
        <f t="shared" si="65"/>
        <v>0</v>
      </c>
      <c r="CK115" s="55">
        <f t="shared" si="65"/>
        <v>0</v>
      </c>
      <c r="CL115" s="55">
        <f t="shared" si="65"/>
        <v>0</v>
      </c>
      <c r="CM115" s="55">
        <f t="shared" si="65"/>
        <v>0</v>
      </c>
    </row>
    <row r="116" spans="1:91" x14ac:dyDescent="0.15">
      <c r="A116" s="42">
        <v>114</v>
      </c>
      <c r="B116" s="45">
        <f t="shared" si="71"/>
        <v>1</v>
      </c>
      <c r="C116" s="45">
        <f t="shared" si="70"/>
        <v>1</v>
      </c>
      <c r="D116" s="45">
        <f t="shared" si="70"/>
        <v>1</v>
      </c>
      <c r="E116" s="45">
        <f t="shared" si="70"/>
        <v>1</v>
      </c>
      <c r="F116" s="45">
        <f t="shared" si="70"/>
        <v>1</v>
      </c>
      <c r="G116" s="45">
        <f t="shared" si="70"/>
        <v>1</v>
      </c>
      <c r="H116" s="45">
        <f t="shared" si="70"/>
        <v>1</v>
      </c>
      <c r="I116" s="45">
        <f t="shared" si="70"/>
        <v>1</v>
      </c>
      <c r="J116" s="45">
        <f t="shared" si="70"/>
        <v>1</v>
      </c>
      <c r="K116" s="45" t="e">
        <f>K115+ATM_Conf!$C$5*(T115-AC115)</f>
        <v>#DIV/0!</v>
      </c>
      <c r="L116" s="45" t="e">
        <f>L115+ATM_Conf!$C$5*(U115-AD115)</f>
        <v>#DIV/0!</v>
      </c>
      <c r="M116" s="45" t="e">
        <f>M115+ATM_Conf!$C$5*(V115-AE115)</f>
        <v>#DIV/0!</v>
      </c>
      <c r="N116" s="45" t="e">
        <f>N115+ATM_Conf!$C$5*(W115-AF115)</f>
        <v>#DIV/0!</v>
      </c>
      <c r="O116" s="45" t="e">
        <f>O115+ATM_Conf!$C$5*(X115-AG115)</f>
        <v>#DIV/0!</v>
      </c>
      <c r="P116" s="45" t="e">
        <f>P115+ATM_Conf!$C$5*(Y115-AH115)</f>
        <v>#DIV/0!</v>
      </c>
      <c r="Q116" s="45" t="e">
        <f>Q115+ATM_Conf!$C$5*(Z115-AI115)</f>
        <v>#DIV/0!</v>
      </c>
      <c r="R116" s="45" t="e">
        <f>R115+ATM_Conf!$C$5*(AA115-AJ115)</f>
        <v>#DIV/0!</v>
      </c>
      <c r="S116" s="45" t="e">
        <f>S115+ATM_Conf!$C$5*(AB115-AK115)</f>
        <v>#DIV/0!</v>
      </c>
      <c r="T116" s="45"/>
      <c r="U116" s="45"/>
      <c r="V116" s="45"/>
      <c r="W116" s="45"/>
      <c r="X116" s="45"/>
      <c r="Y116" s="45"/>
      <c r="Z116" s="45"/>
      <c r="AA116" s="45"/>
      <c r="AB116" s="45"/>
      <c r="AC116" s="45" t="e">
        <f t="shared" si="41"/>
        <v>#DIV/0!</v>
      </c>
      <c r="AD116" s="45" t="e">
        <f t="shared" si="42"/>
        <v>#DIV/0!</v>
      </c>
      <c r="AE116" s="45" t="e">
        <f t="shared" si="43"/>
        <v>#DIV/0!</v>
      </c>
      <c r="AF116" s="45" t="e">
        <f t="shared" si="44"/>
        <v>#DIV/0!</v>
      </c>
      <c r="AG116" s="45" t="e">
        <f t="shared" si="45"/>
        <v>#DIV/0!</v>
      </c>
      <c r="AH116" s="45" t="e">
        <f t="shared" si="46"/>
        <v>#DIV/0!</v>
      </c>
      <c r="AI116" s="45" t="e">
        <f t="shared" si="47"/>
        <v>#DIV/0!</v>
      </c>
      <c r="AJ116" s="45" t="e">
        <f t="shared" si="48"/>
        <v>#DIV/0!</v>
      </c>
      <c r="AK116" s="45" t="e">
        <f t="shared" si="49"/>
        <v>#DIV/0!</v>
      </c>
      <c r="AL116" s="45" t="e">
        <f>T$3+K116/ATM_Conf!$C$5</f>
        <v>#DIV/0!</v>
      </c>
      <c r="AM116" s="45" t="e">
        <f>U$3+L116/ATM_Conf!$C$5</f>
        <v>#DIV/0!</v>
      </c>
      <c r="AN116" s="45" t="e">
        <f>V$3+M116/ATM_Conf!$C$5</f>
        <v>#DIV/0!</v>
      </c>
      <c r="AO116" s="45" t="e">
        <f>W$3+N116/ATM_Conf!$C$5</f>
        <v>#DIV/0!</v>
      </c>
      <c r="AP116" s="45" t="e">
        <f>X$3+O116/ATM_Conf!$C$5</f>
        <v>#DIV/0!</v>
      </c>
      <c r="AQ116" s="45" t="e">
        <f>Y$3+P116/ATM_Conf!$C$5</f>
        <v>#DIV/0!</v>
      </c>
      <c r="AR116" s="45" t="e">
        <f>Z$3+Q116/ATM_Conf!$C$5</f>
        <v>#DIV/0!</v>
      </c>
      <c r="AS116" s="45" t="e">
        <f>AA$3+R116/ATM_Conf!$C$5</f>
        <v>#DIV/0!</v>
      </c>
      <c r="AT116" s="45" t="e">
        <f>AB$3+S116/ATM_Conf!$C$5</f>
        <v>#DIV/0!</v>
      </c>
      <c r="AU116" s="45" t="e">
        <f>BD$3*MIN(1,(ATM_Conf!$C$6-Links!F116)/(ATM_Conf!$C$6-ATM_Conf!$C$7))</f>
        <v>#DIV/0!</v>
      </c>
      <c r="AV116" s="45" t="e">
        <f>BE$3*MIN(1,(ATM_Conf!$C$6-Links!G116)/(ATM_Conf!$C$6-ATM_Conf!$C$7))</f>
        <v>#DIV/0!</v>
      </c>
      <c r="AW116" s="45" t="e">
        <f>BF$3*MIN(1,(ATM_Conf!$C$6-Links!H116)/(ATM_Conf!$C$6-ATM_Conf!$C$7))</f>
        <v>#DIV/0!</v>
      </c>
      <c r="AX116" s="45" t="e">
        <f>BG$3*MIN(1,(ATM_Conf!$C$6-Links!I116)/(ATM_Conf!$C$6-ATM_Conf!$C$7))</f>
        <v>#DIV/0!</v>
      </c>
      <c r="AY116" s="45" t="e">
        <f>BH$3*MIN(1,(ATM_Conf!$C$6-Links!J116)/(ATM_Conf!$C$6-ATM_Conf!$C$7))</f>
        <v>#DIV/0!</v>
      </c>
      <c r="AZ116" s="45" t="e">
        <f>BI$3*MIN(1,(ATM_Conf!$C$6-Links!K116)/(ATM_Conf!$C$6-ATM_Conf!$C$7))</f>
        <v>#DIV/0!</v>
      </c>
      <c r="BA116" s="45" t="e">
        <f>BJ$3*MIN(1,(ATM_Conf!$C$6-Links!L116)/(ATM_Conf!$C$6-ATM_Conf!$C$7))</f>
        <v>#DIV/0!</v>
      </c>
      <c r="BB116" s="45" t="e">
        <f>BK$3*MIN(1,(ATM_Conf!$C$6-Links!M116)/(ATM_Conf!$C$6-ATM_Conf!$C$7))</f>
        <v>#DIV/0!</v>
      </c>
      <c r="BC116" s="45" t="e">
        <f>BL$3*MIN(1,(ATM_Conf!$C$6-Links!N116)/(ATM_Conf!$C$6-ATM_Conf!$C$7))</f>
        <v>#DIV/0!</v>
      </c>
      <c r="BD116" s="45"/>
      <c r="BE116" s="45"/>
      <c r="BF116" s="45"/>
      <c r="BG116" s="45"/>
      <c r="BH116" s="45"/>
      <c r="BI116" s="45"/>
      <c r="BJ116" s="45"/>
      <c r="BK116" s="45"/>
      <c r="BL116" s="45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 t="e">
        <f t="shared" si="50"/>
        <v>#DIV/0!</v>
      </c>
      <c r="BW116" s="53" t="e">
        <f t="shared" si="51"/>
        <v>#DIV/0!</v>
      </c>
      <c r="BX116" s="53" t="e">
        <f t="shared" si="52"/>
        <v>#DIV/0!</v>
      </c>
      <c r="BY116" s="53" t="e">
        <f t="shared" si="53"/>
        <v>#DIV/0!</v>
      </c>
      <c r="BZ116" s="53" t="e">
        <f t="shared" si="54"/>
        <v>#DIV/0!</v>
      </c>
      <c r="CA116" s="53" t="e">
        <f t="shared" si="55"/>
        <v>#DIV/0!</v>
      </c>
      <c r="CB116" s="53" t="e">
        <f t="shared" si="56"/>
        <v>#DIV/0!</v>
      </c>
      <c r="CC116" s="53" t="e">
        <f t="shared" si="57"/>
        <v>#DIV/0!</v>
      </c>
      <c r="CD116" s="53" t="e">
        <f t="shared" si="58"/>
        <v>#DIV/0!</v>
      </c>
      <c r="CE116" s="55">
        <f t="shared" si="40"/>
        <v>0</v>
      </c>
      <c r="CF116" s="55">
        <f t="shared" si="65"/>
        <v>0</v>
      </c>
      <c r="CG116" s="55">
        <f t="shared" si="65"/>
        <v>0</v>
      </c>
      <c r="CH116" s="55">
        <f t="shared" si="65"/>
        <v>0</v>
      </c>
      <c r="CI116" s="55">
        <f t="shared" si="65"/>
        <v>0</v>
      </c>
      <c r="CJ116" s="55">
        <f t="shared" si="65"/>
        <v>0</v>
      </c>
      <c r="CK116" s="55">
        <f t="shared" si="65"/>
        <v>0</v>
      </c>
      <c r="CL116" s="55">
        <f t="shared" si="65"/>
        <v>0</v>
      </c>
      <c r="CM116" s="55">
        <f t="shared" si="65"/>
        <v>0</v>
      </c>
    </row>
    <row r="117" spans="1:91" x14ac:dyDescent="0.15">
      <c r="A117" s="42">
        <v>115</v>
      </c>
      <c r="B117" s="45">
        <f t="shared" si="71"/>
        <v>1</v>
      </c>
      <c r="C117" s="45">
        <f t="shared" si="70"/>
        <v>1</v>
      </c>
      <c r="D117" s="45">
        <f t="shared" si="70"/>
        <v>1</v>
      </c>
      <c r="E117" s="45">
        <f t="shared" si="70"/>
        <v>1</v>
      </c>
      <c r="F117" s="45">
        <f t="shared" si="70"/>
        <v>1</v>
      </c>
      <c r="G117" s="45">
        <f t="shared" si="70"/>
        <v>1</v>
      </c>
      <c r="H117" s="45">
        <f t="shared" si="70"/>
        <v>1</v>
      </c>
      <c r="I117" s="45">
        <f t="shared" si="70"/>
        <v>1</v>
      </c>
      <c r="J117" s="45">
        <f t="shared" si="70"/>
        <v>1</v>
      </c>
      <c r="K117" s="45" t="e">
        <f>K116+ATM_Conf!$C$5*(T116-AC116)</f>
        <v>#DIV/0!</v>
      </c>
      <c r="L117" s="45" t="e">
        <f>L116+ATM_Conf!$C$5*(U116-AD116)</f>
        <v>#DIV/0!</v>
      </c>
      <c r="M117" s="45" t="e">
        <f>M116+ATM_Conf!$C$5*(V116-AE116)</f>
        <v>#DIV/0!</v>
      </c>
      <c r="N117" s="45" t="e">
        <f>N116+ATM_Conf!$C$5*(W116-AF116)</f>
        <v>#DIV/0!</v>
      </c>
      <c r="O117" s="45" t="e">
        <f>O116+ATM_Conf!$C$5*(X116-AG116)</f>
        <v>#DIV/0!</v>
      </c>
      <c r="P117" s="45" t="e">
        <f>P116+ATM_Conf!$C$5*(Y116-AH116)</f>
        <v>#DIV/0!</v>
      </c>
      <c r="Q117" s="45" t="e">
        <f>Q116+ATM_Conf!$C$5*(Z116-AI116)</f>
        <v>#DIV/0!</v>
      </c>
      <c r="R117" s="45" t="e">
        <f>R116+ATM_Conf!$C$5*(AA116-AJ116)</f>
        <v>#DIV/0!</v>
      </c>
      <c r="S117" s="45" t="e">
        <f>S116+ATM_Conf!$C$5*(AB116-AK116)</f>
        <v>#DIV/0!</v>
      </c>
      <c r="T117" s="45"/>
      <c r="U117" s="45"/>
      <c r="V117" s="45"/>
      <c r="W117" s="45"/>
      <c r="X117" s="45"/>
      <c r="Y117" s="45"/>
      <c r="Z117" s="45"/>
      <c r="AA117" s="45"/>
      <c r="AB117" s="45"/>
      <c r="AC117" s="45" t="e">
        <f t="shared" si="41"/>
        <v>#DIV/0!</v>
      </c>
      <c r="AD117" s="45" t="e">
        <f t="shared" si="42"/>
        <v>#DIV/0!</v>
      </c>
      <c r="AE117" s="45" t="e">
        <f t="shared" si="43"/>
        <v>#DIV/0!</v>
      </c>
      <c r="AF117" s="45" t="e">
        <f t="shared" si="44"/>
        <v>#DIV/0!</v>
      </c>
      <c r="AG117" s="45" t="e">
        <f t="shared" si="45"/>
        <v>#DIV/0!</v>
      </c>
      <c r="AH117" s="45" t="e">
        <f t="shared" si="46"/>
        <v>#DIV/0!</v>
      </c>
      <c r="AI117" s="45" t="e">
        <f t="shared" si="47"/>
        <v>#DIV/0!</v>
      </c>
      <c r="AJ117" s="45" t="e">
        <f t="shared" si="48"/>
        <v>#DIV/0!</v>
      </c>
      <c r="AK117" s="45" t="e">
        <f t="shared" si="49"/>
        <v>#DIV/0!</v>
      </c>
      <c r="AL117" s="45" t="e">
        <f>T$3+K117/ATM_Conf!$C$5</f>
        <v>#DIV/0!</v>
      </c>
      <c r="AM117" s="45" t="e">
        <f>U$3+L117/ATM_Conf!$C$5</f>
        <v>#DIV/0!</v>
      </c>
      <c r="AN117" s="45" t="e">
        <f>V$3+M117/ATM_Conf!$C$5</f>
        <v>#DIV/0!</v>
      </c>
      <c r="AO117" s="45" t="e">
        <f>W$3+N117/ATM_Conf!$C$5</f>
        <v>#DIV/0!</v>
      </c>
      <c r="AP117" s="45" t="e">
        <f>X$3+O117/ATM_Conf!$C$5</f>
        <v>#DIV/0!</v>
      </c>
      <c r="AQ117" s="45" t="e">
        <f>Y$3+P117/ATM_Conf!$C$5</f>
        <v>#DIV/0!</v>
      </c>
      <c r="AR117" s="45" t="e">
        <f>Z$3+Q117/ATM_Conf!$C$5</f>
        <v>#DIV/0!</v>
      </c>
      <c r="AS117" s="45" t="e">
        <f>AA$3+R117/ATM_Conf!$C$5</f>
        <v>#DIV/0!</v>
      </c>
      <c r="AT117" s="45" t="e">
        <f>AB$3+S117/ATM_Conf!$C$5</f>
        <v>#DIV/0!</v>
      </c>
      <c r="AU117" s="45" t="e">
        <f>BD$3*MIN(1,(ATM_Conf!$C$6-Links!F117)/(ATM_Conf!$C$6-ATM_Conf!$C$7))</f>
        <v>#DIV/0!</v>
      </c>
      <c r="AV117" s="45" t="e">
        <f>BE$3*MIN(1,(ATM_Conf!$C$6-Links!G117)/(ATM_Conf!$C$6-ATM_Conf!$C$7))</f>
        <v>#DIV/0!</v>
      </c>
      <c r="AW117" s="45" t="e">
        <f>BF$3*MIN(1,(ATM_Conf!$C$6-Links!H117)/(ATM_Conf!$C$6-ATM_Conf!$C$7))</f>
        <v>#DIV/0!</v>
      </c>
      <c r="AX117" s="45" t="e">
        <f>BG$3*MIN(1,(ATM_Conf!$C$6-Links!I117)/(ATM_Conf!$C$6-ATM_Conf!$C$7))</f>
        <v>#DIV/0!</v>
      </c>
      <c r="AY117" s="45" t="e">
        <f>BH$3*MIN(1,(ATM_Conf!$C$6-Links!J117)/(ATM_Conf!$C$6-ATM_Conf!$C$7))</f>
        <v>#DIV/0!</v>
      </c>
      <c r="AZ117" s="45" t="e">
        <f>BI$3*MIN(1,(ATM_Conf!$C$6-Links!K117)/(ATM_Conf!$C$6-ATM_Conf!$C$7))</f>
        <v>#DIV/0!</v>
      </c>
      <c r="BA117" s="45" t="e">
        <f>BJ$3*MIN(1,(ATM_Conf!$C$6-Links!L117)/(ATM_Conf!$C$6-ATM_Conf!$C$7))</f>
        <v>#DIV/0!</v>
      </c>
      <c r="BB117" s="45" t="e">
        <f>BK$3*MIN(1,(ATM_Conf!$C$6-Links!M117)/(ATM_Conf!$C$6-ATM_Conf!$C$7))</f>
        <v>#DIV/0!</v>
      </c>
      <c r="BC117" s="45" t="e">
        <f>BL$3*MIN(1,(ATM_Conf!$C$6-Links!N117)/(ATM_Conf!$C$6-ATM_Conf!$C$7))</f>
        <v>#DIV/0!</v>
      </c>
      <c r="BD117" s="45"/>
      <c r="BE117" s="45"/>
      <c r="BF117" s="45"/>
      <c r="BG117" s="45"/>
      <c r="BH117" s="45"/>
      <c r="BI117" s="45"/>
      <c r="BJ117" s="45"/>
      <c r="BK117" s="45"/>
      <c r="BL117" s="45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 t="e">
        <f t="shared" si="50"/>
        <v>#DIV/0!</v>
      </c>
      <c r="BW117" s="53" t="e">
        <f t="shared" si="51"/>
        <v>#DIV/0!</v>
      </c>
      <c r="BX117" s="53" t="e">
        <f t="shared" si="52"/>
        <v>#DIV/0!</v>
      </c>
      <c r="BY117" s="53" t="e">
        <f t="shared" si="53"/>
        <v>#DIV/0!</v>
      </c>
      <c r="BZ117" s="53" t="e">
        <f t="shared" si="54"/>
        <v>#DIV/0!</v>
      </c>
      <c r="CA117" s="53" t="e">
        <f t="shared" si="55"/>
        <v>#DIV/0!</v>
      </c>
      <c r="CB117" s="53" t="e">
        <f t="shared" si="56"/>
        <v>#DIV/0!</v>
      </c>
      <c r="CC117" s="53" t="e">
        <f t="shared" si="57"/>
        <v>#DIV/0!</v>
      </c>
      <c r="CD117" s="53" t="e">
        <f t="shared" si="58"/>
        <v>#DIV/0!</v>
      </c>
      <c r="CE117" s="55">
        <f t="shared" si="40"/>
        <v>0</v>
      </c>
      <c r="CF117" s="55">
        <f t="shared" si="65"/>
        <v>0</v>
      </c>
      <c r="CG117" s="55">
        <f t="shared" si="65"/>
        <v>0</v>
      </c>
      <c r="CH117" s="55">
        <f t="shared" si="65"/>
        <v>0</v>
      </c>
      <c r="CI117" s="55">
        <f t="shared" si="65"/>
        <v>0</v>
      </c>
      <c r="CJ117" s="55">
        <f t="shared" si="65"/>
        <v>0</v>
      </c>
      <c r="CK117" s="55">
        <f t="shared" si="65"/>
        <v>0</v>
      </c>
      <c r="CL117" s="55">
        <f t="shared" si="65"/>
        <v>0</v>
      </c>
      <c r="CM117" s="55">
        <f t="shared" si="65"/>
        <v>0</v>
      </c>
    </row>
    <row r="118" spans="1:91" x14ac:dyDescent="0.15">
      <c r="A118" s="42">
        <v>116</v>
      </c>
      <c r="B118" s="45">
        <f t="shared" si="71"/>
        <v>1</v>
      </c>
      <c r="C118" s="45">
        <f t="shared" si="70"/>
        <v>1</v>
      </c>
      <c r="D118" s="45">
        <f t="shared" si="70"/>
        <v>1</v>
      </c>
      <c r="E118" s="45">
        <f t="shared" si="70"/>
        <v>1</v>
      </c>
      <c r="F118" s="45">
        <f t="shared" si="70"/>
        <v>1</v>
      </c>
      <c r="G118" s="45">
        <f t="shared" si="70"/>
        <v>1</v>
      </c>
      <c r="H118" s="45">
        <f t="shared" si="70"/>
        <v>1</v>
      </c>
      <c r="I118" s="45">
        <f t="shared" si="70"/>
        <v>1</v>
      </c>
      <c r="J118" s="45">
        <f t="shared" si="70"/>
        <v>1</v>
      </c>
      <c r="K118" s="45" t="e">
        <f>K117+ATM_Conf!$C$5*(T117-AC117)</f>
        <v>#DIV/0!</v>
      </c>
      <c r="L118" s="45" t="e">
        <f>L117+ATM_Conf!$C$5*(U117-AD117)</f>
        <v>#DIV/0!</v>
      </c>
      <c r="M118" s="45" t="e">
        <f>M117+ATM_Conf!$C$5*(V117-AE117)</f>
        <v>#DIV/0!</v>
      </c>
      <c r="N118" s="45" t="e">
        <f>N117+ATM_Conf!$C$5*(W117-AF117)</f>
        <v>#DIV/0!</v>
      </c>
      <c r="O118" s="45" t="e">
        <f>O117+ATM_Conf!$C$5*(X117-AG117)</f>
        <v>#DIV/0!</v>
      </c>
      <c r="P118" s="45" t="e">
        <f>P117+ATM_Conf!$C$5*(Y117-AH117)</f>
        <v>#DIV/0!</v>
      </c>
      <c r="Q118" s="45" t="e">
        <f>Q117+ATM_Conf!$C$5*(Z117-AI117)</f>
        <v>#DIV/0!</v>
      </c>
      <c r="R118" s="45" t="e">
        <f>R117+ATM_Conf!$C$5*(AA117-AJ117)</f>
        <v>#DIV/0!</v>
      </c>
      <c r="S118" s="45" t="e">
        <f>S117+ATM_Conf!$C$5*(AB117-AK117)</f>
        <v>#DIV/0!</v>
      </c>
      <c r="T118" s="45"/>
      <c r="U118" s="45"/>
      <c r="V118" s="45"/>
      <c r="W118" s="45"/>
      <c r="X118" s="45"/>
      <c r="Y118" s="45"/>
      <c r="Z118" s="45"/>
      <c r="AA118" s="45"/>
      <c r="AB118" s="45"/>
      <c r="AC118" s="45" t="e">
        <f t="shared" si="41"/>
        <v>#DIV/0!</v>
      </c>
      <c r="AD118" s="45" t="e">
        <f t="shared" si="42"/>
        <v>#DIV/0!</v>
      </c>
      <c r="AE118" s="45" t="e">
        <f t="shared" si="43"/>
        <v>#DIV/0!</v>
      </c>
      <c r="AF118" s="45" t="e">
        <f t="shared" si="44"/>
        <v>#DIV/0!</v>
      </c>
      <c r="AG118" s="45" t="e">
        <f t="shared" si="45"/>
        <v>#DIV/0!</v>
      </c>
      <c r="AH118" s="45" t="e">
        <f t="shared" si="46"/>
        <v>#DIV/0!</v>
      </c>
      <c r="AI118" s="45" t="e">
        <f t="shared" si="47"/>
        <v>#DIV/0!</v>
      </c>
      <c r="AJ118" s="45" t="e">
        <f t="shared" si="48"/>
        <v>#DIV/0!</v>
      </c>
      <c r="AK118" s="45" t="e">
        <f t="shared" si="49"/>
        <v>#DIV/0!</v>
      </c>
      <c r="AL118" s="45" t="e">
        <f>T$3+K118/ATM_Conf!$C$5</f>
        <v>#DIV/0!</v>
      </c>
      <c r="AM118" s="45" t="e">
        <f>U$3+L118/ATM_Conf!$C$5</f>
        <v>#DIV/0!</v>
      </c>
      <c r="AN118" s="45" t="e">
        <f>V$3+M118/ATM_Conf!$C$5</f>
        <v>#DIV/0!</v>
      </c>
      <c r="AO118" s="45" t="e">
        <f>W$3+N118/ATM_Conf!$C$5</f>
        <v>#DIV/0!</v>
      </c>
      <c r="AP118" s="45" t="e">
        <f>X$3+O118/ATM_Conf!$C$5</f>
        <v>#DIV/0!</v>
      </c>
      <c r="AQ118" s="45" t="e">
        <f>Y$3+P118/ATM_Conf!$C$5</f>
        <v>#DIV/0!</v>
      </c>
      <c r="AR118" s="45" t="e">
        <f>Z$3+Q118/ATM_Conf!$C$5</f>
        <v>#DIV/0!</v>
      </c>
      <c r="AS118" s="45" t="e">
        <f>AA$3+R118/ATM_Conf!$C$5</f>
        <v>#DIV/0!</v>
      </c>
      <c r="AT118" s="45" t="e">
        <f>AB$3+S118/ATM_Conf!$C$5</f>
        <v>#DIV/0!</v>
      </c>
      <c r="AU118" s="45" t="e">
        <f>BD$3*MIN(1,(ATM_Conf!$C$6-Links!F118)/(ATM_Conf!$C$6-ATM_Conf!$C$7))</f>
        <v>#DIV/0!</v>
      </c>
      <c r="AV118" s="45" t="e">
        <f>BE$3*MIN(1,(ATM_Conf!$C$6-Links!G118)/(ATM_Conf!$C$6-ATM_Conf!$C$7))</f>
        <v>#DIV/0!</v>
      </c>
      <c r="AW118" s="45" t="e">
        <f>BF$3*MIN(1,(ATM_Conf!$C$6-Links!H118)/(ATM_Conf!$C$6-ATM_Conf!$C$7))</f>
        <v>#DIV/0!</v>
      </c>
      <c r="AX118" s="45" t="e">
        <f>BG$3*MIN(1,(ATM_Conf!$C$6-Links!I118)/(ATM_Conf!$C$6-ATM_Conf!$C$7))</f>
        <v>#DIV/0!</v>
      </c>
      <c r="AY118" s="45" t="e">
        <f>BH$3*MIN(1,(ATM_Conf!$C$6-Links!J118)/(ATM_Conf!$C$6-ATM_Conf!$C$7))</f>
        <v>#DIV/0!</v>
      </c>
      <c r="AZ118" s="45" t="e">
        <f>BI$3*MIN(1,(ATM_Conf!$C$6-Links!K118)/(ATM_Conf!$C$6-ATM_Conf!$C$7))</f>
        <v>#DIV/0!</v>
      </c>
      <c r="BA118" s="45" t="e">
        <f>BJ$3*MIN(1,(ATM_Conf!$C$6-Links!L118)/(ATM_Conf!$C$6-ATM_Conf!$C$7))</f>
        <v>#DIV/0!</v>
      </c>
      <c r="BB118" s="45" t="e">
        <f>BK$3*MIN(1,(ATM_Conf!$C$6-Links!M118)/(ATM_Conf!$C$6-ATM_Conf!$C$7))</f>
        <v>#DIV/0!</v>
      </c>
      <c r="BC118" s="45" t="e">
        <f>BL$3*MIN(1,(ATM_Conf!$C$6-Links!N118)/(ATM_Conf!$C$6-ATM_Conf!$C$7))</f>
        <v>#DIV/0!</v>
      </c>
      <c r="BD118" s="45"/>
      <c r="BE118" s="45"/>
      <c r="BF118" s="45"/>
      <c r="BG118" s="45"/>
      <c r="BH118" s="45"/>
      <c r="BI118" s="45"/>
      <c r="BJ118" s="45"/>
      <c r="BK118" s="45"/>
      <c r="BL118" s="45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 t="e">
        <f t="shared" si="50"/>
        <v>#DIV/0!</v>
      </c>
      <c r="BW118" s="53" t="e">
        <f t="shared" si="51"/>
        <v>#DIV/0!</v>
      </c>
      <c r="BX118" s="53" t="e">
        <f t="shared" si="52"/>
        <v>#DIV/0!</v>
      </c>
      <c r="BY118" s="53" t="e">
        <f t="shared" si="53"/>
        <v>#DIV/0!</v>
      </c>
      <c r="BZ118" s="53" t="e">
        <f t="shared" si="54"/>
        <v>#DIV/0!</v>
      </c>
      <c r="CA118" s="53" t="e">
        <f t="shared" si="55"/>
        <v>#DIV/0!</v>
      </c>
      <c r="CB118" s="53" t="e">
        <f t="shared" si="56"/>
        <v>#DIV/0!</v>
      </c>
      <c r="CC118" s="53" t="e">
        <f t="shared" si="57"/>
        <v>#DIV/0!</v>
      </c>
      <c r="CD118" s="53" t="e">
        <f t="shared" si="58"/>
        <v>#DIV/0!</v>
      </c>
      <c r="CE118" s="55">
        <f t="shared" si="40"/>
        <v>0</v>
      </c>
      <c r="CF118" s="55">
        <f t="shared" si="65"/>
        <v>0</v>
      </c>
      <c r="CG118" s="55">
        <f t="shared" si="65"/>
        <v>0</v>
      </c>
      <c r="CH118" s="55">
        <f t="shared" si="65"/>
        <v>0</v>
      </c>
      <c r="CI118" s="55">
        <f t="shared" si="65"/>
        <v>0</v>
      </c>
      <c r="CJ118" s="55">
        <f t="shared" si="65"/>
        <v>0</v>
      </c>
      <c r="CK118" s="55">
        <f t="shared" si="65"/>
        <v>0</v>
      </c>
      <c r="CL118" s="55">
        <f t="shared" si="65"/>
        <v>0</v>
      </c>
      <c r="CM118" s="55">
        <f t="shared" si="65"/>
        <v>0</v>
      </c>
    </row>
    <row r="119" spans="1:91" x14ac:dyDescent="0.15">
      <c r="A119" s="42">
        <v>117</v>
      </c>
      <c r="B119" s="45">
        <f t="shared" si="71"/>
        <v>1</v>
      </c>
      <c r="C119" s="45">
        <f t="shared" si="70"/>
        <v>1</v>
      </c>
      <c r="D119" s="45">
        <f t="shared" si="70"/>
        <v>1</v>
      </c>
      <c r="E119" s="45">
        <f t="shared" si="70"/>
        <v>1</v>
      </c>
      <c r="F119" s="45">
        <f t="shared" si="70"/>
        <v>1</v>
      </c>
      <c r="G119" s="45">
        <f t="shared" si="70"/>
        <v>1</v>
      </c>
      <c r="H119" s="45">
        <f t="shared" si="70"/>
        <v>1</v>
      </c>
      <c r="I119" s="45">
        <f t="shared" si="70"/>
        <v>1</v>
      </c>
      <c r="J119" s="45">
        <f t="shared" si="70"/>
        <v>1</v>
      </c>
      <c r="K119" s="45" t="e">
        <f>K118+ATM_Conf!$C$5*(T118-AC118)</f>
        <v>#DIV/0!</v>
      </c>
      <c r="L119" s="45" t="e">
        <f>L118+ATM_Conf!$C$5*(U118-AD118)</f>
        <v>#DIV/0!</v>
      </c>
      <c r="M119" s="45" t="e">
        <f>M118+ATM_Conf!$C$5*(V118-AE118)</f>
        <v>#DIV/0!</v>
      </c>
      <c r="N119" s="45" t="e">
        <f>N118+ATM_Conf!$C$5*(W118-AF118)</f>
        <v>#DIV/0!</v>
      </c>
      <c r="O119" s="45" t="e">
        <f>O118+ATM_Conf!$C$5*(X118-AG118)</f>
        <v>#DIV/0!</v>
      </c>
      <c r="P119" s="45" t="e">
        <f>P118+ATM_Conf!$C$5*(Y118-AH118)</f>
        <v>#DIV/0!</v>
      </c>
      <c r="Q119" s="45" t="e">
        <f>Q118+ATM_Conf!$C$5*(Z118-AI118)</f>
        <v>#DIV/0!</v>
      </c>
      <c r="R119" s="45" t="e">
        <f>R118+ATM_Conf!$C$5*(AA118-AJ118)</f>
        <v>#DIV/0!</v>
      </c>
      <c r="S119" s="45" t="e">
        <f>S118+ATM_Conf!$C$5*(AB118-AK118)</f>
        <v>#DIV/0!</v>
      </c>
      <c r="T119" s="45"/>
      <c r="U119" s="45"/>
      <c r="V119" s="45"/>
      <c r="W119" s="45"/>
      <c r="X119" s="45"/>
      <c r="Y119" s="45"/>
      <c r="Z119" s="45"/>
      <c r="AA119" s="45"/>
      <c r="AB119" s="45"/>
      <c r="AC119" s="45" t="e">
        <f t="shared" si="41"/>
        <v>#DIV/0!</v>
      </c>
      <c r="AD119" s="45" t="e">
        <f t="shared" si="42"/>
        <v>#DIV/0!</v>
      </c>
      <c r="AE119" s="45" t="e">
        <f t="shared" si="43"/>
        <v>#DIV/0!</v>
      </c>
      <c r="AF119" s="45" t="e">
        <f t="shared" si="44"/>
        <v>#DIV/0!</v>
      </c>
      <c r="AG119" s="45" t="e">
        <f t="shared" si="45"/>
        <v>#DIV/0!</v>
      </c>
      <c r="AH119" s="45" t="e">
        <f t="shared" si="46"/>
        <v>#DIV/0!</v>
      </c>
      <c r="AI119" s="45" t="e">
        <f t="shared" si="47"/>
        <v>#DIV/0!</v>
      </c>
      <c r="AJ119" s="45" t="e">
        <f t="shared" si="48"/>
        <v>#DIV/0!</v>
      </c>
      <c r="AK119" s="45" t="e">
        <f t="shared" si="49"/>
        <v>#DIV/0!</v>
      </c>
      <c r="AL119" s="45" t="e">
        <f>T$3+K119/ATM_Conf!$C$5</f>
        <v>#DIV/0!</v>
      </c>
      <c r="AM119" s="45" t="e">
        <f>U$3+L119/ATM_Conf!$C$5</f>
        <v>#DIV/0!</v>
      </c>
      <c r="AN119" s="45" t="e">
        <f>V$3+M119/ATM_Conf!$C$5</f>
        <v>#DIV/0!</v>
      </c>
      <c r="AO119" s="45" t="e">
        <f>W$3+N119/ATM_Conf!$C$5</f>
        <v>#DIV/0!</v>
      </c>
      <c r="AP119" s="45" t="e">
        <f>X$3+O119/ATM_Conf!$C$5</f>
        <v>#DIV/0!</v>
      </c>
      <c r="AQ119" s="45" t="e">
        <f>Y$3+P119/ATM_Conf!$C$5</f>
        <v>#DIV/0!</v>
      </c>
      <c r="AR119" s="45" t="e">
        <f>Z$3+Q119/ATM_Conf!$C$5</f>
        <v>#DIV/0!</v>
      </c>
      <c r="AS119" s="45" t="e">
        <f>AA$3+R119/ATM_Conf!$C$5</f>
        <v>#DIV/0!</v>
      </c>
      <c r="AT119" s="45" t="e">
        <f>AB$3+S119/ATM_Conf!$C$5</f>
        <v>#DIV/0!</v>
      </c>
      <c r="AU119" s="45" t="e">
        <f>BD$3*MIN(1,(ATM_Conf!$C$6-Links!F119)/(ATM_Conf!$C$6-ATM_Conf!$C$7))</f>
        <v>#DIV/0!</v>
      </c>
      <c r="AV119" s="45" t="e">
        <f>BE$3*MIN(1,(ATM_Conf!$C$6-Links!G119)/(ATM_Conf!$C$6-ATM_Conf!$C$7))</f>
        <v>#DIV/0!</v>
      </c>
      <c r="AW119" s="45" t="e">
        <f>BF$3*MIN(1,(ATM_Conf!$C$6-Links!H119)/(ATM_Conf!$C$6-ATM_Conf!$C$7))</f>
        <v>#DIV/0!</v>
      </c>
      <c r="AX119" s="45" t="e">
        <f>BG$3*MIN(1,(ATM_Conf!$C$6-Links!I119)/(ATM_Conf!$C$6-ATM_Conf!$C$7))</f>
        <v>#DIV/0!</v>
      </c>
      <c r="AY119" s="45" t="e">
        <f>BH$3*MIN(1,(ATM_Conf!$C$6-Links!J119)/(ATM_Conf!$C$6-ATM_Conf!$C$7))</f>
        <v>#DIV/0!</v>
      </c>
      <c r="AZ119" s="45" t="e">
        <f>BI$3*MIN(1,(ATM_Conf!$C$6-Links!K119)/(ATM_Conf!$C$6-ATM_Conf!$C$7))</f>
        <v>#DIV/0!</v>
      </c>
      <c r="BA119" s="45" t="e">
        <f>BJ$3*MIN(1,(ATM_Conf!$C$6-Links!L119)/(ATM_Conf!$C$6-ATM_Conf!$C$7))</f>
        <v>#DIV/0!</v>
      </c>
      <c r="BB119" s="45" t="e">
        <f>BK$3*MIN(1,(ATM_Conf!$C$6-Links!M119)/(ATM_Conf!$C$6-ATM_Conf!$C$7))</f>
        <v>#DIV/0!</v>
      </c>
      <c r="BC119" s="45" t="e">
        <f>BL$3*MIN(1,(ATM_Conf!$C$6-Links!N119)/(ATM_Conf!$C$6-ATM_Conf!$C$7))</f>
        <v>#DIV/0!</v>
      </c>
      <c r="BD119" s="45"/>
      <c r="BE119" s="45"/>
      <c r="BF119" s="45"/>
      <c r="BG119" s="45"/>
      <c r="BH119" s="45"/>
      <c r="BI119" s="45"/>
      <c r="BJ119" s="45"/>
      <c r="BK119" s="45"/>
      <c r="BL119" s="45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 t="e">
        <f t="shared" si="50"/>
        <v>#DIV/0!</v>
      </c>
      <c r="BW119" s="53" t="e">
        <f t="shared" si="51"/>
        <v>#DIV/0!</v>
      </c>
      <c r="BX119" s="53" t="e">
        <f t="shared" si="52"/>
        <v>#DIV/0!</v>
      </c>
      <c r="BY119" s="53" t="e">
        <f t="shared" si="53"/>
        <v>#DIV/0!</v>
      </c>
      <c r="BZ119" s="53" t="e">
        <f t="shared" si="54"/>
        <v>#DIV/0!</v>
      </c>
      <c r="CA119" s="53" t="e">
        <f t="shared" si="55"/>
        <v>#DIV/0!</v>
      </c>
      <c r="CB119" s="53" t="e">
        <f t="shared" si="56"/>
        <v>#DIV/0!</v>
      </c>
      <c r="CC119" s="53" t="e">
        <f t="shared" si="57"/>
        <v>#DIV/0!</v>
      </c>
      <c r="CD119" s="53" t="e">
        <f t="shared" si="58"/>
        <v>#DIV/0!</v>
      </c>
      <c r="CE119" s="55">
        <f t="shared" si="40"/>
        <v>0</v>
      </c>
      <c r="CF119" s="55">
        <f t="shared" si="65"/>
        <v>0</v>
      </c>
      <c r="CG119" s="55">
        <f t="shared" si="65"/>
        <v>0</v>
      </c>
      <c r="CH119" s="55">
        <f t="shared" si="65"/>
        <v>0</v>
      </c>
      <c r="CI119" s="55">
        <f t="shared" si="65"/>
        <v>0</v>
      </c>
      <c r="CJ119" s="55">
        <f t="shared" si="65"/>
        <v>0</v>
      </c>
      <c r="CK119" s="55">
        <f t="shared" si="65"/>
        <v>0</v>
      </c>
      <c r="CL119" s="55">
        <f t="shared" si="65"/>
        <v>0</v>
      </c>
      <c r="CM119" s="55">
        <f t="shared" si="65"/>
        <v>0</v>
      </c>
    </row>
    <row r="120" spans="1:91" x14ac:dyDescent="0.15">
      <c r="A120" s="42">
        <v>118</v>
      </c>
      <c r="B120" s="45">
        <f t="shared" si="71"/>
        <v>1</v>
      </c>
      <c r="C120" s="45">
        <f t="shared" si="70"/>
        <v>1</v>
      </c>
      <c r="D120" s="45">
        <f t="shared" si="70"/>
        <v>1</v>
      </c>
      <c r="E120" s="45">
        <f t="shared" si="70"/>
        <v>1</v>
      </c>
      <c r="F120" s="45">
        <f t="shared" si="70"/>
        <v>1</v>
      </c>
      <c r="G120" s="45">
        <f t="shared" si="70"/>
        <v>1</v>
      </c>
      <c r="H120" s="45">
        <f t="shared" si="70"/>
        <v>1</v>
      </c>
      <c r="I120" s="45">
        <f t="shared" si="70"/>
        <v>1</v>
      </c>
      <c r="J120" s="45">
        <f t="shared" si="70"/>
        <v>1</v>
      </c>
      <c r="K120" s="45" t="e">
        <f>K119+ATM_Conf!$C$5*(T119-AC119)</f>
        <v>#DIV/0!</v>
      </c>
      <c r="L120" s="45" t="e">
        <f>L119+ATM_Conf!$C$5*(U119-AD119)</f>
        <v>#DIV/0!</v>
      </c>
      <c r="M120" s="45" t="e">
        <f>M119+ATM_Conf!$C$5*(V119-AE119)</f>
        <v>#DIV/0!</v>
      </c>
      <c r="N120" s="45" t="e">
        <f>N119+ATM_Conf!$C$5*(W119-AF119)</f>
        <v>#DIV/0!</v>
      </c>
      <c r="O120" s="45" t="e">
        <f>O119+ATM_Conf!$C$5*(X119-AG119)</f>
        <v>#DIV/0!</v>
      </c>
      <c r="P120" s="45" t="e">
        <f>P119+ATM_Conf!$C$5*(Y119-AH119)</f>
        <v>#DIV/0!</v>
      </c>
      <c r="Q120" s="45" t="e">
        <f>Q119+ATM_Conf!$C$5*(Z119-AI119)</f>
        <v>#DIV/0!</v>
      </c>
      <c r="R120" s="45" t="e">
        <f>R119+ATM_Conf!$C$5*(AA119-AJ119)</f>
        <v>#DIV/0!</v>
      </c>
      <c r="S120" s="45" t="e">
        <f>S119+ATM_Conf!$C$5*(AB119-AK119)</f>
        <v>#DIV/0!</v>
      </c>
      <c r="T120" s="45"/>
      <c r="U120" s="45"/>
      <c r="V120" s="45"/>
      <c r="W120" s="45"/>
      <c r="X120" s="45"/>
      <c r="Y120" s="45"/>
      <c r="Z120" s="45"/>
      <c r="AA120" s="45"/>
      <c r="AB120" s="45"/>
      <c r="AC120" s="45" t="e">
        <f t="shared" si="41"/>
        <v>#DIV/0!</v>
      </c>
      <c r="AD120" s="45" t="e">
        <f t="shared" si="42"/>
        <v>#DIV/0!</v>
      </c>
      <c r="AE120" s="45" t="e">
        <f t="shared" si="43"/>
        <v>#DIV/0!</v>
      </c>
      <c r="AF120" s="45" t="e">
        <f t="shared" si="44"/>
        <v>#DIV/0!</v>
      </c>
      <c r="AG120" s="45" t="e">
        <f t="shared" si="45"/>
        <v>#DIV/0!</v>
      </c>
      <c r="AH120" s="45" t="e">
        <f t="shared" si="46"/>
        <v>#DIV/0!</v>
      </c>
      <c r="AI120" s="45" t="e">
        <f t="shared" si="47"/>
        <v>#DIV/0!</v>
      </c>
      <c r="AJ120" s="45" t="e">
        <f t="shared" si="48"/>
        <v>#DIV/0!</v>
      </c>
      <c r="AK120" s="45" t="e">
        <f t="shared" si="49"/>
        <v>#DIV/0!</v>
      </c>
      <c r="AL120" s="45" t="e">
        <f>T$3+K120/ATM_Conf!$C$5</f>
        <v>#DIV/0!</v>
      </c>
      <c r="AM120" s="45" t="e">
        <f>U$3+L120/ATM_Conf!$C$5</f>
        <v>#DIV/0!</v>
      </c>
      <c r="AN120" s="45" t="e">
        <f>V$3+M120/ATM_Conf!$C$5</f>
        <v>#DIV/0!</v>
      </c>
      <c r="AO120" s="45" t="e">
        <f>W$3+N120/ATM_Conf!$C$5</f>
        <v>#DIV/0!</v>
      </c>
      <c r="AP120" s="45" t="e">
        <f>X$3+O120/ATM_Conf!$C$5</f>
        <v>#DIV/0!</v>
      </c>
      <c r="AQ120" s="45" t="e">
        <f>Y$3+P120/ATM_Conf!$C$5</f>
        <v>#DIV/0!</v>
      </c>
      <c r="AR120" s="45" t="e">
        <f>Z$3+Q120/ATM_Conf!$C$5</f>
        <v>#DIV/0!</v>
      </c>
      <c r="AS120" s="45" t="e">
        <f>AA$3+R120/ATM_Conf!$C$5</f>
        <v>#DIV/0!</v>
      </c>
      <c r="AT120" s="45" t="e">
        <f>AB$3+S120/ATM_Conf!$C$5</f>
        <v>#DIV/0!</v>
      </c>
      <c r="AU120" s="45" t="e">
        <f>BD$3*MIN(1,(ATM_Conf!$C$6-Links!F120)/(ATM_Conf!$C$6-ATM_Conf!$C$7))</f>
        <v>#DIV/0!</v>
      </c>
      <c r="AV120" s="45" t="e">
        <f>BE$3*MIN(1,(ATM_Conf!$C$6-Links!G120)/(ATM_Conf!$C$6-ATM_Conf!$C$7))</f>
        <v>#DIV/0!</v>
      </c>
      <c r="AW120" s="45" t="e">
        <f>BF$3*MIN(1,(ATM_Conf!$C$6-Links!H120)/(ATM_Conf!$C$6-ATM_Conf!$C$7))</f>
        <v>#DIV/0!</v>
      </c>
      <c r="AX120" s="45" t="e">
        <f>BG$3*MIN(1,(ATM_Conf!$C$6-Links!I120)/(ATM_Conf!$C$6-ATM_Conf!$C$7))</f>
        <v>#DIV/0!</v>
      </c>
      <c r="AY120" s="45" t="e">
        <f>BH$3*MIN(1,(ATM_Conf!$C$6-Links!J120)/(ATM_Conf!$C$6-ATM_Conf!$C$7))</f>
        <v>#DIV/0!</v>
      </c>
      <c r="AZ120" s="45" t="e">
        <f>BI$3*MIN(1,(ATM_Conf!$C$6-Links!K120)/(ATM_Conf!$C$6-ATM_Conf!$C$7))</f>
        <v>#DIV/0!</v>
      </c>
      <c r="BA120" s="45" t="e">
        <f>BJ$3*MIN(1,(ATM_Conf!$C$6-Links!L120)/(ATM_Conf!$C$6-ATM_Conf!$C$7))</f>
        <v>#DIV/0!</v>
      </c>
      <c r="BB120" s="45" t="e">
        <f>BK$3*MIN(1,(ATM_Conf!$C$6-Links!M120)/(ATM_Conf!$C$6-ATM_Conf!$C$7))</f>
        <v>#DIV/0!</v>
      </c>
      <c r="BC120" s="45" t="e">
        <f>BL$3*MIN(1,(ATM_Conf!$C$6-Links!N120)/(ATM_Conf!$C$6-ATM_Conf!$C$7))</f>
        <v>#DIV/0!</v>
      </c>
      <c r="BD120" s="45"/>
      <c r="BE120" s="45"/>
      <c r="BF120" s="45"/>
      <c r="BG120" s="45"/>
      <c r="BH120" s="45"/>
      <c r="BI120" s="45"/>
      <c r="BJ120" s="45"/>
      <c r="BK120" s="45"/>
      <c r="BL120" s="45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 t="e">
        <f t="shared" si="50"/>
        <v>#DIV/0!</v>
      </c>
      <c r="BW120" s="53" t="e">
        <f t="shared" si="51"/>
        <v>#DIV/0!</v>
      </c>
      <c r="BX120" s="53" t="e">
        <f t="shared" si="52"/>
        <v>#DIV/0!</v>
      </c>
      <c r="BY120" s="53" t="e">
        <f t="shared" si="53"/>
        <v>#DIV/0!</v>
      </c>
      <c r="BZ120" s="53" t="e">
        <f t="shared" si="54"/>
        <v>#DIV/0!</v>
      </c>
      <c r="CA120" s="53" t="e">
        <f t="shared" si="55"/>
        <v>#DIV/0!</v>
      </c>
      <c r="CB120" s="53" t="e">
        <f t="shared" si="56"/>
        <v>#DIV/0!</v>
      </c>
      <c r="CC120" s="53" t="e">
        <f t="shared" si="57"/>
        <v>#DIV/0!</v>
      </c>
      <c r="CD120" s="53" t="e">
        <f t="shared" si="58"/>
        <v>#DIV/0!</v>
      </c>
      <c r="CE120" s="55">
        <f t="shared" si="40"/>
        <v>0</v>
      </c>
      <c r="CF120" s="55">
        <f t="shared" si="65"/>
        <v>0</v>
      </c>
      <c r="CG120" s="55">
        <f t="shared" si="65"/>
        <v>0</v>
      </c>
      <c r="CH120" s="55">
        <f t="shared" si="65"/>
        <v>0</v>
      </c>
      <c r="CI120" s="55">
        <f t="shared" si="65"/>
        <v>0</v>
      </c>
      <c r="CJ120" s="55">
        <f t="shared" si="65"/>
        <v>0</v>
      </c>
      <c r="CK120" s="55">
        <f t="shared" si="65"/>
        <v>0</v>
      </c>
      <c r="CL120" s="55">
        <f t="shared" si="65"/>
        <v>0</v>
      </c>
      <c r="CM120" s="55">
        <f t="shared" si="65"/>
        <v>0</v>
      </c>
    </row>
    <row r="121" spans="1:91" x14ac:dyDescent="0.15">
      <c r="A121" s="42">
        <v>119</v>
      </c>
      <c r="B121" s="45">
        <f t="shared" si="71"/>
        <v>1</v>
      </c>
      <c r="C121" s="45">
        <f t="shared" si="70"/>
        <v>1</v>
      </c>
      <c r="D121" s="45">
        <f t="shared" si="70"/>
        <v>1</v>
      </c>
      <c r="E121" s="45">
        <f t="shared" si="70"/>
        <v>1</v>
      </c>
      <c r="F121" s="45">
        <f t="shared" si="70"/>
        <v>1</v>
      </c>
      <c r="G121" s="45">
        <f t="shared" si="70"/>
        <v>1</v>
      </c>
      <c r="H121" s="45">
        <f t="shared" si="70"/>
        <v>1</v>
      </c>
      <c r="I121" s="45">
        <f t="shared" si="70"/>
        <v>1</v>
      </c>
      <c r="J121" s="45">
        <f t="shared" si="70"/>
        <v>1</v>
      </c>
      <c r="K121" s="45" t="e">
        <f>K120+ATM_Conf!$C$5*(T120-AC120)</f>
        <v>#DIV/0!</v>
      </c>
      <c r="L121" s="45" t="e">
        <f>L120+ATM_Conf!$C$5*(U120-AD120)</f>
        <v>#DIV/0!</v>
      </c>
      <c r="M121" s="45" t="e">
        <f>M120+ATM_Conf!$C$5*(V120-AE120)</f>
        <v>#DIV/0!</v>
      </c>
      <c r="N121" s="45" t="e">
        <f>N120+ATM_Conf!$C$5*(W120-AF120)</f>
        <v>#DIV/0!</v>
      </c>
      <c r="O121" s="45" t="e">
        <f>O120+ATM_Conf!$C$5*(X120-AG120)</f>
        <v>#DIV/0!</v>
      </c>
      <c r="P121" s="45" t="e">
        <f>P120+ATM_Conf!$C$5*(Y120-AH120)</f>
        <v>#DIV/0!</v>
      </c>
      <c r="Q121" s="45" t="e">
        <f>Q120+ATM_Conf!$C$5*(Z120-AI120)</f>
        <v>#DIV/0!</v>
      </c>
      <c r="R121" s="45" t="e">
        <f>R120+ATM_Conf!$C$5*(AA120-AJ120)</f>
        <v>#DIV/0!</v>
      </c>
      <c r="S121" s="45" t="e">
        <f>S120+ATM_Conf!$C$5*(AB120-AK120)</f>
        <v>#DIV/0!</v>
      </c>
      <c r="T121" s="45"/>
      <c r="U121" s="45"/>
      <c r="V121" s="45"/>
      <c r="W121" s="45"/>
      <c r="X121" s="45"/>
      <c r="Y121" s="45"/>
      <c r="Z121" s="45"/>
      <c r="AA121" s="45"/>
      <c r="AB121" s="45"/>
      <c r="AC121" s="45" t="e">
        <f t="shared" si="41"/>
        <v>#DIV/0!</v>
      </c>
      <c r="AD121" s="45" t="e">
        <f t="shared" si="42"/>
        <v>#DIV/0!</v>
      </c>
      <c r="AE121" s="45" t="e">
        <f t="shared" si="43"/>
        <v>#DIV/0!</v>
      </c>
      <c r="AF121" s="45" t="e">
        <f t="shared" si="44"/>
        <v>#DIV/0!</v>
      </c>
      <c r="AG121" s="45" t="e">
        <f t="shared" si="45"/>
        <v>#DIV/0!</v>
      </c>
      <c r="AH121" s="45" t="e">
        <f t="shared" si="46"/>
        <v>#DIV/0!</v>
      </c>
      <c r="AI121" s="45" t="e">
        <f t="shared" si="47"/>
        <v>#DIV/0!</v>
      </c>
      <c r="AJ121" s="45" t="e">
        <f t="shared" si="48"/>
        <v>#DIV/0!</v>
      </c>
      <c r="AK121" s="45" t="e">
        <f t="shared" si="49"/>
        <v>#DIV/0!</v>
      </c>
      <c r="AL121" s="45" t="e">
        <f>T$3+K121/ATM_Conf!$C$5</f>
        <v>#DIV/0!</v>
      </c>
      <c r="AM121" s="45" t="e">
        <f>U$3+L121/ATM_Conf!$C$5</f>
        <v>#DIV/0!</v>
      </c>
      <c r="AN121" s="45" t="e">
        <f>V$3+M121/ATM_Conf!$C$5</f>
        <v>#DIV/0!</v>
      </c>
      <c r="AO121" s="45" t="e">
        <f>W$3+N121/ATM_Conf!$C$5</f>
        <v>#DIV/0!</v>
      </c>
      <c r="AP121" s="45" t="e">
        <f>X$3+O121/ATM_Conf!$C$5</f>
        <v>#DIV/0!</v>
      </c>
      <c r="AQ121" s="45" t="e">
        <f>Y$3+P121/ATM_Conf!$C$5</f>
        <v>#DIV/0!</v>
      </c>
      <c r="AR121" s="45" t="e">
        <f>Z$3+Q121/ATM_Conf!$C$5</f>
        <v>#DIV/0!</v>
      </c>
      <c r="AS121" s="45" t="e">
        <f>AA$3+R121/ATM_Conf!$C$5</f>
        <v>#DIV/0!</v>
      </c>
      <c r="AT121" s="45" t="e">
        <f>AB$3+S121/ATM_Conf!$C$5</f>
        <v>#DIV/0!</v>
      </c>
      <c r="AU121" s="45" t="e">
        <f>BD$3*MIN(1,(ATM_Conf!$C$6-Links!F121)/(ATM_Conf!$C$6-ATM_Conf!$C$7))</f>
        <v>#DIV/0!</v>
      </c>
      <c r="AV121" s="45" t="e">
        <f>BE$3*MIN(1,(ATM_Conf!$C$6-Links!G121)/(ATM_Conf!$C$6-ATM_Conf!$C$7))</f>
        <v>#DIV/0!</v>
      </c>
      <c r="AW121" s="45" t="e">
        <f>BF$3*MIN(1,(ATM_Conf!$C$6-Links!H121)/(ATM_Conf!$C$6-ATM_Conf!$C$7))</f>
        <v>#DIV/0!</v>
      </c>
      <c r="AX121" s="45" t="e">
        <f>BG$3*MIN(1,(ATM_Conf!$C$6-Links!I121)/(ATM_Conf!$C$6-ATM_Conf!$C$7))</f>
        <v>#DIV/0!</v>
      </c>
      <c r="AY121" s="45" t="e">
        <f>BH$3*MIN(1,(ATM_Conf!$C$6-Links!J121)/(ATM_Conf!$C$6-ATM_Conf!$C$7))</f>
        <v>#DIV/0!</v>
      </c>
      <c r="AZ121" s="45" t="e">
        <f>BI$3*MIN(1,(ATM_Conf!$C$6-Links!K121)/(ATM_Conf!$C$6-ATM_Conf!$C$7))</f>
        <v>#DIV/0!</v>
      </c>
      <c r="BA121" s="45" t="e">
        <f>BJ$3*MIN(1,(ATM_Conf!$C$6-Links!L121)/(ATM_Conf!$C$6-ATM_Conf!$C$7))</f>
        <v>#DIV/0!</v>
      </c>
      <c r="BB121" s="45" t="e">
        <f>BK$3*MIN(1,(ATM_Conf!$C$6-Links!M121)/(ATM_Conf!$C$6-ATM_Conf!$C$7))</f>
        <v>#DIV/0!</v>
      </c>
      <c r="BC121" s="45" t="e">
        <f>BL$3*MIN(1,(ATM_Conf!$C$6-Links!N121)/(ATM_Conf!$C$6-ATM_Conf!$C$7))</f>
        <v>#DIV/0!</v>
      </c>
      <c r="BD121" s="45"/>
      <c r="BE121" s="45"/>
      <c r="BF121" s="45"/>
      <c r="BG121" s="45"/>
      <c r="BH121" s="45"/>
      <c r="BI121" s="45"/>
      <c r="BJ121" s="45"/>
      <c r="BK121" s="45"/>
      <c r="BL121" s="45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 t="e">
        <f t="shared" si="50"/>
        <v>#DIV/0!</v>
      </c>
      <c r="BW121" s="53" t="e">
        <f t="shared" si="51"/>
        <v>#DIV/0!</v>
      </c>
      <c r="BX121" s="53" t="e">
        <f t="shared" si="52"/>
        <v>#DIV/0!</v>
      </c>
      <c r="BY121" s="53" t="e">
        <f t="shared" si="53"/>
        <v>#DIV/0!</v>
      </c>
      <c r="BZ121" s="53" t="e">
        <f t="shared" si="54"/>
        <v>#DIV/0!</v>
      </c>
      <c r="CA121" s="53" t="e">
        <f t="shared" si="55"/>
        <v>#DIV/0!</v>
      </c>
      <c r="CB121" s="53" t="e">
        <f t="shared" si="56"/>
        <v>#DIV/0!</v>
      </c>
      <c r="CC121" s="53" t="e">
        <f t="shared" si="57"/>
        <v>#DIV/0!</v>
      </c>
      <c r="CD121" s="53" t="e">
        <f t="shared" si="58"/>
        <v>#DIV/0!</v>
      </c>
      <c r="CE121" s="55">
        <f t="shared" si="40"/>
        <v>0</v>
      </c>
      <c r="CF121" s="55">
        <f t="shared" si="65"/>
        <v>0</v>
      </c>
      <c r="CG121" s="55">
        <f t="shared" si="65"/>
        <v>0</v>
      </c>
      <c r="CH121" s="55">
        <f t="shared" si="65"/>
        <v>0</v>
      </c>
      <c r="CI121" s="55">
        <f t="shared" si="65"/>
        <v>0</v>
      </c>
      <c r="CJ121" s="55">
        <f t="shared" si="65"/>
        <v>0</v>
      </c>
      <c r="CK121" s="55">
        <f t="shared" si="65"/>
        <v>0</v>
      </c>
      <c r="CL121" s="55">
        <f t="shared" si="65"/>
        <v>0</v>
      </c>
      <c r="CM121" s="55">
        <f t="shared" si="65"/>
        <v>0</v>
      </c>
    </row>
    <row r="122" spans="1:91" x14ac:dyDescent="0.15">
      <c r="A122" s="42">
        <v>120</v>
      </c>
      <c r="B122" s="45">
        <f>B$111</f>
        <v>1</v>
      </c>
      <c r="C122" s="45">
        <f t="shared" si="70"/>
        <v>1</v>
      </c>
      <c r="D122" s="45">
        <f t="shared" si="70"/>
        <v>1</v>
      </c>
      <c r="E122" s="45">
        <f t="shared" si="70"/>
        <v>1</v>
      </c>
      <c r="F122" s="45">
        <f t="shared" si="70"/>
        <v>1</v>
      </c>
      <c r="G122" s="45">
        <f t="shared" si="70"/>
        <v>1</v>
      </c>
      <c r="H122" s="45">
        <f t="shared" si="70"/>
        <v>1</v>
      </c>
      <c r="I122" s="45">
        <f t="shared" si="70"/>
        <v>1</v>
      </c>
      <c r="J122" s="45">
        <f t="shared" si="70"/>
        <v>1</v>
      </c>
      <c r="K122" s="45" t="e">
        <f>K121+ATM_Conf!$C$5*(T121-AC121)</f>
        <v>#DIV/0!</v>
      </c>
      <c r="L122" s="45" t="e">
        <f>L121+ATM_Conf!$C$5*(U121-AD121)</f>
        <v>#DIV/0!</v>
      </c>
      <c r="M122" s="45" t="e">
        <f>M121+ATM_Conf!$C$5*(V121-AE121)</f>
        <v>#DIV/0!</v>
      </c>
      <c r="N122" s="45" t="e">
        <f>N121+ATM_Conf!$C$5*(W121-AF121)</f>
        <v>#DIV/0!</v>
      </c>
      <c r="O122" s="45" t="e">
        <f>O121+ATM_Conf!$C$5*(X121-AG121)</f>
        <v>#DIV/0!</v>
      </c>
      <c r="P122" s="45" t="e">
        <f>P121+ATM_Conf!$C$5*(Y121-AH121)</f>
        <v>#DIV/0!</v>
      </c>
      <c r="Q122" s="45" t="e">
        <f>Q121+ATM_Conf!$C$5*(Z121-AI121)</f>
        <v>#DIV/0!</v>
      </c>
      <c r="R122" s="45" t="e">
        <f>R121+ATM_Conf!$C$5*(AA121-AJ121)</f>
        <v>#DIV/0!</v>
      </c>
      <c r="S122" s="45" t="e">
        <f>S121+ATM_Conf!$C$5*(AB121-AK121)</f>
        <v>#DIV/0!</v>
      </c>
      <c r="T122" s="45"/>
      <c r="U122" s="45"/>
      <c r="V122" s="45"/>
      <c r="W122" s="45"/>
      <c r="X122" s="45"/>
      <c r="Y122" s="45"/>
      <c r="Z122" s="45"/>
      <c r="AA122" s="45"/>
      <c r="AB122" s="45"/>
      <c r="AC122" s="45" t="e">
        <f t="shared" si="41"/>
        <v>#DIV/0!</v>
      </c>
      <c r="AD122" s="45" t="e">
        <f t="shared" si="42"/>
        <v>#DIV/0!</v>
      </c>
      <c r="AE122" s="45" t="e">
        <f t="shared" si="43"/>
        <v>#DIV/0!</v>
      </c>
      <c r="AF122" s="45" t="e">
        <f t="shared" si="44"/>
        <v>#DIV/0!</v>
      </c>
      <c r="AG122" s="45" t="e">
        <f t="shared" si="45"/>
        <v>#DIV/0!</v>
      </c>
      <c r="AH122" s="45" t="e">
        <f t="shared" si="46"/>
        <v>#DIV/0!</v>
      </c>
      <c r="AI122" s="45" t="e">
        <f t="shared" si="47"/>
        <v>#DIV/0!</v>
      </c>
      <c r="AJ122" s="45" t="e">
        <f t="shared" si="48"/>
        <v>#DIV/0!</v>
      </c>
      <c r="AK122" s="45" t="e">
        <f t="shared" si="49"/>
        <v>#DIV/0!</v>
      </c>
      <c r="AL122" s="45" t="e">
        <f>T$3+K122/ATM_Conf!$C$5</f>
        <v>#DIV/0!</v>
      </c>
      <c r="AM122" s="45" t="e">
        <f>U$3+L122/ATM_Conf!$C$5</f>
        <v>#DIV/0!</v>
      </c>
      <c r="AN122" s="45" t="e">
        <f>V$3+M122/ATM_Conf!$C$5</f>
        <v>#DIV/0!</v>
      </c>
      <c r="AO122" s="45" t="e">
        <f>W$3+N122/ATM_Conf!$C$5</f>
        <v>#DIV/0!</v>
      </c>
      <c r="AP122" s="45" t="e">
        <f>X$3+O122/ATM_Conf!$C$5</f>
        <v>#DIV/0!</v>
      </c>
      <c r="AQ122" s="45" t="e">
        <f>Y$3+P122/ATM_Conf!$C$5</f>
        <v>#DIV/0!</v>
      </c>
      <c r="AR122" s="45" t="e">
        <f>Z$3+Q122/ATM_Conf!$C$5</f>
        <v>#DIV/0!</v>
      </c>
      <c r="AS122" s="45" t="e">
        <f>AA$3+R122/ATM_Conf!$C$5</f>
        <v>#DIV/0!</v>
      </c>
      <c r="AT122" s="45" t="e">
        <f>AB$3+S122/ATM_Conf!$C$5</f>
        <v>#DIV/0!</v>
      </c>
      <c r="AU122" s="45" t="e">
        <f>BD$3*MIN(1,(ATM_Conf!$C$6-Links!F122)/(ATM_Conf!$C$6-ATM_Conf!$C$7))</f>
        <v>#DIV/0!</v>
      </c>
      <c r="AV122" s="45" t="e">
        <f>BE$3*MIN(1,(ATM_Conf!$C$6-Links!G122)/(ATM_Conf!$C$6-ATM_Conf!$C$7))</f>
        <v>#DIV/0!</v>
      </c>
      <c r="AW122" s="45" t="e">
        <f>BF$3*MIN(1,(ATM_Conf!$C$6-Links!H122)/(ATM_Conf!$C$6-ATM_Conf!$C$7))</f>
        <v>#DIV/0!</v>
      </c>
      <c r="AX122" s="45" t="e">
        <f>BG$3*MIN(1,(ATM_Conf!$C$6-Links!I122)/(ATM_Conf!$C$6-ATM_Conf!$C$7))</f>
        <v>#DIV/0!</v>
      </c>
      <c r="AY122" s="45" t="e">
        <f>BH$3*MIN(1,(ATM_Conf!$C$6-Links!J122)/(ATM_Conf!$C$6-ATM_Conf!$C$7))</f>
        <v>#DIV/0!</v>
      </c>
      <c r="AZ122" s="45" t="e">
        <f>BI$3*MIN(1,(ATM_Conf!$C$6-Links!K122)/(ATM_Conf!$C$6-ATM_Conf!$C$7))</f>
        <v>#DIV/0!</v>
      </c>
      <c r="BA122" s="45" t="e">
        <f>BJ$3*MIN(1,(ATM_Conf!$C$6-Links!L122)/(ATM_Conf!$C$6-ATM_Conf!$C$7))</f>
        <v>#DIV/0!</v>
      </c>
      <c r="BB122" s="45" t="e">
        <f>BK$3*MIN(1,(ATM_Conf!$C$6-Links!M122)/(ATM_Conf!$C$6-ATM_Conf!$C$7))</f>
        <v>#DIV/0!</v>
      </c>
      <c r="BC122" s="45" t="e">
        <f>BL$3*MIN(1,(ATM_Conf!$C$6-Links!N122)/(ATM_Conf!$C$6-ATM_Conf!$C$7))</f>
        <v>#DIV/0!</v>
      </c>
      <c r="BD122" s="45"/>
      <c r="BE122" s="45"/>
      <c r="BF122" s="45"/>
      <c r="BG122" s="45"/>
      <c r="BH122" s="45"/>
      <c r="BI122" s="45"/>
      <c r="BJ122" s="45"/>
      <c r="BK122" s="45"/>
      <c r="BL122" s="45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 t="e">
        <f t="shared" si="50"/>
        <v>#DIV/0!</v>
      </c>
      <c r="BW122" s="53" t="e">
        <f t="shared" si="51"/>
        <v>#DIV/0!</v>
      </c>
      <c r="BX122" s="53" t="e">
        <f t="shared" si="52"/>
        <v>#DIV/0!</v>
      </c>
      <c r="BY122" s="53" t="e">
        <f t="shared" si="53"/>
        <v>#DIV/0!</v>
      </c>
      <c r="BZ122" s="53" t="e">
        <f t="shared" si="54"/>
        <v>#DIV/0!</v>
      </c>
      <c r="CA122" s="53" t="e">
        <f t="shared" si="55"/>
        <v>#DIV/0!</v>
      </c>
      <c r="CB122" s="53" t="e">
        <f t="shared" si="56"/>
        <v>#DIV/0!</v>
      </c>
      <c r="CC122" s="53" t="e">
        <f t="shared" si="57"/>
        <v>#DIV/0!</v>
      </c>
      <c r="CD122" s="53" t="e">
        <f t="shared" si="58"/>
        <v>#DIV/0!</v>
      </c>
      <c r="CE122" s="55">
        <f t="shared" si="40"/>
        <v>0</v>
      </c>
      <c r="CF122" s="55">
        <f t="shared" si="65"/>
        <v>0</v>
      </c>
      <c r="CG122" s="55">
        <f t="shared" si="65"/>
        <v>0</v>
      </c>
      <c r="CH122" s="55">
        <f t="shared" si="65"/>
        <v>0</v>
      </c>
      <c r="CI122" s="55">
        <f t="shared" si="65"/>
        <v>0</v>
      </c>
      <c r="CJ122" s="55">
        <f t="shared" si="65"/>
        <v>0</v>
      </c>
      <c r="CK122" s="55">
        <f t="shared" si="65"/>
        <v>0</v>
      </c>
      <c r="CL122" s="55">
        <f t="shared" si="65"/>
        <v>0</v>
      </c>
      <c r="CM122" s="55">
        <f t="shared" si="65"/>
        <v>0</v>
      </c>
    </row>
    <row r="123" spans="1:91" x14ac:dyDescent="0.15">
      <c r="A123" s="42">
        <v>121</v>
      </c>
      <c r="B123" s="47">
        <v>1</v>
      </c>
      <c r="C123" s="47">
        <v>1</v>
      </c>
      <c r="D123" s="47">
        <v>1</v>
      </c>
      <c r="E123" s="47">
        <v>1</v>
      </c>
      <c r="F123" s="47">
        <v>1</v>
      </c>
      <c r="G123" s="47">
        <v>1</v>
      </c>
      <c r="H123" s="47">
        <v>1</v>
      </c>
      <c r="I123" s="47">
        <v>1</v>
      </c>
      <c r="J123" s="47">
        <v>1</v>
      </c>
      <c r="K123" s="45" t="e">
        <f>K122+ATM_Conf!$C$5*(T122-AC122)</f>
        <v>#DIV/0!</v>
      </c>
      <c r="L123" s="45" t="e">
        <f>L122+ATM_Conf!$C$5*(U122-AD122)</f>
        <v>#DIV/0!</v>
      </c>
      <c r="M123" s="45" t="e">
        <f>M122+ATM_Conf!$C$5*(V122-AE122)</f>
        <v>#DIV/0!</v>
      </c>
      <c r="N123" s="45" t="e">
        <f>N122+ATM_Conf!$C$5*(W122-AF122)</f>
        <v>#DIV/0!</v>
      </c>
      <c r="O123" s="45" t="e">
        <f>O122+ATM_Conf!$C$5*(X122-AG122)</f>
        <v>#DIV/0!</v>
      </c>
      <c r="P123" s="45" t="e">
        <f>P122+ATM_Conf!$C$5*(Y122-AH122)</f>
        <v>#DIV/0!</v>
      </c>
      <c r="Q123" s="45" t="e">
        <f>Q122+ATM_Conf!$C$5*(Z122-AI122)</f>
        <v>#DIV/0!</v>
      </c>
      <c r="R123" s="45" t="e">
        <f>R122+ATM_Conf!$C$5*(AA122-AJ122)</f>
        <v>#DIV/0!</v>
      </c>
      <c r="S123" s="45" t="e">
        <f>S122+ATM_Conf!$C$5*(AB122-AK122)</f>
        <v>#DIV/0!</v>
      </c>
      <c r="T123" s="45"/>
      <c r="U123" s="45"/>
      <c r="V123" s="45"/>
      <c r="W123" s="45"/>
      <c r="X123" s="45"/>
      <c r="Y123" s="45"/>
      <c r="Z123" s="45"/>
      <c r="AA123" s="45"/>
      <c r="AB123" s="45"/>
      <c r="AC123" s="45" t="e">
        <f t="shared" si="41"/>
        <v>#DIV/0!</v>
      </c>
      <c r="AD123" s="45" t="e">
        <f t="shared" si="42"/>
        <v>#DIV/0!</v>
      </c>
      <c r="AE123" s="45" t="e">
        <f t="shared" si="43"/>
        <v>#DIV/0!</v>
      </c>
      <c r="AF123" s="45" t="e">
        <f t="shared" si="44"/>
        <v>#DIV/0!</v>
      </c>
      <c r="AG123" s="45" t="e">
        <f t="shared" si="45"/>
        <v>#DIV/0!</v>
      </c>
      <c r="AH123" s="45" t="e">
        <f t="shared" si="46"/>
        <v>#DIV/0!</v>
      </c>
      <c r="AI123" s="45" t="e">
        <f t="shared" si="47"/>
        <v>#DIV/0!</v>
      </c>
      <c r="AJ123" s="45" t="e">
        <f t="shared" si="48"/>
        <v>#DIV/0!</v>
      </c>
      <c r="AK123" s="45" t="e">
        <f t="shared" si="49"/>
        <v>#DIV/0!</v>
      </c>
      <c r="AL123" s="45" t="e">
        <f>T$3+K123/ATM_Conf!$C$5</f>
        <v>#DIV/0!</v>
      </c>
      <c r="AM123" s="45" t="e">
        <f>U$3+L123/ATM_Conf!$C$5</f>
        <v>#DIV/0!</v>
      </c>
      <c r="AN123" s="45" t="e">
        <f>V$3+M123/ATM_Conf!$C$5</f>
        <v>#DIV/0!</v>
      </c>
      <c r="AO123" s="45" t="e">
        <f>W$3+N123/ATM_Conf!$C$5</f>
        <v>#DIV/0!</v>
      </c>
      <c r="AP123" s="45" t="e">
        <f>X$3+O123/ATM_Conf!$C$5</f>
        <v>#DIV/0!</v>
      </c>
      <c r="AQ123" s="45" t="e">
        <f>Y$3+P123/ATM_Conf!$C$5</f>
        <v>#DIV/0!</v>
      </c>
      <c r="AR123" s="45" t="e">
        <f>Z$3+Q123/ATM_Conf!$C$5</f>
        <v>#DIV/0!</v>
      </c>
      <c r="AS123" s="45" t="e">
        <f>AA$3+R123/ATM_Conf!$C$5</f>
        <v>#DIV/0!</v>
      </c>
      <c r="AT123" s="45" t="e">
        <f>AB$3+S123/ATM_Conf!$C$5</f>
        <v>#DIV/0!</v>
      </c>
      <c r="AU123" s="45" t="e">
        <f>BD$3*MIN(1,(ATM_Conf!$C$6-Links!F123)/(ATM_Conf!$C$6-ATM_Conf!$C$7))</f>
        <v>#DIV/0!</v>
      </c>
      <c r="AV123" s="45" t="e">
        <f>BE$3*MIN(1,(ATM_Conf!$C$6-Links!G123)/(ATM_Conf!$C$6-ATM_Conf!$C$7))</f>
        <v>#DIV/0!</v>
      </c>
      <c r="AW123" s="45" t="e">
        <f>BF$3*MIN(1,(ATM_Conf!$C$6-Links!H123)/(ATM_Conf!$C$6-ATM_Conf!$C$7))</f>
        <v>#DIV/0!</v>
      </c>
      <c r="AX123" s="45" t="e">
        <f>BG$3*MIN(1,(ATM_Conf!$C$6-Links!I123)/(ATM_Conf!$C$6-ATM_Conf!$C$7))</f>
        <v>#DIV/0!</v>
      </c>
      <c r="AY123" s="45" t="e">
        <f>BH$3*MIN(1,(ATM_Conf!$C$6-Links!J123)/(ATM_Conf!$C$6-ATM_Conf!$C$7))</f>
        <v>#DIV/0!</v>
      </c>
      <c r="AZ123" s="45" t="e">
        <f>BI$3*MIN(1,(ATM_Conf!$C$6-Links!K123)/(ATM_Conf!$C$6-ATM_Conf!$C$7))</f>
        <v>#DIV/0!</v>
      </c>
      <c r="BA123" s="45" t="e">
        <f>BJ$3*MIN(1,(ATM_Conf!$C$6-Links!L123)/(ATM_Conf!$C$6-ATM_Conf!$C$7))</f>
        <v>#DIV/0!</v>
      </c>
      <c r="BB123" s="45" t="e">
        <f>BK$3*MIN(1,(ATM_Conf!$C$6-Links!M123)/(ATM_Conf!$C$6-ATM_Conf!$C$7))</f>
        <v>#DIV/0!</v>
      </c>
      <c r="BC123" s="45" t="e">
        <f>BL$3*MIN(1,(ATM_Conf!$C$6-Links!N123)/(ATM_Conf!$C$6-ATM_Conf!$C$7))</f>
        <v>#DIV/0!</v>
      </c>
      <c r="BD123" s="45"/>
      <c r="BE123" s="45"/>
      <c r="BF123" s="45"/>
      <c r="BG123" s="45"/>
      <c r="BH123" s="45"/>
      <c r="BI123" s="45"/>
      <c r="BJ123" s="45"/>
      <c r="BK123" s="45"/>
      <c r="BL123" s="45"/>
      <c r="BM123" s="53">
        <f>(B123-B111)^2</f>
        <v>0</v>
      </c>
      <c r="BN123" s="53">
        <f t="shared" ref="BN123:BU123" si="72">(C123-C111)^2</f>
        <v>0</v>
      </c>
      <c r="BO123" s="53">
        <f t="shared" si="72"/>
        <v>0</v>
      </c>
      <c r="BP123" s="53">
        <f t="shared" si="72"/>
        <v>0</v>
      </c>
      <c r="BQ123" s="53">
        <f t="shared" si="72"/>
        <v>0</v>
      </c>
      <c r="BR123" s="53">
        <f t="shared" si="72"/>
        <v>0</v>
      </c>
      <c r="BS123" s="53">
        <f t="shared" si="72"/>
        <v>0</v>
      </c>
      <c r="BT123" s="53">
        <f t="shared" si="72"/>
        <v>0</v>
      </c>
      <c r="BU123" s="53">
        <f t="shared" si="72"/>
        <v>0</v>
      </c>
      <c r="BV123" s="53" t="e">
        <f t="shared" si="50"/>
        <v>#DIV/0!</v>
      </c>
      <c r="BW123" s="53" t="e">
        <f t="shared" si="51"/>
        <v>#DIV/0!</v>
      </c>
      <c r="BX123" s="53" t="e">
        <f t="shared" si="52"/>
        <v>#DIV/0!</v>
      </c>
      <c r="BY123" s="53" t="e">
        <f t="shared" si="53"/>
        <v>#DIV/0!</v>
      </c>
      <c r="BZ123" s="53" t="e">
        <f t="shared" si="54"/>
        <v>#DIV/0!</v>
      </c>
      <c r="CA123" s="53" t="e">
        <f t="shared" si="55"/>
        <v>#DIV/0!</v>
      </c>
      <c r="CB123" s="53" t="e">
        <f t="shared" si="56"/>
        <v>#DIV/0!</v>
      </c>
      <c r="CC123" s="53" t="e">
        <f t="shared" si="57"/>
        <v>#DIV/0!</v>
      </c>
      <c r="CD123" s="53" t="e">
        <f t="shared" si="58"/>
        <v>#DIV/0!</v>
      </c>
      <c r="CE123" s="55">
        <f t="shared" si="40"/>
        <v>0</v>
      </c>
      <c r="CF123" s="55">
        <f t="shared" si="65"/>
        <v>0</v>
      </c>
      <c r="CG123" s="55">
        <f t="shared" si="65"/>
        <v>0</v>
      </c>
      <c r="CH123" s="55">
        <f t="shared" si="65"/>
        <v>0</v>
      </c>
      <c r="CI123" s="55">
        <f t="shared" si="65"/>
        <v>0</v>
      </c>
      <c r="CJ123" s="55">
        <f t="shared" si="65"/>
        <v>0</v>
      </c>
      <c r="CK123" s="55">
        <f t="shared" si="65"/>
        <v>0</v>
      </c>
      <c r="CL123" s="55">
        <f t="shared" si="65"/>
        <v>0</v>
      </c>
      <c r="CM123" s="55">
        <f t="shared" si="65"/>
        <v>0</v>
      </c>
    </row>
    <row r="124" spans="1:91" x14ac:dyDescent="0.15">
      <c r="A124" s="42">
        <v>122</v>
      </c>
      <c r="B124" s="45">
        <f>B$123</f>
        <v>1</v>
      </c>
      <c r="C124" s="45">
        <f t="shared" ref="C124:J134" si="73">C$123</f>
        <v>1</v>
      </c>
      <c r="D124" s="45">
        <f t="shared" si="73"/>
        <v>1</v>
      </c>
      <c r="E124" s="45">
        <f t="shared" si="73"/>
        <v>1</v>
      </c>
      <c r="F124" s="45">
        <f t="shared" si="73"/>
        <v>1</v>
      </c>
      <c r="G124" s="45">
        <f t="shared" si="73"/>
        <v>1</v>
      </c>
      <c r="H124" s="45">
        <f t="shared" si="73"/>
        <v>1</v>
      </c>
      <c r="I124" s="45">
        <f t="shared" si="73"/>
        <v>1</v>
      </c>
      <c r="J124" s="45">
        <f t="shared" si="73"/>
        <v>1</v>
      </c>
      <c r="K124" s="45" t="e">
        <f>K123+ATM_Conf!$C$5*(T123-AC123)</f>
        <v>#DIV/0!</v>
      </c>
      <c r="L124" s="45" t="e">
        <f>L123+ATM_Conf!$C$5*(U123-AD123)</f>
        <v>#DIV/0!</v>
      </c>
      <c r="M124" s="45" t="e">
        <f>M123+ATM_Conf!$C$5*(V123-AE123)</f>
        <v>#DIV/0!</v>
      </c>
      <c r="N124" s="45" t="e">
        <f>N123+ATM_Conf!$C$5*(W123-AF123)</f>
        <v>#DIV/0!</v>
      </c>
      <c r="O124" s="45" t="e">
        <f>O123+ATM_Conf!$C$5*(X123-AG123)</f>
        <v>#DIV/0!</v>
      </c>
      <c r="P124" s="45" t="e">
        <f>P123+ATM_Conf!$C$5*(Y123-AH123)</f>
        <v>#DIV/0!</v>
      </c>
      <c r="Q124" s="45" t="e">
        <f>Q123+ATM_Conf!$C$5*(Z123-AI123)</f>
        <v>#DIV/0!</v>
      </c>
      <c r="R124" s="45" t="e">
        <f>R123+ATM_Conf!$C$5*(AA123-AJ123)</f>
        <v>#DIV/0!</v>
      </c>
      <c r="S124" s="45" t="e">
        <f>S123+ATM_Conf!$C$5*(AB123-AK123)</f>
        <v>#DIV/0!</v>
      </c>
      <c r="T124" s="45"/>
      <c r="U124" s="45"/>
      <c r="V124" s="45"/>
      <c r="W124" s="45"/>
      <c r="X124" s="45"/>
      <c r="Y124" s="45"/>
      <c r="Z124" s="45"/>
      <c r="AA124" s="45"/>
      <c r="AB124" s="45"/>
      <c r="AC124" s="45" t="e">
        <f t="shared" si="41"/>
        <v>#DIV/0!</v>
      </c>
      <c r="AD124" s="45" t="e">
        <f t="shared" si="42"/>
        <v>#DIV/0!</v>
      </c>
      <c r="AE124" s="45" t="e">
        <f t="shared" si="43"/>
        <v>#DIV/0!</v>
      </c>
      <c r="AF124" s="45" t="e">
        <f t="shared" si="44"/>
        <v>#DIV/0!</v>
      </c>
      <c r="AG124" s="45" t="e">
        <f t="shared" si="45"/>
        <v>#DIV/0!</v>
      </c>
      <c r="AH124" s="45" t="e">
        <f t="shared" si="46"/>
        <v>#DIV/0!</v>
      </c>
      <c r="AI124" s="45" t="e">
        <f t="shared" si="47"/>
        <v>#DIV/0!</v>
      </c>
      <c r="AJ124" s="45" t="e">
        <f t="shared" si="48"/>
        <v>#DIV/0!</v>
      </c>
      <c r="AK124" s="45" t="e">
        <f t="shared" si="49"/>
        <v>#DIV/0!</v>
      </c>
      <c r="AL124" s="45" t="e">
        <f>T$3+K124/ATM_Conf!$C$5</f>
        <v>#DIV/0!</v>
      </c>
      <c r="AM124" s="45" t="e">
        <f>U$3+L124/ATM_Conf!$C$5</f>
        <v>#DIV/0!</v>
      </c>
      <c r="AN124" s="45" t="e">
        <f>V$3+M124/ATM_Conf!$C$5</f>
        <v>#DIV/0!</v>
      </c>
      <c r="AO124" s="45" t="e">
        <f>W$3+N124/ATM_Conf!$C$5</f>
        <v>#DIV/0!</v>
      </c>
      <c r="AP124" s="45" t="e">
        <f>X$3+O124/ATM_Conf!$C$5</f>
        <v>#DIV/0!</v>
      </c>
      <c r="AQ124" s="45" t="e">
        <f>Y$3+P124/ATM_Conf!$C$5</f>
        <v>#DIV/0!</v>
      </c>
      <c r="AR124" s="45" t="e">
        <f>Z$3+Q124/ATM_Conf!$C$5</f>
        <v>#DIV/0!</v>
      </c>
      <c r="AS124" s="45" t="e">
        <f>AA$3+R124/ATM_Conf!$C$5</f>
        <v>#DIV/0!</v>
      </c>
      <c r="AT124" s="45" t="e">
        <f>AB$3+S124/ATM_Conf!$C$5</f>
        <v>#DIV/0!</v>
      </c>
      <c r="AU124" s="45" t="e">
        <f>BD$3*MIN(1,(ATM_Conf!$C$6-Links!F124)/(ATM_Conf!$C$6-ATM_Conf!$C$7))</f>
        <v>#DIV/0!</v>
      </c>
      <c r="AV124" s="45" t="e">
        <f>BE$3*MIN(1,(ATM_Conf!$C$6-Links!G124)/(ATM_Conf!$C$6-ATM_Conf!$C$7))</f>
        <v>#DIV/0!</v>
      </c>
      <c r="AW124" s="45" t="e">
        <f>BF$3*MIN(1,(ATM_Conf!$C$6-Links!H124)/(ATM_Conf!$C$6-ATM_Conf!$C$7))</f>
        <v>#DIV/0!</v>
      </c>
      <c r="AX124" s="45" t="e">
        <f>BG$3*MIN(1,(ATM_Conf!$C$6-Links!I124)/(ATM_Conf!$C$6-ATM_Conf!$C$7))</f>
        <v>#DIV/0!</v>
      </c>
      <c r="AY124" s="45" t="e">
        <f>BH$3*MIN(1,(ATM_Conf!$C$6-Links!J124)/(ATM_Conf!$C$6-ATM_Conf!$C$7))</f>
        <v>#DIV/0!</v>
      </c>
      <c r="AZ124" s="45" t="e">
        <f>BI$3*MIN(1,(ATM_Conf!$C$6-Links!K124)/(ATM_Conf!$C$6-ATM_Conf!$C$7))</f>
        <v>#DIV/0!</v>
      </c>
      <c r="BA124" s="45" t="e">
        <f>BJ$3*MIN(1,(ATM_Conf!$C$6-Links!L124)/(ATM_Conf!$C$6-ATM_Conf!$C$7))</f>
        <v>#DIV/0!</v>
      </c>
      <c r="BB124" s="45" t="e">
        <f>BK$3*MIN(1,(ATM_Conf!$C$6-Links!M124)/(ATM_Conf!$C$6-ATM_Conf!$C$7))</f>
        <v>#DIV/0!</v>
      </c>
      <c r="BC124" s="45" t="e">
        <f>BL$3*MIN(1,(ATM_Conf!$C$6-Links!N124)/(ATM_Conf!$C$6-ATM_Conf!$C$7))</f>
        <v>#DIV/0!</v>
      </c>
      <c r="BD124" s="45"/>
      <c r="BE124" s="45"/>
      <c r="BF124" s="45"/>
      <c r="BG124" s="45"/>
      <c r="BH124" s="45"/>
      <c r="BI124" s="45"/>
      <c r="BJ124" s="45"/>
      <c r="BK124" s="45"/>
      <c r="BL124" s="45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 t="e">
        <f t="shared" si="50"/>
        <v>#DIV/0!</v>
      </c>
      <c r="BW124" s="53" t="e">
        <f t="shared" si="51"/>
        <v>#DIV/0!</v>
      </c>
      <c r="BX124" s="53" t="e">
        <f t="shared" si="52"/>
        <v>#DIV/0!</v>
      </c>
      <c r="BY124" s="53" t="e">
        <f t="shared" si="53"/>
        <v>#DIV/0!</v>
      </c>
      <c r="BZ124" s="53" t="e">
        <f t="shared" si="54"/>
        <v>#DIV/0!</v>
      </c>
      <c r="CA124" s="53" t="e">
        <f t="shared" si="55"/>
        <v>#DIV/0!</v>
      </c>
      <c r="CB124" s="53" t="e">
        <f t="shared" si="56"/>
        <v>#DIV/0!</v>
      </c>
      <c r="CC124" s="53" t="e">
        <f t="shared" si="57"/>
        <v>#DIV/0!</v>
      </c>
      <c r="CD124" s="53" t="e">
        <f t="shared" si="58"/>
        <v>#DIV/0!</v>
      </c>
      <c r="CE124" s="55">
        <f t="shared" si="40"/>
        <v>0</v>
      </c>
      <c r="CF124" s="55">
        <f t="shared" si="65"/>
        <v>0</v>
      </c>
      <c r="CG124" s="55">
        <f t="shared" si="65"/>
        <v>0</v>
      </c>
      <c r="CH124" s="55">
        <f t="shared" si="65"/>
        <v>0</v>
      </c>
      <c r="CI124" s="55">
        <f t="shared" si="65"/>
        <v>0</v>
      </c>
      <c r="CJ124" s="55">
        <f t="shared" si="65"/>
        <v>0</v>
      </c>
      <c r="CK124" s="55">
        <f t="shared" si="65"/>
        <v>0</v>
      </c>
      <c r="CL124" s="55">
        <f t="shared" si="65"/>
        <v>0</v>
      </c>
      <c r="CM124" s="55">
        <f t="shared" si="65"/>
        <v>0</v>
      </c>
    </row>
    <row r="125" spans="1:91" x14ac:dyDescent="0.15">
      <c r="A125" s="42">
        <v>123</v>
      </c>
      <c r="B125" s="45">
        <f t="shared" ref="B125:B134" si="74">B$123</f>
        <v>1</v>
      </c>
      <c r="C125" s="45">
        <f t="shared" si="73"/>
        <v>1</v>
      </c>
      <c r="D125" s="45">
        <f t="shared" si="73"/>
        <v>1</v>
      </c>
      <c r="E125" s="45">
        <f t="shared" si="73"/>
        <v>1</v>
      </c>
      <c r="F125" s="45">
        <f t="shared" si="73"/>
        <v>1</v>
      </c>
      <c r="G125" s="45">
        <f t="shared" si="73"/>
        <v>1</v>
      </c>
      <c r="H125" s="45">
        <f t="shared" si="73"/>
        <v>1</v>
      </c>
      <c r="I125" s="45">
        <f t="shared" si="73"/>
        <v>1</v>
      </c>
      <c r="J125" s="45">
        <f t="shared" si="73"/>
        <v>1</v>
      </c>
      <c r="K125" s="45" t="e">
        <f>K124+ATM_Conf!$C$5*(T124-AC124)</f>
        <v>#DIV/0!</v>
      </c>
      <c r="L125" s="45" t="e">
        <f>L124+ATM_Conf!$C$5*(U124-AD124)</f>
        <v>#DIV/0!</v>
      </c>
      <c r="M125" s="45" t="e">
        <f>M124+ATM_Conf!$C$5*(V124-AE124)</f>
        <v>#DIV/0!</v>
      </c>
      <c r="N125" s="45" t="e">
        <f>N124+ATM_Conf!$C$5*(W124-AF124)</f>
        <v>#DIV/0!</v>
      </c>
      <c r="O125" s="45" t="e">
        <f>O124+ATM_Conf!$C$5*(X124-AG124)</f>
        <v>#DIV/0!</v>
      </c>
      <c r="P125" s="45" t="e">
        <f>P124+ATM_Conf!$C$5*(Y124-AH124)</f>
        <v>#DIV/0!</v>
      </c>
      <c r="Q125" s="45" t="e">
        <f>Q124+ATM_Conf!$C$5*(Z124-AI124)</f>
        <v>#DIV/0!</v>
      </c>
      <c r="R125" s="45" t="e">
        <f>R124+ATM_Conf!$C$5*(AA124-AJ124)</f>
        <v>#DIV/0!</v>
      </c>
      <c r="S125" s="45" t="e">
        <f>S124+ATM_Conf!$C$5*(AB124-AK124)</f>
        <v>#DIV/0!</v>
      </c>
      <c r="T125" s="45"/>
      <c r="U125" s="45"/>
      <c r="V125" s="45"/>
      <c r="W125" s="45"/>
      <c r="X125" s="45"/>
      <c r="Y125" s="45"/>
      <c r="Z125" s="45"/>
      <c r="AA125" s="45"/>
      <c r="AB125" s="45"/>
      <c r="AC125" s="45" t="e">
        <f t="shared" si="41"/>
        <v>#DIV/0!</v>
      </c>
      <c r="AD125" s="45" t="e">
        <f t="shared" si="42"/>
        <v>#DIV/0!</v>
      </c>
      <c r="AE125" s="45" t="e">
        <f t="shared" si="43"/>
        <v>#DIV/0!</v>
      </c>
      <c r="AF125" s="45" t="e">
        <f t="shared" si="44"/>
        <v>#DIV/0!</v>
      </c>
      <c r="AG125" s="45" t="e">
        <f t="shared" si="45"/>
        <v>#DIV/0!</v>
      </c>
      <c r="AH125" s="45" t="e">
        <f t="shared" si="46"/>
        <v>#DIV/0!</v>
      </c>
      <c r="AI125" s="45" t="e">
        <f t="shared" si="47"/>
        <v>#DIV/0!</v>
      </c>
      <c r="AJ125" s="45" t="e">
        <f t="shared" si="48"/>
        <v>#DIV/0!</v>
      </c>
      <c r="AK125" s="45" t="e">
        <f t="shared" si="49"/>
        <v>#DIV/0!</v>
      </c>
      <c r="AL125" s="45" t="e">
        <f>T$3+K125/ATM_Conf!$C$5</f>
        <v>#DIV/0!</v>
      </c>
      <c r="AM125" s="45" t="e">
        <f>U$3+L125/ATM_Conf!$C$5</f>
        <v>#DIV/0!</v>
      </c>
      <c r="AN125" s="45" t="e">
        <f>V$3+M125/ATM_Conf!$C$5</f>
        <v>#DIV/0!</v>
      </c>
      <c r="AO125" s="45" t="e">
        <f>W$3+N125/ATM_Conf!$C$5</f>
        <v>#DIV/0!</v>
      </c>
      <c r="AP125" s="45" t="e">
        <f>X$3+O125/ATM_Conf!$C$5</f>
        <v>#DIV/0!</v>
      </c>
      <c r="AQ125" s="45" t="e">
        <f>Y$3+P125/ATM_Conf!$C$5</f>
        <v>#DIV/0!</v>
      </c>
      <c r="AR125" s="45" t="e">
        <f>Z$3+Q125/ATM_Conf!$C$5</f>
        <v>#DIV/0!</v>
      </c>
      <c r="AS125" s="45" t="e">
        <f>AA$3+R125/ATM_Conf!$C$5</f>
        <v>#DIV/0!</v>
      </c>
      <c r="AT125" s="45" t="e">
        <f>AB$3+S125/ATM_Conf!$C$5</f>
        <v>#DIV/0!</v>
      </c>
      <c r="AU125" s="45" t="e">
        <f>BD$3*MIN(1,(ATM_Conf!$C$6-Links!F125)/(ATM_Conf!$C$6-ATM_Conf!$C$7))</f>
        <v>#DIV/0!</v>
      </c>
      <c r="AV125" s="45" t="e">
        <f>BE$3*MIN(1,(ATM_Conf!$C$6-Links!G125)/(ATM_Conf!$C$6-ATM_Conf!$C$7))</f>
        <v>#DIV/0!</v>
      </c>
      <c r="AW125" s="45" t="e">
        <f>BF$3*MIN(1,(ATM_Conf!$C$6-Links!H125)/(ATM_Conf!$C$6-ATM_Conf!$C$7))</f>
        <v>#DIV/0!</v>
      </c>
      <c r="AX125" s="45" t="e">
        <f>BG$3*MIN(1,(ATM_Conf!$C$6-Links!I125)/(ATM_Conf!$C$6-ATM_Conf!$C$7))</f>
        <v>#DIV/0!</v>
      </c>
      <c r="AY125" s="45" t="e">
        <f>BH$3*MIN(1,(ATM_Conf!$C$6-Links!J125)/(ATM_Conf!$C$6-ATM_Conf!$C$7))</f>
        <v>#DIV/0!</v>
      </c>
      <c r="AZ125" s="45" t="e">
        <f>BI$3*MIN(1,(ATM_Conf!$C$6-Links!K125)/(ATM_Conf!$C$6-ATM_Conf!$C$7))</f>
        <v>#DIV/0!</v>
      </c>
      <c r="BA125" s="45" t="e">
        <f>BJ$3*MIN(1,(ATM_Conf!$C$6-Links!L125)/(ATM_Conf!$C$6-ATM_Conf!$C$7))</f>
        <v>#DIV/0!</v>
      </c>
      <c r="BB125" s="45" t="e">
        <f>BK$3*MIN(1,(ATM_Conf!$C$6-Links!M125)/(ATM_Conf!$C$6-ATM_Conf!$C$7))</f>
        <v>#DIV/0!</v>
      </c>
      <c r="BC125" s="45" t="e">
        <f>BL$3*MIN(1,(ATM_Conf!$C$6-Links!N125)/(ATM_Conf!$C$6-ATM_Conf!$C$7))</f>
        <v>#DIV/0!</v>
      </c>
      <c r="BD125" s="45"/>
      <c r="BE125" s="45"/>
      <c r="BF125" s="45"/>
      <c r="BG125" s="45"/>
      <c r="BH125" s="45"/>
      <c r="BI125" s="45"/>
      <c r="BJ125" s="45"/>
      <c r="BK125" s="45"/>
      <c r="BL125" s="45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 t="e">
        <f t="shared" si="50"/>
        <v>#DIV/0!</v>
      </c>
      <c r="BW125" s="53" t="e">
        <f t="shared" si="51"/>
        <v>#DIV/0!</v>
      </c>
      <c r="BX125" s="53" t="e">
        <f t="shared" si="52"/>
        <v>#DIV/0!</v>
      </c>
      <c r="BY125" s="53" t="e">
        <f t="shared" si="53"/>
        <v>#DIV/0!</v>
      </c>
      <c r="BZ125" s="53" t="e">
        <f t="shared" si="54"/>
        <v>#DIV/0!</v>
      </c>
      <c r="CA125" s="53" t="e">
        <f t="shared" si="55"/>
        <v>#DIV/0!</v>
      </c>
      <c r="CB125" s="53" t="e">
        <f t="shared" si="56"/>
        <v>#DIV/0!</v>
      </c>
      <c r="CC125" s="53" t="e">
        <f t="shared" si="57"/>
        <v>#DIV/0!</v>
      </c>
      <c r="CD125" s="53" t="e">
        <f t="shared" si="58"/>
        <v>#DIV/0!</v>
      </c>
      <c r="CE125" s="55">
        <f t="shared" si="40"/>
        <v>0</v>
      </c>
      <c r="CF125" s="55">
        <f t="shared" si="65"/>
        <v>0</v>
      </c>
      <c r="CG125" s="55">
        <f t="shared" si="65"/>
        <v>0</v>
      </c>
      <c r="CH125" s="55">
        <f t="shared" si="65"/>
        <v>0</v>
      </c>
      <c r="CI125" s="55">
        <f t="shared" si="65"/>
        <v>0</v>
      </c>
      <c r="CJ125" s="55">
        <f t="shared" si="65"/>
        <v>0</v>
      </c>
      <c r="CK125" s="55">
        <f t="shared" si="65"/>
        <v>0</v>
      </c>
      <c r="CL125" s="55">
        <f t="shared" si="65"/>
        <v>0</v>
      </c>
      <c r="CM125" s="55">
        <f t="shared" si="65"/>
        <v>0</v>
      </c>
    </row>
    <row r="126" spans="1:91" x14ac:dyDescent="0.15">
      <c r="A126" s="42">
        <v>124</v>
      </c>
      <c r="B126" s="45">
        <f t="shared" si="74"/>
        <v>1</v>
      </c>
      <c r="C126" s="45">
        <f t="shared" si="73"/>
        <v>1</v>
      </c>
      <c r="D126" s="45">
        <f t="shared" si="73"/>
        <v>1</v>
      </c>
      <c r="E126" s="45">
        <f t="shared" si="73"/>
        <v>1</v>
      </c>
      <c r="F126" s="45">
        <f t="shared" si="73"/>
        <v>1</v>
      </c>
      <c r="G126" s="45">
        <f t="shared" si="73"/>
        <v>1</v>
      </c>
      <c r="H126" s="45">
        <f t="shared" si="73"/>
        <v>1</v>
      </c>
      <c r="I126" s="45">
        <f t="shared" si="73"/>
        <v>1</v>
      </c>
      <c r="J126" s="45">
        <f t="shared" si="73"/>
        <v>1</v>
      </c>
      <c r="K126" s="45" t="e">
        <f>K125+ATM_Conf!$C$5*(T125-AC125)</f>
        <v>#DIV/0!</v>
      </c>
      <c r="L126" s="45" t="e">
        <f>L125+ATM_Conf!$C$5*(U125-AD125)</f>
        <v>#DIV/0!</v>
      </c>
      <c r="M126" s="45" t="e">
        <f>M125+ATM_Conf!$C$5*(V125-AE125)</f>
        <v>#DIV/0!</v>
      </c>
      <c r="N126" s="45" t="e">
        <f>N125+ATM_Conf!$C$5*(W125-AF125)</f>
        <v>#DIV/0!</v>
      </c>
      <c r="O126" s="45" t="e">
        <f>O125+ATM_Conf!$C$5*(X125-AG125)</f>
        <v>#DIV/0!</v>
      </c>
      <c r="P126" s="45" t="e">
        <f>P125+ATM_Conf!$C$5*(Y125-AH125)</f>
        <v>#DIV/0!</v>
      </c>
      <c r="Q126" s="45" t="e">
        <f>Q125+ATM_Conf!$C$5*(Z125-AI125)</f>
        <v>#DIV/0!</v>
      </c>
      <c r="R126" s="45" t="e">
        <f>R125+ATM_Conf!$C$5*(AA125-AJ125)</f>
        <v>#DIV/0!</v>
      </c>
      <c r="S126" s="45" t="e">
        <f>S125+ATM_Conf!$C$5*(AB125-AK125)</f>
        <v>#DIV/0!</v>
      </c>
      <c r="T126" s="45"/>
      <c r="U126" s="45"/>
      <c r="V126" s="45"/>
      <c r="W126" s="45"/>
      <c r="X126" s="45"/>
      <c r="Y126" s="45"/>
      <c r="Z126" s="45"/>
      <c r="AA126" s="45"/>
      <c r="AB126" s="45"/>
      <c r="AC126" s="45" t="e">
        <f t="shared" si="41"/>
        <v>#DIV/0!</v>
      </c>
      <c r="AD126" s="45" t="e">
        <f t="shared" si="42"/>
        <v>#DIV/0!</v>
      </c>
      <c r="AE126" s="45" t="e">
        <f t="shared" si="43"/>
        <v>#DIV/0!</v>
      </c>
      <c r="AF126" s="45" t="e">
        <f t="shared" si="44"/>
        <v>#DIV/0!</v>
      </c>
      <c r="AG126" s="45" t="e">
        <f t="shared" si="45"/>
        <v>#DIV/0!</v>
      </c>
      <c r="AH126" s="45" t="e">
        <f t="shared" si="46"/>
        <v>#DIV/0!</v>
      </c>
      <c r="AI126" s="45" t="e">
        <f t="shared" si="47"/>
        <v>#DIV/0!</v>
      </c>
      <c r="AJ126" s="45" t="e">
        <f t="shared" si="48"/>
        <v>#DIV/0!</v>
      </c>
      <c r="AK126" s="45" t="e">
        <f t="shared" si="49"/>
        <v>#DIV/0!</v>
      </c>
      <c r="AL126" s="45" t="e">
        <f>T$3+K126/ATM_Conf!$C$5</f>
        <v>#DIV/0!</v>
      </c>
      <c r="AM126" s="45" t="e">
        <f>U$3+L126/ATM_Conf!$C$5</f>
        <v>#DIV/0!</v>
      </c>
      <c r="AN126" s="45" t="e">
        <f>V$3+M126/ATM_Conf!$C$5</f>
        <v>#DIV/0!</v>
      </c>
      <c r="AO126" s="45" t="e">
        <f>W$3+N126/ATM_Conf!$C$5</f>
        <v>#DIV/0!</v>
      </c>
      <c r="AP126" s="45" t="e">
        <f>X$3+O126/ATM_Conf!$C$5</f>
        <v>#DIV/0!</v>
      </c>
      <c r="AQ126" s="45" t="e">
        <f>Y$3+P126/ATM_Conf!$C$5</f>
        <v>#DIV/0!</v>
      </c>
      <c r="AR126" s="45" t="e">
        <f>Z$3+Q126/ATM_Conf!$C$5</f>
        <v>#DIV/0!</v>
      </c>
      <c r="AS126" s="45" t="e">
        <f>AA$3+R126/ATM_Conf!$C$5</f>
        <v>#DIV/0!</v>
      </c>
      <c r="AT126" s="45" t="e">
        <f>AB$3+S126/ATM_Conf!$C$5</f>
        <v>#DIV/0!</v>
      </c>
      <c r="AU126" s="45" t="e">
        <f>BD$3*MIN(1,(ATM_Conf!$C$6-Links!F126)/(ATM_Conf!$C$6-ATM_Conf!$C$7))</f>
        <v>#DIV/0!</v>
      </c>
      <c r="AV126" s="45" t="e">
        <f>BE$3*MIN(1,(ATM_Conf!$C$6-Links!G126)/(ATM_Conf!$C$6-ATM_Conf!$C$7))</f>
        <v>#DIV/0!</v>
      </c>
      <c r="AW126" s="45" t="e">
        <f>BF$3*MIN(1,(ATM_Conf!$C$6-Links!H126)/(ATM_Conf!$C$6-ATM_Conf!$C$7))</f>
        <v>#DIV/0!</v>
      </c>
      <c r="AX126" s="45" t="e">
        <f>BG$3*MIN(1,(ATM_Conf!$C$6-Links!I126)/(ATM_Conf!$C$6-ATM_Conf!$C$7))</f>
        <v>#DIV/0!</v>
      </c>
      <c r="AY126" s="45" t="e">
        <f>BH$3*MIN(1,(ATM_Conf!$C$6-Links!J126)/(ATM_Conf!$C$6-ATM_Conf!$C$7))</f>
        <v>#DIV/0!</v>
      </c>
      <c r="AZ126" s="45" t="e">
        <f>BI$3*MIN(1,(ATM_Conf!$C$6-Links!K126)/(ATM_Conf!$C$6-ATM_Conf!$C$7))</f>
        <v>#DIV/0!</v>
      </c>
      <c r="BA126" s="45" t="e">
        <f>BJ$3*MIN(1,(ATM_Conf!$C$6-Links!L126)/(ATM_Conf!$C$6-ATM_Conf!$C$7))</f>
        <v>#DIV/0!</v>
      </c>
      <c r="BB126" s="45" t="e">
        <f>BK$3*MIN(1,(ATM_Conf!$C$6-Links!M126)/(ATM_Conf!$C$6-ATM_Conf!$C$7))</f>
        <v>#DIV/0!</v>
      </c>
      <c r="BC126" s="45" t="e">
        <f>BL$3*MIN(1,(ATM_Conf!$C$6-Links!N126)/(ATM_Conf!$C$6-ATM_Conf!$C$7))</f>
        <v>#DIV/0!</v>
      </c>
      <c r="BD126" s="45"/>
      <c r="BE126" s="45"/>
      <c r="BF126" s="45"/>
      <c r="BG126" s="45"/>
      <c r="BH126" s="45"/>
      <c r="BI126" s="45"/>
      <c r="BJ126" s="45"/>
      <c r="BK126" s="45"/>
      <c r="BL126" s="45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 t="e">
        <f t="shared" si="50"/>
        <v>#DIV/0!</v>
      </c>
      <c r="BW126" s="53" t="e">
        <f t="shared" si="51"/>
        <v>#DIV/0!</v>
      </c>
      <c r="BX126" s="53" t="e">
        <f t="shared" si="52"/>
        <v>#DIV/0!</v>
      </c>
      <c r="BY126" s="53" t="e">
        <f t="shared" si="53"/>
        <v>#DIV/0!</v>
      </c>
      <c r="BZ126" s="53" t="e">
        <f t="shared" si="54"/>
        <v>#DIV/0!</v>
      </c>
      <c r="CA126" s="53" t="e">
        <f t="shared" si="55"/>
        <v>#DIV/0!</v>
      </c>
      <c r="CB126" s="53" t="e">
        <f t="shared" si="56"/>
        <v>#DIV/0!</v>
      </c>
      <c r="CC126" s="53" t="e">
        <f t="shared" si="57"/>
        <v>#DIV/0!</v>
      </c>
      <c r="CD126" s="53" t="e">
        <f t="shared" si="58"/>
        <v>#DIV/0!</v>
      </c>
      <c r="CE126" s="55">
        <f t="shared" si="40"/>
        <v>0</v>
      </c>
      <c r="CF126" s="55">
        <f t="shared" si="65"/>
        <v>0</v>
      </c>
      <c r="CG126" s="55">
        <f t="shared" si="65"/>
        <v>0</v>
      </c>
      <c r="CH126" s="55">
        <f t="shared" si="65"/>
        <v>0</v>
      </c>
      <c r="CI126" s="55">
        <f t="shared" si="65"/>
        <v>0</v>
      </c>
      <c r="CJ126" s="55">
        <f t="shared" si="65"/>
        <v>0</v>
      </c>
      <c r="CK126" s="55">
        <f t="shared" si="65"/>
        <v>0</v>
      </c>
      <c r="CL126" s="55">
        <f t="shared" si="65"/>
        <v>0</v>
      </c>
      <c r="CM126" s="55">
        <f t="shared" si="65"/>
        <v>0</v>
      </c>
    </row>
    <row r="127" spans="1:91" x14ac:dyDescent="0.15">
      <c r="A127" s="42">
        <v>125</v>
      </c>
      <c r="B127" s="45">
        <f t="shared" si="74"/>
        <v>1</v>
      </c>
      <c r="C127" s="45">
        <f t="shared" si="73"/>
        <v>1</v>
      </c>
      <c r="D127" s="45">
        <f t="shared" si="73"/>
        <v>1</v>
      </c>
      <c r="E127" s="45">
        <f t="shared" si="73"/>
        <v>1</v>
      </c>
      <c r="F127" s="45">
        <f t="shared" si="73"/>
        <v>1</v>
      </c>
      <c r="G127" s="45">
        <f t="shared" si="73"/>
        <v>1</v>
      </c>
      <c r="H127" s="45">
        <f t="shared" si="73"/>
        <v>1</v>
      </c>
      <c r="I127" s="45">
        <f t="shared" si="73"/>
        <v>1</v>
      </c>
      <c r="J127" s="45">
        <f t="shared" si="73"/>
        <v>1</v>
      </c>
      <c r="K127" s="45" t="e">
        <f>K126+ATM_Conf!$C$5*(T126-AC126)</f>
        <v>#DIV/0!</v>
      </c>
      <c r="L127" s="45" t="e">
        <f>L126+ATM_Conf!$C$5*(U126-AD126)</f>
        <v>#DIV/0!</v>
      </c>
      <c r="M127" s="45" t="e">
        <f>M126+ATM_Conf!$C$5*(V126-AE126)</f>
        <v>#DIV/0!</v>
      </c>
      <c r="N127" s="45" t="e">
        <f>N126+ATM_Conf!$C$5*(W126-AF126)</f>
        <v>#DIV/0!</v>
      </c>
      <c r="O127" s="45" t="e">
        <f>O126+ATM_Conf!$C$5*(X126-AG126)</f>
        <v>#DIV/0!</v>
      </c>
      <c r="P127" s="45" t="e">
        <f>P126+ATM_Conf!$C$5*(Y126-AH126)</f>
        <v>#DIV/0!</v>
      </c>
      <c r="Q127" s="45" t="e">
        <f>Q126+ATM_Conf!$C$5*(Z126-AI126)</f>
        <v>#DIV/0!</v>
      </c>
      <c r="R127" s="45" t="e">
        <f>R126+ATM_Conf!$C$5*(AA126-AJ126)</f>
        <v>#DIV/0!</v>
      </c>
      <c r="S127" s="45" t="e">
        <f>S126+ATM_Conf!$C$5*(AB126-AK126)</f>
        <v>#DIV/0!</v>
      </c>
      <c r="T127" s="45"/>
      <c r="U127" s="45"/>
      <c r="V127" s="45"/>
      <c r="W127" s="45"/>
      <c r="X127" s="45"/>
      <c r="Y127" s="45"/>
      <c r="Z127" s="45"/>
      <c r="AA127" s="45"/>
      <c r="AB127" s="45"/>
      <c r="AC127" s="45" t="e">
        <f t="shared" si="41"/>
        <v>#DIV/0!</v>
      </c>
      <c r="AD127" s="45" t="e">
        <f t="shared" si="42"/>
        <v>#DIV/0!</v>
      </c>
      <c r="AE127" s="45" t="e">
        <f t="shared" si="43"/>
        <v>#DIV/0!</v>
      </c>
      <c r="AF127" s="45" t="e">
        <f t="shared" si="44"/>
        <v>#DIV/0!</v>
      </c>
      <c r="AG127" s="45" t="e">
        <f t="shared" si="45"/>
        <v>#DIV/0!</v>
      </c>
      <c r="AH127" s="45" t="e">
        <f t="shared" si="46"/>
        <v>#DIV/0!</v>
      </c>
      <c r="AI127" s="45" t="e">
        <f t="shared" si="47"/>
        <v>#DIV/0!</v>
      </c>
      <c r="AJ127" s="45" t="e">
        <f t="shared" si="48"/>
        <v>#DIV/0!</v>
      </c>
      <c r="AK127" s="45" t="e">
        <f t="shared" si="49"/>
        <v>#DIV/0!</v>
      </c>
      <c r="AL127" s="45" t="e">
        <f>T$3+K127/ATM_Conf!$C$5</f>
        <v>#DIV/0!</v>
      </c>
      <c r="AM127" s="45" t="e">
        <f>U$3+L127/ATM_Conf!$C$5</f>
        <v>#DIV/0!</v>
      </c>
      <c r="AN127" s="45" t="e">
        <f>V$3+M127/ATM_Conf!$C$5</f>
        <v>#DIV/0!</v>
      </c>
      <c r="AO127" s="45" t="e">
        <f>W$3+N127/ATM_Conf!$C$5</f>
        <v>#DIV/0!</v>
      </c>
      <c r="AP127" s="45" t="e">
        <f>X$3+O127/ATM_Conf!$C$5</f>
        <v>#DIV/0!</v>
      </c>
      <c r="AQ127" s="45" t="e">
        <f>Y$3+P127/ATM_Conf!$C$5</f>
        <v>#DIV/0!</v>
      </c>
      <c r="AR127" s="45" t="e">
        <f>Z$3+Q127/ATM_Conf!$C$5</f>
        <v>#DIV/0!</v>
      </c>
      <c r="AS127" s="45" t="e">
        <f>AA$3+R127/ATM_Conf!$C$5</f>
        <v>#DIV/0!</v>
      </c>
      <c r="AT127" s="45" t="e">
        <f>AB$3+S127/ATM_Conf!$C$5</f>
        <v>#DIV/0!</v>
      </c>
      <c r="AU127" s="45" t="e">
        <f>BD$3*MIN(1,(ATM_Conf!$C$6-Links!F127)/(ATM_Conf!$C$6-ATM_Conf!$C$7))</f>
        <v>#DIV/0!</v>
      </c>
      <c r="AV127" s="45" t="e">
        <f>BE$3*MIN(1,(ATM_Conf!$C$6-Links!G127)/(ATM_Conf!$C$6-ATM_Conf!$C$7))</f>
        <v>#DIV/0!</v>
      </c>
      <c r="AW127" s="45" t="e">
        <f>BF$3*MIN(1,(ATM_Conf!$C$6-Links!H127)/(ATM_Conf!$C$6-ATM_Conf!$C$7))</f>
        <v>#DIV/0!</v>
      </c>
      <c r="AX127" s="45" t="e">
        <f>BG$3*MIN(1,(ATM_Conf!$C$6-Links!I127)/(ATM_Conf!$C$6-ATM_Conf!$C$7))</f>
        <v>#DIV/0!</v>
      </c>
      <c r="AY127" s="45" t="e">
        <f>BH$3*MIN(1,(ATM_Conf!$C$6-Links!J127)/(ATM_Conf!$C$6-ATM_Conf!$C$7))</f>
        <v>#DIV/0!</v>
      </c>
      <c r="AZ127" s="45" t="e">
        <f>BI$3*MIN(1,(ATM_Conf!$C$6-Links!K127)/(ATM_Conf!$C$6-ATM_Conf!$C$7))</f>
        <v>#DIV/0!</v>
      </c>
      <c r="BA127" s="45" t="e">
        <f>BJ$3*MIN(1,(ATM_Conf!$C$6-Links!L127)/(ATM_Conf!$C$6-ATM_Conf!$C$7))</f>
        <v>#DIV/0!</v>
      </c>
      <c r="BB127" s="45" t="e">
        <f>BK$3*MIN(1,(ATM_Conf!$C$6-Links!M127)/(ATM_Conf!$C$6-ATM_Conf!$C$7))</f>
        <v>#DIV/0!</v>
      </c>
      <c r="BC127" s="45" t="e">
        <f>BL$3*MIN(1,(ATM_Conf!$C$6-Links!N127)/(ATM_Conf!$C$6-ATM_Conf!$C$7))</f>
        <v>#DIV/0!</v>
      </c>
      <c r="BD127" s="45"/>
      <c r="BE127" s="45"/>
      <c r="BF127" s="45"/>
      <c r="BG127" s="45"/>
      <c r="BH127" s="45"/>
      <c r="BI127" s="45"/>
      <c r="BJ127" s="45"/>
      <c r="BK127" s="45"/>
      <c r="BL127" s="45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 t="e">
        <f t="shared" si="50"/>
        <v>#DIV/0!</v>
      </c>
      <c r="BW127" s="53" t="e">
        <f t="shared" si="51"/>
        <v>#DIV/0!</v>
      </c>
      <c r="BX127" s="53" t="e">
        <f t="shared" si="52"/>
        <v>#DIV/0!</v>
      </c>
      <c r="BY127" s="53" t="e">
        <f t="shared" si="53"/>
        <v>#DIV/0!</v>
      </c>
      <c r="BZ127" s="53" t="e">
        <f t="shared" si="54"/>
        <v>#DIV/0!</v>
      </c>
      <c r="CA127" s="53" t="e">
        <f t="shared" si="55"/>
        <v>#DIV/0!</v>
      </c>
      <c r="CB127" s="53" t="e">
        <f t="shared" si="56"/>
        <v>#DIV/0!</v>
      </c>
      <c r="CC127" s="53" t="e">
        <f t="shared" si="57"/>
        <v>#DIV/0!</v>
      </c>
      <c r="CD127" s="53" t="e">
        <f t="shared" si="58"/>
        <v>#DIV/0!</v>
      </c>
      <c r="CE127" s="55">
        <f t="shared" si="40"/>
        <v>0</v>
      </c>
      <c r="CF127" s="55">
        <f t="shared" si="65"/>
        <v>0</v>
      </c>
      <c r="CG127" s="55">
        <f t="shared" si="65"/>
        <v>0</v>
      </c>
      <c r="CH127" s="55">
        <f t="shared" si="65"/>
        <v>0</v>
      </c>
      <c r="CI127" s="55">
        <f t="shared" si="65"/>
        <v>0</v>
      </c>
      <c r="CJ127" s="55">
        <f t="shared" si="65"/>
        <v>0</v>
      </c>
      <c r="CK127" s="55">
        <f t="shared" si="65"/>
        <v>0</v>
      </c>
      <c r="CL127" s="55">
        <f t="shared" si="65"/>
        <v>0</v>
      </c>
      <c r="CM127" s="55">
        <f t="shared" si="65"/>
        <v>0</v>
      </c>
    </row>
    <row r="128" spans="1:91" x14ac:dyDescent="0.15">
      <c r="A128" s="42">
        <v>126</v>
      </c>
      <c r="B128" s="45">
        <f t="shared" si="74"/>
        <v>1</v>
      </c>
      <c r="C128" s="45">
        <f t="shared" si="73"/>
        <v>1</v>
      </c>
      <c r="D128" s="45">
        <f t="shared" si="73"/>
        <v>1</v>
      </c>
      <c r="E128" s="45">
        <f t="shared" si="73"/>
        <v>1</v>
      </c>
      <c r="F128" s="45">
        <f t="shared" si="73"/>
        <v>1</v>
      </c>
      <c r="G128" s="45">
        <f t="shared" si="73"/>
        <v>1</v>
      </c>
      <c r="H128" s="45">
        <f t="shared" si="73"/>
        <v>1</v>
      </c>
      <c r="I128" s="45">
        <f t="shared" si="73"/>
        <v>1</v>
      </c>
      <c r="J128" s="45">
        <f t="shared" si="73"/>
        <v>1</v>
      </c>
      <c r="K128" s="45" t="e">
        <f>K127+ATM_Conf!$C$5*(T127-AC127)</f>
        <v>#DIV/0!</v>
      </c>
      <c r="L128" s="45" t="e">
        <f>L127+ATM_Conf!$C$5*(U127-AD127)</f>
        <v>#DIV/0!</v>
      </c>
      <c r="M128" s="45" t="e">
        <f>M127+ATM_Conf!$C$5*(V127-AE127)</f>
        <v>#DIV/0!</v>
      </c>
      <c r="N128" s="45" t="e">
        <f>N127+ATM_Conf!$C$5*(W127-AF127)</f>
        <v>#DIV/0!</v>
      </c>
      <c r="O128" s="45" t="e">
        <f>O127+ATM_Conf!$C$5*(X127-AG127)</f>
        <v>#DIV/0!</v>
      </c>
      <c r="P128" s="45" t="e">
        <f>P127+ATM_Conf!$C$5*(Y127-AH127)</f>
        <v>#DIV/0!</v>
      </c>
      <c r="Q128" s="45" t="e">
        <f>Q127+ATM_Conf!$C$5*(Z127-AI127)</f>
        <v>#DIV/0!</v>
      </c>
      <c r="R128" s="45" t="e">
        <f>R127+ATM_Conf!$C$5*(AA127-AJ127)</f>
        <v>#DIV/0!</v>
      </c>
      <c r="S128" s="45" t="e">
        <f>S127+ATM_Conf!$C$5*(AB127-AK127)</f>
        <v>#DIV/0!</v>
      </c>
      <c r="T128" s="45"/>
      <c r="U128" s="45"/>
      <c r="V128" s="45"/>
      <c r="W128" s="45"/>
      <c r="X128" s="45"/>
      <c r="Y128" s="45"/>
      <c r="Z128" s="45"/>
      <c r="AA128" s="45"/>
      <c r="AB128" s="45"/>
      <c r="AC128" s="45" t="e">
        <f t="shared" si="41"/>
        <v>#DIV/0!</v>
      </c>
      <c r="AD128" s="45" t="e">
        <f t="shared" si="42"/>
        <v>#DIV/0!</v>
      </c>
      <c r="AE128" s="45" t="e">
        <f t="shared" si="43"/>
        <v>#DIV/0!</v>
      </c>
      <c r="AF128" s="45" t="e">
        <f t="shared" si="44"/>
        <v>#DIV/0!</v>
      </c>
      <c r="AG128" s="45" t="e">
        <f t="shared" si="45"/>
        <v>#DIV/0!</v>
      </c>
      <c r="AH128" s="45" t="e">
        <f t="shared" si="46"/>
        <v>#DIV/0!</v>
      </c>
      <c r="AI128" s="45" t="e">
        <f t="shared" si="47"/>
        <v>#DIV/0!</v>
      </c>
      <c r="AJ128" s="45" t="e">
        <f t="shared" si="48"/>
        <v>#DIV/0!</v>
      </c>
      <c r="AK128" s="45" t="e">
        <f t="shared" si="49"/>
        <v>#DIV/0!</v>
      </c>
      <c r="AL128" s="45" t="e">
        <f>T$3+K128/ATM_Conf!$C$5</f>
        <v>#DIV/0!</v>
      </c>
      <c r="AM128" s="45" t="e">
        <f>U$3+L128/ATM_Conf!$C$5</f>
        <v>#DIV/0!</v>
      </c>
      <c r="AN128" s="45" t="e">
        <f>V$3+M128/ATM_Conf!$C$5</f>
        <v>#DIV/0!</v>
      </c>
      <c r="AO128" s="45" t="e">
        <f>W$3+N128/ATM_Conf!$C$5</f>
        <v>#DIV/0!</v>
      </c>
      <c r="AP128" s="45" t="e">
        <f>X$3+O128/ATM_Conf!$C$5</f>
        <v>#DIV/0!</v>
      </c>
      <c r="AQ128" s="45" t="e">
        <f>Y$3+P128/ATM_Conf!$C$5</f>
        <v>#DIV/0!</v>
      </c>
      <c r="AR128" s="45" t="e">
        <f>Z$3+Q128/ATM_Conf!$C$5</f>
        <v>#DIV/0!</v>
      </c>
      <c r="AS128" s="45" t="e">
        <f>AA$3+R128/ATM_Conf!$C$5</f>
        <v>#DIV/0!</v>
      </c>
      <c r="AT128" s="45" t="e">
        <f>AB$3+S128/ATM_Conf!$C$5</f>
        <v>#DIV/0!</v>
      </c>
      <c r="AU128" s="45" t="e">
        <f>BD$3*MIN(1,(ATM_Conf!$C$6-Links!F128)/(ATM_Conf!$C$6-ATM_Conf!$C$7))</f>
        <v>#DIV/0!</v>
      </c>
      <c r="AV128" s="45" t="e">
        <f>BE$3*MIN(1,(ATM_Conf!$C$6-Links!G128)/(ATM_Conf!$C$6-ATM_Conf!$C$7))</f>
        <v>#DIV/0!</v>
      </c>
      <c r="AW128" s="45" t="e">
        <f>BF$3*MIN(1,(ATM_Conf!$C$6-Links!H128)/(ATM_Conf!$C$6-ATM_Conf!$C$7))</f>
        <v>#DIV/0!</v>
      </c>
      <c r="AX128" s="45" t="e">
        <f>BG$3*MIN(1,(ATM_Conf!$C$6-Links!I128)/(ATM_Conf!$C$6-ATM_Conf!$C$7))</f>
        <v>#DIV/0!</v>
      </c>
      <c r="AY128" s="45" t="e">
        <f>BH$3*MIN(1,(ATM_Conf!$C$6-Links!J128)/(ATM_Conf!$C$6-ATM_Conf!$C$7))</f>
        <v>#DIV/0!</v>
      </c>
      <c r="AZ128" s="45" t="e">
        <f>BI$3*MIN(1,(ATM_Conf!$C$6-Links!K128)/(ATM_Conf!$C$6-ATM_Conf!$C$7))</f>
        <v>#DIV/0!</v>
      </c>
      <c r="BA128" s="45" t="e">
        <f>BJ$3*MIN(1,(ATM_Conf!$C$6-Links!L128)/(ATM_Conf!$C$6-ATM_Conf!$C$7))</f>
        <v>#DIV/0!</v>
      </c>
      <c r="BB128" s="45" t="e">
        <f>BK$3*MIN(1,(ATM_Conf!$C$6-Links!M128)/(ATM_Conf!$C$6-ATM_Conf!$C$7))</f>
        <v>#DIV/0!</v>
      </c>
      <c r="BC128" s="45" t="e">
        <f>BL$3*MIN(1,(ATM_Conf!$C$6-Links!N128)/(ATM_Conf!$C$6-ATM_Conf!$C$7))</f>
        <v>#DIV/0!</v>
      </c>
      <c r="BD128" s="45"/>
      <c r="BE128" s="45"/>
      <c r="BF128" s="45"/>
      <c r="BG128" s="45"/>
      <c r="BH128" s="45"/>
      <c r="BI128" s="45"/>
      <c r="BJ128" s="45"/>
      <c r="BK128" s="45"/>
      <c r="BL128" s="45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 t="e">
        <f t="shared" si="50"/>
        <v>#DIV/0!</v>
      </c>
      <c r="BW128" s="53" t="e">
        <f t="shared" si="51"/>
        <v>#DIV/0!</v>
      </c>
      <c r="BX128" s="53" t="e">
        <f t="shared" si="52"/>
        <v>#DIV/0!</v>
      </c>
      <c r="BY128" s="53" t="e">
        <f t="shared" si="53"/>
        <v>#DIV/0!</v>
      </c>
      <c r="BZ128" s="53" t="e">
        <f t="shared" si="54"/>
        <v>#DIV/0!</v>
      </c>
      <c r="CA128" s="53" t="e">
        <f t="shared" si="55"/>
        <v>#DIV/0!</v>
      </c>
      <c r="CB128" s="53" t="e">
        <f t="shared" si="56"/>
        <v>#DIV/0!</v>
      </c>
      <c r="CC128" s="53" t="e">
        <f t="shared" si="57"/>
        <v>#DIV/0!</v>
      </c>
      <c r="CD128" s="53" t="e">
        <f t="shared" si="58"/>
        <v>#DIV/0!</v>
      </c>
      <c r="CE128" s="55">
        <f t="shared" si="40"/>
        <v>0</v>
      </c>
      <c r="CF128" s="55">
        <f t="shared" si="65"/>
        <v>0</v>
      </c>
      <c r="CG128" s="55">
        <f t="shared" si="65"/>
        <v>0</v>
      </c>
      <c r="CH128" s="55">
        <f t="shared" si="65"/>
        <v>0</v>
      </c>
      <c r="CI128" s="55">
        <f t="shared" si="65"/>
        <v>0</v>
      </c>
      <c r="CJ128" s="55">
        <f t="shared" si="65"/>
        <v>0</v>
      </c>
      <c r="CK128" s="55">
        <f t="shared" si="65"/>
        <v>0</v>
      </c>
      <c r="CL128" s="55">
        <f t="shared" si="65"/>
        <v>0</v>
      </c>
      <c r="CM128" s="55">
        <f t="shared" si="65"/>
        <v>0</v>
      </c>
    </row>
    <row r="129" spans="1:91" x14ac:dyDescent="0.15">
      <c r="A129" s="42">
        <v>127</v>
      </c>
      <c r="B129" s="45">
        <f t="shared" si="74"/>
        <v>1</v>
      </c>
      <c r="C129" s="45">
        <f t="shared" si="73"/>
        <v>1</v>
      </c>
      <c r="D129" s="45">
        <f t="shared" si="73"/>
        <v>1</v>
      </c>
      <c r="E129" s="45">
        <f t="shared" si="73"/>
        <v>1</v>
      </c>
      <c r="F129" s="45">
        <f t="shared" si="73"/>
        <v>1</v>
      </c>
      <c r="G129" s="45">
        <f t="shared" si="73"/>
        <v>1</v>
      </c>
      <c r="H129" s="45">
        <f t="shared" si="73"/>
        <v>1</v>
      </c>
      <c r="I129" s="45">
        <f t="shared" si="73"/>
        <v>1</v>
      </c>
      <c r="J129" s="45">
        <f t="shared" si="73"/>
        <v>1</v>
      </c>
      <c r="K129" s="45" t="e">
        <f>K128+ATM_Conf!$C$5*(T128-AC128)</f>
        <v>#DIV/0!</v>
      </c>
      <c r="L129" s="45" t="e">
        <f>L128+ATM_Conf!$C$5*(U128-AD128)</f>
        <v>#DIV/0!</v>
      </c>
      <c r="M129" s="45" t="e">
        <f>M128+ATM_Conf!$C$5*(V128-AE128)</f>
        <v>#DIV/0!</v>
      </c>
      <c r="N129" s="45" t="e">
        <f>N128+ATM_Conf!$C$5*(W128-AF128)</f>
        <v>#DIV/0!</v>
      </c>
      <c r="O129" s="45" t="e">
        <f>O128+ATM_Conf!$C$5*(X128-AG128)</f>
        <v>#DIV/0!</v>
      </c>
      <c r="P129" s="45" t="e">
        <f>P128+ATM_Conf!$C$5*(Y128-AH128)</f>
        <v>#DIV/0!</v>
      </c>
      <c r="Q129" s="45" t="e">
        <f>Q128+ATM_Conf!$C$5*(Z128-AI128)</f>
        <v>#DIV/0!</v>
      </c>
      <c r="R129" s="45" t="e">
        <f>R128+ATM_Conf!$C$5*(AA128-AJ128)</f>
        <v>#DIV/0!</v>
      </c>
      <c r="S129" s="45" t="e">
        <f>S128+ATM_Conf!$C$5*(AB128-AK128)</f>
        <v>#DIV/0!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 t="e">
        <f t="shared" si="41"/>
        <v>#DIV/0!</v>
      </c>
      <c r="AD129" s="45" t="e">
        <f t="shared" si="42"/>
        <v>#DIV/0!</v>
      </c>
      <c r="AE129" s="45" t="e">
        <f t="shared" si="43"/>
        <v>#DIV/0!</v>
      </c>
      <c r="AF129" s="45" t="e">
        <f t="shared" si="44"/>
        <v>#DIV/0!</v>
      </c>
      <c r="AG129" s="45" t="e">
        <f t="shared" si="45"/>
        <v>#DIV/0!</v>
      </c>
      <c r="AH129" s="45" t="e">
        <f t="shared" si="46"/>
        <v>#DIV/0!</v>
      </c>
      <c r="AI129" s="45" t="e">
        <f t="shared" si="47"/>
        <v>#DIV/0!</v>
      </c>
      <c r="AJ129" s="45" t="e">
        <f t="shared" si="48"/>
        <v>#DIV/0!</v>
      </c>
      <c r="AK129" s="45" t="e">
        <f t="shared" si="49"/>
        <v>#DIV/0!</v>
      </c>
      <c r="AL129" s="45" t="e">
        <f>T$3+K129/ATM_Conf!$C$5</f>
        <v>#DIV/0!</v>
      </c>
      <c r="AM129" s="45" t="e">
        <f>U$3+L129/ATM_Conf!$C$5</f>
        <v>#DIV/0!</v>
      </c>
      <c r="AN129" s="45" t="e">
        <f>V$3+M129/ATM_Conf!$C$5</f>
        <v>#DIV/0!</v>
      </c>
      <c r="AO129" s="45" t="e">
        <f>W$3+N129/ATM_Conf!$C$5</f>
        <v>#DIV/0!</v>
      </c>
      <c r="AP129" s="45" t="e">
        <f>X$3+O129/ATM_Conf!$C$5</f>
        <v>#DIV/0!</v>
      </c>
      <c r="AQ129" s="45" t="e">
        <f>Y$3+P129/ATM_Conf!$C$5</f>
        <v>#DIV/0!</v>
      </c>
      <c r="AR129" s="45" t="e">
        <f>Z$3+Q129/ATM_Conf!$C$5</f>
        <v>#DIV/0!</v>
      </c>
      <c r="AS129" s="45" t="e">
        <f>AA$3+R129/ATM_Conf!$C$5</f>
        <v>#DIV/0!</v>
      </c>
      <c r="AT129" s="45" t="e">
        <f>AB$3+S129/ATM_Conf!$C$5</f>
        <v>#DIV/0!</v>
      </c>
      <c r="AU129" s="45" t="e">
        <f>BD$3*MIN(1,(ATM_Conf!$C$6-Links!F129)/(ATM_Conf!$C$6-ATM_Conf!$C$7))</f>
        <v>#DIV/0!</v>
      </c>
      <c r="AV129" s="45" t="e">
        <f>BE$3*MIN(1,(ATM_Conf!$C$6-Links!G129)/(ATM_Conf!$C$6-ATM_Conf!$C$7))</f>
        <v>#DIV/0!</v>
      </c>
      <c r="AW129" s="45" t="e">
        <f>BF$3*MIN(1,(ATM_Conf!$C$6-Links!H129)/(ATM_Conf!$C$6-ATM_Conf!$C$7))</f>
        <v>#DIV/0!</v>
      </c>
      <c r="AX129" s="45" t="e">
        <f>BG$3*MIN(1,(ATM_Conf!$C$6-Links!I129)/(ATM_Conf!$C$6-ATM_Conf!$C$7))</f>
        <v>#DIV/0!</v>
      </c>
      <c r="AY129" s="45" t="e">
        <f>BH$3*MIN(1,(ATM_Conf!$C$6-Links!J129)/(ATM_Conf!$C$6-ATM_Conf!$C$7))</f>
        <v>#DIV/0!</v>
      </c>
      <c r="AZ129" s="45" t="e">
        <f>BI$3*MIN(1,(ATM_Conf!$C$6-Links!K129)/(ATM_Conf!$C$6-ATM_Conf!$C$7))</f>
        <v>#DIV/0!</v>
      </c>
      <c r="BA129" s="45" t="e">
        <f>BJ$3*MIN(1,(ATM_Conf!$C$6-Links!L129)/(ATM_Conf!$C$6-ATM_Conf!$C$7))</f>
        <v>#DIV/0!</v>
      </c>
      <c r="BB129" s="45" t="e">
        <f>BK$3*MIN(1,(ATM_Conf!$C$6-Links!M129)/(ATM_Conf!$C$6-ATM_Conf!$C$7))</f>
        <v>#DIV/0!</v>
      </c>
      <c r="BC129" s="45" t="e">
        <f>BL$3*MIN(1,(ATM_Conf!$C$6-Links!N129)/(ATM_Conf!$C$6-ATM_Conf!$C$7))</f>
        <v>#DIV/0!</v>
      </c>
      <c r="BD129" s="45"/>
      <c r="BE129" s="45"/>
      <c r="BF129" s="45"/>
      <c r="BG129" s="45"/>
      <c r="BH129" s="45"/>
      <c r="BI129" s="45"/>
      <c r="BJ129" s="45"/>
      <c r="BK129" s="45"/>
      <c r="BL129" s="45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 t="e">
        <f t="shared" si="50"/>
        <v>#DIV/0!</v>
      </c>
      <c r="BW129" s="53" t="e">
        <f t="shared" si="51"/>
        <v>#DIV/0!</v>
      </c>
      <c r="BX129" s="53" t="e">
        <f t="shared" si="52"/>
        <v>#DIV/0!</v>
      </c>
      <c r="BY129" s="53" t="e">
        <f t="shared" si="53"/>
        <v>#DIV/0!</v>
      </c>
      <c r="BZ129" s="53" t="e">
        <f t="shared" si="54"/>
        <v>#DIV/0!</v>
      </c>
      <c r="CA129" s="53" t="e">
        <f t="shared" si="55"/>
        <v>#DIV/0!</v>
      </c>
      <c r="CB129" s="53" t="e">
        <f t="shared" si="56"/>
        <v>#DIV/0!</v>
      </c>
      <c r="CC129" s="53" t="e">
        <f t="shared" si="57"/>
        <v>#DIV/0!</v>
      </c>
      <c r="CD129" s="53" t="e">
        <f t="shared" si="58"/>
        <v>#DIV/0!</v>
      </c>
      <c r="CE129" s="55">
        <f t="shared" si="40"/>
        <v>0</v>
      </c>
      <c r="CF129" s="55">
        <f t="shared" si="40"/>
        <v>0</v>
      </c>
      <c r="CG129" s="55">
        <f t="shared" si="40"/>
        <v>0</v>
      </c>
      <c r="CH129" s="55">
        <f t="shared" si="40"/>
        <v>0</v>
      </c>
      <c r="CI129" s="55">
        <f t="shared" si="40"/>
        <v>0</v>
      </c>
      <c r="CJ129" s="55">
        <f t="shared" si="40"/>
        <v>0</v>
      </c>
      <c r="CK129" s="55">
        <f t="shared" si="40"/>
        <v>0</v>
      </c>
      <c r="CL129" s="55">
        <f t="shared" si="40"/>
        <v>0</v>
      </c>
      <c r="CM129" s="55">
        <f t="shared" si="40"/>
        <v>0</v>
      </c>
    </row>
    <row r="130" spans="1:91" x14ac:dyDescent="0.15">
      <c r="A130" s="42">
        <v>128</v>
      </c>
      <c r="B130" s="45">
        <f t="shared" si="74"/>
        <v>1</v>
      </c>
      <c r="C130" s="45">
        <f t="shared" si="73"/>
        <v>1</v>
      </c>
      <c r="D130" s="45">
        <f t="shared" si="73"/>
        <v>1</v>
      </c>
      <c r="E130" s="45">
        <f t="shared" si="73"/>
        <v>1</v>
      </c>
      <c r="F130" s="45">
        <f t="shared" si="73"/>
        <v>1</v>
      </c>
      <c r="G130" s="45">
        <f t="shared" si="73"/>
        <v>1</v>
      </c>
      <c r="H130" s="45">
        <f t="shared" si="73"/>
        <v>1</v>
      </c>
      <c r="I130" s="45">
        <f t="shared" si="73"/>
        <v>1</v>
      </c>
      <c r="J130" s="45">
        <f t="shared" si="73"/>
        <v>1</v>
      </c>
      <c r="K130" s="45" t="e">
        <f>K129+ATM_Conf!$C$5*(T129-AC129)</f>
        <v>#DIV/0!</v>
      </c>
      <c r="L130" s="45" t="e">
        <f>L129+ATM_Conf!$C$5*(U129-AD129)</f>
        <v>#DIV/0!</v>
      </c>
      <c r="M130" s="45" t="e">
        <f>M129+ATM_Conf!$C$5*(V129-AE129)</f>
        <v>#DIV/0!</v>
      </c>
      <c r="N130" s="45" t="e">
        <f>N129+ATM_Conf!$C$5*(W129-AF129)</f>
        <v>#DIV/0!</v>
      </c>
      <c r="O130" s="45" t="e">
        <f>O129+ATM_Conf!$C$5*(X129-AG129)</f>
        <v>#DIV/0!</v>
      </c>
      <c r="P130" s="45" t="e">
        <f>P129+ATM_Conf!$C$5*(Y129-AH129)</f>
        <v>#DIV/0!</v>
      </c>
      <c r="Q130" s="45" t="e">
        <f>Q129+ATM_Conf!$C$5*(Z129-AI129)</f>
        <v>#DIV/0!</v>
      </c>
      <c r="R130" s="45" t="e">
        <f>R129+ATM_Conf!$C$5*(AA129-AJ129)</f>
        <v>#DIV/0!</v>
      </c>
      <c r="S130" s="45" t="e">
        <f>S129+ATM_Conf!$C$5*(AB129-AK129)</f>
        <v>#DIV/0!</v>
      </c>
      <c r="T130" s="45"/>
      <c r="U130" s="45"/>
      <c r="V130" s="45"/>
      <c r="W130" s="45"/>
      <c r="X130" s="45"/>
      <c r="Y130" s="45"/>
      <c r="Z130" s="45"/>
      <c r="AA130" s="45"/>
      <c r="AB130" s="45"/>
      <c r="AC130" s="45" t="e">
        <f t="shared" si="41"/>
        <v>#DIV/0!</v>
      </c>
      <c r="AD130" s="45" t="e">
        <f t="shared" si="42"/>
        <v>#DIV/0!</v>
      </c>
      <c r="AE130" s="45" t="e">
        <f t="shared" si="43"/>
        <v>#DIV/0!</v>
      </c>
      <c r="AF130" s="45" t="e">
        <f t="shared" si="44"/>
        <v>#DIV/0!</v>
      </c>
      <c r="AG130" s="45" t="e">
        <f t="shared" si="45"/>
        <v>#DIV/0!</v>
      </c>
      <c r="AH130" s="45" t="e">
        <f t="shared" si="46"/>
        <v>#DIV/0!</v>
      </c>
      <c r="AI130" s="45" t="e">
        <f t="shared" si="47"/>
        <v>#DIV/0!</v>
      </c>
      <c r="AJ130" s="45" t="e">
        <f t="shared" si="48"/>
        <v>#DIV/0!</v>
      </c>
      <c r="AK130" s="45" t="e">
        <f t="shared" si="49"/>
        <v>#DIV/0!</v>
      </c>
      <c r="AL130" s="45" t="e">
        <f>T$3+K130/ATM_Conf!$C$5</f>
        <v>#DIV/0!</v>
      </c>
      <c r="AM130" s="45" t="e">
        <f>U$3+L130/ATM_Conf!$C$5</f>
        <v>#DIV/0!</v>
      </c>
      <c r="AN130" s="45" t="e">
        <f>V$3+M130/ATM_Conf!$C$5</f>
        <v>#DIV/0!</v>
      </c>
      <c r="AO130" s="45" t="e">
        <f>W$3+N130/ATM_Conf!$C$5</f>
        <v>#DIV/0!</v>
      </c>
      <c r="AP130" s="45" t="e">
        <f>X$3+O130/ATM_Conf!$C$5</f>
        <v>#DIV/0!</v>
      </c>
      <c r="AQ130" s="45" t="e">
        <f>Y$3+P130/ATM_Conf!$C$5</f>
        <v>#DIV/0!</v>
      </c>
      <c r="AR130" s="45" t="e">
        <f>Z$3+Q130/ATM_Conf!$C$5</f>
        <v>#DIV/0!</v>
      </c>
      <c r="AS130" s="45" t="e">
        <f>AA$3+R130/ATM_Conf!$C$5</f>
        <v>#DIV/0!</v>
      </c>
      <c r="AT130" s="45" t="e">
        <f>AB$3+S130/ATM_Conf!$C$5</f>
        <v>#DIV/0!</v>
      </c>
      <c r="AU130" s="45" t="e">
        <f>BD$3*MIN(1,(ATM_Conf!$C$6-Links!F130)/(ATM_Conf!$C$6-ATM_Conf!$C$7))</f>
        <v>#DIV/0!</v>
      </c>
      <c r="AV130" s="45" t="e">
        <f>BE$3*MIN(1,(ATM_Conf!$C$6-Links!G130)/(ATM_Conf!$C$6-ATM_Conf!$C$7))</f>
        <v>#DIV/0!</v>
      </c>
      <c r="AW130" s="45" t="e">
        <f>BF$3*MIN(1,(ATM_Conf!$C$6-Links!H130)/(ATM_Conf!$C$6-ATM_Conf!$C$7))</f>
        <v>#DIV/0!</v>
      </c>
      <c r="AX130" s="45" t="e">
        <f>BG$3*MIN(1,(ATM_Conf!$C$6-Links!I130)/(ATM_Conf!$C$6-ATM_Conf!$C$7))</f>
        <v>#DIV/0!</v>
      </c>
      <c r="AY130" s="45" t="e">
        <f>BH$3*MIN(1,(ATM_Conf!$C$6-Links!J130)/(ATM_Conf!$C$6-ATM_Conf!$C$7))</f>
        <v>#DIV/0!</v>
      </c>
      <c r="AZ130" s="45" t="e">
        <f>BI$3*MIN(1,(ATM_Conf!$C$6-Links!K130)/(ATM_Conf!$C$6-ATM_Conf!$C$7))</f>
        <v>#DIV/0!</v>
      </c>
      <c r="BA130" s="45" t="e">
        <f>BJ$3*MIN(1,(ATM_Conf!$C$6-Links!L130)/(ATM_Conf!$C$6-ATM_Conf!$C$7))</f>
        <v>#DIV/0!</v>
      </c>
      <c r="BB130" s="45" t="e">
        <f>BK$3*MIN(1,(ATM_Conf!$C$6-Links!M130)/(ATM_Conf!$C$6-ATM_Conf!$C$7))</f>
        <v>#DIV/0!</v>
      </c>
      <c r="BC130" s="45" t="e">
        <f>BL$3*MIN(1,(ATM_Conf!$C$6-Links!N130)/(ATM_Conf!$C$6-ATM_Conf!$C$7))</f>
        <v>#DIV/0!</v>
      </c>
      <c r="BD130" s="45"/>
      <c r="BE130" s="45"/>
      <c r="BF130" s="45"/>
      <c r="BG130" s="45"/>
      <c r="BH130" s="45"/>
      <c r="BI130" s="45"/>
      <c r="BJ130" s="45"/>
      <c r="BK130" s="45"/>
      <c r="BL130" s="45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 t="e">
        <f t="shared" si="50"/>
        <v>#DIV/0!</v>
      </c>
      <c r="BW130" s="53" t="e">
        <f t="shared" si="51"/>
        <v>#DIV/0!</v>
      </c>
      <c r="BX130" s="53" t="e">
        <f t="shared" si="52"/>
        <v>#DIV/0!</v>
      </c>
      <c r="BY130" s="53" t="e">
        <f t="shared" si="53"/>
        <v>#DIV/0!</v>
      </c>
      <c r="BZ130" s="53" t="e">
        <f t="shared" si="54"/>
        <v>#DIV/0!</v>
      </c>
      <c r="CA130" s="53" t="e">
        <f t="shared" si="55"/>
        <v>#DIV/0!</v>
      </c>
      <c r="CB130" s="53" t="e">
        <f t="shared" si="56"/>
        <v>#DIV/0!</v>
      </c>
      <c r="CC130" s="53" t="e">
        <f t="shared" si="57"/>
        <v>#DIV/0!</v>
      </c>
      <c r="CD130" s="53" t="e">
        <f t="shared" si="58"/>
        <v>#DIV/0!</v>
      </c>
      <c r="CE130" s="55">
        <f t="shared" ref="CE130:CM158" si="75">CE$3</f>
        <v>0</v>
      </c>
      <c r="CF130" s="55">
        <f t="shared" si="75"/>
        <v>0</v>
      </c>
      <c r="CG130" s="55">
        <f t="shared" si="75"/>
        <v>0</v>
      </c>
      <c r="CH130" s="55">
        <f t="shared" si="75"/>
        <v>0</v>
      </c>
      <c r="CI130" s="55">
        <f t="shared" si="75"/>
        <v>0</v>
      </c>
      <c r="CJ130" s="55">
        <f t="shared" si="75"/>
        <v>0</v>
      </c>
      <c r="CK130" s="55">
        <f t="shared" si="75"/>
        <v>0</v>
      </c>
      <c r="CL130" s="55">
        <f t="shared" si="75"/>
        <v>0</v>
      </c>
      <c r="CM130" s="55">
        <f t="shared" si="75"/>
        <v>0</v>
      </c>
    </row>
    <row r="131" spans="1:91" x14ac:dyDescent="0.15">
      <c r="A131" s="42">
        <v>129</v>
      </c>
      <c r="B131" s="45">
        <f t="shared" si="74"/>
        <v>1</v>
      </c>
      <c r="C131" s="45">
        <f t="shared" si="73"/>
        <v>1</v>
      </c>
      <c r="D131" s="45">
        <f t="shared" si="73"/>
        <v>1</v>
      </c>
      <c r="E131" s="45">
        <f t="shared" si="73"/>
        <v>1</v>
      </c>
      <c r="F131" s="45">
        <f t="shared" si="73"/>
        <v>1</v>
      </c>
      <c r="G131" s="45">
        <f t="shared" si="73"/>
        <v>1</v>
      </c>
      <c r="H131" s="45">
        <f t="shared" si="73"/>
        <v>1</v>
      </c>
      <c r="I131" s="45">
        <f t="shared" si="73"/>
        <v>1</v>
      </c>
      <c r="J131" s="45">
        <f t="shared" si="73"/>
        <v>1</v>
      </c>
      <c r="K131" s="45" t="e">
        <f>K130+ATM_Conf!$C$5*(T130-AC130)</f>
        <v>#DIV/0!</v>
      </c>
      <c r="L131" s="45" t="e">
        <f>L130+ATM_Conf!$C$5*(U130-AD130)</f>
        <v>#DIV/0!</v>
      </c>
      <c r="M131" s="45" t="e">
        <f>M130+ATM_Conf!$C$5*(V130-AE130)</f>
        <v>#DIV/0!</v>
      </c>
      <c r="N131" s="45" t="e">
        <f>N130+ATM_Conf!$C$5*(W130-AF130)</f>
        <v>#DIV/0!</v>
      </c>
      <c r="O131" s="45" t="e">
        <f>O130+ATM_Conf!$C$5*(X130-AG130)</f>
        <v>#DIV/0!</v>
      </c>
      <c r="P131" s="45" t="e">
        <f>P130+ATM_Conf!$C$5*(Y130-AH130)</f>
        <v>#DIV/0!</v>
      </c>
      <c r="Q131" s="45" t="e">
        <f>Q130+ATM_Conf!$C$5*(Z130-AI130)</f>
        <v>#DIV/0!</v>
      </c>
      <c r="R131" s="45" t="e">
        <f>R130+ATM_Conf!$C$5*(AA130-AJ130)</f>
        <v>#DIV/0!</v>
      </c>
      <c r="S131" s="45" t="e">
        <f>S130+ATM_Conf!$C$5*(AB130-AK130)</f>
        <v>#DIV/0!</v>
      </c>
      <c r="T131" s="45"/>
      <c r="U131" s="45"/>
      <c r="V131" s="45"/>
      <c r="W131" s="45"/>
      <c r="X131" s="45"/>
      <c r="Y131" s="45"/>
      <c r="Z131" s="45"/>
      <c r="AA131" s="45"/>
      <c r="AB131" s="45"/>
      <c r="AC131" s="45" t="e">
        <f t="shared" si="41"/>
        <v>#DIV/0!</v>
      </c>
      <c r="AD131" s="45" t="e">
        <f t="shared" si="42"/>
        <v>#DIV/0!</v>
      </c>
      <c r="AE131" s="45" t="e">
        <f t="shared" si="43"/>
        <v>#DIV/0!</v>
      </c>
      <c r="AF131" s="45" t="e">
        <f t="shared" si="44"/>
        <v>#DIV/0!</v>
      </c>
      <c r="AG131" s="45" t="e">
        <f t="shared" si="45"/>
        <v>#DIV/0!</v>
      </c>
      <c r="AH131" s="45" t="e">
        <f t="shared" si="46"/>
        <v>#DIV/0!</v>
      </c>
      <c r="AI131" s="45" t="e">
        <f t="shared" si="47"/>
        <v>#DIV/0!</v>
      </c>
      <c r="AJ131" s="45" t="e">
        <f t="shared" si="48"/>
        <v>#DIV/0!</v>
      </c>
      <c r="AK131" s="45" t="e">
        <f t="shared" si="49"/>
        <v>#DIV/0!</v>
      </c>
      <c r="AL131" s="45" t="e">
        <f>T$3+K131/ATM_Conf!$C$5</f>
        <v>#DIV/0!</v>
      </c>
      <c r="AM131" s="45" t="e">
        <f>U$3+L131/ATM_Conf!$C$5</f>
        <v>#DIV/0!</v>
      </c>
      <c r="AN131" s="45" t="e">
        <f>V$3+M131/ATM_Conf!$C$5</f>
        <v>#DIV/0!</v>
      </c>
      <c r="AO131" s="45" t="e">
        <f>W$3+N131/ATM_Conf!$C$5</f>
        <v>#DIV/0!</v>
      </c>
      <c r="AP131" s="45" t="e">
        <f>X$3+O131/ATM_Conf!$C$5</f>
        <v>#DIV/0!</v>
      </c>
      <c r="AQ131" s="45" t="e">
        <f>Y$3+P131/ATM_Conf!$C$5</f>
        <v>#DIV/0!</v>
      </c>
      <c r="AR131" s="45" t="e">
        <f>Z$3+Q131/ATM_Conf!$C$5</f>
        <v>#DIV/0!</v>
      </c>
      <c r="AS131" s="45" t="e">
        <f>AA$3+R131/ATM_Conf!$C$5</f>
        <v>#DIV/0!</v>
      </c>
      <c r="AT131" s="45" t="e">
        <f>AB$3+S131/ATM_Conf!$C$5</f>
        <v>#DIV/0!</v>
      </c>
      <c r="AU131" s="45" t="e">
        <f>BD$3*MIN(1,(ATM_Conf!$C$6-Links!F131)/(ATM_Conf!$C$6-ATM_Conf!$C$7))</f>
        <v>#DIV/0!</v>
      </c>
      <c r="AV131" s="45" t="e">
        <f>BE$3*MIN(1,(ATM_Conf!$C$6-Links!G131)/(ATM_Conf!$C$6-ATM_Conf!$C$7))</f>
        <v>#DIV/0!</v>
      </c>
      <c r="AW131" s="45" t="e">
        <f>BF$3*MIN(1,(ATM_Conf!$C$6-Links!H131)/(ATM_Conf!$C$6-ATM_Conf!$C$7))</f>
        <v>#DIV/0!</v>
      </c>
      <c r="AX131" s="45" t="e">
        <f>BG$3*MIN(1,(ATM_Conf!$C$6-Links!I131)/(ATM_Conf!$C$6-ATM_Conf!$C$7))</f>
        <v>#DIV/0!</v>
      </c>
      <c r="AY131" s="45" t="e">
        <f>BH$3*MIN(1,(ATM_Conf!$C$6-Links!J131)/(ATM_Conf!$C$6-ATM_Conf!$C$7))</f>
        <v>#DIV/0!</v>
      </c>
      <c r="AZ131" s="45" t="e">
        <f>BI$3*MIN(1,(ATM_Conf!$C$6-Links!K131)/(ATM_Conf!$C$6-ATM_Conf!$C$7))</f>
        <v>#DIV/0!</v>
      </c>
      <c r="BA131" s="45" t="e">
        <f>BJ$3*MIN(1,(ATM_Conf!$C$6-Links!L131)/(ATM_Conf!$C$6-ATM_Conf!$C$7))</f>
        <v>#DIV/0!</v>
      </c>
      <c r="BB131" s="45" t="e">
        <f>BK$3*MIN(1,(ATM_Conf!$C$6-Links!M131)/(ATM_Conf!$C$6-ATM_Conf!$C$7))</f>
        <v>#DIV/0!</v>
      </c>
      <c r="BC131" s="45" t="e">
        <f>BL$3*MIN(1,(ATM_Conf!$C$6-Links!N131)/(ATM_Conf!$C$6-ATM_Conf!$C$7))</f>
        <v>#DIV/0!</v>
      </c>
      <c r="BD131" s="45"/>
      <c r="BE131" s="45"/>
      <c r="BF131" s="45"/>
      <c r="BG131" s="45"/>
      <c r="BH131" s="45"/>
      <c r="BI131" s="45"/>
      <c r="BJ131" s="45"/>
      <c r="BK131" s="45"/>
      <c r="BL131" s="45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 t="e">
        <f t="shared" si="50"/>
        <v>#DIV/0!</v>
      </c>
      <c r="BW131" s="53" t="e">
        <f t="shared" si="51"/>
        <v>#DIV/0!</v>
      </c>
      <c r="BX131" s="53" t="e">
        <f t="shared" si="52"/>
        <v>#DIV/0!</v>
      </c>
      <c r="BY131" s="53" t="e">
        <f t="shared" si="53"/>
        <v>#DIV/0!</v>
      </c>
      <c r="BZ131" s="53" t="e">
        <f t="shared" si="54"/>
        <v>#DIV/0!</v>
      </c>
      <c r="CA131" s="53" t="e">
        <f t="shared" si="55"/>
        <v>#DIV/0!</v>
      </c>
      <c r="CB131" s="53" t="e">
        <f t="shared" si="56"/>
        <v>#DIV/0!</v>
      </c>
      <c r="CC131" s="53" t="e">
        <f t="shared" si="57"/>
        <v>#DIV/0!</v>
      </c>
      <c r="CD131" s="53" t="e">
        <f t="shared" si="58"/>
        <v>#DIV/0!</v>
      </c>
      <c r="CE131" s="55">
        <f t="shared" si="75"/>
        <v>0</v>
      </c>
      <c r="CF131" s="55">
        <f t="shared" si="75"/>
        <v>0</v>
      </c>
      <c r="CG131" s="55">
        <f t="shared" si="75"/>
        <v>0</v>
      </c>
      <c r="CH131" s="55">
        <f t="shared" si="75"/>
        <v>0</v>
      </c>
      <c r="CI131" s="55">
        <f t="shared" si="75"/>
        <v>0</v>
      </c>
      <c r="CJ131" s="55">
        <f t="shared" si="75"/>
        <v>0</v>
      </c>
      <c r="CK131" s="55">
        <f t="shared" si="75"/>
        <v>0</v>
      </c>
      <c r="CL131" s="55">
        <f t="shared" si="75"/>
        <v>0</v>
      </c>
      <c r="CM131" s="55">
        <f t="shared" si="75"/>
        <v>0</v>
      </c>
    </row>
    <row r="132" spans="1:91" x14ac:dyDescent="0.15">
      <c r="A132" s="42">
        <v>130</v>
      </c>
      <c r="B132" s="45">
        <f t="shared" si="74"/>
        <v>1</v>
      </c>
      <c r="C132" s="45">
        <f t="shared" si="73"/>
        <v>1</v>
      </c>
      <c r="D132" s="45">
        <f t="shared" si="73"/>
        <v>1</v>
      </c>
      <c r="E132" s="45">
        <f t="shared" si="73"/>
        <v>1</v>
      </c>
      <c r="F132" s="45">
        <f t="shared" si="73"/>
        <v>1</v>
      </c>
      <c r="G132" s="45">
        <f t="shared" si="73"/>
        <v>1</v>
      </c>
      <c r="H132" s="45">
        <f t="shared" si="73"/>
        <v>1</v>
      </c>
      <c r="I132" s="45">
        <f t="shared" si="73"/>
        <v>1</v>
      </c>
      <c r="J132" s="45">
        <f t="shared" si="73"/>
        <v>1</v>
      </c>
      <c r="K132" s="45" t="e">
        <f>K131+ATM_Conf!$C$5*(T131-AC131)</f>
        <v>#DIV/0!</v>
      </c>
      <c r="L132" s="45" t="e">
        <f>L131+ATM_Conf!$C$5*(U131-AD131)</f>
        <v>#DIV/0!</v>
      </c>
      <c r="M132" s="45" t="e">
        <f>M131+ATM_Conf!$C$5*(V131-AE131)</f>
        <v>#DIV/0!</v>
      </c>
      <c r="N132" s="45" t="e">
        <f>N131+ATM_Conf!$C$5*(W131-AF131)</f>
        <v>#DIV/0!</v>
      </c>
      <c r="O132" s="45" t="e">
        <f>O131+ATM_Conf!$C$5*(X131-AG131)</f>
        <v>#DIV/0!</v>
      </c>
      <c r="P132" s="45" t="e">
        <f>P131+ATM_Conf!$C$5*(Y131-AH131)</f>
        <v>#DIV/0!</v>
      </c>
      <c r="Q132" s="45" t="e">
        <f>Q131+ATM_Conf!$C$5*(Z131-AI131)</f>
        <v>#DIV/0!</v>
      </c>
      <c r="R132" s="45" t="e">
        <f>R131+ATM_Conf!$C$5*(AA131-AJ131)</f>
        <v>#DIV/0!</v>
      </c>
      <c r="S132" s="45" t="e">
        <f>S131+ATM_Conf!$C$5*(AB131-AK131)</f>
        <v>#DIV/0!</v>
      </c>
      <c r="T132" s="45"/>
      <c r="U132" s="45"/>
      <c r="V132" s="45"/>
      <c r="W132" s="45"/>
      <c r="X132" s="45"/>
      <c r="Y132" s="45"/>
      <c r="Z132" s="45"/>
      <c r="AA132" s="45"/>
      <c r="AB132" s="45"/>
      <c r="AC132" s="45" t="e">
        <f t="shared" ref="AC132:AC182" si="76">B132*MIN(AL132,AU132)</f>
        <v>#DIV/0!</v>
      </c>
      <c r="AD132" s="45" t="e">
        <f t="shared" ref="AD132:AD182" si="77">C132*MIN(AM132,AV132)</f>
        <v>#DIV/0!</v>
      </c>
      <c r="AE132" s="45" t="e">
        <f t="shared" ref="AE132:AE182" si="78">D132*MIN(AN132,AW132)</f>
        <v>#DIV/0!</v>
      </c>
      <c r="AF132" s="45" t="e">
        <f t="shared" ref="AF132:AF182" si="79">E132*MIN(AO132,AX132)</f>
        <v>#DIV/0!</v>
      </c>
      <c r="AG132" s="45" t="e">
        <f t="shared" ref="AG132:AG182" si="80">F132*MIN(AP132,AY132)</f>
        <v>#DIV/0!</v>
      </c>
      <c r="AH132" s="45" t="e">
        <f t="shared" ref="AH132:AH182" si="81">G132*MIN(AQ132,AZ132)</f>
        <v>#DIV/0!</v>
      </c>
      <c r="AI132" s="45" t="e">
        <f t="shared" ref="AI132:AI182" si="82">H132*MIN(AR132,BA132)</f>
        <v>#DIV/0!</v>
      </c>
      <c r="AJ132" s="45" t="e">
        <f t="shared" ref="AJ132:AJ182" si="83">I132*MIN(AS132,BB132)</f>
        <v>#DIV/0!</v>
      </c>
      <c r="AK132" s="45" t="e">
        <f t="shared" ref="AK132:AK182" si="84">J132*MIN(AT132,BC132)</f>
        <v>#DIV/0!</v>
      </c>
      <c r="AL132" s="45" t="e">
        <f>T$3+K132/ATM_Conf!$C$5</f>
        <v>#DIV/0!</v>
      </c>
      <c r="AM132" s="45" t="e">
        <f>U$3+L132/ATM_Conf!$C$5</f>
        <v>#DIV/0!</v>
      </c>
      <c r="AN132" s="45" t="e">
        <f>V$3+M132/ATM_Conf!$C$5</f>
        <v>#DIV/0!</v>
      </c>
      <c r="AO132" s="45" t="e">
        <f>W$3+N132/ATM_Conf!$C$5</f>
        <v>#DIV/0!</v>
      </c>
      <c r="AP132" s="45" t="e">
        <f>X$3+O132/ATM_Conf!$C$5</f>
        <v>#DIV/0!</v>
      </c>
      <c r="AQ132" s="45" t="e">
        <f>Y$3+P132/ATM_Conf!$C$5</f>
        <v>#DIV/0!</v>
      </c>
      <c r="AR132" s="45" t="e">
        <f>Z$3+Q132/ATM_Conf!$C$5</f>
        <v>#DIV/0!</v>
      </c>
      <c r="AS132" s="45" t="e">
        <f>AA$3+R132/ATM_Conf!$C$5</f>
        <v>#DIV/0!</v>
      </c>
      <c r="AT132" s="45" t="e">
        <f>AB$3+S132/ATM_Conf!$C$5</f>
        <v>#DIV/0!</v>
      </c>
      <c r="AU132" s="45" t="e">
        <f>BD$3*MIN(1,(ATM_Conf!$C$6-Links!F132)/(ATM_Conf!$C$6-ATM_Conf!$C$7))</f>
        <v>#DIV/0!</v>
      </c>
      <c r="AV132" s="45" t="e">
        <f>BE$3*MIN(1,(ATM_Conf!$C$6-Links!G132)/(ATM_Conf!$C$6-ATM_Conf!$C$7))</f>
        <v>#DIV/0!</v>
      </c>
      <c r="AW132" s="45" t="e">
        <f>BF$3*MIN(1,(ATM_Conf!$C$6-Links!H132)/(ATM_Conf!$C$6-ATM_Conf!$C$7))</f>
        <v>#DIV/0!</v>
      </c>
      <c r="AX132" s="45" t="e">
        <f>BG$3*MIN(1,(ATM_Conf!$C$6-Links!I132)/(ATM_Conf!$C$6-ATM_Conf!$C$7))</f>
        <v>#DIV/0!</v>
      </c>
      <c r="AY132" s="45" t="e">
        <f>BH$3*MIN(1,(ATM_Conf!$C$6-Links!J132)/(ATM_Conf!$C$6-ATM_Conf!$C$7))</f>
        <v>#DIV/0!</v>
      </c>
      <c r="AZ132" s="45" t="e">
        <f>BI$3*MIN(1,(ATM_Conf!$C$6-Links!K132)/(ATM_Conf!$C$6-ATM_Conf!$C$7))</f>
        <v>#DIV/0!</v>
      </c>
      <c r="BA132" s="45" t="e">
        <f>BJ$3*MIN(1,(ATM_Conf!$C$6-Links!L132)/(ATM_Conf!$C$6-ATM_Conf!$C$7))</f>
        <v>#DIV/0!</v>
      </c>
      <c r="BB132" s="45" t="e">
        <f>BK$3*MIN(1,(ATM_Conf!$C$6-Links!M132)/(ATM_Conf!$C$6-ATM_Conf!$C$7))</f>
        <v>#DIV/0!</v>
      </c>
      <c r="BC132" s="45" t="e">
        <f>BL$3*MIN(1,(ATM_Conf!$C$6-Links!N132)/(ATM_Conf!$C$6-ATM_Conf!$C$7))</f>
        <v>#DIV/0!</v>
      </c>
      <c r="BD132" s="45"/>
      <c r="BE132" s="45"/>
      <c r="BF132" s="45"/>
      <c r="BG132" s="45"/>
      <c r="BH132" s="45"/>
      <c r="BI132" s="45"/>
      <c r="BJ132" s="45"/>
      <c r="BK132" s="45"/>
      <c r="BL132" s="45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 t="e">
        <f t="shared" ref="BV132:BV182" si="85">(MAX(K132-T$190,0))^2</f>
        <v>#DIV/0!</v>
      </c>
      <c r="BW132" s="53" t="e">
        <f t="shared" ref="BW132:BW182" si="86">(MAX(L132-U$190,0))^2</f>
        <v>#DIV/0!</v>
      </c>
      <c r="BX132" s="53" t="e">
        <f t="shared" ref="BX132:BX182" si="87">(MAX(M132-V$190,0))^2</f>
        <v>#DIV/0!</v>
      </c>
      <c r="BY132" s="53" t="e">
        <f t="shared" ref="BY132:BY182" si="88">(MAX(N132-W$190,0))^2</f>
        <v>#DIV/0!</v>
      </c>
      <c r="BZ132" s="53" t="e">
        <f t="shared" ref="BZ132:BZ182" si="89">(MAX(O132-X$190,0))^2</f>
        <v>#DIV/0!</v>
      </c>
      <c r="CA132" s="53" t="e">
        <f t="shared" ref="CA132:CA182" si="90">(MAX(P132-Y$190,0))^2</f>
        <v>#DIV/0!</v>
      </c>
      <c r="CB132" s="53" t="e">
        <f t="shared" ref="CB132:CB182" si="91">(MAX(Q132-Z$190,0))^2</f>
        <v>#DIV/0!</v>
      </c>
      <c r="CC132" s="53" t="e">
        <f t="shared" ref="CC132:CC182" si="92">(MAX(R132-AA$190,0))^2</f>
        <v>#DIV/0!</v>
      </c>
      <c r="CD132" s="53" t="e">
        <f t="shared" ref="CD132:CD182" si="93">(MAX(S132-AB$190,0))^2</f>
        <v>#DIV/0!</v>
      </c>
      <c r="CE132" s="55">
        <f t="shared" si="75"/>
        <v>0</v>
      </c>
      <c r="CF132" s="55">
        <f t="shared" si="75"/>
        <v>0</v>
      </c>
      <c r="CG132" s="55">
        <f t="shared" si="75"/>
        <v>0</v>
      </c>
      <c r="CH132" s="55">
        <f t="shared" si="75"/>
        <v>0</v>
      </c>
      <c r="CI132" s="55">
        <f t="shared" si="75"/>
        <v>0</v>
      </c>
      <c r="CJ132" s="55">
        <f t="shared" si="75"/>
        <v>0</v>
      </c>
      <c r="CK132" s="55">
        <f t="shared" si="75"/>
        <v>0</v>
      </c>
      <c r="CL132" s="55">
        <f t="shared" si="75"/>
        <v>0</v>
      </c>
      <c r="CM132" s="55">
        <f t="shared" si="75"/>
        <v>0</v>
      </c>
    </row>
    <row r="133" spans="1:91" x14ac:dyDescent="0.15">
      <c r="A133" s="42">
        <v>131</v>
      </c>
      <c r="B133" s="45">
        <f t="shared" si="74"/>
        <v>1</v>
      </c>
      <c r="C133" s="45">
        <f t="shared" si="73"/>
        <v>1</v>
      </c>
      <c r="D133" s="45">
        <f t="shared" si="73"/>
        <v>1</v>
      </c>
      <c r="E133" s="45">
        <f t="shared" si="73"/>
        <v>1</v>
      </c>
      <c r="F133" s="45">
        <f t="shared" si="73"/>
        <v>1</v>
      </c>
      <c r="G133" s="45">
        <f t="shared" si="73"/>
        <v>1</v>
      </c>
      <c r="H133" s="45">
        <f t="shared" si="73"/>
        <v>1</v>
      </c>
      <c r="I133" s="45">
        <f t="shared" si="73"/>
        <v>1</v>
      </c>
      <c r="J133" s="45">
        <f t="shared" si="73"/>
        <v>1</v>
      </c>
      <c r="K133" s="45" t="e">
        <f>K132+ATM_Conf!$C$5*(T132-AC132)</f>
        <v>#DIV/0!</v>
      </c>
      <c r="L133" s="45" t="e">
        <f>L132+ATM_Conf!$C$5*(U132-AD132)</f>
        <v>#DIV/0!</v>
      </c>
      <c r="M133" s="45" t="e">
        <f>M132+ATM_Conf!$C$5*(V132-AE132)</f>
        <v>#DIV/0!</v>
      </c>
      <c r="N133" s="45" t="e">
        <f>N132+ATM_Conf!$C$5*(W132-AF132)</f>
        <v>#DIV/0!</v>
      </c>
      <c r="O133" s="45" t="e">
        <f>O132+ATM_Conf!$C$5*(X132-AG132)</f>
        <v>#DIV/0!</v>
      </c>
      <c r="P133" s="45" t="e">
        <f>P132+ATM_Conf!$C$5*(Y132-AH132)</f>
        <v>#DIV/0!</v>
      </c>
      <c r="Q133" s="45" t="e">
        <f>Q132+ATM_Conf!$C$5*(Z132-AI132)</f>
        <v>#DIV/0!</v>
      </c>
      <c r="R133" s="45" t="e">
        <f>R132+ATM_Conf!$C$5*(AA132-AJ132)</f>
        <v>#DIV/0!</v>
      </c>
      <c r="S133" s="45" t="e">
        <f>S132+ATM_Conf!$C$5*(AB132-AK132)</f>
        <v>#DIV/0!</v>
      </c>
      <c r="T133" s="45"/>
      <c r="U133" s="45"/>
      <c r="V133" s="45"/>
      <c r="W133" s="45"/>
      <c r="X133" s="45"/>
      <c r="Y133" s="45"/>
      <c r="Z133" s="45"/>
      <c r="AA133" s="45"/>
      <c r="AB133" s="45"/>
      <c r="AC133" s="45" t="e">
        <f t="shared" si="76"/>
        <v>#DIV/0!</v>
      </c>
      <c r="AD133" s="45" t="e">
        <f t="shared" si="77"/>
        <v>#DIV/0!</v>
      </c>
      <c r="AE133" s="45" t="e">
        <f t="shared" si="78"/>
        <v>#DIV/0!</v>
      </c>
      <c r="AF133" s="45" t="e">
        <f t="shared" si="79"/>
        <v>#DIV/0!</v>
      </c>
      <c r="AG133" s="45" t="e">
        <f t="shared" si="80"/>
        <v>#DIV/0!</v>
      </c>
      <c r="AH133" s="45" t="e">
        <f t="shared" si="81"/>
        <v>#DIV/0!</v>
      </c>
      <c r="AI133" s="45" t="e">
        <f t="shared" si="82"/>
        <v>#DIV/0!</v>
      </c>
      <c r="AJ133" s="45" t="e">
        <f t="shared" si="83"/>
        <v>#DIV/0!</v>
      </c>
      <c r="AK133" s="45" t="e">
        <f t="shared" si="84"/>
        <v>#DIV/0!</v>
      </c>
      <c r="AL133" s="45" t="e">
        <f>T$3+K133/ATM_Conf!$C$5</f>
        <v>#DIV/0!</v>
      </c>
      <c r="AM133" s="45" t="e">
        <f>U$3+L133/ATM_Conf!$C$5</f>
        <v>#DIV/0!</v>
      </c>
      <c r="AN133" s="45" t="e">
        <f>V$3+M133/ATM_Conf!$C$5</f>
        <v>#DIV/0!</v>
      </c>
      <c r="AO133" s="45" t="e">
        <f>W$3+N133/ATM_Conf!$C$5</f>
        <v>#DIV/0!</v>
      </c>
      <c r="AP133" s="45" t="e">
        <f>X$3+O133/ATM_Conf!$C$5</f>
        <v>#DIV/0!</v>
      </c>
      <c r="AQ133" s="45" t="e">
        <f>Y$3+P133/ATM_Conf!$C$5</f>
        <v>#DIV/0!</v>
      </c>
      <c r="AR133" s="45" t="e">
        <f>Z$3+Q133/ATM_Conf!$C$5</f>
        <v>#DIV/0!</v>
      </c>
      <c r="AS133" s="45" t="e">
        <f>AA$3+R133/ATM_Conf!$C$5</f>
        <v>#DIV/0!</v>
      </c>
      <c r="AT133" s="45" t="e">
        <f>AB$3+S133/ATM_Conf!$C$5</f>
        <v>#DIV/0!</v>
      </c>
      <c r="AU133" s="45" t="e">
        <f>BD$3*MIN(1,(ATM_Conf!$C$6-Links!F133)/(ATM_Conf!$C$6-ATM_Conf!$C$7))</f>
        <v>#DIV/0!</v>
      </c>
      <c r="AV133" s="45" t="e">
        <f>BE$3*MIN(1,(ATM_Conf!$C$6-Links!G133)/(ATM_Conf!$C$6-ATM_Conf!$C$7))</f>
        <v>#DIV/0!</v>
      </c>
      <c r="AW133" s="45" t="e">
        <f>BF$3*MIN(1,(ATM_Conf!$C$6-Links!H133)/(ATM_Conf!$C$6-ATM_Conf!$C$7))</f>
        <v>#DIV/0!</v>
      </c>
      <c r="AX133" s="45" t="e">
        <f>BG$3*MIN(1,(ATM_Conf!$C$6-Links!I133)/(ATM_Conf!$C$6-ATM_Conf!$C$7))</f>
        <v>#DIV/0!</v>
      </c>
      <c r="AY133" s="45" t="e">
        <f>BH$3*MIN(1,(ATM_Conf!$C$6-Links!J133)/(ATM_Conf!$C$6-ATM_Conf!$C$7))</f>
        <v>#DIV/0!</v>
      </c>
      <c r="AZ133" s="45" t="e">
        <f>BI$3*MIN(1,(ATM_Conf!$C$6-Links!K133)/(ATM_Conf!$C$6-ATM_Conf!$C$7))</f>
        <v>#DIV/0!</v>
      </c>
      <c r="BA133" s="45" t="e">
        <f>BJ$3*MIN(1,(ATM_Conf!$C$6-Links!L133)/(ATM_Conf!$C$6-ATM_Conf!$C$7))</f>
        <v>#DIV/0!</v>
      </c>
      <c r="BB133" s="45" t="e">
        <f>BK$3*MIN(1,(ATM_Conf!$C$6-Links!M133)/(ATM_Conf!$C$6-ATM_Conf!$C$7))</f>
        <v>#DIV/0!</v>
      </c>
      <c r="BC133" s="45" t="e">
        <f>BL$3*MIN(1,(ATM_Conf!$C$6-Links!N133)/(ATM_Conf!$C$6-ATM_Conf!$C$7))</f>
        <v>#DIV/0!</v>
      </c>
      <c r="BD133" s="45"/>
      <c r="BE133" s="45"/>
      <c r="BF133" s="45"/>
      <c r="BG133" s="45"/>
      <c r="BH133" s="45"/>
      <c r="BI133" s="45"/>
      <c r="BJ133" s="45"/>
      <c r="BK133" s="45"/>
      <c r="BL133" s="45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 t="e">
        <f t="shared" si="85"/>
        <v>#DIV/0!</v>
      </c>
      <c r="BW133" s="53" t="e">
        <f t="shared" si="86"/>
        <v>#DIV/0!</v>
      </c>
      <c r="BX133" s="53" t="e">
        <f t="shared" si="87"/>
        <v>#DIV/0!</v>
      </c>
      <c r="BY133" s="53" t="e">
        <f t="shared" si="88"/>
        <v>#DIV/0!</v>
      </c>
      <c r="BZ133" s="53" t="e">
        <f t="shared" si="89"/>
        <v>#DIV/0!</v>
      </c>
      <c r="CA133" s="53" t="e">
        <f t="shared" si="90"/>
        <v>#DIV/0!</v>
      </c>
      <c r="CB133" s="53" t="e">
        <f t="shared" si="91"/>
        <v>#DIV/0!</v>
      </c>
      <c r="CC133" s="53" t="e">
        <f t="shared" si="92"/>
        <v>#DIV/0!</v>
      </c>
      <c r="CD133" s="53" t="e">
        <f t="shared" si="93"/>
        <v>#DIV/0!</v>
      </c>
      <c r="CE133" s="55">
        <f t="shared" si="75"/>
        <v>0</v>
      </c>
      <c r="CF133" s="55">
        <f t="shared" si="75"/>
        <v>0</v>
      </c>
      <c r="CG133" s="55">
        <f t="shared" si="75"/>
        <v>0</v>
      </c>
      <c r="CH133" s="55">
        <f t="shared" si="75"/>
        <v>0</v>
      </c>
      <c r="CI133" s="55">
        <f t="shared" si="75"/>
        <v>0</v>
      </c>
      <c r="CJ133" s="55">
        <f t="shared" si="75"/>
        <v>0</v>
      </c>
      <c r="CK133" s="55">
        <f t="shared" si="75"/>
        <v>0</v>
      </c>
      <c r="CL133" s="55">
        <f t="shared" si="75"/>
        <v>0</v>
      </c>
      <c r="CM133" s="55">
        <f t="shared" si="75"/>
        <v>0</v>
      </c>
    </row>
    <row r="134" spans="1:91" x14ac:dyDescent="0.15">
      <c r="A134" s="42">
        <v>132</v>
      </c>
      <c r="B134" s="45">
        <f t="shared" si="74"/>
        <v>1</v>
      </c>
      <c r="C134" s="45">
        <f t="shared" si="73"/>
        <v>1</v>
      </c>
      <c r="D134" s="45">
        <f t="shared" si="73"/>
        <v>1</v>
      </c>
      <c r="E134" s="45">
        <f t="shared" si="73"/>
        <v>1</v>
      </c>
      <c r="F134" s="45">
        <f t="shared" si="73"/>
        <v>1</v>
      </c>
      <c r="G134" s="45">
        <f t="shared" si="73"/>
        <v>1</v>
      </c>
      <c r="H134" s="45">
        <f t="shared" si="73"/>
        <v>1</v>
      </c>
      <c r="I134" s="45">
        <f t="shared" si="73"/>
        <v>1</v>
      </c>
      <c r="J134" s="45">
        <f t="shared" si="73"/>
        <v>1</v>
      </c>
      <c r="K134" s="45" t="e">
        <f>K133+ATM_Conf!$C$5*(T133-AC133)</f>
        <v>#DIV/0!</v>
      </c>
      <c r="L134" s="45" t="e">
        <f>L133+ATM_Conf!$C$5*(U133-AD133)</f>
        <v>#DIV/0!</v>
      </c>
      <c r="M134" s="45" t="e">
        <f>M133+ATM_Conf!$C$5*(V133-AE133)</f>
        <v>#DIV/0!</v>
      </c>
      <c r="N134" s="45" t="e">
        <f>N133+ATM_Conf!$C$5*(W133-AF133)</f>
        <v>#DIV/0!</v>
      </c>
      <c r="O134" s="45" t="e">
        <f>O133+ATM_Conf!$C$5*(X133-AG133)</f>
        <v>#DIV/0!</v>
      </c>
      <c r="P134" s="45" t="e">
        <f>P133+ATM_Conf!$C$5*(Y133-AH133)</f>
        <v>#DIV/0!</v>
      </c>
      <c r="Q134" s="45" t="e">
        <f>Q133+ATM_Conf!$C$5*(Z133-AI133)</f>
        <v>#DIV/0!</v>
      </c>
      <c r="R134" s="45" t="e">
        <f>R133+ATM_Conf!$C$5*(AA133-AJ133)</f>
        <v>#DIV/0!</v>
      </c>
      <c r="S134" s="45" t="e">
        <f>S133+ATM_Conf!$C$5*(AB133-AK133)</f>
        <v>#DIV/0!</v>
      </c>
      <c r="T134" s="45"/>
      <c r="U134" s="45"/>
      <c r="V134" s="45"/>
      <c r="W134" s="45"/>
      <c r="X134" s="45"/>
      <c r="Y134" s="45"/>
      <c r="Z134" s="45"/>
      <c r="AA134" s="45"/>
      <c r="AB134" s="45"/>
      <c r="AC134" s="45" t="e">
        <f t="shared" si="76"/>
        <v>#DIV/0!</v>
      </c>
      <c r="AD134" s="45" t="e">
        <f t="shared" si="77"/>
        <v>#DIV/0!</v>
      </c>
      <c r="AE134" s="45" t="e">
        <f t="shared" si="78"/>
        <v>#DIV/0!</v>
      </c>
      <c r="AF134" s="45" t="e">
        <f t="shared" si="79"/>
        <v>#DIV/0!</v>
      </c>
      <c r="AG134" s="45" t="e">
        <f t="shared" si="80"/>
        <v>#DIV/0!</v>
      </c>
      <c r="AH134" s="45" t="e">
        <f t="shared" si="81"/>
        <v>#DIV/0!</v>
      </c>
      <c r="AI134" s="45" t="e">
        <f t="shared" si="82"/>
        <v>#DIV/0!</v>
      </c>
      <c r="AJ134" s="45" t="e">
        <f t="shared" si="83"/>
        <v>#DIV/0!</v>
      </c>
      <c r="AK134" s="45" t="e">
        <f t="shared" si="84"/>
        <v>#DIV/0!</v>
      </c>
      <c r="AL134" s="45" t="e">
        <f>T$3+K134/ATM_Conf!$C$5</f>
        <v>#DIV/0!</v>
      </c>
      <c r="AM134" s="45" t="e">
        <f>U$3+L134/ATM_Conf!$C$5</f>
        <v>#DIV/0!</v>
      </c>
      <c r="AN134" s="45" t="e">
        <f>V$3+M134/ATM_Conf!$C$5</f>
        <v>#DIV/0!</v>
      </c>
      <c r="AO134" s="45" t="e">
        <f>W$3+N134/ATM_Conf!$C$5</f>
        <v>#DIV/0!</v>
      </c>
      <c r="AP134" s="45" t="e">
        <f>X$3+O134/ATM_Conf!$C$5</f>
        <v>#DIV/0!</v>
      </c>
      <c r="AQ134" s="45" t="e">
        <f>Y$3+P134/ATM_Conf!$C$5</f>
        <v>#DIV/0!</v>
      </c>
      <c r="AR134" s="45" t="e">
        <f>Z$3+Q134/ATM_Conf!$C$5</f>
        <v>#DIV/0!</v>
      </c>
      <c r="AS134" s="45" t="e">
        <f>AA$3+R134/ATM_Conf!$C$5</f>
        <v>#DIV/0!</v>
      </c>
      <c r="AT134" s="45" t="e">
        <f>AB$3+S134/ATM_Conf!$C$5</f>
        <v>#DIV/0!</v>
      </c>
      <c r="AU134" s="45" t="e">
        <f>BD$3*MIN(1,(ATM_Conf!$C$6-Links!F134)/(ATM_Conf!$C$6-ATM_Conf!$C$7))</f>
        <v>#DIV/0!</v>
      </c>
      <c r="AV134" s="45" t="e">
        <f>BE$3*MIN(1,(ATM_Conf!$C$6-Links!G134)/(ATM_Conf!$C$6-ATM_Conf!$C$7))</f>
        <v>#DIV/0!</v>
      </c>
      <c r="AW134" s="45" t="e">
        <f>BF$3*MIN(1,(ATM_Conf!$C$6-Links!H134)/(ATM_Conf!$C$6-ATM_Conf!$C$7))</f>
        <v>#DIV/0!</v>
      </c>
      <c r="AX134" s="45" t="e">
        <f>BG$3*MIN(1,(ATM_Conf!$C$6-Links!I134)/(ATM_Conf!$C$6-ATM_Conf!$C$7))</f>
        <v>#DIV/0!</v>
      </c>
      <c r="AY134" s="45" t="e">
        <f>BH$3*MIN(1,(ATM_Conf!$C$6-Links!J134)/(ATM_Conf!$C$6-ATM_Conf!$C$7))</f>
        <v>#DIV/0!</v>
      </c>
      <c r="AZ134" s="45" t="e">
        <f>BI$3*MIN(1,(ATM_Conf!$C$6-Links!K134)/(ATM_Conf!$C$6-ATM_Conf!$C$7))</f>
        <v>#DIV/0!</v>
      </c>
      <c r="BA134" s="45" t="e">
        <f>BJ$3*MIN(1,(ATM_Conf!$C$6-Links!L134)/(ATM_Conf!$C$6-ATM_Conf!$C$7))</f>
        <v>#DIV/0!</v>
      </c>
      <c r="BB134" s="45" t="e">
        <f>BK$3*MIN(1,(ATM_Conf!$C$6-Links!M134)/(ATM_Conf!$C$6-ATM_Conf!$C$7))</f>
        <v>#DIV/0!</v>
      </c>
      <c r="BC134" s="45" t="e">
        <f>BL$3*MIN(1,(ATM_Conf!$C$6-Links!N134)/(ATM_Conf!$C$6-ATM_Conf!$C$7))</f>
        <v>#DIV/0!</v>
      </c>
      <c r="BD134" s="45"/>
      <c r="BE134" s="45"/>
      <c r="BF134" s="45"/>
      <c r="BG134" s="45"/>
      <c r="BH134" s="45"/>
      <c r="BI134" s="45"/>
      <c r="BJ134" s="45"/>
      <c r="BK134" s="45"/>
      <c r="BL134" s="45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 t="e">
        <f t="shared" si="85"/>
        <v>#DIV/0!</v>
      </c>
      <c r="BW134" s="53" t="e">
        <f t="shared" si="86"/>
        <v>#DIV/0!</v>
      </c>
      <c r="BX134" s="53" t="e">
        <f t="shared" si="87"/>
        <v>#DIV/0!</v>
      </c>
      <c r="BY134" s="53" t="e">
        <f t="shared" si="88"/>
        <v>#DIV/0!</v>
      </c>
      <c r="BZ134" s="53" t="e">
        <f t="shared" si="89"/>
        <v>#DIV/0!</v>
      </c>
      <c r="CA134" s="53" t="e">
        <f t="shared" si="90"/>
        <v>#DIV/0!</v>
      </c>
      <c r="CB134" s="53" t="e">
        <f t="shared" si="91"/>
        <v>#DIV/0!</v>
      </c>
      <c r="CC134" s="53" t="e">
        <f t="shared" si="92"/>
        <v>#DIV/0!</v>
      </c>
      <c r="CD134" s="53" t="e">
        <f t="shared" si="93"/>
        <v>#DIV/0!</v>
      </c>
      <c r="CE134" s="55">
        <f t="shared" si="75"/>
        <v>0</v>
      </c>
      <c r="CF134" s="55">
        <f t="shared" si="75"/>
        <v>0</v>
      </c>
      <c r="CG134" s="55">
        <f t="shared" si="75"/>
        <v>0</v>
      </c>
      <c r="CH134" s="55">
        <f t="shared" si="75"/>
        <v>0</v>
      </c>
      <c r="CI134" s="55">
        <f t="shared" si="75"/>
        <v>0</v>
      </c>
      <c r="CJ134" s="55">
        <f t="shared" si="75"/>
        <v>0</v>
      </c>
      <c r="CK134" s="55">
        <f t="shared" si="75"/>
        <v>0</v>
      </c>
      <c r="CL134" s="55">
        <f t="shared" si="75"/>
        <v>0</v>
      </c>
      <c r="CM134" s="55">
        <f t="shared" si="75"/>
        <v>0</v>
      </c>
    </row>
    <row r="135" spans="1:91" x14ac:dyDescent="0.15">
      <c r="A135" s="42">
        <v>133</v>
      </c>
      <c r="B135" s="47">
        <v>1</v>
      </c>
      <c r="C135" s="47">
        <v>1</v>
      </c>
      <c r="D135" s="47">
        <v>1</v>
      </c>
      <c r="E135" s="47">
        <v>1</v>
      </c>
      <c r="F135" s="47">
        <v>1</v>
      </c>
      <c r="G135" s="47">
        <v>1</v>
      </c>
      <c r="H135" s="47">
        <v>1</v>
      </c>
      <c r="I135" s="47">
        <v>1</v>
      </c>
      <c r="J135" s="47">
        <v>1</v>
      </c>
      <c r="K135" s="45" t="e">
        <f>K134+ATM_Conf!$C$5*(T134-AC134)</f>
        <v>#DIV/0!</v>
      </c>
      <c r="L135" s="45" t="e">
        <f>L134+ATM_Conf!$C$5*(U134-AD134)</f>
        <v>#DIV/0!</v>
      </c>
      <c r="M135" s="45" t="e">
        <f>M134+ATM_Conf!$C$5*(V134-AE134)</f>
        <v>#DIV/0!</v>
      </c>
      <c r="N135" s="45" t="e">
        <f>N134+ATM_Conf!$C$5*(W134-AF134)</f>
        <v>#DIV/0!</v>
      </c>
      <c r="O135" s="45" t="e">
        <f>O134+ATM_Conf!$C$5*(X134-AG134)</f>
        <v>#DIV/0!</v>
      </c>
      <c r="P135" s="45" t="e">
        <f>P134+ATM_Conf!$C$5*(Y134-AH134)</f>
        <v>#DIV/0!</v>
      </c>
      <c r="Q135" s="45" t="e">
        <f>Q134+ATM_Conf!$C$5*(Z134-AI134)</f>
        <v>#DIV/0!</v>
      </c>
      <c r="R135" s="45" t="e">
        <f>R134+ATM_Conf!$C$5*(AA134-AJ134)</f>
        <v>#DIV/0!</v>
      </c>
      <c r="S135" s="45" t="e">
        <f>S134+ATM_Conf!$C$5*(AB134-AK134)</f>
        <v>#DIV/0!</v>
      </c>
      <c r="T135" s="45"/>
      <c r="U135" s="45"/>
      <c r="V135" s="45"/>
      <c r="W135" s="45"/>
      <c r="X135" s="45"/>
      <c r="Y135" s="45"/>
      <c r="Z135" s="45"/>
      <c r="AA135" s="45"/>
      <c r="AB135" s="45"/>
      <c r="AC135" s="45" t="e">
        <f t="shared" si="76"/>
        <v>#DIV/0!</v>
      </c>
      <c r="AD135" s="45" t="e">
        <f t="shared" si="77"/>
        <v>#DIV/0!</v>
      </c>
      <c r="AE135" s="45" t="e">
        <f t="shared" si="78"/>
        <v>#DIV/0!</v>
      </c>
      <c r="AF135" s="45" t="e">
        <f t="shared" si="79"/>
        <v>#DIV/0!</v>
      </c>
      <c r="AG135" s="45" t="e">
        <f t="shared" si="80"/>
        <v>#DIV/0!</v>
      </c>
      <c r="AH135" s="45" t="e">
        <f t="shared" si="81"/>
        <v>#DIV/0!</v>
      </c>
      <c r="AI135" s="45" t="e">
        <f t="shared" si="82"/>
        <v>#DIV/0!</v>
      </c>
      <c r="AJ135" s="45" t="e">
        <f t="shared" si="83"/>
        <v>#DIV/0!</v>
      </c>
      <c r="AK135" s="45" t="e">
        <f t="shared" si="84"/>
        <v>#DIV/0!</v>
      </c>
      <c r="AL135" s="45" t="e">
        <f>T$3+K135/ATM_Conf!$C$5</f>
        <v>#DIV/0!</v>
      </c>
      <c r="AM135" s="45" t="e">
        <f>U$3+L135/ATM_Conf!$C$5</f>
        <v>#DIV/0!</v>
      </c>
      <c r="AN135" s="45" t="e">
        <f>V$3+M135/ATM_Conf!$C$5</f>
        <v>#DIV/0!</v>
      </c>
      <c r="AO135" s="45" t="e">
        <f>W$3+N135/ATM_Conf!$C$5</f>
        <v>#DIV/0!</v>
      </c>
      <c r="AP135" s="45" t="e">
        <f>X$3+O135/ATM_Conf!$C$5</f>
        <v>#DIV/0!</v>
      </c>
      <c r="AQ135" s="45" t="e">
        <f>Y$3+P135/ATM_Conf!$C$5</f>
        <v>#DIV/0!</v>
      </c>
      <c r="AR135" s="45" t="e">
        <f>Z$3+Q135/ATM_Conf!$C$5</f>
        <v>#DIV/0!</v>
      </c>
      <c r="AS135" s="45" t="e">
        <f>AA$3+R135/ATM_Conf!$C$5</f>
        <v>#DIV/0!</v>
      </c>
      <c r="AT135" s="45" t="e">
        <f>AB$3+S135/ATM_Conf!$C$5</f>
        <v>#DIV/0!</v>
      </c>
      <c r="AU135" s="45" t="e">
        <f>BD$3*MIN(1,(ATM_Conf!$C$6-Links!F135)/(ATM_Conf!$C$6-ATM_Conf!$C$7))</f>
        <v>#DIV/0!</v>
      </c>
      <c r="AV135" s="45" t="e">
        <f>BE$3*MIN(1,(ATM_Conf!$C$6-Links!G135)/(ATM_Conf!$C$6-ATM_Conf!$C$7))</f>
        <v>#DIV/0!</v>
      </c>
      <c r="AW135" s="45" t="e">
        <f>BF$3*MIN(1,(ATM_Conf!$C$6-Links!H135)/(ATM_Conf!$C$6-ATM_Conf!$C$7))</f>
        <v>#DIV/0!</v>
      </c>
      <c r="AX135" s="45" t="e">
        <f>BG$3*MIN(1,(ATM_Conf!$C$6-Links!I135)/(ATM_Conf!$C$6-ATM_Conf!$C$7))</f>
        <v>#DIV/0!</v>
      </c>
      <c r="AY135" s="45" t="e">
        <f>BH$3*MIN(1,(ATM_Conf!$C$6-Links!J135)/(ATM_Conf!$C$6-ATM_Conf!$C$7))</f>
        <v>#DIV/0!</v>
      </c>
      <c r="AZ135" s="45" t="e">
        <f>BI$3*MIN(1,(ATM_Conf!$C$6-Links!K135)/(ATM_Conf!$C$6-ATM_Conf!$C$7))</f>
        <v>#DIV/0!</v>
      </c>
      <c r="BA135" s="45" t="e">
        <f>BJ$3*MIN(1,(ATM_Conf!$C$6-Links!L135)/(ATM_Conf!$C$6-ATM_Conf!$C$7))</f>
        <v>#DIV/0!</v>
      </c>
      <c r="BB135" s="45" t="e">
        <f>BK$3*MIN(1,(ATM_Conf!$C$6-Links!M135)/(ATM_Conf!$C$6-ATM_Conf!$C$7))</f>
        <v>#DIV/0!</v>
      </c>
      <c r="BC135" s="45" t="e">
        <f>BL$3*MIN(1,(ATM_Conf!$C$6-Links!N135)/(ATM_Conf!$C$6-ATM_Conf!$C$7))</f>
        <v>#DIV/0!</v>
      </c>
      <c r="BD135" s="45"/>
      <c r="BE135" s="45"/>
      <c r="BF135" s="45"/>
      <c r="BG135" s="45"/>
      <c r="BH135" s="45"/>
      <c r="BI135" s="45"/>
      <c r="BJ135" s="45"/>
      <c r="BK135" s="45"/>
      <c r="BL135" s="45"/>
      <c r="BM135" s="53">
        <f>(B135-B123)^2</f>
        <v>0</v>
      </c>
      <c r="BN135" s="53">
        <f t="shared" ref="BN135:BU135" si="94">(C135-C123)^2</f>
        <v>0</v>
      </c>
      <c r="BO135" s="53">
        <f t="shared" si="94"/>
        <v>0</v>
      </c>
      <c r="BP135" s="53">
        <f t="shared" si="94"/>
        <v>0</v>
      </c>
      <c r="BQ135" s="53">
        <f t="shared" si="94"/>
        <v>0</v>
      </c>
      <c r="BR135" s="53">
        <f t="shared" si="94"/>
        <v>0</v>
      </c>
      <c r="BS135" s="53">
        <f t="shared" si="94"/>
        <v>0</v>
      </c>
      <c r="BT135" s="53">
        <f t="shared" si="94"/>
        <v>0</v>
      </c>
      <c r="BU135" s="53">
        <f t="shared" si="94"/>
        <v>0</v>
      </c>
      <c r="BV135" s="53" t="e">
        <f t="shared" si="85"/>
        <v>#DIV/0!</v>
      </c>
      <c r="BW135" s="53" t="e">
        <f t="shared" si="86"/>
        <v>#DIV/0!</v>
      </c>
      <c r="BX135" s="53" t="e">
        <f t="shared" si="87"/>
        <v>#DIV/0!</v>
      </c>
      <c r="BY135" s="53" t="e">
        <f t="shared" si="88"/>
        <v>#DIV/0!</v>
      </c>
      <c r="BZ135" s="53" t="e">
        <f t="shared" si="89"/>
        <v>#DIV/0!</v>
      </c>
      <c r="CA135" s="53" t="e">
        <f t="shared" si="90"/>
        <v>#DIV/0!</v>
      </c>
      <c r="CB135" s="53" t="e">
        <f t="shared" si="91"/>
        <v>#DIV/0!</v>
      </c>
      <c r="CC135" s="53" t="e">
        <f t="shared" si="92"/>
        <v>#DIV/0!</v>
      </c>
      <c r="CD135" s="53" t="e">
        <f t="shared" si="93"/>
        <v>#DIV/0!</v>
      </c>
      <c r="CE135" s="55">
        <f t="shared" si="75"/>
        <v>0</v>
      </c>
      <c r="CF135" s="55">
        <f t="shared" si="75"/>
        <v>0</v>
      </c>
      <c r="CG135" s="55">
        <f t="shared" si="75"/>
        <v>0</v>
      </c>
      <c r="CH135" s="55">
        <f t="shared" si="75"/>
        <v>0</v>
      </c>
      <c r="CI135" s="55">
        <f t="shared" si="75"/>
        <v>0</v>
      </c>
      <c r="CJ135" s="55">
        <f t="shared" si="75"/>
        <v>0</v>
      </c>
      <c r="CK135" s="55">
        <f t="shared" si="75"/>
        <v>0</v>
      </c>
      <c r="CL135" s="55">
        <f t="shared" si="75"/>
        <v>0</v>
      </c>
      <c r="CM135" s="55">
        <f t="shared" si="75"/>
        <v>0</v>
      </c>
    </row>
    <row r="136" spans="1:91" x14ac:dyDescent="0.15">
      <c r="A136" s="42">
        <v>134</v>
      </c>
      <c r="B136" s="45">
        <f>B$135</f>
        <v>1</v>
      </c>
      <c r="C136" s="45">
        <f t="shared" ref="C136:J146" si="95">C$135</f>
        <v>1</v>
      </c>
      <c r="D136" s="45">
        <f t="shared" si="95"/>
        <v>1</v>
      </c>
      <c r="E136" s="45">
        <f t="shared" si="95"/>
        <v>1</v>
      </c>
      <c r="F136" s="45">
        <f t="shared" si="95"/>
        <v>1</v>
      </c>
      <c r="G136" s="45">
        <f t="shared" si="95"/>
        <v>1</v>
      </c>
      <c r="H136" s="45">
        <f t="shared" si="95"/>
        <v>1</v>
      </c>
      <c r="I136" s="45">
        <f t="shared" si="95"/>
        <v>1</v>
      </c>
      <c r="J136" s="45">
        <f t="shared" si="95"/>
        <v>1</v>
      </c>
      <c r="K136" s="45" t="e">
        <f>K135+ATM_Conf!$C$5*(T135-AC135)</f>
        <v>#DIV/0!</v>
      </c>
      <c r="L136" s="45" t="e">
        <f>L135+ATM_Conf!$C$5*(U135-AD135)</f>
        <v>#DIV/0!</v>
      </c>
      <c r="M136" s="45" t="e">
        <f>M135+ATM_Conf!$C$5*(V135-AE135)</f>
        <v>#DIV/0!</v>
      </c>
      <c r="N136" s="45" t="e">
        <f>N135+ATM_Conf!$C$5*(W135-AF135)</f>
        <v>#DIV/0!</v>
      </c>
      <c r="O136" s="45" t="e">
        <f>O135+ATM_Conf!$C$5*(X135-AG135)</f>
        <v>#DIV/0!</v>
      </c>
      <c r="P136" s="45" t="e">
        <f>P135+ATM_Conf!$C$5*(Y135-AH135)</f>
        <v>#DIV/0!</v>
      </c>
      <c r="Q136" s="45" t="e">
        <f>Q135+ATM_Conf!$C$5*(Z135-AI135)</f>
        <v>#DIV/0!</v>
      </c>
      <c r="R136" s="45" t="e">
        <f>R135+ATM_Conf!$C$5*(AA135-AJ135)</f>
        <v>#DIV/0!</v>
      </c>
      <c r="S136" s="45" t="e">
        <f>S135+ATM_Conf!$C$5*(AB135-AK135)</f>
        <v>#DIV/0!</v>
      </c>
      <c r="T136" s="45"/>
      <c r="U136" s="45"/>
      <c r="V136" s="45"/>
      <c r="W136" s="45"/>
      <c r="X136" s="45"/>
      <c r="Y136" s="45"/>
      <c r="Z136" s="45"/>
      <c r="AA136" s="45"/>
      <c r="AB136" s="45"/>
      <c r="AC136" s="45" t="e">
        <f t="shared" si="76"/>
        <v>#DIV/0!</v>
      </c>
      <c r="AD136" s="45" t="e">
        <f t="shared" si="77"/>
        <v>#DIV/0!</v>
      </c>
      <c r="AE136" s="45" t="e">
        <f t="shared" si="78"/>
        <v>#DIV/0!</v>
      </c>
      <c r="AF136" s="45" t="e">
        <f t="shared" si="79"/>
        <v>#DIV/0!</v>
      </c>
      <c r="AG136" s="45" t="e">
        <f t="shared" si="80"/>
        <v>#DIV/0!</v>
      </c>
      <c r="AH136" s="45" t="e">
        <f t="shared" si="81"/>
        <v>#DIV/0!</v>
      </c>
      <c r="AI136" s="45" t="e">
        <f t="shared" si="82"/>
        <v>#DIV/0!</v>
      </c>
      <c r="AJ136" s="45" t="e">
        <f t="shared" si="83"/>
        <v>#DIV/0!</v>
      </c>
      <c r="AK136" s="45" t="e">
        <f t="shared" si="84"/>
        <v>#DIV/0!</v>
      </c>
      <c r="AL136" s="45" t="e">
        <f>T$3+K136/ATM_Conf!$C$5</f>
        <v>#DIV/0!</v>
      </c>
      <c r="AM136" s="45" t="e">
        <f>U$3+L136/ATM_Conf!$C$5</f>
        <v>#DIV/0!</v>
      </c>
      <c r="AN136" s="45" t="e">
        <f>V$3+M136/ATM_Conf!$C$5</f>
        <v>#DIV/0!</v>
      </c>
      <c r="AO136" s="45" t="e">
        <f>W$3+N136/ATM_Conf!$C$5</f>
        <v>#DIV/0!</v>
      </c>
      <c r="AP136" s="45" t="e">
        <f>X$3+O136/ATM_Conf!$C$5</f>
        <v>#DIV/0!</v>
      </c>
      <c r="AQ136" s="45" t="e">
        <f>Y$3+P136/ATM_Conf!$C$5</f>
        <v>#DIV/0!</v>
      </c>
      <c r="AR136" s="45" t="e">
        <f>Z$3+Q136/ATM_Conf!$C$5</f>
        <v>#DIV/0!</v>
      </c>
      <c r="AS136" s="45" t="e">
        <f>AA$3+R136/ATM_Conf!$C$5</f>
        <v>#DIV/0!</v>
      </c>
      <c r="AT136" s="45" t="e">
        <f>AB$3+S136/ATM_Conf!$C$5</f>
        <v>#DIV/0!</v>
      </c>
      <c r="AU136" s="45" t="e">
        <f>BD$3*MIN(1,(ATM_Conf!$C$6-Links!F136)/(ATM_Conf!$C$6-ATM_Conf!$C$7))</f>
        <v>#DIV/0!</v>
      </c>
      <c r="AV136" s="45" t="e">
        <f>BE$3*MIN(1,(ATM_Conf!$C$6-Links!G136)/(ATM_Conf!$C$6-ATM_Conf!$C$7))</f>
        <v>#DIV/0!</v>
      </c>
      <c r="AW136" s="45" t="e">
        <f>BF$3*MIN(1,(ATM_Conf!$C$6-Links!H136)/(ATM_Conf!$C$6-ATM_Conf!$C$7))</f>
        <v>#DIV/0!</v>
      </c>
      <c r="AX136" s="45" t="e">
        <f>BG$3*MIN(1,(ATM_Conf!$C$6-Links!I136)/(ATM_Conf!$C$6-ATM_Conf!$C$7))</f>
        <v>#DIV/0!</v>
      </c>
      <c r="AY136" s="45" t="e">
        <f>BH$3*MIN(1,(ATM_Conf!$C$6-Links!J136)/(ATM_Conf!$C$6-ATM_Conf!$C$7))</f>
        <v>#DIV/0!</v>
      </c>
      <c r="AZ136" s="45" t="e">
        <f>BI$3*MIN(1,(ATM_Conf!$C$6-Links!K136)/(ATM_Conf!$C$6-ATM_Conf!$C$7))</f>
        <v>#DIV/0!</v>
      </c>
      <c r="BA136" s="45" t="e">
        <f>BJ$3*MIN(1,(ATM_Conf!$C$6-Links!L136)/(ATM_Conf!$C$6-ATM_Conf!$C$7))</f>
        <v>#DIV/0!</v>
      </c>
      <c r="BB136" s="45" t="e">
        <f>BK$3*MIN(1,(ATM_Conf!$C$6-Links!M136)/(ATM_Conf!$C$6-ATM_Conf!$C$7))</f>
        <v>#DIV/0!</v>
      </c>
      <c r="BC136" s="45" t="e">
        <f>BL$3*MIN(1,(ATM_Conf!$C$6-Links!N136)/(ATM_Conf!$C$6-ATM_Conf!$C$7))</f>
        <v>#DIV/0!</v>
      </c>
      <c r="BD136" s="45"/>
      <c r="BE136" s="45"/>
      <c r="BF136" s="45"/>
      <c r="BG136" s="45"/>
      <c r="BH136" s="45"/>
      <c r="BI136" s="45"/>
      <c r="BJ136" s="45"/>
      <c r="BK136" s="45"/>
      <c r="BL136" s="45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 t="e">
        <f t="shared" si="85"/>
        <v>#DIV/0!</v>
      </c>
      <c r="BW136" s="53" t="e">
        <f t="shared" si="86"/>
        <v>#DIV/0!</v>
      </c>
      <c r="BX136" s="53" t="e">
        <f t="shared" si="87"/>
        <v>#DIV/0!</v>
      </c>
      <c r="BY136" s="53" t="e">
        <f t="shared" si="88"/>
        <v>#DIV/0!</v>
      </c>
      <c r="BZ136" s="53" t="e">
        <f t="shared" si="89"/>
        <v>#DIV/0!</v>
      </c>
      <c r="CA136" s="53" t="e">
        <f t="shared" si="90"/>
        <v>#DIV/0!</v>
      </c>
      <c r="CB136" s="53" t="e">
        <f t="shared" si="91"/>
        <v>#DIV/0!</v>
      </c>
      <c r="CC136" s="53" t="e">
        <f t="shared" si="92"/>
        <v>#DIV/0!</v>
      </c>
      <c r="CD136" s="53" t="e">
        <f t="shared" si="93"/>
        <v>#DIV/0!</v>
      </c>
      <c r="CE136" s="55">
        <f t="shared" si="75"/>
        <v>0</v>
      </c>
      <c r="CF136" s="55">
        <f t="shared" si="75"/>
        <v>0</v>
      </c>
      <c r="CG136" s="55">
        <f t="shared" si="75"/>
        <v>0</v>
      </c>
      <c r="CH136" s="55">
        <f t="shared" si="75"/>
        <v>0</v>
      </c>
      <c r="CI136" s="55">
        <f t="shared" si="75"/>
        <v>0</v>
      </c>
      <c r="CJ136" s="55">
        <f t="shared" si="75"/>
        <v>0</v>
      </c>
      <c r="CK136" s="55">
        <f t="shared" si="75"/>
        <v>0</v>
      </c>
      <c r="CL136" s="55">
        <f t="shared" si="75"/>
        <v>0</v>
      </c>
      <c r="CM136" s="55">
        <f t="shared" si="75"/>
        <v>0</v>
      </c>
    </row>
    <row r="137" spans="1:91" x14ac:dyDescent="0.15">
      <c r="A137" s="42">
        <v>135</v>
      </c>
      <c r="B137" s="45">
        <f t="shared" ref="B137:B146" si="96">B$135</f>
        <v>1</v>
      </c>
      <c r="C137" s="45">
        <f t="shared" si="95"/>
        <v>1</v>
      </c>
      <c r="D137" s="45">
        <f t="shared" si="95"/>
        <v>1</v>
      </c>
      <c r="E137" s="45">
        <f t="shared" si="95"/>
        <v>1</v>
      </c>
      <c r="F137" s="45">
        <f t="shared" si="95"/>
        <v>1</v>
      </c>
      <c r="G137" s="45">
        <f t="shared" si="95"/>
        <v>1</v>
      </c>
      <c r="H137" s="45">
        <f t="shared" si="95"/>
        <v>1</v>
      </c>
      <c r="I137" s="45">
        <f t="shared" si="95"/>
        <v>1</v>
      </c>
      <c r="J137" s="45">
        <f t="shared" si="95"/>
        <v>1</v>
      </c>
      <c r="K137" s="45" t="e">
        <f>K136+ATM_Conf!$C$5*(T136-AC136)</f>
        <v>#DIV/0!</v>
      </c>
      <c r="L137" s="45" t="e">
        <f>L136+ATM_Conf!$C$5*(U136-AD136)</f>
        <v>#DIV/0!</v>
      </c>
      <c r="M137" s="45" t="e">
        <f>M136+ATM_Conf!$C$5*(V136-AE136)</f>
        <v>#DIV/0!</v>
      </c>
      <c r="N137" s="45" t="e">
        <f>N136+ATM_Conf!$C$5*(W136-AF136)</f>
        <v>#DIV/0!</v>
      </c>
      <c r="O137" s="45" t="e">
        <f>O136+ATM_Conf!$C$5*(X136-AG136)</f>
        <v>#DIV/0!</v>
      </c>
      <c r="P137" s="45" t="e">
        <f>P136+ATM_Conf!$C$5*(Y136-AH136)</f>
        <v>#DIV/0!</v>
      </c>
      <c r="Q137" s="45" t="e">
        <f>Q136+ATM_Conf!$C$5*(Z136-AI136)</f>
        <v>#DIV/0!</v>
      </c>
      <c r="R137" s="45" t="e">
        <f>R136+ATM_Conf!$C$5*(AA136-AJ136)</f>
        <v>#DIV/0!</v>
      </c>
      <c r="S137" s="45" t="e">
        <f>S136+ATM_Conf!$C$5*(AB136-AK136)</f>
        <v>#DIV/0!</v>
      </c>
      <c r="T137" s="45"/>
      <c r="U137" s="45"/>
      <c r="V137" s="45"/>
      <c r="W137" s="45"/>
      <c r="X137" s="45"/>
      <c r="Y137" s="45"/>
      <c r="Z137" s="45"/>
      <c r="AA137" s="45"/>
      <c r="AB137" s="45"/>
      <c r="AC137" s="45" t="e">
        <f t="shared" si="76"/>
        <v>#DIV/0!</v>
      </c>
      <c r="AD137" s="45" t="e">
        <f t="shared" si="77"/>
        <v>#DIV/0!</v>
      </c>
      <c r="AE137" s="45" t="e">
        <f t="shared" si="78"/>
        <v>#DIV/0!</v>
      </c>
      <c r="AF137" s="45" t="e">
        <f t="shared" si="79"/>
        <v>#DIV/0!</v>
      </c>
      <c r="AG137" s="45" t="e">
        <f t="shared" si="80"/>
        <v>#DIV/0!</v>
      </c>
      <c r="AH137" s="45" t="e">
        <f t="shared" si="81"/>
        <v>#DIV/0!</v>
      </c>
      <c r="AI137" s="45" t="e">
        <f t="shared" si="82"/>
        <v>#DIV/0!</v>
      </c>
      <c r="AJ137" s="45" t="e">
        <f t="shared" si="83"/>
        <v>#DIV/0!</v>
      </c>
      <c r="AK137" s="45" t="e">
        <f t="shared" si="84"/>
        <v>#DIV/0!</v>
      </c>
      <c r="AL137" s="45" t="e">
        <f>T$3+K137/ATM_Conf!$C$5</f>
        <v>#DIV/0!</v>
      </c>
      <c r="AM137" s="45" t="e">
        <f>U$3+L137/ATM_Conf!$C$5</f>
        <v>#DIV/0!</v>
      </c>
      <c r="AN137" s="45" t="e">
        <f>V$3+M137/ATM_Conf!$C$5</f>
        <v>#DIV/0!</v>
      </c>
      <c r="AO137" s="45" t="e">
        <f>W$3+N137/ATM_Conf!$C$5</f>
        <v>#DIV/0!</v>
      </c>
      <c r="AP137" s="45" t="e">
        <f>X$3+O137/ATM_Conf!$C$5</f>
        <v>#DIV/0!</v>
      </c>
      <c r="AQ137" s="45" t="e">
        <f>Y$3+P137/ATM_Conf!$C$5</f>
        <v>#DIV/0!</v>
      </c>
      <c r="AR137" s="45" t="e">
        <f>Z$3+Q137/ATM_Conf!$C$5</f>
        <v>#DIV/0!</v>
      </c>
      <c r="AS137" s="45" t="e">
        <f>AA$3+R137/ATM_Conf!$C$5</f>
        <v>#DIV/0!</v>
      </c>
      <c r="AT137" s="45" t="e">
        <f>AB$3+S137/ATM_Conf!$C$5</f>
        <v>#DIV/0!</v>
      </c>
      <c r="AU137" s="45" t="e">
        <f>BD$3*MIN(1,(ATM_Conf!$C$6-Links!F137)/(ATM_Conf!$C$6-ATM_Conf!$C$7))</f>
        <v>#DIV/0!</v>
      </c>
      <c r="AV137" s="45" t="e">
        <f>BE$3*MIN(1,(ATM_Conf!$C$6-Links!G137)/(ATM_Conf!$C$6-ATM_Conf!$C$7))</f>
        <v>#DIV/0!</v>
      </c>
      <c r="AW137" s="45" t="e">
        <f>BF$3*MIN(1,(ATM_Conf!$C$6-Links!H137)/(ATM_Conf!$C$6-ATM_Conf!$C$7))</f>
        <v>#DIV/0!</v>
      </c>
      <c r="AX137" s="45" t="e">
        <f>BG$3*MIN(1,(ATM_Conf!$C$6-Links!I137)/(ATM_Conf!$C$6-ATM_Conf!$C$7))</f>
        <v>#DIV/0!</v>
      </c>
      <c r="AY137" s="45" t="e">
        <f>BH$3*MIN(1,(ATM_Conf!$C$6-Links!J137)/(ATM_Conf!$C$6-ATM_Conf!$C$7))</f>
        <v>#DIV/0!</v>
      </c>
      <c r="AZ137" s="45" t="e">
        <f>BI$3*MIN(1,(ATM_Conf!$C$6-Links!K137)/(ATM_Conf!$C$6-ATM_Conf!$C$7))</f>
        <v>#DIV/0!</v>
      </c>
      <c r="BA137" s="45" t="e">
        <f>BJ$3*MIN(1,(ATM_Conf!$C$6-Links!L137)/(ATM_Conf!$C$6-ATM_Conf!$C$7))</f>
        <v>#DIV/0!</v>
      </c>
      <c r="BB137" s="45" t="e">
        <f>BK$3*MIN(1,(ATM_Conf!$C$6-Links!M137)/(ATM_Conf!$C$6-ATM_Conf!$C$7))</f>
        <v>#DIV/0!</v>
      </c>
      <c r="BC137" s="45" t="e">
        <f>BL$3*MIN(1,(ATM_Conf!$C$6-Links!N137)/(ATM_Conf!$C$6-ATM_Conf!$C$7))</f>
        <v>#DIV/0!</v>
      </c>
      <c r="BD137" s="45"/>
      <c r="BE137" s="45"/>
      <c r="BF137" s="45"/>
      <c r="BG137" s="45"/>
      <c r="BH137" s="45"/>
      <c r="BI137" s="45"/>
      <c r="BJ137" s="45"/>
      <c r="BK137" s="45"/>
      <c r="BL137" s="45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 t="e">
        <f t="shared" si="85"/>
        <v>#DIV/0!</v>
      </c>
      <c r="BW137" s="53" t="e">
        <f t="shared" si="86"/>
        <v>#DIV/0!</v>
      </c>
      <c r="BX137" s="53" t="e">
        <f t="shared" si="87"/>
        <v>#DIV/0!</v>
      </c>
      <c r="BY137" s="53" t="e">
        <f t="shared" si="88"/>
        <v>#DIV/0!</v>
      </c>
      <c r="BZ137" s="53" t="e">
        <f t="shared" si="89"/>
        <v>#DIV/0!</v>
      </c>
      <c r="CA137" s="53" t="e">
        <f t="shared" si="90"/>
        <v>#DIV/0!</v>
      </c>
      <c r="CB137" s="53" t="e">
        <f t="shared" si="91"/>
        <v>#DIV/0!</v>
      </c>
      <c r="CC137" s="53" t="e">
        <f t="shared" si="92"/>
        <v>#DIV/0!</v>
      </c>
      <c r="CD137" s="53" t="e">
        <f t="shared" si="93"/>
        <v>#DIV/0!</v>
      </c>
      <c r="CE137" s="55">
        <f t="shared" si="75"/>
        <v>0</v>
      </c>
      <c r="CF137" s="55">
        <f t="shared" si="75"/>
        <v>0</v>
      </c>
      <c r="CG137" s="55">
        <f t="shared" si="75"/>
        <v>0</v>
      </c>
      <c r="CH137" s="55">
        <f t="shared" si="75"/>
        <v>0</v>
      </c>
      <c r="CI137" s="55">
        <f t="shared" si="75"/>
        <v>0</v>
      </c>
      <c r="CJ137" s="55">
        <f t="shared" si="75"/>
        <v>0</v>
      </c>
      <c r="CK137" s="55">
        <f t="shared" si="75"/>
        <v>0</v>
      </c>
      <c r="CL137" s="55">
        <f t="shared" si="75"/>
        <v>0</v>
      </c>
      <c r="CM137" s="55">
        <f t="shared" si="75"/>
        <v>0</v>
      </c>
    </row>
    <row r="138" spans="1:91" x14ac:dyDescent="0.15">
      <c r="A138" s="42">
        <v>136</v>
      </c>
      <c r="B138" s="45">
        <f t="shared" si="96"/>
        <v>1</v>
      </c>
      <c r="C138" s="45">
        <f t="shared" si="95"/>
        <v>1</v>
      </c>
      <c r="D138" s="45">
        <f t="shared" si="95"/>
        <v>1</v>
      </c>
      <c r="E138" s="45">
        <f t="shared" si="95"/>
        <v>1</v>
      </c>
      <c r="F138" s="45">
        <f t="shared" si="95"/>
        <v>1</v>
      </c>
      <c r="G138" s="45">
        <f t="shared" si="95"/>
        <v>1</v>
      </c>
      <c r="H138" s="45">
        <f t="shared" si="95"/>
        <v>1</v>
      </c>
      <c r="I138" s="45">
        <f t="shared" si="95"/>
        <v>1</v>
      </c>
      <c r="J138" s="45">
        <f t="shared" si="95"/>
        <v>1</v>
      </c>
      <c r="K138" s="45" t="e">
        <f>K137+ATM_Conf!$C$5*(T137-AC137)</f>
        <v>#DIV/0!</v>
      </c>
      <c r="L138" s="45" t="e">
        <f>L137+ATM_Conf!$C$5*(U137-AD137)</f>
        <v>#DIV/0!</v>
      </c>
      <c r="M138" s="45" t="e">
        <f>M137+ATM_Conf!$C$5*(V137-AE137)</f>
        <v>#DIV/0!</v>
      </c>
      <c r="N138" s="45" t="e">
        <f>N137+ATM_Conf!$C$5*(W137-AF137)</f>
        <v>#DIV/0!</v>
      </c>
      <c r="O138" s="45" t="e">
        <f>O137+ATM_Conf!$C$5*(X137-AG137)</f>
        <v>#DIV/0!</v>
      </c>
      <c r="P138" s="45" t="e">
        <f>P137+ATM_Conf!$C$5*(Y137-AH137)</f>
        <v>#DIV/0!</v>
      </c>
      <c r="Q138" s="45" t="e">
        <f>Q137+ATM_Conf!$C$5*(Z137-AI137)</f>
        <v>#DIV/0!</v>
      </c>
      <c r="R138" s="45" t="e">
        <f>R137+ATM_Conf!$C$5*(AA137-AJ137)</f>
        <v>#DIV/0!</v>
      </c>
      <c r="S138" s="45" t="e">
        <f>S137+ATM_Conf!$C$5*(AB137-AK137)</f>
        <v>#DIV/0!</v>
      </c>
      <c r="T138" s="45"/>
      <c r="U138" s="45"/>
      <c r="V138" s="45"/>
      <c r="W138" s="45"/>
      <c r="X138" s="45"/>
      <c r="Y138" s="45"/>
      <c r="Z138" s="45"/>
      <c r="AA138" s="45"/>
      <c r="AB138" s="45"/>
      <c r="AC138" s="45" t="e">
        <f t="shared" si="76"/>
        <v>#DIV/0!</v>
      </c>
      <c r="AD138" s="45" t="e">
        <f t="shared" si="77"/>
        <v>#DIV/0!</v>
      </c>
      <c r="AE138" s="45" t="e">
        <f t="shared" si="78"/>
        <v>#DIV/0!</v>
      </c>
      <c r="AF138" s="45" t="e">
        <f t="shared" si="79"/>
        <v>#DIV/0!</v>
      </c>
      <c r="AG138" s="45" t="e">
        <f t="shared" si="80"/>
        <v>#DIV/0!</v>
      </c>
      <c r="AH138" s="45" t="e">
        <f t="shared" si="81"/>
        <v>#DIV/0!</v>
      </c>
      <c r="AI138" s="45" t="e">
        <f t="shared" si="82"/>
        <v>#DIV/0!</v>
      </c>
      <c r="AJ138" s="45" t="e">
        <f t="shared" si="83"/>
        <v>#DIV/0!</v>
      </c>
      <c r="AK138" s="45" t="e">
        <f t="shared" si="84"/>
        <v>#DIV/0!</v>
      </c>
      <c r="AL138" s="45" t="e">
        <f>T$3+K138/ATM_Conf!$C$5</f>
        <v>#DIV/0!</v>
      </c>
      <c r="AM138" s="45" t="e">
        <f>U$3+L138/ATM_Conf!$C$5</f>
        <v>#DIV/0!</v>
      </c>
      <c r="AN138" s="45" t="e">
        <f>V$3+M138/ATM_Conf!$C$5</f>
        <v>#DIV/0!</v>
      </c>
      <c r="AO138" s="45" t="e">
        <f>W$3+N138/ATM_Conf!$C$5</f>
        <v>#DIV/0!</v>
      </c>
      <c r="AP138" s="45" t="e">
        <f>X$3+O138/ATM_Conf!$C$5</f>
        <v>#DIV/0!</v>
      </c>
      <c r="AQ138" s="45" t="e">
        <f>Y$3+P138/ATM_Conf!$C$5</f>
        <v>#DIV/0!</v>
      </c>
      <c r="AR138" s="45" t="e">
        <f>Z$3+Q138/ATM_Conf!$C$5</f>
        <v>#DIV/0!</v>
      </c>
      <c r="AS138" s="45" t="e">
        <f>AA$3+R138/ATM_Conf!$C$5</f>
        <v>#DIV/0!</v>
      </c>
      <c r="AT138" s="45" t="e">
        <f>AB$3+S138/ATM_Conf!$C$5</f>
        <v>#DIV/0!</v>
      </c>
      <c r="AU138" s="45" t="e">
        <f>BD$3*MIN(1,(ATM_Conf!$C$6-Links!F138)/(ATM_Conf!$C$6-ATM_Conf!$C$7))</f>
        <v>#DIV/0!</v>
      </c>
      <c r="AV138" s="45" t="e">
        <f>BE$3*MIN(1,(ATM_Conf!$C$6-Links!G138)/(ATM_Conf!$C$6-ATM_Conf!$C$7))</f>
        <v>#DIV/0!</v>
      </c>
      <c r="AW138" s="45" t="e">
        <f>BF$3*MIN(1,(ATM_Conf!$C$6-Links!H138)/(ATM_Conf!$C$6-ATM_Conf!$C$7))</f>
        <v>#DIV/0!</v>
      </c>
      <c r="AX138" s="45" t="e">
        <f>BG$3*MIN(1,(ATM_Conf!$C$6-Links!I138)/(ATM_Conf!$C$6-ATM_Conf!$C$7))</f>
        <v>#DIV/0!</v>
      </c>
      <c r="AY138" s="45" t="e">
        <f>BH$3*MIN(1,(ATM_Conf!$C$6-Links!J138)/(ATM_Conf!$C$6-ATM_Conf!$C$7))</f>
        <v>#DIV/0!</v>
      </c>
      <c r="AZ138" s="45" t="e">
        <f>BI$3*MIN(1,(ATM_Conf!$C$6-Links!K138)/(ATM_Conf!$C$6-ATM_Conf!$C$7))</f>
        <v>#DIV/0!</v>
      </c>
      <c r="BA138" s="45" t="e">
        <f>BJ$3*MIN(1,(ATM_Conf!$C$6-Links!L138)/(ATM_Conf!$C$6-ATM_Conf!$C$7))</f>
        <v>#DIV/0!</v>
      </c>
      <c r="BB138" s="45" t="e">
        <f>BK$3*MIN(1,(ATM_Conf!$C$6-Links!M138)/(ATM_Conf!$C$6-ATM_Conf!$C$7))</f>
        <v>#DIV/0!</v>
      </c>
      <c r="BC138" s="45" t="e">
        <f>BL$3*MIN(1,(ATM_Conf!$C$6-Links!N138)/(ATM_Conf!$C$6-ATM_Conf!$C$7))</f>
        <v>#DIV/0!</v>
      </c>
      <c r="BD138" s="45"/>
      <c r="BE138" s="45"/>
      <c r="BF138" s="45"/>
      <c r="BG138" s="45"/>
      <c r="BH138" s="45"/>
      <c r="BI138" s="45"/>
      <c r="BJ138" s="45"/>
      <c r="BK138" s="45"/>
      <c r="BL138" s="45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 t="e">
        <f t="shared" si="85"/>
        <v>#DIV/0!</v>
      </c>
      <c r="BW138" s="53" t="e">
        <f t="shared" si="86"/>
        <v>#DIV/0!</v>
      </c>
      <c r="BX138" s="53" t="e">
        <f t="shared" si="87"/>
        <v>#DIV/0!</v>
      </c>
      <c r="BY138" s="53" t="e">
        <f t="shared" si="88"/>
        <v>#DIV/0!</v>
      </c>
      <c r="BZ138" s="53" t="e">
        <f t="shared" si="89"/>
        <v>#DIV/0!</v>
      </c>
      <c r="CA138" s="53" t="e">
        <f t="shared" si="90"/>
        <v>#DIV/0!</v>
      </c>
      <c r="CB138" s="53" t="e">
        <f t="shared" si="91"/>
        <v>#DIV/0!</v>
      </c>
      <c r="CC138" s="53" t="e">
        <f t="shared" si="92"/>
        <v>#DIV/0!</v>
      </c>
      <c r="CD138" s="53" t="e">
        <f t="shared" si="93"/>
        <v>#DIV/0!</v>
      </c>
      <c r="CE138" s="55">
        <f t="shared" si="75"/>
        <v>0</v>
      </c>
      <c r="CF138" s="55">
        <f t="shared" si="75"/>
        <v>0</v>
      </c>
      <c r="CG138" s="55">
        <f t="shared" si="75"/>
        <v>0</v>
      </c>
      <c r="CH138" s="55">
        <f t="shared" si="75"/>
        <v>0</v>
      </c>
      <c r="CI138" s="55">
        <f t="shared" si="75"/>
        <v>0</v>
      </c>
      <c r="CJ138" s="55">
        <f t="shared" si="75"/>
        <v>0</v>
      </c>
      <c r="CK138" s="55">
        <f t="shared" si="75"/>
        <v>0</v>
      </c>
      <c r="CL138" s="55">
        <f t="shared" si="75"/>
        <v>0</v>
      </c>
      <c r="CM138" s="55">
        <f t="shared" si="75"/>
        <v>0</v>
      </c>
    </row>
    <row r="139" spans="1:91" x14ac:dyDescent="0.15">
      <c r="A139" s="42">
        <v>137</v>
      </c>
      <c r="B139" s="45">
        <f t="shared" si="96"/>
        <v>1</v>
      </c>
      <c r="C139" s="45">
        <f t="shared" si="95"/>
        <v>1</v>
      </c>
      <c r="D139" s="45">
        <f t="shared" si="95"/>
        <v>1</v>
      </c>
      <c r="E139" s="45">
        <f t="shared" si="95"/>
        <v>1</v>
      </c>
      <c r="F139" s="45">
        <f t="shared" si="95"/>
        <v>1</v>
      </c>
      <c r="G139" s="45">
        <f t="shared" si="95"/>
        <v>1</v>
      </c>
      <c r="H139" s="45">
        <f t="shared" si="95"/>
        <v>1</v>
      </c>
      <c r="I139" s="45">
        <f t="shared" si="95"/>
        <v>1</v>
      </c>
      <c r="J139" s="45">
        <f t="shared" si="95"/>
        <v>1</v>
      </c>
      <c r="K139" s="45" t="e">
        <f>K138+ATM_Conf!$C$5*(T138-AC138)</f>
        <v>#DIV/0!</v>
      </c>
      <c r="L139" s="45" t="e">
        <f>L138+ATM_Conf!$C$5*(U138-AD138)</f>
        <v>#DIV/0!</v>
      </c>
      <c r="M139" s="45" t="e">
        <f>M138+ATM_Conf!$C$5*(V138-AE138)</f>
        <v>#DIV/0!</v>
      </c>
      <c r="N139" s="45" t="e">
        <f>N138+ATM_Conf!$C$5*(W138-AF138)</f>
        <v>#DIV/0!</v>
      </c>
      <c r="O139" s="45" t="e">
        <f>O138+ATM_Conf!$C$5*(X138-AG138)</f>
        <v>#DIV/0!</v>
      </c>
      <c r="P139" s="45" t="e">
        <f>P138+ATM_Conf!$C$5*(Y138-AH138)</f>
        <v>#DIV/0!</v>
      </c>
      <c r="Q139" s="45" t="e">
        <f>Q138+ATM_Conf!$C$5*(Z138-AI138)</f>
        <v>#DIV/0!</v>
      </c>
      <c r="R139" s="45" t="e">
        <f>R138+ATM_Conf!$C$5*(AA138-AJ138)</f>
        <v>#DIV/0!</v>
      </c>
      <c r="S139" s="45" t="e">
        <f>S138+ATM_Conf!$C$5*(AB138-AK138)</f>
        <v>#DIV/0!</v>
      </c>
      <c r="T139" s="45"/>
      <c r="U139" s="45"/>
      <c r="V139" s="45"/>
      <c r="W139" s="45"/>
      <c r="X139" s="45"/>
      <c r="Y139" s="45"/>
      <c r="Z139" s="45"/>
      <c r="AA139" s="45"/>
      <c r="AB139" s="45"/>
      <c r="AC139" s="45" t="e">
        <f t="shared" si="76"/>
        <v>#DIV/0!</v>
      </c>
      <c r="AD139" s="45" t="e">
        <f t="shared" si="77"/>
        <v>#DIV/0!</v>
      </c>
      <c r="AE139" s="45" t="e">
        <f t="shared" si="78"/>
        <v>#DIV/0!</v>
      </c>
      <c r="AF139" s="45" t="e">
        <f t="shared" si="79"/>
        <v>#DIV/0!</v>
      </c>
      <c r="AG139" s="45" t="e">
        <f t="shared" si="80"/>
        <v>#DIV/0!</v>
      </c>
      <c r="AH139" s="45" t="e">
        <f t="shared" si="81"/>
        <v>#DIV/0!</v>
      </c>
      <c r="AI139" s="45" t="e">
        <f t="shared" si="82"/>
        <v>#DIV/0!</v>
      </c>
      <c r="AJ139" s="45" t="e">
        <f t="shared" si="83"/>
        <v>#DIV/0!</v>
      </c>
      <c r="AK139" s="45" t="e">
        <f t="shared" si="84"/>
        <v>#DIV/0!</v>
      </c>
      <c r="AL139" s="45" t="e">
        <f>T$3+K139/ATM_Conf!$C$5</f>
        <v>#DIV/0!</v>
      </c>
      <c r="AM139" s="45" t="e">
        <f>U$3+L139/ATM_Conf!$C$5</f>
        <v>#DIV/0!</v>
      </c>
      <c r="AN139" s="45" t="e">
        <f>V$3+M139/ATM_Conf!$C$5</f>
        <v>#DIV/0!</v>
      </c>
      <c r="AO139" s="45" t="e">
        <f>W$3+N139/ATM_Conf!$C$5</f>
        <v>#DIV/0!</v>
      </c>
      <c r="AP139" s="45" t="e">
        <f>X$3+O139/ATM_Conf!$C$5</f>
        <v>#DIV/0!</v>
      </c>
      <c r="AQ139" s="45" t="e">
        <f>Y$3+P139/ATM_Conf!$C$5</f>
        <v>#DIV/0!</v>
      </c>
      <c r="AR139" s="45" t="e">
        <f>Z$3+Q139/ATM_Conf!$C$5</f>
        <v>#DIV/0!</v>
      </c>
      <c r="AS139" s="45" t="e">
        <f>AA$3+R139/ATM_Conf!$C$5</f>
        <v>#DIV/0!</v>
      </c>
      <c r="AT139" s="45" t="e">
        <f>AB$3+S139/ATM_Conf!$C$5</f>
        <v>#DIV/0!</v>
      </c>
      <c r="AU139" s="45" t="e">
        <f>BD$3*MIN(1,(ATM_Conf!$C$6-Links!F139)/(ATM_Conf!$C$6-ATM_Conf!$C$7))</f>
        <v>#DIV/0!</v>
      </c>
      <c r="AV139" s="45" t="e">
        <f>BE$3*MIN(1,(ATM_Conf!$C$6-Links!G139)/(ATM_Conf!$C$6-ATM_Conf!$C$7))</f>
        <v>#DIV/0!</v>
      </c>
      <c r="AW139" s="45" t="e">
        <f>BF$3*MIN(1,(ATM_Conf!$C$6-Links!H139)/(ATM_Conf!$C$6-ATM_Conf!$C$7))</f>
        <v>#DIV/0!</v>
      </c>
      <c r="AX139" s="45" t="e">
        <f>BG$3*MIN(1,(ATM_Conf!$C$6-Links!I139)/(ATM_Conf!$C$6-ATM_Conf!$C$7))</f>
        <v>#DIV/0!</v>
      </c>
      <c r="AY139" s="45" t="e">
        <f>BH$3*MIN(1,(ATM_Conf!$C$6-Links!J139)/(ATM_Conf!$C$6-ATM_Conf!$C$7))</f>
        <v>#DIV/0!</v>
      </c>
      <c r="AZ139" s="45" t="e">
        <f>BI$3*MIN(1,(ATM_Conf!$C$6-Links!K139)/(ATM_Conf!$C$6-ATM_Conf!$C$7))</f>
        <v>#DIV/0!</v>
      </c>
      <c r="BA139" s="45" t="e">
        <f>BJ$3*MIN(1,(ATM_Conf!$C$6-Links!L139)/(ATM_Conf!$C$6-ATM_Conf!$C$7))</f>
        <v>#DIV/0!</v>
      </c>
      <c r="BB139" s="45" t="e">
        <f>BK$3*MIN(1,(ATM_Conf!$C$6-Links!M139)/(ATM_Conf!$C$6-ATM_Conf!$C$7))</f>
        <v>#DIV/0!</v>
      </c>
      <c r="BC139" s="45" t="e">
        <f>BL$3*MIN(1,(ATM_Conf!$C$6-Links!N139)/(ATM_Conf!$C$6-ATM_Conf!$C$7))</f>
        <v>#DIV/0!</v>
      </c>
      <c r="BD139" s="45"/>
      <c r="BE139" s="45"/>
      <c r="BF139" s="45"/>
      <c r="BG139" s="45"/>
      <c r="BH139" s="45"/>
      <c r="BI139" s="45"/>
      <c r="BJ139" s="45"/>
      <c r="BK139" s="45"/>
      <c r="BL139" s="45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 t="e">
        <f t="shared" si="85"/>
        <v>#DIV/0!</v>
      </c>
      <c r="BW139" s="53" t="e">
        <f t="shared" si="86"/>
        <v>#DIV/0!</v>
      </c>
      <c r="BX139" s="53" t="e">
        <f t="shared" si="87"/>
        <v>#DIV/0!</v>
      </c>
      <c r="BY139" s="53" t="e">
        <f t="shared" si="88"/>
        <v>#DIV/0!</v>
      </c>
      <c r="BZ139" s="53" t="e">
        <f t="shared" si="89"/>
        <v>#DIV/0!</v>
      </c>
      <c r="CA139" s="53" t="e">
        <f t="shared" si="90"/>
        <v>#DIV/0!</v>
      </c>
      <c r="CB139" s="53" t="e">
        <f t="shared" si="91"/>
        <v>#DIV/0!</v>
      </c>
      <c r="CC139" s="53" t="e">
        <f t="shared" si="92"/>
        <v>#DIV/0!</v>
      </c>
      <c r="CD139" s="53" t="e">
        <f t="shared" si="93"/>
        <v>#DIV/0!</v>
      </c>
      <c r="CE139" s="55">
        <f t="shared" si="75"/>
        <v>0</v>
      </c>
      <c r="CF139" s="55">
        <f t="shared" si="75"/>
        <v>0</v>
      </c>
      <c r="CG139" s="55">
        <f t="shared" si="75"/>
        <v>0</v>
      </c>
      <c r="CH139" s="55">
        <f t="shared" si="75"/>
        <v>0</v>
      </c>
      <c r="CI139" s="55">
        <f t="shared" si="75"/>
        <v>0</v>
      </c>
      <c r="CJ139" s="55">
        <f t="shared" si="75"/>
        <v>0</v>
      </c>
      <c r="CK139" s="55">
        <f t="shared" si="75"/>
        <v>0</v>
      </c>
      <c r="CL139" s="55">
        <f t="shared" si="75"/>
        <v>0</v>
      </c>
      <c r="CM139" s="55">
        <f t="shared" si="75"/>
        <v>0</v>
      </c>
    </row>
    <row r="140" spans="1:91" x14ac:dyDescent="0.15">
      <c r="A140" s="42">
        <v>138</v>
      </c>
      <c r="B140" s="45">
        <f t="shared" si="96"/>
        <v>1</v>
      </c>
      <c r="C140" s="45">
        <f t="shared" si="95"/>
        <v>1</v>
      </c>
      <c r="D140" s="45">
        <f t="shared" si="95"/>
        <v>1</v>
      </c>
      <c r="E140" s="45">
        <f t="shared" si="95"/>
        <v>1</v>
      </c>
      <c r="F140" s="45">
        <f t="shared" si="95"/>
        <v>1</v>
      </c>
      <c r="G140" s="45">
        <f t="shared" si="95"/>
        <v>1</v>
      </c>
      <c r="H140" s="45">
        <f t="shared" si="95"/>
        <v>1</v>
      </c>
      <c r="I140" s="45">
        <f t="shared" si="95"/>
        <v>1</v>
      </c>
      <c r="J140" s="45">
        <f t="shared" si="95"/>
        <v>1</v>
      </c>
      <c r="K140" s="45" t="e">
        <f>K139+ATM_Conf!$C$5*(T139-AC139)</f>
        <v>#DIV/0!</v>
      </c>
      <c r="L140" s="45" t="e">
        <f>L139+ATM_Conf!$C$5*(U139-AD139)</f>
        <v>#DIV/0!</v>
      </c>
      <c r="M140" s="45" t="e">
        <f>M139+ATM_Conf!$C$5*(V139-AE139)</f>
        <v>#DIV/0!</v>
      </c>
      <c r="N140" s="45" t="e">
        <f>N139+ATM_Conf!$C$5*(W139-AF139)</f>
        <v>#DIV/0!</v>
      </c>
      <c r="O140" s="45" t="e">
        <f>O139+ATM_Conf!$C$5*(X139-AG139)</f>
        <v>#DIV/0!</v>
      </c>
      <c r="P140" s="45" t="e">
        <f>P139+ATM_Conf!$C$5*(Y139-AH139)</f>
        <v>#DIV/0!</v>
      </c>
      <c r="Q140" s="45" t="e">
        <f>Q139+ATM_Conf!$C$5*(Z139-AI139)</f>
        <v>#DIV/0!</v>
      </c>
      <c r="R140" s="45" t="e">
        <f>R139+ATM_Conf!$C$5*(AA139-AJ139)</f>
        <v>#DIV/0!</v>
      </c>
      <c r="S140" s="45" t="e">
        <f>S139+ATM_Conf!$C$5*(AB139-AK139)</f>
        <v>#DIV/0!</v>
      </c>
      <c r="T140" s="45"/>
      <c r="U140" s="45"/>
      <c r="V140" s="45"/>
      <c r="W140" s="45"/>
      <c r="X140" s="45"/>
      <c r="Y140" s="45"/>
      <c r="Z140" s="45"/>
      <c r="AA140" s="45"/>
      <c r="AB140" s="45"/>
      <c r="AC140" s="45" t="e">
        <f t="shared" si="76"/>
        <v>#DIV/0!</v>
      </c>
      <c r="AD140" s="45" t="e">
        <f t="shared" si="77"/>
        <v>#DIV/0!</v>
      </c>
      <c r="AE140" s="45" t="e">
        <f t="shared" si="78"/>
        <v>#DIV/0!</v>
      </c>
      <c r="AF140" s="45" t="e">
        <f t="shared" si="79"/>
        <v>#DIV/0!</v>
      </c>
      <c r="AG140" s="45" t="e">
        <f t="shared" si="80"/>
        <v>#DIV/0!</v>
      </c>
      <c r="AH140" s="45" t="e">
        <f t="shared" si="81"/>
        <v>#DIV/0!</v>
      </c>
      <c r="AI140" s="45" t="e">
        <f t="shared" si="82"/>
        <v>#DIV/0!</v>
      </c>
      <c r="AJ140" s="45" t="e">
        <f t="shared" si="83"/>
        <v>#DIV/0!</v>
      </c>
      <c r="AK140" s="45" t="e">
        <f t="shared" si="84"/>
        <v>#DIV/0!</v>
      </c>
      <c r="AL140" s="45" t="e">
        <f>T$3+K140/ATM_Conf!$C$5</f>
        <v>#DIV/0!</v>
      </c>
      <c r="AM140" s="45" t="e">
        <f>U$3+L140/ATM_Conf!$C$5</f>
        <v>#DIV/0!</v>
      </c>
      <c r="AN140" s="45" t="e">
        <f>V$3+M140/ATM_Conf!$C$5</f>
        <v>#DIV/0!</v>
      </c>
      <c r="AO140" s="45" t="e">
        <f>W$3+N140/ATM_Conf!$C$5</f>
        <v>#DIV/0!</v>
      </c>
      <c r="AP140" s="45" t="e">
        <f>X$3+O140/ATM_Conf!$C$5</f>
        <v>#DIV/0!</v>
      </c>
      <c r="AQ140" s="45" t="e">
        <f>Y$3+P140/ATM_Conf!$C$5</f>
        <v>#DIV/0!</v>
      </c>
      <c r="AR140" s="45" t="e">
        <f>Z$3+Q140/ATM_Conf!$C$5</f>
        <v>#DIV/0!</v>
      </c>
      <c r="AS140" s="45" t="e">
        <f>AA$3+R140/ATM_Conf!$C$5</f>
        <v>#DIV/0!</v>
      </c>
      <c r="AT140" s="45" t="e">
        <f>AB$3+S140/ATM_Conf!$C$5</f>
        <v>#DIV/0!</v>
      </c>
      <c r="AU140" s="45" t="e">
        <f>BD$3*MIN(1,(ATM_Conf!$C$6-Links!F140)/(ATM_Conf!$C$6-ATM_Conf!$C$7))</f>
        <v>#DIV/0!</v>
      </c>
      <c r="AV140" s="45" t="e">
        <f>BE$3*MIN(1,(ATM_Conf!$C$6-Links!G140)/(ATM_Conf!$C$6-ATM_Conf!$C$7))</f>
        <v>#DIV/0!</v>
      </c>
      <c r="AW140" s="45" t="e">
        <f>BF$3*MIN(1,(ATM_Conf!$C$6-Links!H140)/(ATM_Conf!$C$6-ATM_Conf!$C$7))</f>
        <v>#DIV/0!</v>
      </c>
      <c r="AX140" s="45" t="e">
        <f>BG$3*MIN(1,(ATM_Conf!$C$6-Links!I140)/(ATM_Conf!$C$6-ATM_Conf!$C$7))</f>
        <v>#DIV/0!</v>
      </c>
      <c r="AY140" s="45" t="e">
        <f>BH$3*MIN(1,(ATM_Conf!$C$6-Links!J140)/(ATM_Conf!$C$6-ATM_Conf!$C$7))</f>
        <v>#DIV/0!</v>
      </c>
      <c r="AZ140" s="45" t="e">
        <f>BI$3*MIN(1,(ATM_Conf!$C$6-Links!K140)/(ATM_Conf!$C$6-ATM_Conf!$C$7))</f>
        <v>#DIV/0!</v>
      </c>
      <c r="BA140" s="45" t="e">
        <f>BJ$3*MIN(1,(ATM_Conf!$C$6-Links!L140)/(ATM_Conf!$C$6-ATM_Conf!$C$7))</f>
        <v>#DIV/0!</v>
      </c>
      <c r="BB140" s="45" t="e">
        <f>BK$3*MIN(1,(ATM_Conf!$C$6-Links!M140)/(ATM_Conf!$C$6-ATM_Conf!$C$7))</f>
        <v>#DIV/0!</v>
      </c>
      <c r="BC140" s="45" t="e">
        <f>BL$3*MIN(1,(ATM_Conf!$C$6-Links!N140)/(ATM_Conf!$C$6-ATM_Conf!$C$7))</f>
        <v>#DIV/0!</v>
      </c>
      <c r="BD140" s="45"/>
      <c r="BE140" s="45"/>
      <c r="BF140" s="45"/>
      <c r="BG140" s="45"/>
      <c r="BH140" s="45"/>
      <c r="BI140" s="45"/>
      <c r="BJ140" s="45"/>
      <c r="BK140" s="45"/>
      <c r="BL140" s="45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 t="e">
        <f t="shared" si="85"/>
        <v>#DIV/0!</v>
      </c>
      <c r="BW140" s="53" t="e">
        <f t="shared" si="86"/>
        <v>#DIV/0!</v>
      </c>
      <c r="BX140" s="53" t="e">
        <f t="shared" si="87"/>
        <v>#DIV/0!</v>
      </c>
      <c r="BY140" s="53" t="e">
        <f t="shared" si="88"/>
        <v>#DIV/0!</v>
      </c>
      <c r="BZ140" s="53" t="e">
        <f t="shared" si="89"/>
        <v>#DIV/0!</v>
      </c>
      <c r="CA140" s="53" t="e">
        <f t="shared" si="90"/>
        <v>#DIV/0!</v>
      </c>
      <c r="CB140" s="53" t="e">
        <f t="shared" si="91"/>
        <v>#DIV/0!</v>
      </c>
      <c r="CC140" s="53" t="e">
        <f t="shared" si="92"/>
        <v>#DIV/0!</v>
      </c>
      <c r="CD140" s="53" t="e">
        <f t="shared" si="93"/>
        <v>#DIV/0!</v>
      </c>
      <c r="CE140" s="55">
        <f t="shared" si="75"/>
        <v>0</v>
      </c>
      <c r="CF140" s="55">
        <f t="shared" si="75"/>
        <v>0</v>
      </c>
      <c r="CG140" s="55">
        <f t="shared" si="75"/>
        <v>0</v>
      </c>
      <c r="CH140" s="55">
        <f t="shared" si="75"/>
        <v>0</v>
      </c>
      <c r="CI140" s="55">
        <f t="shared" si="75"/>
        <v>0</v>
      </c>
      <c r="CJ140" s="55">
        <f t="shared" si="75"/>
        <v>0</v>
      </c>
      <c r="CK140" s="55">
        <f t="shared" si="75"/>
        <v>0</v>
      </c>
      <c r="CL140" s="55">
        <f t="shared" si="75"/>
        <v>0</v>
      </c>
      <c r="CM140" s="55">
        <f t="shared" si="75"/>
        <v>0</v>
      </c>
    </row>
    <row r="141" spans="1:91" x14ac:dyDescent="0.15">
      <c r="A141" s="42">
        <v>139</v>
      </c>
      <c r="B141" s="45">
        <f t="shared" si="96"/>
        <v>1</v>
      </c>
      <c r="C141" s="45">
        <f t="shared" si="95"/>
        <v>1</v>
      </c>
      <c r="D141" s="45">
        <f t="shared" si="95"/>
        <v>1</v>
      </c>
      <c r="E141" s="45">
        <f t="shared" si="95"/>
        <v>1</v>
      </c>
      <c r="F141" s="45">
        <f t="shared" si="95"/>
        <v>1</v>
      </c>
      <c r="G141" s="45">
        <f t="shared" si="95"/>
        <v>1</v>
      </c>
      <c r="H141" s="45">
        <f t="shared" si="95"/>
        <v>1</v>
      </c>
      <c r="I141" s="45">
        <f t="shared" si="95"/>
        <v>1</v>
      </c>
      <c r="J141" s="45">
        <f t="shared" si="95"/>
        <v>1</v>
      </c>
      <c r="K141" s="45" t="e">
        <f>K140+ATM_Conf!$C$5*(T140-AC140)</f>
        <v>#DIV/0!</v>
      </c>
      <c r="L141" s="45" t="e">
        <f>L140+ATM_Conf!$C$5*(U140-AD140)</f>
        <v>#DIV/0!</v>
      </c>
      <c r="M141" s="45" t="e">
        <f>M140+ATM_Conf!$C$5*(V140-AE140)</f>
        <v>#DIV/0!</v>
      </c>
      <c r="N141" s="45" t="e">
        <f>N140+ATM_Conf!$C$5*(W140-AF140)</f>
        <v>#DIV/0!</v>
      </c>
      <c r="O141" s="45" t="e">
        <f>O140+ATM_Conf!$C$5*(X140-AG140)</f>
        <v>#DIV/0!</v>
      </c>
      <c r="P141" s="45" t="e">
        <f>P140+ATM_Conf!$C$5*(Y140-AH140)</f>
        <v>#DIV/0!</v>
      </c>
      <c r="Q141" s="45" t="e">
        <f>Q140+ATM_Conf!$C$5*(Z140-AI140)</f>
        <v>#DIV/0!</v>
      </c>
      <c r="R141" s="45" t="e">
        <f>R140+ATM_Conf!$C$5*(AA140-AJ140)</f>
        <v>#DIV/0!</v>
      </c>
      <c r="S141" s="45" t="e">
        <f>S140+ATM_Conf!$C$5*(AB140-AK140)</f>
        <v>#DIV/0!</v>
      </c>
      <c r="T141" s="45"/>
      <c r="U141" s="45"/>
      <c r="V141" s="45"/>
      <c r="W141" s="45"/>
      <c r="X141" s="45"/>
      <c r="Y141" s="45"/>
      <c r="Z141" s="45"/>
      <c r="AA141" s="45"/>
      <c r="AB141" s="45"/>
      <c r="AC141" s="45" t="e">
        <f t="shared" si="76"/>
        <v>#DIV/0!</v>
      </c>
      <c r="AD141" s="45" t="e">
        <f t="shared" si="77"/>
        <v>#DIV/0!</v>
      </c>
      <c r="AE141" s="45" t="e">
        <f t="shared" si="78"/>
        <v>#DIV/0!</v>
      </c>
      <c r="AF141" s="45" t="e">
        <f t="shared" si="79"/>
        <v>#DIV/0!</v>
      </c>
      <c r="AG141" s="45" t="e">
        <f t="shared" si="80"/>
        <v>#DIV/0!</v>
      </c>
      <c r="AH141" s="45" t="e">
        <f t="shared" si="81"/>
        <v>#DIV/0!</v>
      </c>
      <c r="AI141" s="45" t="e">
        <f t="shared" si="82"/>
        <v>#DIV/0!</v>
      </c>
      <c r="AJ141" s="45" t="e">
        <f t="shared" si="83"/>
        <v>#DIV/0!</v>
      </c>
      <c r="AK141" s="45" t="e">
        <f t="shared" si="84"/>
        <v>#DIV/0!</v>
      </c>
      <c r="AL141" s="45" t="e">
        <f>T$3+K141/ATM_Conf!$C$5</f>
        <v>#DIV/0!</v>
      </c>
      <c r="AM141" s="45" t="e">
        <f>U$3+L141/ATM_Conf!$C$5</f>
        <v>#DIV/0!</v>
      </c>
      <c r="AN141" s="45" t="e">
        <f>V$3+M141/ATM_Conf!$C$5</f>
        <v>#DIV/0!</v>
      </c>
      <c r="AO141" s="45" t="e">
        <f>W$3+N141/ATM_Conf!$C$5</f>
        <v>#DIV/0!</v>
      </c>
      <c r="AP141" s="45" t="e">
        <f>X$3+O141/ATM_Conf!$C$5</f>
        <v>#DIV/0!</v>
      </c>
      <c r="AQ141" s="45" t="e">
        <f>Y$3+P141/ATM_Conf!$C$5</f>
        <v>#DIV/0!</v>
      </c>
      <c r="AR141" s="45" t="e">
        <f>Z$3+Q141/ATM_Conf!$C$5</f>
        <v>#DIV/0!</v>
      </c>
      <c r="AS141" s="45" t="e">
        <f>AA$3+R141/ATM_Conf!$C$5</f>
        <v>#DIV/0!</v>
      </c>
      <c r="AT141" s="45" t="e">
        <f>AB$3+S141/ATM_Conf!$C$5</f>
        <v>#DIV/0!</v>
      </c>
      <c r="AU141" s="45" t="e">
        <f>BD$3*MIN(1,(ATM_Conf!$C$6-Links!F141)/(ATM_Conf!$C$6-ATM_Conf!$C$7))</f>
        <v>#DIV/0!</v>
      </c>
      <c r="AV141" s="45" t="e">
        <f>BE$3*MIN(1,(ATM_Conf!$C$6-Links!G141)/(ATM_Conf!$C$6-ATM_Conf!$C$7))</f>
        <v>#DIV/0!</v>
      </c>
      <c r="AW141" s="45" t="e">
        <f>BF$3*MIN(1,(ATM_Conf!$C$6-Links!H141)/(ATM_Conf!$C$6-ATM_Conf!$C$7))</f>
        <v>#DIV/0!</v>
      </c>
      <c r="AX141" s="45" t="e">
        <f>BG$3*MIN(1,(ATM_Conf!$C$6-Links!I141)/(ATM_Conf!$C$6-ATM_Conf!$C$7))</f>
        <v>#DIV/0!</v>
      </c>
      <c r="AY141" s="45" t="e">
        <f>BH$3*MIN(1,(ATM_Conf!$C$6-Links!J141)/(ATM_Conf!$C$6-ATM_Conf!$C$7))</f>
        <v>#DIV/0!</v>
      </c>
      <c r="AZ141" s="45" t="e">
        <f>BI$3*MIN(1,(ATM_Conf!$C$6-Links!K141)/(ATM_Conf!$C$6-ATM_Conf!$C$7))</f>
        <v>#DIV/0!</v>
      </c>
      <c r="BA141" s="45" t="e">
        <f>BJ$3*MIN(1,(ATM_Conf!$C$6-Links!L141)/(ATM_Conf!$C$6-ATM_Conf!$C$7))</f>
        <v>#DIV/0!</v>
      </c>
      <c r="BB141" s="45" t="e">
        <f>BK$3*MIN(1,(ATM_Conf!$C$6-Links!M141)/(ATM_Conf!$C$6-ATM_Conf!$C$7))</f>
        <v>#DIV/0!</v>
      </c>
      <c r="BC141" s="45" t="e">
        <f>BL$3*MIN(1,(ATM_Conf!$C$6-Links!N141)/(ATM_Conf!$C$6-ATM_Conf!$C$7))</f>
        <v>#DIV/0!</v>
      </c>
      <c r="BD141" s="45"/>
      <c r="BE141" s="45"/>
      <c r="BF141" s="45"/>
      <c r="BG141" s="45"/>
      <c r="BH141" s="45"/>
      <c r="BI141" s="45"/>
      <c r="BJ141" s="45"/>
      <c r="BK141" s="45"/>
      <c r="BL141" s="45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 t="e">
        <f t="shared" si="85"/>
        <v>#DIV/0!</v>
      </c>
      <c r="BW141" s="53" t="e">
        <f t="shared" si="86"/>
        <v>#DIV/0!</v>
      </c>
      <c r="BX141" s="53" t="e">
        <f t="shared" si="87"/>
        <v>#DIV/0!</v>
      </c>
      <c r="BY141" s="53" t="e">
        <f t="shared" si="88"/>
        <v>#DIV/0!</v>
      </c>
      <c r="BZ141" s="53" t="e">
        <f t="shared" si="89"/>
        <v>#DIV/0!</v>
      </c>
      <c r="CA141" s="53" t="e">
        <f t="shared" si="90"/>
        <v>#DIV/0!</v>
      </c>
      <c r="CB141" s="53" t="e">
        <f t="shared" si="91"/>
        <v>#DIV/0!</v>
      </c>
      <c r="CC141" s="53" t="e">
        <f t="shared" si="92"/>
        <v>#DIV/0!</v>
      </c>
      <c r="CD141" s="53" t="e">
        <f t="shared" si="93"/>
        <v>#DIV/0!</v>
      </c>
      <c r="CE141" s="55">
        <f t="shared" si="75"/>
        <v>0</v>
      </c>
      <c r="CF141" s="55">
        <f t="shared" si="75"/>
        <v>0</v>
      </c>
      <c r="CG141" s="55">
        <f t="shared" si="75"/>
        <v>0</v>
      </c>
      <c r="CH141" s="55">
        <f t="shared" si="75"/>
        <v>0</v>
      </c>
      <c r="CI141" s="55">
        <f t="shared" si="75"/>
        <v>0</v>
      </c>
      <c r="CJ141" s="55">
        <f t="shared" si="75"/>
        <v>0</v>
      </c>
      <c r="CK141" s="55">
        <f t="shared" si="75"/>
        <v>0</v>
      </c>
      <c r="CL141" s="55">
        <f t="shared" si="75"/>
        <v>0</v>
      </c>
      <c r="CM141" s="55">
        <f t="shared" si="75"/>
        <v>0</v>
      </c>
    </row>
    <row r="142" spans="1:91" x14ac:dyDescent="0.15">
      <c r="A142" s="42">
        <v>140</v>
      </c>
      <c r="B142" s="45">
        <f t="shared" si="96"/>
        <v>1</v>
      </c>
      <c r="C142" s="45">
        <f t="shared" si="95"/>
        <v>1</v>
      </c>
      <c r="D142" s="45">
        <f t="shared" si="95"/>
        <v>1</v>
      </c>
      <c r="E142" s="45">
        <f t="shared" si="95"/>
        <v>1</v>
      </c>
      <c r="F142" s="45">
        <f t="shared" si="95"/>
        <v>1</v>
      </c>
      <c r="G142" s="45">
        <f t="shared" si="95"/>
        <v>1</v>
      </c>
      <c r="H142" s="45">
        <f t="shared" si="95"/>
        <v>1</v>
      </c>
      <c r="I142" s="45">
        <f t="shared" si="95"/>
        <v>1</v>
      </c>
      <c r="J142" s="45">
        <f t="shared" si="95"/>
        <v>1</v>
      </c>
      <c r="K142" s="45" t="e">
        <f>K141+ATM_Conf!$C$5*(T141-AC141)</f>
        <v>#DIV/0!</v>
      </c>
      <c r="L142" s="45" t="e">
        <f>L141+ATM_Conf!$C$5*(U141-AD141)</f>
        <v>#DIV/0!</v>
      </c>
      <c r="M142" s="45" t="e">
        <f>M141+ATM_Conf!$C$5*(V141-AE141)</f>
        <v>#DIV/0!</v>
      </c>
      <c r="N142" s="45" t="e">
        <f>N141+ATM_Conf!$C$5*(W141-AF141)</f>
        <v>#DIV/0!</v>
      </c>
      <c r="O142" s="45" t="e">
        <f>O141+ATM_Conf!$C$5*(X141-AG141)</f>
        <v>#DIV/0!</v>
      </c>
      <c r="P142" s="45" t="e">
        <f>P141+ATM_Conf!$C$5*(Y141-AH141)</f>
        <v>#DIV/0!</v>
      </c>
      <c r="Q142" s="45" t="e">
        <f>Q141+ATM_Conf!$C$5*(Z141-AI141)</f>
        <v>#DIV/0!</v>
      </c>
      <c r="R142" s="45" t="e">
        <f>R141+ATM_Conf!$C$5*(AA141-AJ141)</f>
        <v>#DIV/0!</v>
      </c>
      <c r="S142" s="45" t="e">
        <f>S141+ATM_Conf!$C$5*(AB141-AK141)</f>
        <v>#DIV/0!</v>
      </c>
      <c r="T142" s="45"/>
      <c r="U142" s="45"/>
      <c r="V142" s="45"/>
      <c r="W142" s="45"/>
      <c r="X142" s="45"/>
      <c r="Y142" s="45"/>
      <c r="Z142" s="45"/>
      <c r="AA142" s="45"/>
      <c r="AB142" s="45"/>
      <c r="AC142" s="45" t="e">
        <f t="shared" si="76"/>
        <v>#DIV/0!</v>
      </c>
      <c r="AD142" s="45" t="e">
        <f t="shared" si="77"/>
        <v>#DIV/0!</v>
      </c>
      <c r="AE142" s="45" t="e">
        <f t="shared" si="78"/>
        <v>#DIV/0!</v>
      </c>
      <c r="AF142" s="45" t="e">
        <f t="shared" si="79"/>
        <v>#DIV/0!</v>
      </c>
      <c r="AG142" s="45" t="e">
        <f t="shared" si="80"/>
        <v>#DIV/0!</v>
      </c>
      <c r="AH142" s="45" t="e">
        <f t="shared" si="81"/>
        <v>#DIV/0!</v>
      </c>
      <c r="AI142" s="45" t="e">
        <f t="shared" si="82"/>
        <v>#DIV/0!</v>
      </c>
      <c r="AJ142" s="45" t="e">
        <f t="shared" si="83"/>
        <v>#DIV/0!</v>
      </c>
      <c r="AK142" s="45" t="e">
        <f t="shared" si="84"/>
        <v>#DIV/0!</v>
      </c>
      <c r="AL142" s="45" t="e">
        <f>T$3+K142/ATM_Conf!$C$5</f>
        <v>#DIV/0!</v>
      </c>
      <c r="AM142" s="45" t="e">
        <f>U$3+L142/ATM_Conf!$C$5</f>
        <v>#DIV/0!</v>
      </c>
      <c r="AN142" s="45" t="e">
        <f>V$3+M142/ATM_Conf!$C$5</f>
        <v>#DIV/0!</v>
      </c>
      <c r="AO142" s="45" t="e">
        <f>W$3+N142/ATM_Conf!$C$5</f>
        <v>#DIV/0!</v>
      </c>
      <c r="AP142" s="45" t="e">
        <f>X$3+O142/ATM_Conf!$C$5</f>
        <v>#DIV/0!</v>
      </c>
      <c r="AQ142" s="45" t="e">
        <f>Y$3+P142/ATM_Conf!$C$5</f>
        <v>#DIV/0!</v>
      </c>
      <c r="AR142" s="45" t="e">
        <f>Z$3+Q142/ATM_Conf!$C$5</f>
        <v>#DIV/0!</v>
      </c>
      <c r="AS142" s="45" t="e">
        <f>AA$3+R142/ATM_Conf!$C$5</f>
        <v>#DIV/0!</v>
      </c>
      <c r="AT142" s="45" t="e">
        <f>AB$3+S142/ATM_Conf!$C$5</f>
        <v>#DIV/0!</v>
      </c>
      <c r="AU142" s="45" t="e">
        <f>BD$3*MIN(1,(ATM_Conf!$C$6-Links!F142)/(ATM_Conf!$C$6-ATM_Conf!$C$7))</f>
        <v>#DIV/0!</v>
      </c>
      <c r="AV142" s="45" t="e">
        <f>BE$3*MIN(1,(ATM_Conf!$C$6-Links!G142)/(ATM_Conf!$C$6-ATM_Conf!$C$7))</f>
        <v>#DIV/0!</v>
      </c>
      <c r="AW142" s="45" t="e">
        <f>BF$3*MIN(1,(ATM_Conf!$C$6-Links!H142)/(ATM_Conf!$C$6-ATM_Conf!$C$7))</f>
        <v>#DIV/0!</v>
      </c>
      <c r="AX142" s="45" t="e">
        <f>BG$3*MIN(1,(ATM_Conf!$C$6-Links!I142)/(ATM_Conf!$C$6-ATM_Conf!$C$7))</f>
        <v>#DIV/0!</v>
      </c>
      <c r="AY142" s="45" t="e">
        <f>BH$3*MIN(1,(ATM_Conf!$C$6-Links!J142)/(ATM_Conf!$C$6-ATM_Conf!$C$7))</f>
        <v>#DIV/0!</v>
      </c>
      <c r="AZ142" s="45" t="e">
        <f>BI$3*MIN(1,(ATM_Conf!$C$6-Links!K142)/(ATM_Conf!$C$6-ATM_Conf!$C$7))</f>
        <v>#DIV/0!</v>
      </c>
      <c r="BA142" s="45" t="e">
        <f>BJ$3*MIN(1,(ATM_Conf!$C$6-Links!L142)/(ATM_Conf!$C$6-ATM_Conf!$C$7))</f>
        <v>#DIV/0!</v>
      </c>
      <c r="BB142" s="45" t="e">
        <f>BK$3*MIN(1,(ATM_Conf!$C$6-Links!M142)/(ATM_Conf!$C$6-ATM_Conf!$C$7))</f>
        <v>#DIV/0!</v>
      </c>
      <c r="BC142" s="45" t="e">
        <f>BL$3*MIN(1,(ATM_Conf!$C$6-Links!N142)/(ATM_Conf!$C$6-ATM_Conf!$C$7))</f>
        <v>#DIV/0!</v>
      </c>
      <c r="BD142" s="45"/>
      <c r="BE142" s="45"/>
      <c r="BF142" s="45"/>
      <c r="BG142" s="45"/>
      <c r="BH142" s="45"/>
      <c r="BI142" s="45"/>
      <c r="BJ142" s="45"/>
      <c r="BK142" s="45"/>
      <c r="BL142" s="45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 t="e">
        <f t="shared" si="85"/>
        <v>#DIV/0!</v>
      </c>
      <c r="BW142" s="53" t="e">
        <f t="shared" si="86"/>
        <v>#DIV/0!</v>
      </c>
      <c r="BX142" s="53" t="e">
        <f t="shared" si="87"/>
        <v>#DIV/0!</v>
      </c>
      <c r="BY142" s="53" t="e">
        <f t="shared" si="88"/>
        <v>#DIV/0!</v>
      </c>
      <c r="BZ142" s="53" t="e">
        <f t="shared" si="89"/>
        <v>#DIV/0!</v>
      </c>
      <c r="CA142" s="53" t="e">
        <f t="shared" si="90"/>
        <v>#DIV/0!</v>
      </c>
      <c r="CB142" s="53" t="e">
        <f t="shared" si="91"/>
        <v>#DIV/0!</v>
      </c>
      <c r="CC142" s="53" t="e">
        <f t="shared" si="92"/>
        <v>#DIV/0!</v>
      </c>
      <c r="CD142" s="53" t="e">
        <f t="shared" si="93"/>
        <v>#DIV/0!</v>
      </c>
      <c r="CE142" s="55">
        <f t="shared" si="75"/>
        <v>0</v>
      </c>
      <c r="CF142" s="55">
        <f t="shared" si="75"/>
        <v>0</v>
      </c>
      <c r="CG142" s="55">
        <f t="shared" si="75"/>
        <v>0</v>
      </c>
      <c r="CH142" s="55">
        <f t="shared" si="75"/>
        <v>0</v>
      </c>
      <c r="CI142" s="55">
        <f t="shared" si="75"/>
        <v>0</v>
      </c>
      <c r="CJ142" s="55">
        <f t="shared" si="75"/>
        <v>0</v>
      </c>
      <c r="CK142" s="55">
        <f t="shared" si="75"/>
        <v>0</v>
      </c>
      <c r="CL142" s="55">
        <f t="shared" si="75"/>
        <v>0</v>
      </c>
      <c r="CM142" s="55">
        <f t="shared" si="75"/>
        <v>0</v>
      </c>
    </row>
    <row r="143" spans="1:91" x14ac:dyDescent="0.15">
      <c r="A143" s="42">
        <v>141</v>
      </c>
      <c r="B143" s="45">
        <f t="shared" si="96"/>
        <v>1</v>
      </c>
      <c r="C143" s="45">
        <f t="shared" si="95"/>
        <v>1</v>
      </c>
      <c r="D143" s="45">
        <f t="shared" si="95"/>
        <v>1</v>
      </c>
      <c r="E143" s="45">
        <f t="shared" si="95"/>
        <v>1</v>
      </c>
      <c r="F143" s="45">
        <f t="shared" si="95"/>
        <v>1</v>
      </c>
      <c r="G143" s="45">
        <f t="shared" si="95"/>
        <v>1</v>
      </c>
      <c r="H143" s="45">
        <f t="shared" si="95"/>
        <v>1</v>
      </c>
      <c r="I143" s="45">
        <f t="shared" si="95"/>
        <v>1</v>
      </c>
      <c r="J143" s="45">
        <f t="shared" si="95"/>
        <v>1</v>
      </c>
      <c r="K143" s="45" t="e">
        <f>K142+ATM_Conf!$C$5*(T142-AC142)</f>
        <v>#DIV/0!</v>
      </c>
      <c r="L143" s="45" t="e">
        <f>L142+ATM_Conf!$C$5*(U142-AD142)</f>
        <v>#DIV/0!</v>
      </c>
      <c r="M143" s="45" t="e">
        <f>M142+ATM_Conf!$C$5*(V142-AE142)</f>
        <v>#DIV/0!</v>
      </c>
      <c r="N143" s="45" t="e">
        <f>N142+ATM_Conf!$C$5*(W142-AF142)</f>
        <v>#DIV/0!</v>
      </c>
      <c r="O143" s="45" t="e">
        <f>O142+ATM_Conf!$C$5*(X142-AG142)</f>
        <v>#DIV/0!</v>
      </c>
      <c r="P143" s="45" t="e">
        <f>P142+ATM_Conf!$C$5*(Y142-AH142)</f>
        <v>#DIV/0!</v>
      </c>
      <c r="Q143" s="45" t="e">
        <f>Q142+ATM_Conf!$C$5*(Z142-AI142)</f>
        <v>#DIV/0!</v>
      </c>
      <c r="R143" s="45" t="e">
        <f>R142+ATM_Conf!$C$5*(AA142-AJ142)</f>
        <v>#DIV/0!</v>
      </c>
      <c r="S143" s="45" t="e">
        <f>S142+ATM_Conf!$C$5*(AB142-AK142)</f>
        <v>#DIV/0!</v>
      </c>
      <c r="T143" s="45"/>
      <c r="U143" s="45"/>
      <c r="V143" s="45"/>
      <c r="W143" s="45"/>
      <c r="X143" s="45"/>
      <c r="Y143" s="45"/>
      <c r="Z143" s="45"/>
      <c r="AA143" s="45"/>
      <c r="AB143" s="45"/>
      <c r="AC143" s="45" t="e">
        <f t="shared" si="76"/>
        <v>#DIV/0!</v>
      </c>
      <c r="AD143" s="45" t="e">
        <f t="shared" si="77"/>
        <v>#DIV/0!</v>
      </c>
      <c r="AE143" s="45" t="e">
        <f t="shared" si="78"/>
        <v>#DIV/0!</v>
      </c>
      <c r="AF143" s="45" t="e">
        <f t="shared" si="79"/>
        <v>#DIV/0!</v>
      </c>
      <c r="AG143" s="45" t="e">
        <f t="shared" si="80"/>
        <v>#DIV/0!</v>
      </c>
      <c r="AH143" s="45" t="e">
        <f t="shared" si="81"/>
        <v>#DIV/0!</v>
      </c>
      <c r="AI143" s="45" t="e">
        <f t="shared" si="82"/>
        <v>#DIV/0!</v>
      </c>
      <c r="AJ143" s="45" t="e">
        <f t="shared" si="83"/>
        <v>#DIV/0!</v>
      </c>
      <c r="AK143" s="45" t="e">
        <f t="shared" si="84"/>
        <v>#DIV/0!</v>
      </c>
      <c r="AL143" s="45" t="e">
        <f>T$3+K143/ATM_Conf!$C$5</f>
        <v>#DIV/0!</v>
      </c>
      <c r="AM143" s="45" t="e">
        <f>U$3+L143/ATM_Conf!$C$5</f>
        <v>#DIV/0!</v>
      </c>
      <c r="AN143" s="45" t="e">
        <f>V$3+M143/ATM_Conf!$C$5</f>
        <v>#DIV/0!</v>
      </c>
      <c r="AO143" s="45" t="e">
        <f>W$3+N143/ATM_Conf!$C$5</f>
        <v>#DIV/0!</v>
      </c>
      <c r="AP143" s="45" t="e">
        <f>X$3+O143/ATM_Conf!$C$5</f>
        <v>#DIV/0!</v>
      </c>
      <c r="AQ143" s="45" t="e">
        <f>Y$3+P143/ATM_Conf!$C$5</f>
        <v>#DIV/0!</v>
      </c>
      <c r="AR143" s="45" t="e">
        <f>Z$3+Q143/ATM_Conf!$C$5</f>
        <v>#DIV/0!</v>
      </c>
      <c r="AS143" s="45" t="e">
        <f>AA$3+R143/ATM_Conf!$C$5</f>
        <v>#DIV/0!</v>
      </c>
      <c r="AT143" s="45" t="e">
        <f>AB$3+S143/ATM_Conf!$C$5</f>
        <v>#DIV/0!</v>
      </c>
      <c r="AU143" s="45" t="e">
        <f>BD$3*MIN(1,(ATM_Conf!$C$6-Links!F143)/(ATM_Conf!$C$6-ATM_Conf!$C$7))</f>
        <v>#DIV/0!</v>
      </c>
      <c r="AV143" s="45" t="e">
        <f>BE$3*MIN(1,(ATM_Conf!$C$6-Links!G143)/(ATM_Conf!$C$6-ATM_Conf!$C$7))</f>
        <v>#DIV/0!</v>
      </c>
      <c r="AW143" s="45" t="e">
        <f>BF$3*MIN(1,(ATM_Conf!$C$6-Links!H143)/(ATM_Conf!$C$6-ATM_Conf!$C$7))</f>
        <v>#DIV/0!</v>
      </c>
      <c r="AX143" s="45" t="e">
        <f>BG$3*MIN(1,(ATM_Conf!$C$6-Links!I143)/(ATM_Conf!$C$6-ATM_Conf!$C$7))</f>
        <v>#DIV/0!</v>
      </c>
      <c r="AY143" s="45" t="e">
        <f>BH$3*MIN(1,(ATM_Conf!$C$6-Links!J143)/(ATM_Conf!$C$6-ATM_Conf!$C$7))</f>
        <v>#DIV/0!</v>
      </c>
      <c r="AZ143" s="45" t="e">
        <f>BI$3*MIN(1,(ATM_Conf!$C$6-Links!K143)/(ATM_Conf!$C$6-ATM_Conf!$C$7))</f>
        <v>#DIV/0!</v>
      </c>
      <c r="BA143" s="45" t="e">
        <f>BJ$3*MIN(1,(ATM_Conf!$C$6-Links!L143)/(ATM_Conf!$C$6-ATM_Conf!$C$7))</f>
        <v>#DIV/0!</v>
      </c>
      <c r="BB143" s="45" t="e">
        <f>BK$3*MIN(1,(ATM_Conf!$C$6-Links!M143)/(ATM_Conf!$C$6-ATM_Conf!$C$7))</f>
        <v>#DIV/0!</v>
      </c>
      <c r="BC143" s="45" t="e">
        <f>BL$3*MIN(1,(ATM_Conf!$C$6-Links!N143)/(ATM_Conf!$C$6-ATM_Conf!$C$7))</f>
        <v>#DIV/0!</v>
      </c>
      <c r="BD143" s="45"/>
      <c r="BE143" s="45"/>
      <c r="BF143" s="45"/>
      <c r="BG143" s="45"/>
      <c r="BH143" s="45"/>
      <c r="BI143" s="45"/>
      <c r="BJ143" s="45"/>
      <c r="BK143" s="45"/>
      <c r="BL143" s="45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 t="e">
        <f t="shared" si="85"/>
        <v>#DIV/0!</v>
      </c>
      <c r="BW143" s="53" t="e">
        <f t="shared" si="86"/>
        <v>#DIV/0!</v>
      </c>
      <c r="BX143" s="53" t="e">
        <f t="shared" si="87"/>
        <v>#DIV/0!</v>
      </c>
      <c r="BY143" s="53" t="e">
        <f t="shared" si="88"/>
        <v>#DIV/0!</v>
      </c>
      <c r="BZ143" s="53" t="e">
        <f t="shared" si="89"/>
        <v>#DIV/0!</v>
      </c>
      <c r="CA143" s="53" t="e">
        <f t="shared" si="90"/>
        <v>#DIV/0!</v>
      </c>
      <c r="CB143" s="53" t="e">
        <f t="shared" si="91"/>
        <v>#DIV/0!</v>
      </c>
      <c r="CC143" s="53" t="e">
        <f t="shared" si="92"/>
        <v>#DIV/0!</v>
      </c>
      <c r="CD143" s="53" t="e">
        <f t="shared" si="93"/>
        <v>#DIV/0!</v>
      </c>
      <c r="CE143" s="55">
        <f t="shared" si="75"/>
        <v>0</v>
      </c>
      <c r="CF143" s="55">
        <f t="shared" si="75"/>
        <v>0</v>
      </c>
      <c r="CG143" s="55">
        <f t="shared" si="75"/>
        <v>0</v>
      </c>
      <c r="CH143" s="55">
        <f t="shared" si="75"/>
        <v>0</v>
      </c>
      <c r="CI143" s="55">
        <f t="shared" si="75"/>
        <v>0</v>
      </c>
      <c r="CJ143" s="55">
        <f t="shared" si="75"/>
        <v>0</v>
      </c>
      <c r="CK143" s="55">
        <f t="shared" si="75"/>
        <v>0</v>
      </c>
      <c r="CL143" s="55">
        <f t="shared" si="75"/>
        <v>0</v>
      </c>
      <c r="CM143" s="55">
        <f t="shared" si="75"/>
        <v>0</v>
      </c>
    </row>
    <row r="144" spans="1:91" x14ac:dyDescent="0.15">
      <c r="A144" s="42">
        <v>142</v>
      </c>
      <c r="B144" s="45">
        <f t="shared" si="96"/>
        <v>1</v>
      </c>
      <c r="C144" s="45">
        <f t="shared" si="95"/>
        <v>1</v>
      </c>
      <c r="D144" s="45">
        <f t="shared" si="95"/>
        <v>1</v>
      </c>
      <c r="E144" s="45">
        <f t="shared" si="95"/>
        <v>1</v>
      </c>
      <c r="F144" s="45">
        <f t="shared" si="95"/>
        <v>1</v>
      </c>
      <c r="G144" s="45">
        <f t="shared" si="95"/>
        <v>1</v>
      </c>
      <c r="H144" s="45">
        <f t="shared" si="95"/>
        <v>1</v>
      </c>
      <c r="I144" s="45">
        <f t="shared" si="95"/>
        <v>1</v>
      </c>
      <c r="J144" s="45">
        <f t="shared" si="95"/>
        <v>1</v>
      </c>
      <c r="K144" s="45" t="e">
        <f>K143+ATM_Conf!$C$5*(T143-AC143)</f>
        <v>#DIV/0!</v>
      </c>
      <c r="L144" s="45" t="e">
        <f>L143+ATM_Conf!$C$5*(U143-AD143)</f>
        <v>#DIV/0!</v>
      </c>
      <c r="M144" s="45" t="e">
        <f>M143+ATM_Conf!$C$5*(V143-AE143)</f>
        <v>#DIV/0!</v>
      </c>
      <c r="N144" s="45" t="e">
        <f>N143+ATM_Conf!$C$5*(W143-AF143)</f>
        <v>#DIV/0!</v>
      </c>
      <c r="O144" s="45" t="e">
        <f>O143+ATM_Conf!$C$5*(X143-AG143)</f>
        <v>#DIV/0!</v>
      </c>
      <c r="P144" s="45" t="e">
        <f>P143+ATM_Conf!$C$5*(Y143-AH143)</f>
        <v>#DIV/0!</v>
      </c>
      <c r="Q144" s="45" t="e">
        <f>Q143+ATM_Conf!$C$5*(Z143-AI143)</f>
        <v>#DIV/0!</v>
      </c>
      <c r="R144" s="45" t="e">
        <f>R143+ATM_Conf!$C$5*(AA143-AJ143)</f>
        <v>#DIV/0!</v>
      </c>
      <c r="S144" s="45" t="e">
        <f>S143+ATM_Conf!$C$5*(AB143-AK143)</f>
        <v>#DIV/0!</v>
      </c>
      <c r="T144" s="45"/>
      <c r="U144" s="45"/>
      <c r="V144" s="45"/>
      <c r="W144" s="45"/>
      <c r="X144" s="45"/>
      <c r="Y144" s="45"/>
      <c r="Z144" s="45"/>
      <c r="AA144" s="45"/>
      <c r="AB144" s="45"/>
      <c r="AC144" s="45" t="e">
        <f t="shared" si="76"/>
        <v>#DIV/0!</v>
      </c>
      <c r="AD144" s="45" t="e">
        <f t="shared" si="77"/>
        <v>#DIV/0!</v>
      </c>
      <c r="AE144" s="45" t="e">
        <f t="shared" si="78"/>
        <v>#DIV/0!</v>
      </c>
      <c r="AF144" s="45" t="e">
        <f t="shared" si="79"/>
        <v>#DIV/0!</v>
      </c>
      <c r="AG144" s="45" t="e">
        <f t="shared" si="80"/>
        <v>#DIV/0!</v>
      </c>
      <c r="AH144" s="45" t="e">
        <f t="shared" si="81"/>
        <v>#DIV/0!</v>
      </c>
      <c r="AI144" s="45" t="e">
        <f t="shared" si="82"/>
        <v>#DIV/0!</v>
      </c>
      <c r="AJ144" s="45" t="e">
        <f t="shared" si="83"/>
        <v>#DIV/0!</v>
      </c>
      <c r="AK144" s="45" t="e">
        <f t="shared" si="84"/>
        <v>#DIV/0!</v>
      </c>
      <c r="AL144" s="45" t="e">
        <f>T$3+K144/ATM_Conf!$C$5</f>
        <v>#DIV/0!</v>
      </c>
      <c r="AM144" s="45" t="e">
        <f>U$3+L144/ATM_Conf!$C$5</f>
        <v>#DIV/0!</v>
      </c>
      <c r="AN144" s="45" t="e">
        <f>V$3+M144/ATM_Conf!$C$5</f>
        <v>#DIV/0!</v>
      </c>
      <c r="AO144" s="45" t="e">
        <f>W$3+N144/ATM_Conf!$C$5</f>
        <v>#DIV/0!</v>
      </c>
      <c r="AP144" s="45" t="e">
        <f>X$3+O144/ATM_Conf!$C$5</f>
        <v>#DIV/0!</v>
      </c>
      <c r="AQ144" s="45" t="e">
        <f>Y$3+P144/ATM_Conf!$C$5</f>
        <v>#DIV/0!</v>
      </c>
      <c r="AR144" s="45" t="e">
        <f>Z$3+Q144/ATM_Conf!$C$5</f>
        <v>#DIV/0!</v>
      </c>
      <c r="AS144" s="45" t="e">
        <f>AA$3+R144/ATM_Conf!$C$5</f>
        <v>#DIV/0!</v>
      </c>
      <c r="AT144" s="45" t="e">
        <f>AB$3+S144/ATM_Conf!$C$5</f>
        <v>#DIV/0!</v>
      </c>
      <c r="AU144" s="45" t="e">
        <f>BD$3*MIN(1,(ATM_Conf!$C$6-Links!F144)/(ATM_Conf!$C$6-ATM_Conf!$C$7))</f>
        <v>#DIV/0!</v>
      </c>
      <c r="AV144" s="45" t="e">
        <f>BE$3*MIN(1,(ATM_Conf!$C$6-Links!G144)/(ATM_Conf!$C$6-ATM_Conf!$C$7))</f>
        <v>#DIV/0!</v>
      </c>
      <c r="AW144" s="45" t="e">
        <f>BF$3*MIN(1,(ATM_Conf!$C$6-Links!H144)/(ATM_Conf!$C$6-ATM_Conf!$C$7))</f>
        <v>#DIV/0!</v>
      </c>
      <c r="AX144" s="45" t="e">
        <f>BG$3*MIN(1,(ATM_Conf!$C$6-Links!I144)/(ATM_Conf!$C$6-ATM_Conf!$C$7))</f>
        <v>#DIV/0!</v>
      </c>
      <c r="AY144" s="45" t="e">
        <f>BH$3*MIN(1,(ATM_Conf!$C$6-Links!J144)/(ATM_Conf!$C$6-ATM_Conf!$C$7))</f>
        <v>#DIV/0!</v>
      </c>
      <c r="AZ144" s="45" t="e">
        <f>BI$3*MIN(1,(ATM_Conf!$C$6-Links!K144)/(ATM_Conf!$C$6-ATM_Conf!$C$7))</f>
        <v>#DIV/0!</v>
      </c>
      <c r="BA144" s="45" t="e">
        <f>BJ$3*MIN(1,(ATM_Conf!$C$6-Links!L144)/(ATM_Conf!$C$6-ATM_Conf!$C$7))</f>
        <v>#DIV/0!</v>
      </c>
      <c r="BB144" s="45" t="e">
        <f>BK$3*MIN(1,(ATM_Conf!$C$6-Links!M144)/(ATM_Conf!$C$6-ATM_Conf!$C$7))</f>
        <v>#DIV/0!</v>
      </c>
      <c r="BC144" s="45" t="e">
        <f>BL$3*MIN(1,(ATM_Conf!$C$6-Links!N144)/(ATM_Conf!$C$6-ATM_Conf!$C$7))</f>
        <v>#DIV/0!</v>
      </c>
      <c r="BD144" s="45"/>
      <c r="BE144" s="45"/>
      <c r="BF144" s="45"/>
      <c r="BG144" s="45"/>
      <c r="BH144" s="45"/>
      <c r="BI144" s="45"/>
      <c r="BJ144" s="45"/>
      <c r="BK144" s="45"/>
      <c r="BL144" s="45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 t="e">
        <f t="shared" si="85"/>
        <v>#DIV/0!</v>
      </c>
      <c r="BW144" s="53" t="e">
        <f t="shared" si="86"/>
        <v>#DIV/0!</v>
      </c>
      <c r="BX144" s="53" t="e">
        <f t="shared" si="87"/>
        <v>#DIV/0!</v>
      </c>
      <c r="BY144" s="53" t="e">
        <f t="shared" si="88"/>
        <v>#DIV/0!</v>
      </c>
      <c r="BZ144" s="53" t="e">
        <f t="shared" si="89"/>
        <v>#DIV/0!</v>
      </c>
      <c r="CA144" s="53" t="e">
        <f t="shared" si="90"/>
        <v>#DIV/0!</v>
      </c>
      <c r="CB144" s="53" t="e">
        <f t="shared" si="91"/>
        <v>#DIV/0!</v>
      </c>
      <c r="CC144" s="53" t="e">
        <f t="shared" si="92"/>
        <v>#DIV/0!</v>
      </c>
      <c r="CD144" s="53" t="e">
        <f t="shared" si="93"/>
        <v>#DIV/0!</v>
      </c>
      <c r="CE144" s="55">
        <f t="shared" si="75"/>
        <v>0</v>
      </c>
      <c r="CF144" s="55">
        <f t="shared" si="75"/>
        <v>0</v>
      </c>
      <c r="CG144" s="55">
        <f t="shared" si="75"/>
        <v>0</v>
      </c>
      <c r="CH144" s="55">
        <f t="shared" si="75"/>
        <v>0</v>
      </c>
      <c r="CI144" s="55">
        <f t="shared" si="75"/>
        <v>0</v>
      </c>
      <c r="CJ144" s="55">
        <f t="shared" si="75"/>
        <v>0</v>
      </c>
      <c r="CK144" s="55">
        <f t="shared" si="75"/>
        <v>0</v>
      </c>
      <c r="CL144" s="55">
        <f t="shared" si="75"/>
        <v>0</v>
      </c>
      <c r="CM144" s="55">
        <f t="shared" si="75"/>
        <v>0</v>
      </c>
    </row>
    <row r="145" spans="1:91" x14ac:dyDescent="0.15">
      <c r="A145" s="42">
        <v>143</v>
      </c>
      <c r="B145" s="45">
        <f t="shared" si="96"/>
        <v>1</v>
      </c>
      <c r="C145" s="45">
        <f t="shared" si="95"/>
        <v>1</v>
      </c>
      <c r="D145" s="45">
        <f t="shared" si="95"/>
        <v>1</v>
      </c>
      <c r="E145" s="45">
        <f t="shared" si="95"/>
        <v>1</v>
      </c>
      <c r="F145" s="45">
        <f t="shared" si="95"/>
        <v>1</v>
      </c>
      <c r="G145" s="45">
        <f t="shared" si="95"/>
        <v>1</v>
      </c>
      <c r="H145" s="45">
        <f t="shared" si="95"/>
        <v>1</v>
      </c>
      <c r="I145" s="45">
        <f t="shared" si="95"/>
        <v>1</v>
      </c>
      <c r="J145" s="45">
        <f t="shared" si="95"/>
        <v>1</v>
      </c>
      <c r="K145" s="45" t="e">
        <f>K144+ATM_Conf!$C$5*(T144-AC144)</f>
        <v>#DIV/0!</v>
      </c>
      <c r="L145" s="45" t="e">
        <f>L144+ATM_Conf!$C$5*(U144-AD144)</f>
        <v>#DIV/0!</v>
      </c>
      <c r="M145" s="45" t="e">
        <f>M144+ATM_Conf!$C$5*(V144-AE144)</f>
        <v>#DIV/0!</v>
      </c>
      <c r="N145" s="45" t="e">
        <f>N144+ATM_Conf!$C$5*(W144-AF144)</f>
        <v>#DIV/0!</v>
      </c>
      <c r="O145" s="45" t="e">
        <f>O144+ATM_Conf!$C$5*(X144-AG144)</f>
        <v>#DIV/0!</v>
      </c>
      <c r="P145" s="45" t="e">
        <f>P144+ATM_Conf!$C$5*(Y144-AH144)</f>
        <v>#DIV/0!</v>
      </c>
      <c r="Q145" s="45" t="e">
        <f>Q144+ATM_Conf!$C$5*(Z144-AI144)</f>
        <v>#DIV/0!</v>
      </c>
      <c r="R145" s="45" t="e">
        <f>R144+ATM_Conf!$C$5*(AA144-AJ144)</f>
        <v>#DIV/0!</v>
      </c>
      <c r="S145" s="45" t="e">
        <f>S144+ATM_Conf!$C$5*(AB144-AK144)</f>
        <v>#DIV/0!</v>
      </c>
      <c r="T145" s="45"/>
      <c r="U145" s="45"/>
      <c r="V145" s="45"/>
      <c r="W145" s="45"/>
      <c r="X145" s="45"/>
      <c r="Y145" s="45"/>
      <c r="Z145" s="45"/>
      <c r="AA145" s="45"/>
      <c r="AB145" s="45"/>
      <c r="AC145" s="45" t="e">
        <f t="shared" si="76"/>
        <v>#DIV/0!</v>
      </c>
      <c r="AD145" s="45" t="e">
        <f t="shared" si="77"/>
        <v>#DIV/0!</v>
      </c>
      <c r="AE145" s="45" t="e">
        <f t="shared" si="78"/>
        <v>#DIV/0!</v>
      </c>
      <c r="AF145" s="45" t="e">
        <f t="shared" si="79"/>
        <v>#DIV/0!</v>
      </c>
      <c r="AG145" s="45" t="e">
        <f t="shared" si="80"/>
        <v>#DIV/0!</v>
      </c>
      <c r="AH145" s="45" t="e">
        <f t="shared" si="81"/>
        <v>#DIV/0!</v>
      </c>
      <c r="AI145" s="45" t="e">
        <f t="shared" si="82"/>
        <v>#DIV/0!</v>
      </c>
      <c r="AJ145" s="45" t="e">
        <f t="shared" si="83"/>
        <v>#DIV/0!</v>
      </c>
      <c r="AK145" s="45" t="e">
        <f t="shared" si="84"/>
        <v>#DIV/0!</v>
      </c>
      <c r="AL145" s="45" t="e">
        <f>T$3+K145/ATM_Conf!$C$5</f>
        <v>#DIV/0!</v>
      </c>
      <c r="AM145" s="45" t="e">
        <f>U$3+L145/ATM_Conf!$C$5</f>
        <v>#DIV/0!</v>
      </c>
      <c r="AN145" s="45" t="e">
        <f>V$3+M145/ATM_Conf!$C$5</f>
        <v>#DIV/0!</v>
      </c>
      <c r="AO145" s="45" t="e">
        <f>W$3+N145/ATM_Conf!$C$5</f>
        <v>#DIV/0!</v>
      </c>
      <c r="AP145" s="45" t="e">
        <f>X$3+O145/ATM_Conf!$C$5</f>
        <v>#DIV/0!</v>
      </c>
      <c r="AQ145" s="45" t="e">
        <f>Y$3+P145/ATM_Conf!$C$5</f>
        <v>#DIV/0!</v>
      </c>
      <c r="AR145" s="45" t="e">
        <f>Z$3+Q145/ATM_Conf!$C$5</f>
        <v>#DIV/0!</v>
      </c>
      <c r="AS145" s="45" t="e">
        <f>AA$3+R145/ATM_Conf!$C$5</f>
        <v>#DIV/0!</v>
      </c>
      <c r="AT145" s="45" t="e">
        <f>AB$3+S145/ATM_Conf!$C$5</f>
        <v>#DIV/0!</v>
      </c>
      <c r="AU145" s="45" t="e">
        <f>BD$3*MIN(1,(ATM_Conf!$C$6-Links!F145)/(ATM_Conf!$C$6-ATM_Conf!$C$7))</f>
        <v>#DIV/0!</v>
      </c>
      <c r="AV145" s="45" t="e">
        <f>BE$3*MIN(1,(ATM_Conf!$C$6-Links!G145)/(ATM_Conf!$C$6-ATM_Conf!$C$7))</f>
        <v>#DIV/0!</v>
      </c>
      <c r="AW145" s="45" t="e">
        <f>BF$3*MIN(1,(ATM_Conf!$C$6-Links!H145)/(ATM_Conf!$C$6-ATM_Conf!$C$7))</f>
        <v>#DIV/0!</v>
      </c>
      <c r="AX145" s="45" t="e">
        <f>BG$3*MIN(1,(ATM_Conf!$C$6-Links!I145)/(ATM_Conf!$C$6-ATM_Conf!$C$7))</f>
        <v>#DIV/0!</v>
      </c>
      <c r="AY145" s="45" t="e">
        <f>BH$3*MIN(1,(ATM_Conf!$C$6-Links!J145)/(ATM_Conf!$C$6-ATM_Conf!$C$7))</f>
        <v>#DIV/0!</v>
      </c>
      <c r="AZ145" s="45" t="e">
        <f>BI$3*MIN(1,(ATM_Conf!$C$6-Links!K145)/(ATM_Conf!$C$6-ATM_Conf!$C$7))</f>
        <v>#DIV/0!</v>
      </c>
      <c r="BA145" s="45" t="e">
        <f>BJ$3*MIN(1,(ATM_Conf!$C$6-Links!L145)/(ATM_Conf!$C$6-ATM_Conf!$C$7))</f>
        <v>#DIV/0!</v>
      </c>
      <c r="BB145" s="45" t="e">
        <f>BK$3*MIN(1,(ATM_Conf!$C$6-Links!M145)/(ATM_Conf!$C$6-ATM_Conf!$C$7))</f>
        <v>#DIV/0!</v>
      </c>
      <c r="BC145" s="45" t="e">
        <f>BL$3*MIN(1,(ATM_Conf!$C$6-Links!N145)/(ATM_Conf!$C$6-ATM_Conf!$C$7))</f>
        <v>#DIV/0!</v>
      </c>
      <c r="BD145" s="45"/>
      <c r="BE145" s="45"/>
      <c r="BF145" s="45"/>
      <c r="BG145" s="45"/>
      <c r="BH145" s="45"/>
      <c r="BI145" s="45"/>
      <c r="BJ145" s="45"/>
      <c r="BK145" s="45"/>
      <c r="BL145" s="45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 t="e">
        <f t="shared" si="85"/>
        <v>#DIV/0!</v>
      </c>
      <c r="BW145" s="53" t="e">
        <f t="shared" si="86"/>
        <v>#DIV/0!</v>
      </c>
      <c r="BX145" s="53" t="e">
        <f t="shared" si="87"/>
        <v>#DIV/0!</v>
      </c>
      <c r="BY145" s="53" t="e">
        <f t="shared" si="88"/>
        <v>#DIV/0!</v>
      </c>
      <c r="BZ145" s="53" t="e">
        <f t="shared" si="89"/>
        <v>#DIV/0!</v>
      </c>
      <c r="CA145" s="53" t="e">
        <f t="shared" si="90"/>
        <v>#DIV/0!</v>
      </c>
      <c r="CB145" s="53" t="e">
        <f t="shared" si="91"/>
        <v>#DIV/0!</v>
      </c>
      <c r="CC145" s="53" t="e">
        <f t="shared" si="92"/>
        <v>#DIV/0!</v>
      </c>
      <c r="CD145" s="53" t="e">
        <f t="shared" si="93"/>
        <v>#DIV/0!</v>
      </c>
      <c r="CE145" s="55">
        <f t="shared" si="75"/>
        <v>0</v>
      </c>
      <c r="CF145" s="55">
        <f t="shared" si="75"/>
        <v>0</v>
      </c>
      <c r="CG145" s="55">
        <f t="shared" si="75"/>
        <v>0</v>
      </c>
      <c r="CH145" s="55">
        <f t="shared" si="75"/>
        <v>0</v>
      </c>
      <c r="CI145" s="55">
        <f t="shared" si="75"/>
        <v>0</v>
      </c>
      <c r="CJ145" s="55">
        <f t="shared" si="75"/>
        <v>0</v>
      </c>
      <c r="CK145" s="55">
        <f t="shared" si="75"/>
        <v>0</v>
      </c>
      <c r="CL145" s="55">
        <f t="shared" si="75"/>
        <v>0</v>
      </c>
      <c r="CM145" s="55">
        <f t="shared" si="75"/>
        <v>0</v>
      </c>
    </row>
    <row r="146" spans="1:91" x14ac:dyDescent="0.15">
      <c r="A146" s="42">
        <v>144</v>
      </c>
      <c r="B146" s="45">
        <f t="shared" si="96"/>
        <v>1</v>
      </c>
      <c r="C146" s="45">
        <f t="shared" si="95"/>
        <v>1</v>
      </c>
      <c r="D146" s="45">
        <f t="shared" si="95"/>
        <v>1</v>
      </c>
      <c r="E146" s="45">
        <f t="shared" si="95"/>
        <v>1</v>
      </c>
      <c r="F146" s="45">
        <f t="shared" si="95"/>
        <v>1</v>
      </c>
      <c r="G146" s="45">
        <f t="shared" si="95"/>
        <v>1</v>
      </c>
      <c r="H146" s="45">
        <f t="shared" si="95"/>
        <v>1</v>
      </c>
      <c r="I146" s="45">
        <f t="shared" si="95"/>
        <v>1</v>
      </c>
      <c r="J146" s="45">
        <f t="shared" si="95"/>
        <v>1</v>
      </c>
      <c r="K146" s="45" t="e">
        <f>K145+ATM_Conf!$C$5*(T145-AC145)</f>
        <v>#DIV/0!</v>
      </c>
      <c r="L146" s="45" t="e">
        <f>L145+ATM_Conf!$C$5*(U145-AD145)</f>
        <v>#DIV/0!</v>
      </c>
      <c r="M146" s="45" t="e">
        <f>M145+ATM_Conf!$C$5*(V145-AE145)</f>
        <v>#DIV/0!</v>
      </c>
      <c r="N146" s="45" t="e">
        <f>N145+ATM_Conf!$C$5*(W145-AF145)</f>
        <v>#DIV/0!</v>
      </c>
      <c r="O146" s="45" t="e">
        <f>O145+ATM_Conf!$C$5*(X145-AG145)</f>
        <v>#DIV/0!</v>
      </c>
      <c r="P146" s="45" t="e">
        <f>P145+ATM_Conf!$C$5*(Y145-AH145)</f>
        <v>#DIV/0!</v>
      </c>
      <c r="Q146" s="45" t="e">
        <f>Q145+ATM_Conf!$C$5*(Z145-AI145)</f>
        <v>#DIV/0!</v>
      </c>
      <c r="R146" s="45" t="e">
        <f>R145+ATM_Conf!$C$5*(AA145-AJ145)</f>
        <v>#DIV/0!</v>
      </c>
      <c r="S146" s="45" t="e">
        <f>S145+ATM_Conf!$C$5*(AB145-AK145)</f>
        <v>#DIV/0!</v>
      </c>
      <c r="T146" s="45"/>
      <c r="U146" s="45"/>
      <c r="V146" s="45"/>
      <c r="W146" s="45"/>
      <c r="X146" s="45"/>
      <c r="Y146" s="45"/>
      <c r="Z146" s="45"/>
      <c r="AA146" s="45"/>
      <c r="AB146" s="45"/>
      <c r="AC146" s="45" t="e">
        <f t="shared" si="76"/>
        <v>#DIV/0!</v>
      </c>
      <c r="AD146" s="45" t="e">
        <f t="shared" si="77"/>
        <v>#DIV/0!</v>
      </c>
      <c r="AE146" s="45" t="e">
        <f t="shared" si="78"/>
        <v>#DIV/0!</v>
      </c>
      <c r="AF146" s="45" t="e">
        <f t="shared" si="79"/>
        <v>#DIV/0!</v>
      </c>
      <c r="AG146" s="45" t="e">
        <f t="shared" si="80"/>
        <v>#DIV/0!</v>
      </c>
      <c r="AH146" s="45" t="e">
        <f t="shared" si="81"/>
        <v>#DIV/0!</v>
      </c>
      <c r="AI146" s="45" t="e">
        <f t="shared" si="82"/>
        <v>#DIV/0!</v>
      </c>
      <c r="AJ146" s="45" t="e">
        <f t="shared" si="83"/>
        <v>#DIV/0!</v>
      </c>
      <c r="AK146" s="45" t="e">
        <f t="shared" si="84"/>
        <v>#DIV/0!</v>
      </c>
      <c r="AL146" s="45" t="e">
        <f>T$3+K146/ATM_Conf!$C$5</f>
        <v>#DIV/0!</v>
      </c>
      <c r="AM146" s="45" t="e">
        <f>U$3+L146/ATM_Conf!$C$5</f>
        <v>#DIV/0!</v>
      </c>
      <c r="AN146" s="45" t="e">
        <f>V$3+M146/ATM_Conf!$C$5</f>
        <v>#DIV/0!</v>
      </c>
      <c r="AO146" s="45" t="e">
        <f>W$3+N146/ATM_Conf!$C$5</f>
        <v>#DIV/0!</v>
      </c>
      <c r="AP146" s="45" t="e">
        <f>X$3+O146/ATM_Conf!$C$5</f>
        <v>#DIV/0!</v>
      </c>
      <c r="AQ146" s="45" t="e">
        <f>Y$3+P146/ATM_Conf!$C$5</f>
        <v>#DIV/0!</v>
      </c>
      <c r="AR146" s="45" t="e">
        <f>Z$3+Q146/ATM_Conf!$C$5</f>
        <v>#DIV/0!</v>
      </c>
      <c r="AS146" s="45" t="e">
        <f>AA$3+R146/ATM_Conf!$C$5</f>
        <v>#DIV/0!</v>
      </c>
      <c r="AT146" s="45" t="e">
        <f>AB$3+S146/ATM_Conf!$C$5</f>
        <v>#DIV/0!</v>
      </c>
      <c r="AU146" s="45" t="e">
        <f>BD$3*MIN(1,(ATM_Conf!$C$6-Links!F146)/(ATM_Conf!$C$6-ATM_Conf!$C$7))</f>
        <v>#DIV/0!</v>
      </c>
      <c r="AV146" s="45" t="e">
        <f>BE$3*MIN(1,(ATM_Conf!$C$6-Links!G146)/(ATM_Conf!$C$6-ATM_Conf!$C$7))</f>
        <v>#DIV/0!</v>
      </c>
      <c r="AW146" s="45" t="e">
        <f>BF$3*MIN(1,(ATM_Conf!$C$6-Links!H146)/(ATM_Conf!$C$6-ATM_Conf!$C$7))</f>
        <v>#DIV/0!</v>
      </c>
      <c r="AX146" s="45" t="e">
        <f>BG$3*MIN(1,(ATM_Conf!$C$6-Links!I146)/(ATM_Conf!$C$6-ATM_Conf!$C$7))</f>
        <v>#DIV/0!</v>
      </c>
      <c r="AY146" s="45" t="e">
        <f>BH$3*MIN(1,(ATM_Conf!$C$6-Links!J146)/(ATM_Conf!$C$6-ATM_Conf!$C$7))</f>
        <v>#DIV/0!</v>
      </c>
      <c r="AZ146" s="45" t="e">
        <f>BI$3*MIN(1,(ATM_Conf!$C$6-Links!K146)/(ATM_Conf!$C$6-ATM_Conf!$C$7))</f>
        <v>#DIV/0!</v>
      </c>
      <c r="BA146" s="45" t="e">
        <f>BJ$3*MIN(1,(ATM_Conf!$C$6-Links!L146)/(ATM_Conf!$C$6-ATM_Conf!$C$7))</f>
        <v>#DIV/0!</v>
      </c>
      <c r="BB146" s="45" t="e">
        <f>BK$3*MIN(1,(ATM_Conf!$C$6-Links!M146)/(ATM_Conf!$C$6-ATM_Conf!$C$7))</f>
        <v>#DIV/0!</v>
      </c>
      <c r="BC146" s="45" t="e">
        <f>BL$3*MIN(1,(ATM_Conf!$C$6-Links!N146)/(ATM_Conf!$C$6-ATM_Conf!$C$7))</f>
        <v>#DIV/0!</v>
      </c>
      <c r="BD146" s="45"/>
      <c r="BE146" s="45"/>
      <c r="BF146" s="45"/>
      <c r="BG146" s="45"/>
      <c r="BH146" s="45"/>
      <c r="BI146" s="45"/>
      <c r="BJ146" s="45"/>
      <c r="BK146" s="45"/>
      <c r="BL146" s="45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 t="e">
        <f t="shared" si="85"/>
        <v>#DIV/0!</v>
      </c>
      <c r="BW146" s="53" t="e">
        <f t="shared" si="86"/>
        <v>#DIV/0!</v>
      </c>
      <c r="BX146" s="53" t="e">
        <f t="shared" si="87"/>
        <v>#DIV/0!</v>
      </c>
      <c r="BY146" s="53" t="e">
        <f t="shared" si="88"/>
        <v>#DIV/0!</v>
      </c>
      <c r="BZ146" s="53" t="e">
        <f t="shared" si="89"/>
        <v>#DIV/0!</v>
      </c>
      <c r="CA146" s="53" t="e">
        <f t="shared" si="90"/>
        <v>#DIV/0!</v>
      </c>
      <c r="CB146" s="53" t="e">
        <f t="shared" si="91"/>
        <v>#DIV/0!</v>
      </c>
      <c r="CC146" s="53" t="e">
        <f t="shared" si="92"/>
        <v>#DIV/0!</v>
      </c>
      <c r="CD146" s="53" t="e">
        <f t="shared" si="93"/>
        <v>#DIV/0!</v>
      </c>
      <c r="CE146" s="55">
        <f t="shared" si="75"/>
        <v>0</v>
      </c>
      <c r="CF146" s="55">
        <f t="shared" si="75"/>
        <v>0</v>
      </c>
      <c r="CG146" s="55">
        <f t="shared" si="75"/>
        <v>0</v>
      </c>
      <c r="CH146" s="55">
        <f t="shared" si="75"/>
        <v>0</v>
      </c>
      <c r="CI146" s="55">
        <f t="shared" si="75"/>
        <v>0</v>
      </c>
      <c r="CJ146" s="55">
        <f t="shared" si="75"/>
        <v>0</v>
      </c>
      <c r="CK146" s="55">
        <f t="shared" si="75"/>
        <v>0</v>
      </c>
      <c r="CL146" s="55">
        <f t="shared" si="75"/>
        <v>0</v>
      </c>
      <c r="CM146" s="55">
        <f t="shared" si="75"/>
        <v>0</v>
      </c>
    </row>
    <row r="147" spans="1:91" x14ac:dyDescent="0.15">
      <c r="A147" s="42">
        <v>145</v>
      </c>
      <c r="B147" s="47">
        <v>1</v>
      </c>
      <c r="C147" s="47">
        <v>1</v>
      </c>
      <c r="D147" s="47">
        <v>1</v>
      </c>
      <c r="E147" s="47">
        <v>1</v>
      </c>
      <c r="F147" s="47">
        <v>1</v>
      </c>
      <c r="G147" s="47">
        <v>1</v>
      </c>
      <c r="H147" s="47">
        <v>1</v>
      </c>
      <c r="I147" s="47">
        <v>1</v>
      </c>
      <c r="J147" s="47">
        <v>1</v>
      </c>
      <c r="K147" s="45" t="e">
        <f>K146+ATM_Conf!$C$5*(T146-AC146)</f>
        <v>#DIV/0!</v>
      </c>
      <c r="L147" s="45" t="e">
        <f>L146+ATM_Conf!$C$5*(U146-AD146)</f>
        <v>#DIV/0!</v>
      </c>
      <c r="M147" s="45" t="e">
        <f>M146+ATM_Conf!$C$5*(V146-AE146)</f>
        <v>#DIV/0!</v>
      </c>
      <c r="N147" s="45" t="e">
        <f>N146+ATM_Conf!$C$5*(W146-AF146)</f>
        <v>#DIV/0!</v>
      </c>
      <c r="O147" s="45" t="e">
        <f>O146+ATM_Conf!$C$5*(X146-AG146)</f>
        <v>#DIV/0!</v>
      </c>
      <c r="P147" s="45" t="e">
        <f>P146+ATM_Conf!$C$5*(Y146-AH146)</f>
        <v>#DIV/0!</v>
      </c>
      <c r="Q147" s="45" t="e">
        <f>Q146+ATM_Conf!$C$5*(Z146-AI146)</f>
        <v>#DIV/0!</v>
      </c>
      <c r="R147" s="45" t="e">
        <f>R146+ATM_Conf!$C$5*(AA146-AJ146)</f>
        <v>#DIV/0!</v>
      </c>
      <c r="S147" s="45" t="e">
        <f>S146+ATM_Conf!$C$5*(AB146-AK146)</f>
        <v>#DIV/0!</v>
      </c>
      <c r="T147" s="45"/>
      <c r="U147" s="45"/>
      <c r="V147" s="45"/>
      <c r="W147" s="45"/>
      <c r="X147" s="45"/>
      <c r="Y147" s="45"/>
      <c r="Z147" s="45"/>
      <c r="AA147" s="45"/>
      <c r="AB147" s="45"/>
      <c r="AC147" s="45" t="e">
        <f t="shared" si="76"/>
        <v>#DIV/0!</v>
      </c>
      <c r="AD147" s="45" t="e">
        <f t="shared" si="77"/>
        <v>#DIV/0!</v>
      </c>
      <c r="AE147" s="45" t="e">
        <f t="shared" si="78"/>
        <v>#DIV/0!</v>
      </c>
      <c r="AF147" s="45" t="e">
        <f t="shared" si="79"/>
        <v>#DIV/0!</v>
      </c>
      <c r="AG147" s="45" t="e">
        <f t="shared" si="80"/>
        <v>#DIV/0!</v>
      </c>
      <c r="AH147" s="45" t="e">
        <f t="shared" si="81"/>
        <v>#DIV/0!</v>
      </c>
      <c r="AI147" s="45" t="e">
        <f t="shared" si="82"/>
        <v>#DIV/0!</v>
      </c>
      <c r="AJ147" s="45" t="e">
        <f t="shared" si="83"/>
        <v>#DIV/0!</v>
      </c>
      <c r="AK147" s="45" t="e">
        <f t="shared" si="84"/>
        <v>#DIV/0!</v>
      </c>
      <c r="AL147" s="45" t="e">
        <f>T$3+K147/ATM_Conf!$C$5</f>
        <v>#DIV/0!</v>
      </c>
      <c r="AM147" s="45" t="e">
        <f>U$3+L147/ATM_Conf!$C$5</f>
        <v>#DIV/0!</v>
      </c>
      <c r="AN147" s="45" t="e">
        <f>V$3+M147/ATM_Conf!$C$5</f>
        <v>#DIV/0!</v>
      </c>
      <c r="AO147" s="45" t="e">
        <f>W$3+N147/ATM_Conf!$C$5</f>
        <v>#DIV/0!</v>
      </c>
      <c r="AP147" s="45" t="e">
        <f>X$3+O147/ATM_Conf!$C$5</f>
        <v>#DIV/0!</v>
      </c>
      <c r="AQ147" s="45" t="e">
        <f>Y$3+P147/ATM_Conf!$C$5</f>
        <v>#DIV/0!</v>
      </c>
      <c r="AR147" s="45" t="e">
        <f>Z$3+Q147/ATM_Conf!$C$5</f>
        <v>#DIV/0!</v>
      </c>
      <c r="AS147" s="45" t="e">
        <f>AA$3+R147/ATM_Conf!$C$5</f>
        <v>#DIV/0!</v>
      </c>
      <c r="AT147" s="45" t="e">
        <f>AB$3+S147/ATM_Conf!$C$5</f>
        <v>#DIV/0!</v>
      </c>
      <c r="AU147" s="45" t="e">
        <f>BD$3*MIN(1,(ATM_Conf!$C$6-Links!F147)/(ATM_Conf!$C$6-ATM_Conf!$C$7))</f>
        <v>#DIV/0!</v>
      </c>
      <c r="AV147" s="45" t="e">
        <f>BE$3*MIN(1,(ATM_Conf!$C$6-Links!G147)/(ATM_Conf!$C$6-ATM_Conf!$C$7))</f>
        <v>#DIV/0!</v>
      </c>
      <c r="AW147" s="45" t="e">
        <f>BF$3*MIN(1,(ATM_Conf!$C$6-Links!H147)/(ATM_Conf!$C$6-ATM_Conf!$C$7))</f>
        <v>#DIV/0!</v>
      </c>
      <c r="AX147" s="45" t="e">
        <f>BG$3*MIN(1,(ATM_Conf!$C$6-Links!I147)/(ATM_Conf!$C$6-ATM_Conf!$C$7))</f>
        <v>#DIV/0!</v>
      </c>
      <c r="AY147" s="45" t="e">
        <f>BH$3*MIN(1,(ATM_Conf!$C$6-Links!J147)/(ATM_Conf!$C$6-ATM_Conf!$C$7))</f>
        <v>#DIV/0!</v>
      </c>
      <c r="AZ147" s="45" t="e">
        <f>BI$3*MIN(1,(ATM_Conf!$C$6-Links!K147)/(ATM_Conf!$C$6-ATM_Conf!$C$7))</f>
        <v>#DIV/0!</v>
      </c>
      <c r="BA147" s="45" t="e">
        <f>BJ$3*MIN(1,(ATM_Conf!$C$6-Links!L147)/(ATM_Conf!$C$6-ATM_Conf!$C$7))</f>
        <v>#DIV/0!</v>
      </c>
      <c r="BB147" s="45" t="e">
        <f>BK$3*MIN(1,(ATM_Conf!$C$6-Links!M147)/(ATM_Conf!$C$6-ATM_Conf!$C$7))</f>
        <v>#DIV/0!</v>
      </c>
      <c r="BC147" s="45" t="e">
        <f>BL$3*MIN(1,(ATM_Conf!$C$6-Links!N147)/(ATM_Conf!$C$6-ATM_Conf!$C$7))</f>
        <v>#DIV/0!</v>
      </c>
      <c r="BD147" s="45"/>
      <c r="BE147" s="45"/>
      <c r="BF147" s="45"/>
      <c r="BG147" s="45"/>
      <c r="BH147" s="45"/>
      <c r="BI147" s="45"/>
      <c r="BJ147" s="45"/>
      <c r="BK147" s="45"/>
      <c r="BL147" s="45"/>
      <c r="BM147" s="53">
        <f>(B147-B135)^2</f>
        <v>0</v>
      </c>
      <c r="BN147" s="53">
        <f t="shared" ref="BN147:BU147" si="97">(C147-C135)^2</f>
        <v>0</v>
      </c>
      <c r="BO147" s="53">
        <f t="shared" si="97"/>
        <v>0</v>
      </c>
      <c r="BP147" s="53">
        <f t="shared" si="97"/>
        <v>0</v>
      </c>
      <c r="BQ147" s="53">
        <f t="shared" si="97"/>
        <v>0</v>
      </c>
      <c r="BR147" s="53">
        <f t="shared" si="97"/>
        <v>0</v>
      </c>
      <c r="BS147" s="53">
        <f t="shared" si="97"/>
        <v>0</v>
      </c>
      <c r="BT147" s="53">
        <f t="shared" si="97"/>
        <v>0</v>
      </c>
      <c r="BU147" s="53">
        <f t="shared" si="97"/>
        <v>0</v>
      </c>
      <c r="BV147" s="53" t="e">
        <f t="shared" si="85"/>
        <v>#DIV/0!</v>
      </c>
      <c r="BW147" s="53" t="e">
        <f t="shared" si="86"/>
        <v>#DIV/0!</v>
      </c>
      <c r="BX147" s="53" t="e">
        <f t="shared" si="87"/>
        <v>#DIV/0!</v>
      </c>
      <c r="BY147" s="53" t="e">
        <f t="shared" si="88"/>
        <v>#DIV/0!</v>
      </c>
      <c r="BZ147" s="53" t="e">
        <f t="shared" si="89"/>
        <v>#DIV/0!</v>
      </c>
      <c r="CA147" s="53" t="e">
        <f t="shared" si="90"/>
        <v>#DIV/0!</v>
      </c>
      <c r="CB147" s="53" t="e">
        <f t="shared" si="91"/>
        <v>#DIV/0!</v>
      </c>
      <c r="CC147" s="53" t="e">
        <f t="shared" si="92"/>
        <v>#DIV/0!</v>
      </c>
      <c r="CD147" s="53" t="e">
        <f t="shared" si="93"/>
        <v>#DIV/0!</v>
      </c>
      <c r="CE147" s="55">
        <f t="shared" si="75"/>
        <v>0</v>
      </c>
      <c r="CF147" s="55">
        <f t="shared" si="75"/>
        <v>0</v>
      </c>
      <c r="CG147" s="55">
        <f t="shared" si="75"/>
        <v>0</v>
      </c>
      <c r="CH147" s="55">
        <f t="shared" si="75"/>
        <v>0</v>
      </c>
      <c r="CI147" s="55">
        <f t="shared" si="75"/>
        <v>0</v>
      </c>
      <c r="CJ147" s="55">
        <f t="shared" si="75"/>
        <v>0</v>
      </c>
      <c r="CK147" s="55">
        <f t="shared" si="75"/>
        <v>0</v>
      </c>
      <c r="CL147" s="55">
        <f t="shared" si="75"/>
        <v>0</v>
      </c>
      <c r="CM147" s="55">
        <f t="shared" si="75"/>
        <v>0</v>
      </c>
    </row>
    <row r="148" spans="1:91" x14ac:dyDescent="0.15">
      <c r="A148" s="42">
        <v>146</v>
      </c>
      <c r="B148" s="45">
        <f>B$147</f>
        <v>1</v>
      </c>
      <c r="C148" s="45">
        <f t="shared" ref="C148:J158" si="98">C$147</f>
        <v>1</v>
      </c>
      <c r="D148" s="45">
        <f t="shared" si="98"/>
        <v>1</v>
      </c>
      <c r="E148" s="45">
        <f t="shared" si="98"/>
        <v>1</v>
      </c>
      <c r="F148" s="45">
        <f t="shared" si="98"/>
        <v>1</v>
      </c>
      <c r="G148" s="45">
        <f t="shared" si="98"/>
        <v>1</v>
      </c>
      <c r="H148" s="45">
        <f t="shared" si="98"/>
        <v>1</v>
      </c>
      <c r="I148" s="45">
        <f t="shared" si="98"/>
        <v>1</v>
      </c>
      <c r="J148" s="45">
        <f t="shared" si="98"/>
        <v>1</v>
      </c>
      <c r="K148" s="45" t="e">
        <f>K147+ATM_Conf!$C$5*(T147-AC147)</f>
        <v>#DIV/0!</v>
      </c>
      <c r="L148" s="45" t="e">
        <f>L147+ATM_Conf!$C$5*(U147-AD147)</f>
        <v>#DIV/0!</v>
      </c>
      <c r="M148" s="45" t="e">
        <f>M147+ATM_Conf!$C$5*(V147-AE147)</f>
        <v>#DIV/0!</v>
      </c>
      <c r="N148" s="45" t="e">
        <f>N147+ATM_Conf!$C$5*(W147-AF147)</f>
        <v>#DIV/0!</v>
      </c>
      <c r="O148" s="45" t="e">
        <f>O147+ATM_Conf!$C$5*(X147-AG147)</f>
        <v>#DIV/0!</v>
      </c>
      <c r="P148" s="45" t="e">
        <f>P147+ATM_Conf!$C$5*(Y147-AH147)</f>
        <v>#DIV/0!</v>
      </c>
      <c r="Q148" s="45" t="e">
        <f>Q147+ATM_Conf!$C$5*(Z147-AI147)</f>
        <v>#DIV/0!</v>
      </c>
      <c r="R148" s="45" t="e">
        <f>R147+ATM_Conf!$C$5*(AA147-AJ147)</f>
        <v>#DIV/0!</v>
      </c>
      <c r="S148" s="45" t="e">
        <f>S147+ATM_Conf!$C$5*(AB147-AK147)</f>
        <v>#DIV/0!</v>
      </c>
      <c r="T148" s="45"/>
      <c r="U148" s="45"/>
      <c r="V148" s="45"/>
      <c r="W148" s="45"/>
      <c r="X148" s="45"/>
      <c r="Y148" s="45"/>
      <c r="Z148" s="45"/>
      <c r="AA148" s="45"/>
      <c r="AB148" s="45"/>
      <c r="AC148" s="45" t="e">
        <f t="shared" si="76"/>
        <v>#DIV/0!</v>
      </c>
      <c r="AD148" s="45" t="e">
        <f t="shared" si="77"/>
        <v>#DIV/0!</v>
      </c>
      <c r="AE148" s="45" t="e">
        <f t="shared" si="78"/>
        <v>#DIV/0!</v>
      </c>
      <c r="AF148" s="45" t="e">
        <f t="shared" si="79"/>
        <v>#DIV/0!</v>
      </c>
      <c r="AG148" s="45" t="e">
        <f t="shared" si="80"/>
        <v>#DIV/0!</v>
      </c>
      <c r="AH148" s="45" t="e">
        <f t="shared" si="81"/>
        <v>#DIV/0!</v>
      </c>
      <c r="AI148" s="45" t="e">
        <f t="shared" si="82"/>
        <v>#DIV/0!</v>
      </c>
      <c r="AJ148" s="45" t="e">
        <f t="shared" si="83"/>
        <v>#DIV/0!</v>
      </c>
      <c r="AK148" s="45" t="e">
        <f t="shared" si="84"/>
        <v>#DIV/0!</v>
      </c>
      <c r="AL148" s="45" t="e">
        <f>T$3+K148/ATM_Conf!$C$5</f>
        <v>#DIV/0!</v>
      </c>
      <c r="AM148" s="45" t="e">
        <f>U$3+L148/ATM_Conf!$C$5</f>
        <v>#DIV/0!</v>
      </c>
      <c r="AN148" s="45" t="e">
        <f>V$3+M148/ATM_Conf!$C$5</f>
        <v>#DIV/0!</v>
      </c>
      <c r="AO148" s="45" t="e">
        <f>W$3+N148/ATM_Conf!$C$5</f>
        <v>#DIV/0!</v>
      </c>
      <c r="AP148" s="45" t="e">
        <f>X$3+O148/ATM_Conf!$C$5</f>
        <v>#DIV/0!</v>
      </c>
      <c r="AQ148" s="45" t="e">
        <f>Y$3+P148/ATM_Conf!$C$5</f>
        <v>#DIV/0!</v>
      </c>
      <c r="AR148" s="45" t="e">
        <f>Z$3+Q148/ATM_Conf!$C$5</f>
        <v>#DIV/0!</v>
      </c>
      <c r="AS148" s="45" t="e">
        <f>AA$3+R148/ATM_Conf!$C$5</f>
        <v>#DIV/0!</v>
      </c>
      <c r="AT148" s="45" t="e">
        <f>AB$3+S148/ATM_Conf!$C$5</f>
        <v>#DIV/0!</v>
      </c>
      <c r="AU148" s="45" t="e">
        <f>BD$3*MIN(1,(ATM_Conf!$C$6-Links!F148)/(ATM_Conf!$C$6-ATM_Conf!$C$7))</f>
        <v>#DIV/0!</v>
      </c>
      <c r="AV148" s="45" t="e">
        <f>BE$3*MIN(1,(ATM_Conf!$C$6-Links!G148)/(ATM_Conf!$C$6-ATM_Conf!$C$7))</f>
        <v>#DIV/0!</v>
      </c>
      <c r="AW148" s="45" t="e">
        <f>BF$3*MIN(1,(ATM_Conf!$C$6-Links!H148)/(ATM_Conf!$C$6-ATM_Conf!$C$7))</f>
        <v>#DIV/0!</v>
      </c>
      <c r="AX148" s="45" t="e">
        <f>BG$3*MIN(1,(ATM_Conf!$C$6-Links!I148)/(ATM_Conf!$C$6-ATM_Conf!$C$7))</f>
        <v>#DIV/0!</v>
      </c>
      <c r="AY148" s="45" t="e">
        <f>BH$3*MIN(1,(ATM_Conf!$C$6-Links!J148)/(ATM_Conf!$C$6-ATM_Conf!$C$7))</f>
        <v>#DIV/0!</v>
      </c>
      <c r="AZ148" s="45" t="e">
        <f>BI$3*MIN(1,(ATM_Conf!$C$6-Links!K148)/(ATM_Conf!$C$6-ATM_Conf!$C$7))</f>
        <v>#DIV/0!</v>
      </c>
      <c r="BA148" s="45" t="e">
        <f>BJ$3*MIN(1,(ATM_Conf!$C$6-Links!L148)/(ATM_Conf!$C$6-ATM_Conf!$C$7))</f>
        <v>#DIV/0!</v>
      </c>
      <c r="BB148" s="45" t="e">
        <f>BK$3*MIN(1,(ATM_Conf!$C$6-Links!M148)/(ATM_Conf!$C$6-ATM_Conf!$C$7))</f>
        <v>#DIV/0!</v>
      </c>
      <c r="BC148" s="45" t="e">
        <f>BL$3*MIN(1,(ATM_Conf!$C$6-Links!N148)/(ATM_Conf!$C$6-ATM_Conf!$C$7))</f>
        <v>#DIV/0!</v>
      </c>
      <c r="BD148" s="45"/>
      <c r="BE148" s="45"/>
      <c r="BF148" s="45"/>
      <c r="BG148" s="45"/>
      <c r="BH148" s="45"/>
      <c r="BI148" s="45"/>
      <c r="BJ148" s="45"/>
      <c r="BK148" s="45"/>
      <c r="BL148" s="45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 t="e">
        <f t="shared" si="85"/>
        <v>#DIV/0!</v>
      </c>
      <c r="BW148" s="53" t="e">
        <f t="shared" si="86"/>
        <v>#DIV/0!</v>
      </c>
      <c r="BX148" s="53" t="e">
        <f t="shared" si="87"/>
        <v>#DIV/0!</v>
      </c>
      <c r="BY148" s="53" t="e">
        <f t="shared" si="88"/>
        <v>#DIV/0!</v>
      </c>
      <c r="BZ148" s="53" t="e">
        <f t="shared" si="89"/>
        <v>#DIV/0!</v>
      </c>
      <c r="CA148" s="53" t="e">
        <f t="shared" si="90"/>
        <v>#DIV/0!</v>
      </c>
      <c r="CB148" s="53" t="e">
        <f t="shared" si="91"/>
        <v>#DIV/0!</v>
      </c>
      <c r="CC148" s="53" t="e">
        <f t="shared" si="92"/>
        <v>#DIV/0!</v>
      </c>
      <c r="CD148" s="53" t="e">
        <f t="shared" si="93"/>
        <v>#DIV/0!</v>
      </c>
      <c r="CE148" s="55">
        <f t="shared" si="75"/>
        <v>0</v>
      </c>
      <c r="CF148" s="55">
        <f t="shared" si="75"/>
        <v>0</v>
      </c>
      <c r="CG148" s="55">
        <f t="shared" si="75"/>
        <v>0</v>
      </c>
      <c r="CH148" s="55">
        <f t="shared" si="75"/>
        <v>0</v>
      </c>
      <c r="CI148" s="55">
        <f t="shared" si="75"/>
        <v>0</v>
      </c>
      <c r="CJ148" s="55">
        <f t="shared" si="75"/>
        <v>0</v>
      </c>
      <c r="CK148" s="55">
        <f t="shared" si="75"/>
        <v>0</v>
      </c>
      <c r="CL148" s="55">
        <f t="shared" si="75"/>
        <v>0</v>
      </c>
      <c r="CM148" s="55">
        <f t="shared" si="75"/>
        <v>0</v>
      </c>
    </row>
    <row r="149" spans="1:91" x14ac:dyDescent="0.15">
      <c r="A149" s="42">
        <v>147</v>
      </c>
      <c r="B149" s="45">
        <f t="shared" ref="B149:B158" si="99">B$147</f>
        <v>1</v>
      </c>
      <c r="C149" s="45">
        <f t="shared" si="98"/>
        <v>1</v>
      </c>
      <c r="D149" s="45">
        <f t="shared" si="98"/>
        <v>1</v>
      </c>
      <c r="E149" s="45">
        <f t="shared" si="98"/>
        <v>1</v>
      </c>
      <c r="F149" s="45">
        <f t="shared" si="98"/>
        <v>1</v>
      </c>
      <c r="G149" s="45">
        <f t="shared" si="98"/>
        <v>1</v>
      </c>
      <c r="H149" s="45">
        <f t="shared" si="98"/>
        <v>1</v>
      </c>
      <c r="I149" s="45">
        <f t="shared" si="98"/>
        <v>1</v>
      </c>
      <c r="J149" s="45">
        <f t="shared" si="98"/>
        <v>1</v>
      </c>
      <c r="K149" s="45" t="e">
        <f>K148+ATM_Conf!$C$5*(T148-AC148)</f>
        <v>#DIV/0!</v>
      </c>
      <c r="L149" s="45" t="e">
        <f>L148+ATM_Conf!$C$5*(U148-AD148)</f>
        <v>#DIV/0!</v>
      </c>
      <c r="M149" s="45" t="e">
        <f>M148+ATM_Conf!$C$5*(V148-AE148)</f>
        <v>#DIV/0!</v>
      </c>
      <c r="N149" s="45" t="e">
        <f>N148+ATM_Conf!$C$5*(W148-AF148)</f>
        <v>#DIV/0!</v>
      </c>
      <c r="O149" s="45" t="e">
        <f>O148+ATM_Conf!$C$5*(X148-AG148)</f>
        <v>#DIV/0!</v>
      </c>
      <c r="P149" s="45" t="e">
        <f>P148+ATM_Conf!$C$5*(Y148-AH148)</f>
        <v>#DIV/0!</v>
      </c>
      <c r="Q149" s="45" t="e">
        <f>Q148+ATM_Conf!$C$5*(Z148-AI148)</f>
        <v>#DIV/0!</v>
      </c>
      <c r="R149" s="45" t="e">
        <f>R148+ATM_Conf!$C$5*(AA148-AJ148)</f>
        <v>#DIV/0!</v>
      </c>
      <c r="S149" s="45" t="e">
        <f>S148+ATM_Conf!$C$5*(AB148-AK148)</f>
        <v>#DIV/0!</v>
      </c>
      <c r="T149" s="45"/>
      <c r="U149" s="45"/>
      <c r="V149" s="45"/>
      <c r="W149" s="45"/>
      <c r="X149" s="45"/>
      <c r="Y149" s="45"/>
      <c r="Z149" s="45"/>
      <c r="AA149" s="45"/>
      <c r="AB149" s="45"/>
      <c r="AC149" s="45" t="e">
        <f t="shared" si="76"/>
        <v>#DIV/0!</v>
      </c>
      <c r="AD149" s="45" t="e">
        <f t="shared" si="77"/>
        <v>#DIV/0!</v>
      </c>
      <c r="AE149" s="45" t="e">
        <f t="shared" si="78"/>
        <v>#DIV/0!</v>
      </c>
      <c r="AF149" s="45" t="e">
        <f t="shared" si="79"/>
        <v>#DIV/0!</v>
      </c>
      <c r="AG149" s="45" t="e">
        <f t="shared" si="80"/>
        <v>#DIV/0!</v>
      </c>
      <c r="AH149" s="45" t="e">
        <f t="shared" si="81"/>
        <v>#DIV/0!</v>
      </c>
      <c r="AI149" s="45" t="e">
        <f t="shared" si="82"/>
        <v>#DIV/0!</v>
      </c>
      <c r="AJ149" s="45" t="e">
        <f t="shared" si="83"/>
        <v>#DIV/0!</v>
      </c>
      <c r="AK149" s="45" t="e">
        <f t="shared" si="84"/>
        <v>#DIV/0!</v>
      </c>
      <c r="AL149" s="45" t="e">
        <f>T$3+K149/ATM_Conf!$C$5</f>
        <v>#DIV/0!</v>
      </c>
      <c r="AM149" s="45" t="e">
        <f>U$3+L149/ATM_Conf!$C$5</f>
        <v>#DIV/0!</v>
      </c>
      <c r="AN149" s="45" t="e">
        <f>V$3+M149/ATM_Conf!$C$5</f>
        <v>#DIV/0!</v>
      </c>
      <c r="AO149" s="45" t="e">
        <f>W$3+N149/ATM_Conf!$C$5</f>
        <v>#DIV/0!</v>
      </c>
      <c r="AP149" s="45" t="e">
        <f>X$3+O149/ATM_Conf!$C$5</f>
        <v>#DIV/0!</v>
      </c>
      <c r="AQ149" s="45" t="e">
        <f>Y$3+P149/ATM_Conf!$C$5</f>
        <v>#DIV/0!</v>
      </c>
      <c r="AR149" s="45" t="e">
        <f>Z$3+Q149/ATM_Conf!$C$5</f>
        <v>#DIV/0!</v>
      </c>
      <c r="AS149" s="45" t="e">
        <f>AA$3+R149/ATM_Conf!$C$5</f>
        <v>#DIV/0!</v>
      </c>
      <c r="AT149" s="45" t="e">
        <f>AB$3+S149/ATM_Conf!$C$5</f>
        <v>#DIV/0!</v>
      </c>
      <c r="AU149" s="45" t="e">
        <f>BD$3*MIN(1,(ATM_Conf!$C$6-Links!F149)/(ATM_Conf!$C$6-ATM_Conf!$C$7))</f>
        <v>#DIV/0!</v>
      </c>
      <c r="AV149" s="45" t="e">
        <f>BE$3*MIN(1,(ATM_Conf!$C$6-Links!G149)/(ATM_Conf!$C$6-ATM_Conf!$C$7))</f>
        <v>#DIV/0!</v>
      </c>
      <c r="AW149" s="45" t="e">
        <f>BF$3*MIN(1,(ATM_Conf!$C$6-Links!H149)/(ATM_Conf!$C$6-ATM_Conf!$C$7))</f>
        <v>#DIV/0!</v>
      </c>
      <c r="AX149" s="45" t="e">
        <f>BG$3*MIN(1,(ATM_Conf!$C$6-Links!I149)/(ATM_Conf!$C$6-ATM_Conf!$C$7))</f>
        <v>#DIV/0!</v>
      </c>
      <c r="AY149" s="45" t="e">
        <f>BH$3*MIN(1,(ATM_Conf!$C$6-Links!J149)/(ATM_Conf!$C$6-ATM_Conf!$C$7))</f>
        <v>#DIV/0!</v>
      </c>
      <c r="AZ149" s="45" t="e">
        <f>BI$3*MIN(1,(ATM_Conf!$C$6-Links!K149)/(ATM_Conf!$C$6-ATM_Conf!$C$7))</f>
        <v>#DIV/0!</v>
      </c>
      <c r="BA149" s="45" t="e">
        <f>BJ$3*MIN(1,(ATM_Conf!$C$6-Links!L149)/(ATM_Conf!$C$6-ATM_Conf!$C$7))</f>
        <v>#DIV/0!</v>
      </c>
      <c r="BB149" s="45" t="e">
        <f>BK$3*MIN(1,(ATM_Conf!$C$6-Links!M149)/(ATM_Conf!$C$6-ATM_Conf!$C$7))</f>
        <v>#DIV/0!</v>
      </c>
      <c r="BC149" s="45" t="e">
        <f>BL$3*MIN(1,(ATM_Conf!$C$6-Links!N149)/(ATM_Conf!$C$6-ATM_Conf!$C$7))</f>
        <v>#DIV/0!</v>
      </c>
      <c r="BD149" s="45"/>
      <c r="BE149" s="45"/>
      <c r="BF149" s="45"/>
      <c r="BG149" s="45"/>
      <c r="BH149" s="45"/>
      <c r="BI149" s="45"/>
      <c r="BJ149" s="45"/>
      <c r="BK149" s="45"/>
      <c r="BL149" s="45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 t="e">
        <f t="shared" si="85"/>
        <v>#DIV/0!</v>
      </c>
      <c r="BW149" s="53" t="e">
        <f t="shared" si="86"/>
        <v>#DIV/0!</v>
      </c>
      <c r="BX149" s="53" t="e">
        <f t="shared" si="87"/>
        <v>#DIV/0!</v>
      </c>
      <c r="BY149" s="53" t="e">
        <f t="shared" si="88"/>
        <v>#DIV/0!</v>
      </c>
      <c r="BZ149" s="53" t="e">
        <f t="shared" si="89"/>
        <v>#DIV/0!</v>
      </c>
      <c r="CA149" s="53" t="e">
        <f t="shared" si="90"/>
        <v>#DIV/0!</v>
      </c>
      <c r="CB149" s="53" t="e">
        <f t="shared" si="91"/>
        <v>#DIV/0!</v>
      </c>
      <c r="CC149" s="53" t="e">
        <f t="shared" si="92"/>
        <v>#DIV/0!</v>
      </c>
      <c r="CD149" s="53" t="e">
        <f t="shared" si="93"/>
        <v>#DIV/0!</v>
      </c>
      <c r="CE149" s="55">
        <f t="shared" si="75"/>
        <v>0</v>
      </c>
      <c r="CF149" s="55">
        <f t="shared" si="75"/>
        <v>0</v>
      </c>
      <c r="CG149" s="55">
        <f t="shared" si="75"/>
        <v>0</v>
      </c>
      <c r="CH149" s="55">
        <f t="shared" si="75"/>
        <v>0</v>
      </c>
      <c r="CI149" s="55">
        <f t="shared" si="75"/>
        <v>0</v>
      </c>
      <c r="CJ149" s="55">
        <f t="shared" si="75"/>
        <v>0</v>
      </c>
      <c r="CK149" s="55">
        <f t="shared" si="75"/>
        <v>0</v>
      </c>
      <c r="CL149" s="55">
        <f t="shared" si="75"/>
        <v>0</v>
      </c>
      <c r="CM149" s="55">
        <f t="shared" si="75"/>
        <v>0</v>
      </c>
    </row>
    <row r="150" spans="1:91" x14ac:dyDescent="0.15">
      <c r="A150" s="42">
        <v>148</v>
      </c>
      <c r="B150" s="45">
        <f t="shared" si="99"/>
        <v>1</v>
      </c>
      <c r="C150" s="45">
        <f t="shared" si="98"/>
        <v>1</v>
      </c>
      <c r="D150" s="45">
        <f t="shared" si="98"/>
        <v>1</v>
      </c>
      <c r="E150" s="45">
        <f t="shared" si="98"/>
        <v>1</v>
      </c>
      <c r="F150" s="45">
        <f t="shared" si="98"/>
        <v>1</v>
      </c>
      <c r="G150" s="45">
        <f t="shared" si="98"/>
        <v>1</v>
      </c>
      <c r="H150" s="45">
        <f t="shared" si="98"/>
        <v>1</v>
      </c>
      <c r="I150" s="45">
        <f t="shared" si="98"/>
        <v>1</v>
      </c>
      <c r="J150" s="45">
        <f t="shared" si="98"/>
        <v>1</v>
      </c>
      <c r="K150" s="45" t="e">
        <f>K149+ATM_Conf!$C$5*(T149-AC149)</f>
        <v>#DIV/0!</v>
      </c>
      <c r="L150" s="45" t="e">
        <f>L149+ATM_Conf!$C$5*(U149-AD149)</f>
        <v>#DIV/0!</v>
      </c>
      <c r="M150" s="45" t="e">
        <f>M149+ATM_Conf!$C$5*(V149-AE149)</f>
        <v>#DIV/0!</v>
      </c>
      <c r="N150" s="45" t="e">
        <f>N149+ATM_Conf!$C$5*(W149-AF149)</f>
        <v>#DIV/0!</v>
      </c>
      <c r="O150" s="45" t="e">
        <f>O149+ATM_Conf!$C$5*(X149-AG149)</f>
        <v>#DIV/0!</v>
      </c>
      <c r="P150" s="45" t="e">
        <f>P149+ATM_Conf!$C$5*(Y149-AH149)</f>
        <v>#DIV/0!</v>
      </c>
      <c r="Q150" s="45" t="e">
        <f>Q149+ATM_Conf!$C$5*(Z149-AI149)</f>
        <v>#DIV/0!</v>
      </c>
      <c r="R150" s="45" t="e">
        <f>R149+ATM_Conf!$C$5*(AA149-AJ149)</f>
        <v>#DIV/0!</v>
      </c>
      <c r="S150" s="45" t="e">
        <f>S149+ATM_Conf!$C$5*(AB149-AK149)</f>
        <v>#DIV/0!</v>
      </c>
      <c r="T150" s="45"/>
      <c r="U150" s="45"/>
      <c r="V150" s="45"/>
      <c r="W150" s="45"/>
      <c r="X150" s="45"/>
      <c r="Y150" s="45"/>
      <c r="Z150" s="45"/>
      <c r="AA150" s="45"/>
      <c r="AB150" s="45"/>
      <c r="AC150" s="45" t="e">
        <f t="shared" si="76"/>
        <v>#DIV/0!</v>
      </c>
      <c r="AD150" s="45" t="e">
        <f t="shared" si="77"/>
        <v>#DIV/0!</v>
      </c>
      <c r="AE150" s="45" t="e">
        <f t="shared" si="78"/>
        <v>#DIV/0!</v>
      </c>
      <c r="AF150" s="45" t="e">
        <f t="shared" si="79"/>
        <v>#DIV/0!</v>
      </c>
      <c r="AG150" s="45" t="e">
        <f t="shared" si="80"/>
        <v>#DIV/0!</v>
      </c>
      <c r="AH150" s="45" t="e">
        <f t="shared" si="81"/>
        <v>#DIV/0!</v>
      </c>
      <c r="AI150" s="45" t="e">
        <f t="shared" si="82"/>
        <v>#DIV/0!</v>
      </c>
      <c r="AJ150" s="45" t="e">
        <f t="shared" si="83"/>
        <v>#DIV/0!</v>
      </c>
      <c r="AK150" s="45" t="e">
        <f t="shared" si="84"/>
        <v>#DIV/0!</v>
      </c>
      <c r="AL150" s="45" t="e">
        <f>T$3+K150/ATM_Conf!$C$5</f>
        <v>#DIV/0!</v>
      </c>
      <c r="AM150" s="45" t="e">
        <f>U$3+L150/ATM_Conf!$C$5</f>
        <v>#DIV/0!</v>
      </c>
      <c r="AN150" s="45" t="e">
        <f>V$3+M150/ATM_Conf!$C$5</f>
        <v>#DIV/0!</v>
      </c>
      <c r="AO150" s="45" t="e">
        <f>W$3+N150/ATM_Conf!$C$5</f>
        <v>#DIV/0!</v>
      </c>
      <c r="AP150" s="45" t="e">
        <f>X$3+O150/ATM_Conf!$C$5</f>
        <v>#DIV/0!</v>
      </c>
      <c r="AQ150" s="45" t="e">
        <f>Y$3+P150/ATM_Conf!$C$5</f>
        <v>#DIV/0!</v>
      </c>
      <c r="AR150" s="45" t="e">
        <f>Z$3+Q150/ATM_Conf!$C$5</f>
        <v>#DIV/0!</v>
      </c>
      <c r="AS150" s="45" t="e">
        <f>AA$3+R150/ATM_Conf!$C$5</f>
        <v>#DIV/0!</v>
      </c>
      <c r="AT150" s="45" t="e">
        <f>AB$3+S150/ATM_Conf!$C$5</f>
        <v>#DIV/0!</v>
      </c>
      <c r="AU150" s="45" t="e">
        <f>BD$3*MIN(1,(ATM_Conf!$C$6-Links!F150)/(ATM_Conf!$C$6-ATM_Conf!$C$7))</f>
        <v>#DIV/0!</v>
      </c>
      <c r="AV150" s="45" t="e">
        <f>BE$3*MIN(1,(ATM_Conf!$C$6-Links!G150)/(ATM_Conf!$C$6-ATM_Conf!$C$7))</f>
        <v>#DIV/0!</v>
      </c>
      <c r="AW150" s="45" t="e">
        <f>BF$3*MIN(1,(ATM_Conf!$C$6-Links!H150)/(ATM_Conf!$C$6-ATM_Conf!$C$7))</f>
        <v>#DIV/0!</v>
      </c>
      <c r="AX150" s="45" t="e">
        <f>BG$3*MIN(1,(ATM_Conf!$C$6-Links!I150)/(ATM_Conf!$C$6-ATM_Conf!$C$7))</f>
        <v>#DIV/0!</v>
      </c>
      <c r="AY150" s="45" t="e">
        <f>BH$3*MIN(1,(ATM_Conf!$C$6-Links!J150)/(ATM_Conf!$C$6-ATM_Conf!$C$7))</f>
        <v>#DIV/0!</v>
      </c>
      <c r="AZ150" s="45" t="e">
        <f>BI$3*MIN(1,(ATM_Conf!$C$6-Links!K150)/(ATM_Conf!$C$6-ATM_Conf!$C$7))</f>
        <v>#DIV/0!</v>
      </c>
      <c r="BA150" s="45" t="e">
        <f>BJ$3*MIN(1,(ATM_Conf!$C$6-Links!L150)/(ATM_Conf!$C$6-ATM_Conf!$C$7))</f>
        <v>#DIV/0!</v>
      </c>
      <c r="BB150" s="45" t="e">
        <f>BK$3*MIN(1,(ATM_Conf!$C$6-Links!M150)/(ATM_Conf!$C$6-ATM_Conf!$C$7))</f>
        <v>#DIV/0!</v>
      </c>
      <c r="BC150" s="45" t="e">
        <f>BL$3*MIN(1,(ATM_Conf!$C$6-Links!N150)/(ATM_Conf!$C$6-ATM_Conf!$C$7))</f>
        <v>#DIV/0!</v>
      </c>
      <c r="BD150" s="45"/>
      <c r="BE150" s="45"/>
      <c r="BF150" s="45"/>
      <c r="BG150" s="45"/>
      <c r="BH150" s="45"/>
      <c r="BI150" s="45"/>
      <c r="BJ150" s="45"/>
      <c r="BK150" s="45"/>
      <c r="BL150" s="45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 t="e">
        <f t="shared" si="85"/>
        <v>#DIV/0!</v>
      </c>
      <c r="BW150" s="53" t="e">
        <f t="shared" si="86"/>
        <v>#DIV/0!</v>
      </c>
      <c r="BX150" s="53" t="e">
        <f t="shared" si="87"/>
        <v>#DIV/0!</v>
      </c>
      <c r="BY150" s="53" t="e">
        <f t="shared" si="88"/>
        <v>#DIV/0!</v>
      </c>
      <c r="BZ150" s="53" t="e">
        <f t="shared" si="89"/>
        <v>#DIV/0!</v>
      </c>
      <c r="CA150" s="53" t="e">
        <f t="shared" si="90"/>
        <v>#DIV/0!</v>
      </c>
      <c r="CB150" s="53" t="e">
        <f t="shared" si="91"/>
        <v>#DIV/0!</v>
      </c>
      <c r="CC150" s="53" t="e">
        <f t="shared" si="92"/>
        <v>#DIV/0!</v>
      </c>
      <c r="CD150" s="53" t="e">
        <f t="shared" si="93"/>
        <v>#DIV/0!</v>
      </c>
      <c r="CE150" s="55">
        <f t="shared" si="75"/>
        <v>0</v>
      </c>
      <c r="CF150" s="55">
        <f t="shared" si="75"/>
        <v>0</v>
      </c>
      <c r="CG150" s="55">
        <f t="shared" si="75"/>
        <v>0</v>
      </c>
      <c r="CH150" s="55">
        <f t="shared" si="75"/>
        <v>0</v>
      </c>
      <c r="CI150" s="55">
        <f t="shared" si="75"/>
        <v>0</v>
      </c>
      <c r="CJ150" s="55">
        <f t="shared" si="75"/>
        <v>0</v>
      </c>
      <c r="CK150" s="55">
        <f t="shared" si="75"/>
        <v>0</v>
      </c>
      <c r="CL150" s="55">
        <f t="shared" si="75"/>
        <v>0</v>
      </c>
      <c r="CM150" s="55">
        <f t="shared" si="75"/>
        <v>0</v>
      </c>
    </row>
    <row r="151" spans="1:91" x14ac:dyDescent="0.15">
      <c r="A151" s="42">
        <v>149</v>
      </c>
      <c r="B151" s="45">
        <f t="shared" si="99"/>
        <v>1</v>
      </c>
      <c r="C151" s="45">
        <f t="shared" si="98"/>
        <v>1</v>
      </c>
      <c r="D151" s="45">
        <f t="shared" si="98"/>
        <v>1</v>
      </c>
      <c r="E151" s="45">
        <f t="shared" si="98"/>
        <v>1</v>
      </c>
      <c r="F151" s="45">
        <f t="shared" si="98"/>
        <v>1</v>
      </c>
      <c r="G151" s="45">
        <f t="shared" si="98"/>
        <v>1</v>
      </c>
      <c r="H151" s="45">
        <f t="shared" si="98"/>
        <v>1</v>
      </c>
      <c r="I151" s="45">
        <f t="shared" si="98"/>
        <v>1</v>
      </c>
      <c r="J151" s="45">
        <f t="shared" si="98"/>
        <v>1</v>
      </c>
      <c r="K151" s="45" t="e">
        <f>K150+ATM_Conf!$C$5*(T150-AC150)</f>
        <v>#DIV/0!</v>
      </c>
      <c r="L151" s="45" t="e">
        <f>L150+ATM_Conf!$C$5*(U150-AD150)</f>
        <v>#DIV/0!</v>
      </c>
      <c r="M151" s="45" t="e">
        <f>M150+ATM_Conf!$C$5*(V150-AE150)</f>
        <v>#DIV/0!</v>
      </c>
      <c r="N151" s="45" t="e">
        <f>N150+ATM_Conf!$C$5*(W150-AF150)</f>
        <v>#DIV/0!</v>
      </c>
      <c r="O151" s="45" t="e">
        <f>O150+ATM_Conf!$C$5*(X150-AG150)</f>
        <v>#DIV/0!</v>
      </c>
      <c r="P151" s="45" t="e">
        <f>P150+ATM_Conf!$C$5*(Y150-AH150)</f>
        <v>#DIV/0!</v>
      </c>
      <c r="Q151" s="45" t="e">
        <f>Q150+ATM_Conf!$C$5*(Z150-AI150)</f>
        <v>#DIV/0!</v>
      </c>
      <c r="R151" s="45" t="e">
        <f>R150+ATM_Conf!$C$5*(AA150-AJ150)</f>
        <v>#DIV/0!</v>
      </c>
      <c r="S151" s="45" t="e">
        <f>S150+ATM_Conf!$C$5*(AB150-AK150)</f>
        <v>#DIV/0!</v>
      </c>
      <c r="T151" s="45"/>
      <c r="U151" s="45"/>
      <c r="V151" s="45"/>
      <c r="W151" s="45"/>
      <c r="X151" s="45"/>
      <c r="Y151" s="45"/>
      <c r="Z151" s="45"/>
      <c r="AA151" s="45"/>
      <c r="AB151" s="45"/>
      <c r="AC151" s="45" t="e">
        <f t="shared" si="76"/>
        <v>#DIV/0!</v>
      </c>
      <c r="AD151" s="45" t="e">
        <f t="shared" si="77"/>
        <v>#DIV/0!</v>
      </c>
      <c r="AE151" s="45" t="e">
        <f t="shared" si="78"/>
        <v>#DIV/0!</v>
      </c>
      <c r="AF151" s="45" t="e">
        <f t="shared" si="79"/>
        <v>#DIV/0!</v>
      </c>
      <c r="AG151" s="45" t="e">
        <f t="shared" si="80"/>
        <v>#DIV/0!</v>
      </c>
      <c r="AH151" s="45" t="e">
        <f t="shared" si="81"/>
        <v>#DIV/0!</v>
      </c>
      <c r="AI151" s="45" t="e">
        <f t="shared" si="82"/>
        <v>#DIV/0!</v>
      </c>
      <c r="AJ151" s="45" t="e">
        <f t="shared" si="83"/>
        <v>#DIV/0!</v>
      </c>
      <c r="AK151" s="45" t="e">
        <f t="shared" si="84"/>
        <v>#DIV/0!</v>
      </c>
      <c r="AL151" s="45" t="e">
        <f>T$3+K151/ATM_Conf!$C$5</f>
        <v>#DIV/0!</v>
      </c>
      <c r="AM151" s="45" t="e">
        <f>U$3+L151/ATM_Conf!$C$5</f>
        <v>#DIV/0!</v>
      </c>
      <c r="AN151" s="45" t="e">
        <f>V$3+M151/ATM_Conf!$C$5</f>
        <v>#DIV/0!</v>
      </c>
      <c r="AO151" s="45" t="e">
        <f>W$3+N151/ATM_Conf!$C$5</f>
        <v>#DIV/0!</v>
      </c>
      <c r="AP151" s="45" t="e">
        <f>X$3+O151/ATM_Conf!$C$5</f>
        <v>#DIV/0!</v>
      </c>
      <c r="AQ151" s="45" t="e">
        <f>Y$3+P151/ATM_Conf!$C$5</f>
        <v>#DIV/0!</v>
      </c>
      <c r="AR151" s="45" t="e">
        <f>Z$3+Q151/ATM_Conf!$C$5</f>
        <v>#DIV/0!</v>
      </c>
      <c r="AS151" s="45" t="e">
        <f>AA$3+R151/ATM_Conf!$C$5</f>
        <v>#DIV/0!</v>
      </c>
      <c r="AT151" s="45" t="e">
        <f>AB$3+S151/ATM_Conf!$C$5</f>
        <v>#DIV/0!</v>
      </c>
      <c r="AU151" s="45" t="e">
        <f>BD$3*MIN(1,(ATM_Conf!$C$6-Links!F151)/(ATM_Conf!$C$6-ATM_Conf!$C$7))</f>
        <v>#DIV/0!</v>
      </c>
      <c r="AV151" s="45" t="e">
        <f>BE$3*MIN(1,(ATM_Conf!$C$6-Links!G151)/(ATM_Conf!$C$6-ATM_Conf!$C$7))</f>
        <v>#DIV/0!</v>
      </c>
      <c r="AW151" s="45" t="e">
        <f>BF$3*MIN(1,(ATM_Conf!$C$6-Links!H151)/(ATM_Conf!$C$6-ATM_Conf!$C$7))</f>
        <v>#DIV/0!</v>
      </c>
      <c r="AX151" s="45" t="e">
        <f>BG$3*MIN(1,(ATM_Conf!$C$6-Links!I151)/(ATM_Conf!$C$6-ATM_Conf!$C$7))</f>
        <v>#DIV/0!</v>
      </c>
      <c r="AY151" s="45" t="e">
        <f>BH$3*MIN(1,(ATM_Conf!$C$6-Links!J151)/(ATM_Conf!$C$6-ATM_Conf!$C$7))</f>
        <v>#DIV/0!</v>
      </c>
      <c r="AZ151" s="45" t="e">
        <f>BI$3*MIN(1,(ATM_Conf!$C$6-Links!K151)/(ATM_Conf!$C$6-ATM_Conf!$C$7))</f>
        <v>#DIV/0!</v>
      </c>
      <c r="BA151" s="45" t="e">
        <f>BJ$3*MIN(1,(ATM_Conf!$C$6-Links!L151)/(ATM_Conf!$C$6-ATM_Conf!$C$7))</f>
        <v>#DIV/0!</v>
      </c>
      <c r="BB151" s="45" t="e">
        <f>BK$3*MIN(1,(ATM_Conf!$C$6-Links!M151)/(ATM_Conf!$C$6-ATM_Conf!$C$7))</f>
        <v>#DIV/0!</v>
      </c>
      <c r="BC151" s="45" t="e">
        <f>BL$3*MIN(1,(ATM_Conf!$C$6-Links!N151)/(ATM_Conf!$C$6-ATM_Conf!$C$7))</f>
        <v>#DIV/0!</v>
      </c>
      <c r="BD151" s="45"/>
      <c r="BE151" s="45"/>
      <c r="BF151" s="45"/>
      <c r="BG151" s="45"/>
      <c r="BH151" s="45"/>
      <c r="BI151" s="45"/>
      <c r="BJ151" s="45"/>
      <c r="BK151" s="45"/>
      <c r="BL151" s="45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 t="e">
        <f t="shared" si="85"/>
        <v>#DIV/0!</v>
      </c>
      <c r="BW151" s="53" t="e">
        <f t="shared" si="86"/>
        <v>#DIV/0!</v>
      </c>
      <c r="BX151" s="53" t="e">
        <f t="shared" si="87"/>
        <v>#DIV/0!</v>
      </c>
      <c r="BY151" s="53" t="e">
        <f t="shared" si="88"/>
        <v>#DIV/0!</v>
      </c>
      <c r="BZ151" s="53" t="e">
        <f t="shared" si="89"/>
        <v>#DIV/0!</v>
      </c>
      <c r="CA151" s="53" t="e">
        <f t="shared" si="90"/>
        <v>#DIV/0!</v>
      </c>
      <c r="CB151" s="53" t="e">
        <f t="shared" si="91"/>
        <v>#DIV/0!</v>
      </c>
      <c r="CC151" s="53" t="e">
        <f t="shared" si="92"/>
        <v>#DIV/0!</v>
      </c>
      <c r="CD151" s="53" t="e">
        <f t="shared" si="93"/>
        <v>#DIV/0!</v>
      </c>
      <c r="CE151" s="55">
        <f t="shared" si="75"/>
        <v>0</v>
      </c>
      <c r="CF151" s="55">
        <f t="shared" si="75"/>
        <v>0</v>
      </c>
      <c r="CG151" s="55">
        <f t="shared" si="75"/>
        <v>0</v>
      </c>
      <c r="CH151" s="55">
        <f t="shared" si="75"/>
        <v>0</v>
      </c>
      <c r="CI151" s="55">
        <f t="shared" si="75"/>
        <v>0</v>
      </c>
      <c r="CJ151" s="55">
        <f t="shared" si="75"/>
        <v>0</v>
      </c>
      <c r="CK151" s="55">
        <f t="shared" si="75"/>
        <v>0</v>
      </c>
      <c r="CL151" s="55">
        <f t="shared" si="75"/>
        <v>0</v>
      </c>
      <c r="CM151" s="55">
        <f t="shared" si="75"/>
        <v>0</v>
      </c>
    </row>
    <row r="152" spans="1:91" x14ac:dyDescent="0.15">
      <c r="A152" s="42">
        <v>150</v>
      </c>
      <c r="B152" s="45">
        <f t="shared" si="99"/>
        <v>1</v>
      </c>
      <c r="C152" s="45">
        <f t="shared" si="98"/>
        <v>1</v>
      </c>
      <c r="D152" s="45">
        <f t="shared" si="98"/>
        <v>1</v>
      </c>
      <c r="E152" s="45">
        <f t="shared" si="98"/>
        <v>1</v>
      </c>
      <c r="F152" s="45">
        <f t="shared" si="98"/>
        <v>1</v>
      </c>
      <c r="G152" s="45">
        <f t="shared" si="98"/>
        <v>1</v>
      </c>
      <c r="H152" s="45">
        <f t="shared" si="98"/>
        <v>1</v>
      </c>
      <c r="I152" s="45">
        <f t="shared" si="98"/>
        <v>1</v>
      </c>
      <c r="J152" s="45">
        <f t="shared" si="98"/>
        <v>1</v>
      </c>
      <c r="K152" s="45" t="e">
        <f>K151+ATM_Conf!$C$5*(T151-AC151)</f>
        <v>#DIV/0!</v>
      </c>
      <c r="L152" s="45" t="e">
        <f>L151+ATM_Conf!$C$5*(U151-AD151)</f>
        <v>#DIV/0!</v>
      </c>
      <c r="M152" s="45" t="e">
        <f>M151+ATM_Conf!$C$5*(V151-AE151)</f>
        <v>#DIV/0!</v>
      </c>
      <c r="N152" s="45" t="e">
        <f>N151+ATM_Conf!$C$5*(W151-AF151)</f>
        <v>#DIV/0!</v>
      </c>
      <c r="O152" s="45" t="e">
        <f>O151+ATM_Conf!$C$5*(X151-AG151)</f>
        <v>#DIV/0!</v>
      </c>
      <c r="P152" s="45" t="e">
        <f>P151+ATM_Conf!$C$5*(Y151-AH151)</f>
        <v>#DIV/0!</v>
      </c>
      <c r="Q152" s="45" t="e">
        <f>Q151+ATM_Conf!$C$5*(Z151-AI151)</f>
        <v>#DIV/0!</v>
      </c>
      <c r="R152" s="45" t="e">
        <f>R151+ATM_Conf!$C$5*(AA151-AJ151)</f>
        <v>#DIV/0!</v>
      </c>
      <c r="S152" s="45" t="e">
        <f>S151+ATM_Conf!$C$5*(AB151-AK151)</f>
        <v>#DIV/0!</v>
      </c>
      <c r="T152" s="45"/>
      <c r="U152" s="45"/>
      <c r="V152" s="45"/>
      <c r="W152" s="45"/>
      <c r="X152" s="45"/>
      <c r="Y152" s="45"/>
      <c r="Z152" s="45"/>
      <c r="AA152" s="45"/>
      <c r="AB152" s="45"/>
      <c r="AC152" s="45" t="e">
        <f t="shared" si="76"/>
        <v>#DIV/0!</v>
      </c>
      <c r="AD152" s="45" t="e">
        <f t="shared" si="77"/>
        <v>#DIV/0!</v>
      </c>
      <c r="AE152" s="45" t="e">
        <f t="shared" si="78"/>
        <v>#DIV/0!</v>
      </c>
      <c r="AF152" s="45" t="e">
        <f t="shared" si="79"/>
        <v>#DIV/0!</v>
      </c>
      <c r="AG152" s="45" t="e">
        <f t="shared" si="80"/>
        <v>#DIV/0!</v>
      </c>
      <c r="AH152" s="45" t="e">
        <f t="shared" si="81"/>
        <v>#DIV/0!</v>
      </c>
      <c r="AI152" s="45" t="e">
        <f t="shared" si="82"/>
        <v>#DIV/0!</v>
      </c>
      <c r="AJ152" s="45" t="e">
        <f t="shared" si="83"/>
        <v>#DIV/0!</v>
      </c>
      <c r="AK152" s="45" t="e">
        <f t="shared" si="84"/>
        <v>#DIV/0!</v>
      </c>
      <c r="AL152" s="45" t="e">
        <f>T$3+K152/ATM_Conf!$C$5</f>
        <v>#DIV/0!</v>
      </c>
      <c r="AM152" s="45" t="e">
        <f>U$3+L152/ATM_Conf!$C$5</f>
        <v>#DIV/0!</v>
      </c>
      <c r="AN152" s="45" t="e">
        <f>V$3+M152/ATM_Conf!$C$5</f>
        <v>#DIV/0!</v>
      </c>
      <c r="AO152" s="45" t="e">
        <f>W$3+N152/ATM_Conf!$C$5</f>
        <v>#DIV/0!</v>
      </c>
      <c r="AP152" s="45" t="e">
        <f>X$3+O152/ATM_Conf!$C$5</f>
        <v>#DIV/0!</v>
      </c>
      <c r="AQ152" s="45" t="e">
        <f>Y$3+P152/ATM_Conf!$C$5</f>
        <v>#DIV/0!</v>
      </c>
      <c r="AR152" s="45" t="e">
        <f>Z$3+Q152/ATM_Conf!$C$5</f>
        <v>#DIV/0!</v>
      </c>
      <c r="AS152" s="45" t="e">
        <f>AA$3+R152/ATM_Conf!$C$5</f>
        <v>#DIV/0!</v>
      </c>
      <c r="AT152" s="45" t="e">
        <f>AB$3+S152/ATM_Conf!$C$5</f>
        <v>#DIV/0!</v>
      </c>
      <c r="AU152" s="45" t="e">
        <f>BD$3*MIN(1,(ATM_Conf!$C$6-Links!F152)/(ATM_Conf!$C$6-ATM_Conf!$C$7))</f>
        <v>#DIV/0!</v>
      </c>
      <c r="AV152" s="45" t="e">
        <f>BE$3*MIN(1,(ATM_Conf!$C$6-Links!G152)/(ATM_Conf!$C$6-ATM_Conf!$C$7))</f>
        <v>#DIV/0!</v>
      </c>
      <c r="AW152" s="45" t="e">
        <f>BF$3*MIN(1,(ATM_Conf!$C$6-Links!H152)/(ATM_Conf!$C$6-ATM_Conf!$C$7))</f>
        <v>#DIV/0!</v>
      </c>
      <c r="AX152" s="45" t="e">
        <f>BG$3*MIN(1,(ATM_Conf!$C$6-Links!I152)/(ATM_Conf!$C$6-ATM_Conf!$C$7))</f>
        <v>#DIV/0!</v>
      </c>
      <c r="AY152" s="45" t="e">
        <f>BH$3*MIN(1,(ATM_Conf!$C$6-Links!J152)/(ATM_Conf!$C$6-ATM_Conf!$C$7))</f>
        <v>#DIV/0!</v>
      </c>
      <c r="AZ152" s="45" t="e">
        <f>BI$3*MIN(1,(ATM_Conf!$C$6-Links!K152)/(ATM_Conf!$C$6-ATM_Conf!$C$7))</f>
        <v>#DIV/0!</v>
      </c>
      <c r="BA152" s="45" t="e">
        <f>BJ$3*MIN(1,(ATM_Conf!$C$6-Links!L152)/(ATM_Conf!$C$6-ATM_Conf!$C$7))</f>
        <v>#DIV/0!</v>
      </c>
      <c r="BB152" s="45" t="e">
        <f>BK$3*MIN(1,(ATM_Conf!$C$6-Links!M152)/(ATM_Conf!$C$6-ATM_Conf!$C$7))</f>
        <v>#DIV/0!</v>
      </c>
      <c r="BC152" s="45" t="e">
        <f>BL$3*MIN(1,(ATM_Conf!$C$6-Links!N152)/(ATM_Conf!$C$6-ATM_Conf!$C$7))</f>
        <v>#DIV/0!</v>
      </c>
      <c r="BD152" s="45"/>
      <c r="BE152" s="45"/>
      <c r="BF152" s="45"/>
      <c r="BG152" s="45"/>
      <c r="BH152" s="45"/>
      <c r="BI152" s="45"/>
      <c r="BJ152" s="45"/>
      <c r="BK152" s="45"/>
      <c r="BL152" s="45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 t="e">
        <f t="shared" si="85"/>
        <v>#DIV/0!</v>
      </c>
      <c r="BW152" s="53" t="e">
        <f t="shared" si="86"/>
        <v>#DIV/0!</v>
      </c>
      <c r="BX152" s="53" t="e">
        <f t="shared" si="87"/>
        <v>#DIV/0!</v>
      </c>
      <c r="BY152" s="53" t="e">
        <f t="shared" si="88"/>
        <v>#DIV/0!</v>
      </c>
      <c r="BZ152" s="53" t="e">
        <f t="shared" si="89"/>
        <v>#DIV/0!</v>
      </c>
      <c r="CA152" s="53" t="e">
        <f t="shared" si="90"/>
        <v>#DIV/0!</v>
      </c>
      <c r="CB152" s="53" t="e">
        <f t="shared" si="91"/>
        <v>#DIV/0!</v>
      </c>
      <c r="CC152" s="53" t="e">
        <f t="shared" si="92"/>
        <v>#DIV/0!</v>
      </c>
      <c r="CD152" s="53" t="e">
        <f t="shared" si="93"/>
        <v>#DIV/0!</v>
      </c>
      <c r="CE152" s="55">
        <f t="shared" si="75"/>
        <v>0</v>
      </c>
      <c r="CF152" s="55">
        <f t="shared" si="75"/>
        <v>0</v>
      </c>
      <c r="CG152" s="55">
        <f t="shared" si="75"/>
        <v>0</v>
      </c>
      <c r="CH152" s="55">
        <f t="shared" si="75"/>
        <v>0</v>
      </c>
      <c r="CI152" s="55">
        <f t="shared" si="75"/>
        <v>0</v>
      </c>
      <c r="CJ152" s="55">
        <f t="shared" si="75"/>
        <v>0</v>
      </c>
      <c r="CK152" s="55">
        <f t="shared" si="75"/>
        <v>0</v>
      </c>
      <c r="CL152" s="55">
        <f t="shared" si="75"/>
        <v>0</v>
      </c>
      <c r="CM152" s="55">
        <f t="shared" si="75"/>
        <v>0</v>
      </c>
    </row>
    <row r="153" spans="1:91" x14ac:dyDescent="0.15">
      <c r="A153" s="42">
        <v>151</v>
      </c>
      <c r="B153" s="45">
        <f t="shared" si="99"/>
        <v>1</v>
      </c>
      <c r="C153" s="45">
        <f t="shared" si="98"/>
        <v>1</v>
      </c>
      <c r="D153" s="45">
        <f t="shared" si="98"/>
        <v>1</v>
      </c>
      <c r="E153" s="45">
        <f t="shared" si="98"/>
        <v>1</v>
      </c>
      <c r="F153" s="45">
        <f t="shared" si="98"/>
        <v>1</v>
      </c>
      <c r="G153" s="45">
        <f t="shared" si="98"/>
        <v>1</v>
      </c>
      <c r="H153" s="45">
        <f t="shared" si="98"/>
        <v>1</v>
      </c>
      <c r="I153" s="45">
        <f t="shared" si="98"/>
        <v>1</v>
      </c>
      <c r="J153" s="45">
        <f t="shared" si="98"/>
        <v>1</v>
      </c>
      <c r="K153" s="45" t="e">
        <f>K152+ATM_Conf!$C$5*(T152-AC152)</f>
        <v>#DIV/0!</v>
      </c>
      <c r="L153" s="45" t="e">
        <f>L152+ATM_Conf!$C$5*(U152-AD152)</f>
        <v>#DIV/0!</v>
      </c>
      <c r="M153" s="45" t="e">
        <f>M152+ATM_Conf!$C$5*(V152-AE152)</f>
        <v>#DIV/0!</v>
      </c>
      <c r="N153" s="45" t="e">
        <f>N152+ATM_Conf!$C$5*(W152-AF152)</f>
        <v>#DIV/0!</v>
      </c>
      <c r="O153" s="45" t="e">
        <f>O152+ATM_Conf!$C$5*(X152-AG152)</f>
        <v>#DIV/0!</v>
      </c>
      <c r="P153" s="45" t="e">
        <f>P152+ATM_Conf!$C$5*(Y152-AH152)</f>
        <v>#DIV/0!</v>
      </c>
      <c r="Q153" s="45" t="e">
        <f>Q152+ATM_Conf!$C$5*(Z152-AI152)</f>
        <v>#DIV/0!</v>
      </c>
      <c r="R153" s="45" t="e">
        <f>R152+ATM_Conf!$C$5*(AA152-AJ152)</f>
        <v>#DIV/0!</v>
      </c>
      <c r="S153" s="45" t="e">
        <f>S152+ATM_Conf!$C$5*(AB152-AK152)</f>
        <v>#DIV/0!</v>
      </c>
      <c r="T153" s="45"/>
      <c r="U153" s="45"/>
      <c r="V153" s="45"/>
      <c r="W153" s="45"/>
      <c r="X153" s="45"/>
      <c r="Y153" s="45"/>
      <c r="Z153" s="45"/>
      <c r="AA153" s="45"/>
      <c r="AB153" s="45"/>
      <c r="AC153" s="45" t="e">
        <f t="shared" si="76"/>
        <v>#DIV/0!</v>
      </c>
      <c r="AD153" s="45" t="e">
        <f t="shared" si="77"/>
        <v>#DIV/0!</v>
      </c>
      <c r="AE153" s="45" t="e">
        <f t="shared" si="78"/>
        <v>#DIV/0!</v>
      </c>
      <c r="AF153" s="45" t="e">
        <f t="shared" si="79"/>
        <v>#DIV/0!</v>
      </c>
      <c r="AG153" s="45" t="e">
        <f t="shared" si="80"/>
        <v>#DIV/0!</v>
      </c>
      <c r="AH153" s="45" t="e">
        <f t="shared" si="81"/>
        <v>#DIV/0!</v>
      </c>
      <c r="AI153" s="45" t="e">
        <f t="shared" si="82"/>
        <v>#DIV/0!</v>
      </c>
      <c r="AJ153" s="45" t="e">
        <f t="shared" si="83"/>
        <v>#DIV/0!</v>
      </c>
      <c r="AK153" s="45" t="e">
        <f t="shared" si="84"/>
        <v>#DIV/0!</v>
      </c>
      <c r="AL153" s="45" t="e">
        <f>T$3+K153/ATM_Conf!$C$5</f>
        <v>#DIV/0!</v>
      </c>
      <c r="AM153" s="45" t="e">
        <f>U$3+L153/ATM_Conf!$C$5</f>
        <v>#DIV/0!</v>
      </c>
      <c r="AN153" s="45" t="e">
        <f>V$3+M153/ATM_Conf!$C$5</f>
        <v>#DIV/0!</v>
      </c>
      <c r="AO153" s="45" t="e">
        <f>W$3+N153/ATM_Conf!$C$5</f>
        <v>#DIV/0!</v>
      </c>
      <c r="AP153" s="45" t="e">
        <f>X$3+O153/ATM_Conf!$C$5</f>
        <v>#DIV/0!</v>
      </c>
      <c r="AQ153" s="45" t="e">
        <f>Y$3+P153/ATM_Conf!$C$5</f>
        <v>#DIV/0!</v>
      </c>
      <c r="AR153" s="45" t="e">
        <f>Z$3+Q153/ATM_Conf!$C$5</f>
        <v>#DIV/0!</v>
      </c>
      <c r="AS153" s="45" t="e">
        <f>AA$3+R153/ATM_Conf!$C$5</f>
        <v>#DIV/0!</v>
      </c>
      <c r="AT153" s="45" t="e">
        <f>AB$3+S153/ATM_Conf!$C$5</f>
        <v>#DIV/0!</v>
      </c>
      <c r="AU153" s="45" t="e">
        <f>BD$3*MIN(1,(ATM_Conf!$C$6-Links!F153)/(ATM_Conf!$C$6-ATM_Conf!$C$7))</f>
        <v>#DIV/0!</v>
      </c>
      <c r="AV153" s="45" t="e">
        <f>BE$3*MIN(1,(ATM_Conf!$C$6-Links!G153)/(ATM_Conf!$C$6-ATM_Conf!$C$7))</f>
        <v>#DIV/0!</v>
      </c>
      <c r="AW153" s="45" t="e">
        <f>BF$3*MIN(1,(ATM_Conf!$C$6-Links!H153)/(ATM_Conf!$C$6-ATM_Conf!$C$7))</f>
        <v>#DIV/0!</v>
      </c>
      <c r="AX153" s="45" t="e">
        <f>BG$3*MIN(1,(ATM_Conf!$C$6-Links!I153)/(ATM_Conf!$C$6-ATM_Conf!$C$7))</f>
        <v>#DIV/0!</v>
      </c>
      <c r="AY153" s="45" t="e">
        <f>BH$3*MIN(1,(ATM_Conf!$C$6-Links!J153)/(ATM_Conf!$C$6-ATM_Conf!$C$7))</f>
        <v>#DIV/0!</v>
      </c>
      <c r="AZ153" s="45" t="e">
        <f>BI$3*MIN(1,(ATM_Conf!$C$6-Links!K153)/(ATM_Conf!$C$6-ATM_Conf!$C$7))</f>
        <v>#DIV/0!</v>
      </c>
      <c r="BA153" s="45" t="e">
        <f>BJ$3*MIN(1,(ATM_Conf!$C$6-Links!L153)/(ATM_Conf!$C$6-ATM_Conf!$C$7))</f>
        <v>#DIV/0!</v>
      </c>
      <c r="BB153" s="45" t="e">
        <f>BK$3*MIN(1,(ATM_Conf!$C$6-Links!M153)/(ATM_Conf!$C$6-ATM_Conf!$C$7))</f>
        <v>#DIV/0!</v>
      </c>
      <c r="BC153" s="45" t="e">
        <f>BL$3*MIN(1,(ATM_Conf!$C$6-Links!N153)/(ATM_Conf!$C$6-ATM_Conf!$C$7))</f>
        <v>#DIV/0!</v>
      </c>
      <c r="BD153" s="45"/>
      <c r="BE153" s="45"/>
      <c r="BF153" s="45"/>
      <c r="BG153" s="45"/>
      <c r="BH153" s="45"/>
      <c r="BI153" s="45"/>
      <c r="BJ153" s="45"/>
      <c r="BK153" s="45"/>
      <c r="BL153" s="45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 t="e">
        <f t="shared" si="85"/>
        <v>#DIV/0!</v>
      </c>
      <c r="BW153" s="53" t="e">
        <f t="shared" si="86"/>
        <v>#DIV/0!</v>
      </c>
      <c r="BX153" s="53" t="e">
        <f t="shared" si="87"/>
        <v>#DIV/0!</v>
      </c>
      <c r="BY153" s="53" t="e">
        <f t="shared" si="88"/>
        <v>#DIV/0!</v>
      </c>
      <c r="BZ153" s="53" t="e">
        <f t="shared" si="89"/>
        <v>#DIV/0!</v>
      </c>
      <c r="CA153" s="53" t="e">
        <f t="shared" si="90"/>
        <v>#DIV/0!</v>
      </c>
      <c r="CB153" s="53" t="e">
        <f t="shared" si="91"/>
        <v>#DIV/0!</v>
      </c>
      <c r="CC153" s="53" t="e">
        <f t="shared" si="92"/>
        <v>#DIV/0!</v>
      </c>
      <c r="CD153" s="53" t="e">
        <f t="shared" si="93"/>
        <v>#DIV/0!</v>
      </c>
      <c r="CE153" s="55">
        <f t="shared" si="75"/>
        <v>0</v>
      </c>
      <c r="CF153" s="55">
        <f t="shared" si="75"/>
        <v>0</v>
      </c>
      <c r="CG153" s="55">
        <f t="shared" si="75"/>
        <v>0</v>
      </c>
      <c r="CH153" s="55">
        <f t="shared" si="75"/>
        <v>0</v>
      </c>
      <c r="CI153" s="55">
        <f t="shared" si="75"/>
        <v>0</v>
      </c>
      <c r="CJ153" s="55">
        <f t="shared" si="75"/>
        <v>0</v>
      </c>
      <c r="CK153" s="55">
        <f t="shared" si="75"/>
        <v>0</v>
      </c>
      <c r="CL153" s="55">
        <f t="shared" si="75"/>
        <v>0</v>
      </c>
      <c r="CM153" s="55">
        <f t="shared" si="75"/>
        <v>0</v>
      </c>
    </row>
    <row r="154" spans="1:91" x14ac:dyDescent="0.15">
      <c r="A154" s="42">
        <v>152</v>
      </c>
      <c r="B154" s="45">
        <f t="shared" si="99"/>
        <v>1</v>
      </c>
      <c r="C154" s="45">
        <f t="shared" si="98"/>
        <v>1</v>
      </c>
      <c r="D154" s="45">
        <f t="shared" si="98"/>
        <v>1</v>
      </c>
      <c r="E154" s="45">
        <f t="shared" si="98"/>
        <v>1</v>
      </c>
      <c r="F154" s="45">
        <f t="shared" si="98"/>
        <v>1</v>
      </c>
      <c r="G154" s="45">
        <f t="shared" si="98"/>
        <v>1</v>
      </c>
      <c r="H154" s="45">
        <f t="shared" si="98"/>
        <v>1</v>
      </c>
      <c r="I154" s="45">
        <f t="shared" si="98"/>
        <v>1</v>
      </c>
      <c r="J154" s="45">
        <f t="shared" si="98"/>
        <v>1</v>
      </c>
      <c r="K154" s="45" t="e">
        <f>K153+ATM_Conf!$C$5*(T153-AC153)</f>
        <v>#DIV/0!</v>
      </c>
      <c r="L154" s="45" t="e">
        <f>L153+ATM_Conf!$C$5*(U153-AD153)</f>
        <v>#DIV/0!</v>
      </c>
      <c r="M154" s="45" t="e">
        <f>M153+ATM_Conf!$C$5*(V153-AE153)</f>
        <v>#DIV/0!</v>
      </c>
      <c r="N154" s="45" t="e">
        <f>N153+ATM_Conf!$C$5*(W153-AF153)</f>
        <v>#DIV/0!</v>
      </c>
      <c r="O154" s="45" t="e">
        <f>O153+ATM_Conf!$C$5*(X153-AG153)</f>
        <v>#DIV/0!</v>
      </c>
      <c r="P154" s="45" t="e">
        <f>P153+ATM_Conf!$C$5*(Y153-AH153)</f>
        <v>#DIV/0!</v>
      </c>
      <c r="Q154" s="45" t="e">
        <f>Q153+ATM_Conf!$C$5*(Z153-AI153)</f>
        <v>#DIV/0!</v>
      </c>
      <c r="R154" s="45" t="e">
        <f>R153+ATM_Conf!$C$5*(AA153-AJ153)</f>
        <v>#DIV/0!</v>
      </c>
      <c r="S154" s="45" t="e">
        <f>S153+ATM_Conf!$C$5*(AB153-AK153)</f>
        <v>#DIV/0!</v>
      </c>
      <c r="T154" s="45"/>
      <c r="U154" s="45"/>
      <c r="V154" s="45"/>
      <c r="W154" s="45"/>
      <c r="X154" s="45"/>
      <c r="Y154" s="45"/>
      <c r="Z154" s="45"/>
      <c r="AA154" s="45"/>
      <c r="AB154" s="45"/>
      <c r="AC154" s="45" t="e">
        <f t="shared" si="76"/>
        <v>#DIV/0!</v>
      </c>
      <c r="AD154" s="45" t="e">
        <f t="shared" si="77"/>
        <v>#DIV/0!</v>
      </c>
      <c r="AE154" s="45" t="e">
        <f t="shared" si="78"/>
        <v>#DIV/0!</v>
      </c>
      <c r="AF154" s="45" t="e">
        <f t="shared" si="79"/>
        <v>#DIV/0!</v>
      </c>
      <c r="AG154" s="45" t="e">
        <f t="shared" si="80"/>
        <v>#DIV/0!</v>
      </c>
      <c r="AH154" s="45" t="e">
        <f t="shared" si="81"/>
        <v>#DIV/0!</v>
      </c>
      <c r="AI154" s="45" t="e">
        <f t="shared" si="82"/>
        <v>#DIV/0!</v>
      </c>
      <c r="AJ154" s="45" t="e">
        <f t="shared" si="83"/>
        <v>#DIV/0!</v>
      </c>
      <c r="AK154" s="45" t="e">
        <f t="shared" si="84"/>
        <v>#DIV/0!</v>
      </c>
      <c r="AL154" s="45" t="e">
        <f>T$3+K154/ATM_Conf!$C$5</f>
        <v>#DIV/0!</v>
      </c>
      <c r="AM154" s="45" t="e">
        <f>U$3+L154/ATM_Conf!$C$5</f>
        <v>#DIV/0!</v>
      </c>
      <c r="AN154" s="45" t="e">
        <f>V$3+M154/ATM_Conf!$C$5</f>
        <v>#DIV/0!</v>
      </c>
      <c r="AO154" s="45" t="e">
        <f>W$3+N154/ATM_Conf!$C$5</f>
        <v>#DIV/0!</v>
      </c>
      <c r="AP154" s="45" t="e">
        <f>X$3+O154/ATM_Conf!$C$5</f>
        <v>#DIV/0!</v>
      </c>
      <c r="AQ154" s="45" t="e">
        <f>Y$3+P154/ATM_Conf!$C$5</f>
        <v>#DIV/0!</v>
      </c>
      <c r="AR154" s="45" t="e">
        <f>Z$3+Q154/ATM_Conf!$C$5</f>
        <v>#DIV/0!</v>
      </c>
      <c r="AS154" s="45" t="e">
        <f>AA$3+R154/ATM_Conf!$C$5</f>
        <v>#DIV/0!</v>
      </c>
      <c r="AT154" s="45" t="e">
        <f>AB$3+S154/ATM_Conf!$C$5</f>
        <v>#DIV/0!</v>
      </c>
      <c r="AU154" s="45" t="e">
        <f>BD$3*MIN(1,(ATM_Conf!$C$6-Links!F154)/(ATM_Conf!$C$6-ATM_Conf!$C$7))</f>
        <v>#DIV/0!</v>
      </c>
      <c r="AV154" s="45" t="e">
        <f>BE$3*MIN(1,(ATM_Conf!$C$6-Links!G154)/(ATM_Conf!$C$6-ATM_Conf!$C$7))</f>
        <v>#DIV/0!</v>
      </c>
      <c r="AW154" s="45" t="e">
        <f>BF$3*MIN(1,(ATM_Conf!$C$6-Links!H154)/(ATM_Conf!$C$6-ATM_Conf!$C$7))</f>
        <v>#DIV/0!</v>
      </c>
      <c r="AX154" s="45" t="e">
        <f>BG$3*MIN(1,(ATM_Conf!$C$6-Links!I154)/(ATM_Conf!$C$6-ATM_Conf!$C$7))</f>
        <v>#DIV/0!</v>
      </c>
      <c r="AY154" s="45" t="e">
        <f>BH$3*MIN(1,(ATM_Conf!$C$6-Links!J154)/(ATM_Conf!$C$6-ATM_Conf!$C$7))</f>
        <v>#DIV/0!</v>
      </c>
      <c r="AZ154" s="45" t="e">
        <f>BI$3*MIN(1,(ATM_Conf!$C$6-Links!K154)/(ATM_Conf!$C$6-ATM_Conf!$C$7))</f>
        <v>#DIV/0!</v>
      </c>
      <c r="BA154" s="45" t="e">
        <f>BJ$3*MIN(1,(ATM_Conf!$C$6-Links!L154)/(ATM_Conf!$C$6-ATM_Conf!$C$7))</f>
        <v>#DIV/0!</v>
      </c>
      <c r="BB154" s="45" t="e">
        <f>BK$3*MIN(1,(ATM_Conf!$C$6-Links!M154)/(ATM_Conf!$C$6-ATM_Conf!$C$7))</f>
        <v>#DIV/0!</v>
      </c>
      <c r="BC154" s="45" t="e">
        <f>BL$3*MIN(1,(ATM_Conf!$C$6-Links!N154)/(ATM_Conf!$C$6-ATM_Conf!$C$7))</f>
        <v>#DIV/0!</v>
      </c>
      <c r="BD154" s="45"/>
      <c r="BE154" s="45"/>
      <c r="BF154" s="45"/>
      <c r="BG154" s="45"/>
      <c r="BH154" s="45"/>
      <c r="BI154" s="45"/>
      <c r="BJ154" s="45"/>
      <c r="BK154" s="45"/>
      <c r="BL154" s="45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 t="e">
        <f t="shared" si="85"/>
        <v>#DIV/0!</v>
      </c>
      <c r="BW154" s="53" t="e">
        <f t="shared" si="86"/>
        <v>#DIV/0!</v>
      </c>
      <c r="BX154" s="53" t="e">
        <f t="shared" si="87"/>
        <v>#DIV/0!</v>
      </c>
      <c r="BY154" s="53" t="e">
        <f t="shared" si="88"/>
        <v>#DIV/0!</v>
      </c>
      <c r="BZ154" s="53" t="e">
        <f t="shared" si="89"/>
        <v>#DIV/0!</v>
      </c>
      <c r="CA154" s="53" t="e">
        <f t="shared" si="90"/>
        <v>#DIV/0!</v>
      </c>
      <c r="CB154" s="53" t="e">
        <f t="shared" si="91"/>
        <v>#DIV/0!</v>
      </c>
      <c r="CC154" s="53" t="e">
        <f t="shared" si="92"/>
        <v>#DIV/0!</v>
      </c>
      <c r="CD154" s="53" t="e">
        <f t="shared" si="93"/>
        <v>#DIV/0!</v>
      </c>
      <c r="CE154" s="55">
        <f t="shared" si="75"/>
        <v>0</v>
      </c>
      <c r="CF154" s="55">
        <f t="shared" si="75"/>
        <v>0</v>
      </c>
      <c r="CG154" s="55">
        <f t="shared" si="75"/>
        <v>0</v>
      </c>
      <c r="CH154" s="55">
        <f t="shared" si="75"/>
        <v>0</v>
      </c>
      <c r="CI154" s="55">
        <f t="shared" si="75"/>
        <v>0</v>
      </c>
      <c r="CJ154" s="55">
        <f t="shared" si="75"/>
        <v>0</v>
      </c>
      <c r="CK154" s="55">
        <f t="shared" si="75"/>
        <v>0</v>
      </c>
      <c r="CL154" s="55">
        <f t="shared" si="75"/>
        <v>0</v>
      </c>
      <c r="CM154" s="55">
        <f t="shared" si="75"/>
        <v>0</v>
      </c>
    </row>
    <row r="155" spans="1:91" x14ac:dyDescent="0.15">
      <c r="A155" s="42">
        <v>153</v>
      </c>
      <c r="B155" s="45">
        <f t="shared" si="99"/>
        <v>1</v>
      </c>
      <c r="C155" s="45">
        <f t="shared" si="98"/>
        <v>1</v>
      </c>
      <c r="D155" s="45">
        <f t="shared" si="98"/>
        <v>1</v>
      </c>
      <c r="E155" s="45">
        <f t="shared" si="98"/>
        <v>1</v>
      </c>
      <c r="F155" s="45">
        <f t="shared" si="98"/>
        <v>1</v>
      </c>
      <c r="G155" s="45">
        <f t="shared" si="98"/>
        <v>1</v>
      </c>
      <c r="H155" s="45">
        <f t="shared" si="98"/>
        <v>1</v>
      </c>
      <c r="I155" s="45">
        <f t="shared" si="98"/>
        <v>1</v>
      </c>
      <c r="J155" s="45">
        <f t="shared" si="98"/>
        <v>1</v>
      </c>
      <c r="K155" s="45" t="e">
        <f>K154+ATM_Conf!$C$5*(T154-AC154)</f>
        <v>#DIV/0!</v>
      </c>
      <c r="L155" s="45" t="e">
        <f>L154+ATM_Conf!$C$5*(U154-AD154)</f>
        <v>#DIV/0!</v>
      </c>
      <c r="M155" s="45" t="e">
        <f>M154+ATM_Conf!$C$5*(V154-AE154)</f>
        <v>#DIV/0!</v>
      </c>
      <c r="N155" s="45" t="e">
        <f>N154+ATM_Conf!$C$5*(W154-AF154)</f>
        <v>#DIV/0!</v>
      </c>
      <c r="O155" s="45" t="e">
        <f>O154+ATM_Conf!$C$5*(X154-AG154)</f>
        <v>#DIV/0!</v>
      </c>
      <c r="P155" s="45" t="e">
        <f>P154+ATM_Conf!$C$5*(Y154-AH154)</f>
        <v>#DIV/0!</v>
      </c>
      <c r="Q155" s="45" t="e">
        <f>Q154+ATM_Conf!$C$5*(Z154-AI154)</f>
        <v>#DIV/0!</v>
      </c>
      <c r="R155" s="45" t="e">
        <f>R154+ATM_Conf!$C$5*(AA154-AJ154)</f>
        <v>#DIV/0!</v>
      </c>
      <c r="S155" s="45" t="e">
        <f>S154+ATM_Conf!$C$5*(AB154-AK154)</f>
        <v>#DIV/0!</v>
      </c>
      <c r="T155" s="45"/>
      <c r="U155" s="45"/>
      <c r="V155" s="45"/>
      <c r="W155" s="45"/>
      <c r="X155" s="45"/>
      <c r="Y155" s="45"/>
      <c r="Z155" s="45"/>
      <c r="AA155" s="45"/>
      <c r="AB155" s="45"/>
      <c r="AC155" s="45" t="e">
        <f t="shared" si="76"/>
        <v>#DIV/0!</v>
      </c>
      <c r="AD155" s="45" t="e">
        <f t="shared" si="77"/>
        <v>#DIV/0!</v>
      </c>
      <c r="AE155" s="45" t="e">
        <f t="shared" si="78"/>
        <v>#DIV/0!</v>
      </c>
      <c r="AF155" s="45" t="e">
        <f t="shared" si="79"/>
        <v>#DIV/0!</v>
      </c>
      <c r="AG155" s="45" t="e">
        <f t="shared" si="80"/>
        <v>#DIV/0!</v>
      </c>
      <c r="AH155" s="45" t="e">
        <f t="shared" si="81"/>
        <v>#DIV/0!</v>
      </c>
      <c r="AI155" s="45" t="e">
        <f t="shared" si="82"/>
        <v>#DIV/0!</v>
      </c>
      <c r="AJ155" s="45" t="e">
        <f t="shared" si="83"/>
        <v>#DIV/0!</v>
      </c>
      <c r="AK155" s="45" t="e">
        <f t="shared" si="84"/>
        <v>#DIV/0!</v>
      </c>
      <c r="AL155" s="45" t="e">
        <f>T$3+K155/ATM_Conf!$C$5</f>
        <v>#DIV/0!</v>
      </c>
      <c r="AM155" s="45" t="e">
        <f>U$3+L155/ATM_Conf!$C$5</f>
        <v>#DIV/0!</v>
      </c>
      <c r="AN155" s="45" t="e">
        <f>V$3+M155/ATM_Conf!$C$5</f>
        <v>#DIV/0!</v>
      </c>
      <c r="AO155" s="45" t="e">
        <f>W$3+N155/ATM_Conf!$C$5</f>
        <v>#DIV/0!</v>
      </c>
      <c r="AP155" s="45" t="e">
        <f>X$3+O155/ATM_Conf!$C$5</f>
        <v>#DIV/0!</v>
      </c>
      <c r="AQ155" s="45" t="e">
        <f>Y$3+P155/ATM_Conf!$C$5</f>
        <v>#DIV/0!</v>
      </c>
      <c r="AR155" s="45" t="e">
        <f>Z$3+Q155/ATM_Conf!$C$5</f>
        <v>#DIV/0!</v>
      </c>
      <c r="AS155" s="45" t="e">
        <f>AA$3+R155/ATM_Conf!$C$5</f>
        <v>#DIV/0!</v>
      </c>
      <c r="AT155" s="45" t="e">
        <f>AB$3+S155/ATM_Conf!$C$5</f>
        <v>#DIV/0!</v>
      </c>
      <c r="AU155" s="45" t="e">
        <f>BD$3*MIN(1,(ATM_Conf!$C$6-Links!F155)/(ATM_Conf!$C$6-ATM_Conf!$C$7))</f>
        <v>#DIV/0!</v>
      </c>
      <c r="AV155" s="45" t="e">
        <f>BE$3*MIN(1,(ATM_Conf!$C$6-Links!G155)/(ATM_Conf!$C$6-ATM_Conf!$C$7))</f>
        <v>#DIV/0!</v>
      </c>
      <c r="AW155" s="45" t="e">
        <f>BF$3*MIN(1,(ATM_Conf!$C$6-Links!H155)/(ATM_Conf!$C$6-ATM_Conf!$C$7))</f>
        <v>#DIV/0!</v>
      </c>
      <c r="AX155" s="45" t="e">
        <f>BG$3*MIN(1,(ATM_Conf!$C$6-Links!I155)/(ATM_Conf!$C$6-ATM_Conf!$C$7))</f>
        <v>#DIV/0!</v>
      </c>
      <c r="AY155" s="45" t="e">
        <f>BH$3*MIN(1,(ATM_Conf!$C$6-Links!J155)/(ATM_Conf!$C$6-ATM_Conf!$C$7))</f>
        <v>#DIV/0!</v>
      </c>
      <c r="AZ155" s="45" t="e">
        <f>BI$3*MIN(1,(ATM_Conf!$C$6-Links!K155)/(ATM_Conf!$C$6-ATM_Conf!$C$7))</f>
        <v>#DIV/0!</v>
      </c>
      <c r="BA155" s="45" t="e">
        <f>BJ$3*MIN(1,(ATM_Conf!$C$6-Links!L155)/(ATM_Conf!$C$6-ATM_Conf!$C$7))</f>
        <v>#DIV/0!</v>
      </c>
      <c r="BB155" s="45" t="e">
        <f>BK$3*MIN(1,(ATM_Conf!$C$6-Links!M155)/(ATM_Conf!$C$6-ATM_Conf!$C$7))</f>
        <v>#DIV/0!</v>
      </c>
      <c r="BC155" s="45" t="e">
        <f>BL$3*MIN(1,(ATM_Conf!$C$6-Links!N155)/(ATM_Conf!$C$6-ATM_Conf!$C$7))</f>
        <v>#DIV/0!</v>
      </c>
      <c r="BD155" s="45"/>
      <c r="BE155" s="45"/>
      <c r="BF155" s="45"/>
      <c r="BG155" s="45"/>
      <c r="BH155" s="45"/>
      <c r="BI155" s="45"/>
      <c r="BJ155" s="45"/>
      <c r="BK155" s="45"/>
      <c r="BL155" s="45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 t="e">
        <f t="shared" si="85"/>
        <v>#DIV/0!</v>
      </c>
      <c r="BW155" s="53" t="e">
        <f t="shared" si="86"/>
        <v>#DIV/0!</v>
      </c>
      <c r="BX155" s="53" t="e">
        <f t="shared" si="87"/>
        <v>#DIV/0!</v>
      </c>
      <c r="BY155" s="53" t="e">
        <f t="shared" si="88"/>
        <v>#DIV/0!</v>
      </c>
      <c r="BZ155" s="53" t="e">
        <f t="shared" si="89"/>
        <v>#DIV/0!</v>
      </c>
      <c r="CA155" s="53" t="e">
        <f t="shared" si="90"/>
        <v>#DIV/0!</v>
      </c>
      <c r="CB155" s="53" t="e">
        <f t="shared" si="91"/>
        <v>#DIV/0!</v>
      </c>
      <c r="CC155" s="53" t="e">
        <f t="shared" si="92"/>
        <v>#DIV/0!</v>
      </c>
      <c r="CD155" s="53" t="e">
        <f t="shared" si="93"/>
        <v>#DIV/0!</v>
      </c>
      <c r="CE155" s="55">
        <f t="shared" si="75"/>
        <v>0</v>
      </c>
      <c r="CF155" s="55">
        <f t="shared" si="75"/>
        <v>0</v>
      </c>
      <c r="CG155" s="55">
        <f t="shared" si="75"/>
        <v>0</v>
      </c>
      <c r="CH155" s="55">
        <f t="shared" si="75"/>
        <v>0</v>
      </c>
      <c r="CI155" s="55">
        <f t="shared" si="75"/>
        <v>0</v>
      </c>
      <c r="CJ155" s="55">
        <f t="shared" si="75"/>
        <v>0</v>
      </c>
      <c r="CK155" s="55">
        <f t="shared" si="75"/>
        <v>0</v>
      </c>
      <c r="CL155" s="55">
        <f t="shared" si="75"/>
        <v>0</v>
      </c>
      <c r="CM155" s="55">
        <f t="shared" si="75"/>
        <v>0</v>
      </c>
    </row>
    <row r="156" spans="1:91" x14ac:dyDescent="0.15">
      <c r="A156" s="42">
        <v>154</v>
      </c>
      <c r="B156" s="45">
        <f t="shared" si="99"/>
        <v>1</v>
      </c>
      <c r="C156" s="45">
        <f t="shared" si="98"/>
        <v>1</v>
      </c>
      <c r="D156" s="45">
        <f t="shared" si="98"/>
        <v>1</v>
      </c>
      <c r="E156" s="45">
        <f t="shared" si="98"/>
        <v>1</v>
      </c>
      <c r="F156" s="45">
        <f t="shared" si="98"/>
        <v>1</v>
      </c>
      <c r="G156" s="45">
        <f t="shared" si="98"/>
        <v>1</v>
      </c>
      <c r="H156" s="45">
        <f t="shared" si="98"/>
        <v>1</v>
      </c>
      <c r="I156" s="45">
        <f t="shared" si="98"/>
        <v>1</v>
      </c>
      <c r="J156" s="45">
        <f t="shared" si="98"/>
        <v>1</v>
      </c>
      <c r="K156" s="45" t="e">
        <f>K155+ATM_Conf!$C$5*(T155-AC155)</f>
        <v>#DIV/0!</v>
      </c>
      <c r="L156" s="45" t="e">
        <f>L155+ATM_Conf!$C$5*(U155-AD155)</f>
        <v>#DIV/0!</v>
      </c>
      <c r="M156" s="45" t="e">
        <f>M155+ATM_Conf!$C$5*(V155-AE155)</f>
        <v>#DIV/0!</v>
      </c>
      <c r="N156" s="45" t="e">
        <f>N155+ATM_Conf!$C$5*(W155-AF155)</f>
        <v>#DIV/0!</v>
      </c>
      <c r="O156" s="45" t="e">
        <f>O155+ATM_Conf!$C$5*(X155-AG155)</f>
        <v>#DIV/0!</v>
      </c>
      <c r="P156" s="45" t="e">
        <f>P155+ATM_Conf!$C$5*(Y155-AH155)</f>
        <v>#DIV/0!</v>
      </c>
      <c r="Q156" s="45" t="e">
        <f>Q155+ATM_Conf!$C$5*(Z155-AI155)</f>
        <v>#DIV/0!</v>
      </c>
      <c r="R156" s="45" t="e">
        <f>R155+ATM_Conf!$C$5*(AA155-AJ155)</f>
        <v>#DIV/0!</v>
      </c>
      <c r="S156" s="45" t="e">
        <f>S155+ATM_Conf!$C$5*(AB155-AK155)</f>
        <v>#DIV/0!</v>
      </c>
      <c r="T156" s="45"/>
      <c r="U156" s="45"/>
      <c r="V156" s="45"/>
      <c r="W156" s="45"/>
      <c r="X156" s="45"/>
      <c r="Y156" s="45"/>
      <c r="Z156" s="45"/>
      <c r="AA156" s="45"/>
      <c r="AB156" s="45"/>
      <c r="AC156" s="45" t="e">
        <f t="shared" si="76"/>
        <v>#DIV/0!</v>
      </c>
      <c r="AD156" s="45" t="e">
        <f t="shared" si="77"/>
        <v>#DIV/0!</v>
      </c>
      <c r="AE156" s="45" t="e">
        <f t="shared" si="78"/>
        <v>#DIV/0!</v>
      </c>
      <c r="AF156" s="45" t="e">
        <f t="shared" si="79"/>
        <v>#DIV/0!</v>
      </c>
      <c r="AG156" s="45" t="e">
        <f t="shared" si="80"/>
        <v>#DIV/0!</v>
      </c>
      <c r="AH156" s="45" t="e">
        <f t="shared" si="81"/>
        <v>#DIV/0!</v>
      </c>
      <c r="AI156" s="45" t="e">
        <f t="shared" si="82"/>
        <v>#DIV/0!</v>
      </c>
      <c r="AJ156" s="45" t="e">
        <f t="shared" si="83"/>
        <v>#DIV/0!</v>
      </c>
      <c r="AK156" s="45" t="e">
        <f t="shared" si="84"/>
        <v>#DIV/0!</v>
      </c>
      <c r="AL156" s="45" t="e">
        <f>T$3+K156/ATM_Conf!$C$5</f>
        <v>#DIV/0!</v>
      </c>
      <c r="AM156" s="45" t="e">
        <f>U$3+L156/ATM_Conf!$C$5</f>
        <v>#DIV/0!</v>
      </c>
      <c r="AN156" s="45" t="e">
        <f>V$3+M156/ATM_Conf!$C$5</f>
        <v>#DIV/0!</v>
      </c>
      <c r="AO156" s="45" t="e">
        <f>W$3+N156/ATM_Conf!$C$5</f>
        <v>#DIV/0!</v>
      </c>
      <c r="AP156" s="45" t="e">
        <f>X$3+O156/ATM_Conf!$C$5</f>
        <v>#DIV/0!</v>
      </c>
      <c r="AQ156" s="45" t="e">
        <f>Y$3+P156/ATM_Conf!$C$5</f>
        <v>#DIV/0!</v>
      </c>
      <c r="AR156" s="45" t="e">
        <f>Z$3+Q156/ATM_Conf!$C$5</f>
        <v>#DIV/0!</v>
      </c>
      <c r="AS156" s="45" t="e">
        <f>AA$3+R156/ATM_Conf!$C$5</f>
        <v>#DIV/0!</v>
      </c>
      <c r="AT156" s="45" t="e">
        <f>AB$3+S156/ATM_Conf!$C$5</f>
        <v>#DIV/0!</v>
      </c>
      <c r="AU156" s="45" t="e">
        <f>BD$3*MIN(1,(ATM_Conf!$C$6-Links!F156)/(ATM_Conf!$C$6-ATM_Conf!$C$7))</f>
        <v>#DIV/0!</v>
      </c>
      <c r="AV156" s="45" t="e">
        <f>BE$3*MIN(1,(ATM_Conf!$C$6-Links!G156)/(ATM_Conf!$C$6-ATM_Conf!$C$7))</f>
        <v>#DIV/0!</v>
      </c>
      <c r="AW156" s="45" t="e">
        <f>BF$3*MIN(1,(ATM_Conf!$C$6-Links!H156)/(ATM_Conf!$C$6-ATM_Conf!$C$7))</f>
        <v>#DIV/0!</v>
      </c>
      <c r="AX156" s="45" t="e">
        <f>BG$3*MIN(1,(ATM_Conf!$C$6-Links!I156)/(ATM_Conf!$C$6-ATM_Conf!$C$7))</f>
        <v>#DIV/0!</v>
      </c>
      <c r="AY156" s="45" t="e">
        <f>BH$3*MIN(1,(ATM_Conf!$C$6-Links!J156)/(ATM_Conf!$C$6-ATM_Conf!$C$7))</f>
        <v>#DIV/0!</v>
      </c>
      <c r="AZ156" s="45" t="e">
        <f>BI$3*MIN(1,(ATM_Conf!$C$6-Links!K156)/(ATM_Conf!$C$6-ATM_Conf!$C$7))</f>
        <v>#DIV/0!</v>
      </c>
      <c r="BA156" s="45" t="e">
        <f>BJ$3*MIN(1,(ATM_Conf!$C$6-Links!L156)/(ATM_Conf!$C$6-ATM_Conf!$C$7))</f>
        <v>#DIV/0!</v>
      </c>
      <c r="BB156" s="45" t="e">
        <f>BK$3*MIN(1,(ATM_Conf!$C$6-Links!M156)/(ATM_Conf!$C$6-ATM_Conf!$C$7))</f>
        <v>#DIV/0!</v>
      </c>
      <c r="BC156" s="45" t="e">
        <f>BL$3*MIN(1,(ATM_Conf!$C$6-Links!N156)/(ATM_Conf!$C$6-ATM_Conf!$C$7))</f>
        <v>#DIV/0!</v>
      </c>
      <c r="BD156" s="45"/>
      <c r="BE156" s="45"/>
      <c r="BF156" s="45"/>
      <c r="BG156" s="45"/>
      <c r="BH156" s="45"/>
      <c r="BI156" s="45"/>
      <c r="BJ156" s="45"/>
      <c r="BK156" s="45"/>
      <c r="BL156" s="45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 t="e">
        <f t="shared" si="85"/>
        <v>#DIV/0!</v>
      </c>
      <c r="BW156" s="53" t="e">
        <f t="shared" si="86"/>
        <v>#DIV/0!</v>
      </c>
      <c r="BX156" s="53" t="e">
        <f t="shared" si="87"/>
        <v>#DIV/0!</v>
      </c>
      <c r="BY156" s="53" t="e">
        <f t="shared" si="88"/>
        <v>#DIV/0!</v>
      </c>
      <c r="BZ156" s="53" t="e">
        <f t="shared" si="89"/>
        <v>#DIV/0!</v>
      </c>
      <c r="CA156" s="53" t="e">
        <f t="shared" si="90"/>
        <v>#DIV/0!</v>
      </c>
      <c r="CB156" s="53" t="e">
        <f t="shared" si="91"/>
        <v>#DIV/0!</v>
      </c>
      <c r="CC156" s="53" t="e">
        <f t="shared" si="92"/>
        <v>#DIV/0!</v>
      </c>
      <c r="CD156" s="53" t="e">
        <f t="shared" si="93"/>
        <v>#DIV/0!</v>
      </c>
      <c r="CE156" s="55">
        <f t="shared" si="75"/>
        <v>0</v>
      </c>
      <c r="CF156" s="55">
        <f t="shared" si="75"/>
        <v>0</v>
      </c>
      <c r="CG156" s="55">
        <f t="shared" si="75"/>
        <v>0</v>
      </c>
      <c r="CH156" s="55">
        <f t="shared" si="75"/>
        <v>0</v>
      </c>
      <c r="CI156" s="55">
        <f t="shared" si="75"/>
        <v>0</v>
      </c>
      <c r="CJ156" s="55">
        <f t="shared" si="75"/>
        <v>0</v>
      </c>
      <c r="CK156" s="55">
        <f t="shared" si="75"/>
        <v>0</v>
      </c>
      <c r="CL156" s="55">
        <f t="shared" si="75"/>
        <v>0</v>
      </c>
      <c r="CM156" s="55">
        <f t="shared" si="75"/>
        <v>0</v>
      </c>
    </row>
    <row r="157" spans="1:91" x14ac:dyDescent="0.15">
      <c r="A157" s="42">
        <v>155</v>
      </c>
      <c r="B157" s="45">
        <f t="shared" si="99"/>
        <v>1</v>
      </c>
      <c r="C157" s="45">
        <f t="shared" si="98"/>
        <v>1</v>
      </c>
      <c r="D157" s="45">
        <f t="shared" si="98"/>
        <v>1</v>
      </c>
      <c r="E157" s="45">
        <f t="shared" si="98"/>
        <v>1</v>
      </c>
      <c r="F157" s="45">
        <f t="shared" si="98"/>
        <v>1</v>
      </c>
      <c r="G157" s="45">
        <f t="shared" si="98"/>
        <v>1</v>
      </c>
      <c r="H157" s="45">
        <f t="shared" si="98"/>
        <v>1</v>
      </c>
      <c r="I157" s="45">
        <f t="shared" si="98"/>
        <v>1</v>
      </c>
      <c r="J157" s="45">
        <f t="shared" si="98"/>
        <v>1</v>
      </c>
      <c r="K157" s="45" t="e">
        <f>K156+ATM_Conf!$C$5*(T156-AC156)</f>
        <v>#DIV/0!</v>
      </c>
      <c r="L157" s="45" t="e">
        <f>L156+ATM_Conf!$C$5*(U156-AD156)</f>
        <v>#DIV/0!</v>
      </c>
      <c r="M157" s="45" t="e">
        <f>M156+ATM_Conf!$C$5*(V156-AE156)</f>
        <v>#DIV/0!</v>
      </c>
      <c r="N157" s="45" t="e">
        <f>N156+ATM_Conf!$C$5*(W156-AF156)</f>
        <v>#DIV/0!</v>
      </c>
      <c r="O157" s="45" t="e">
        <f>O156+ATM_Conf!$C$5*(X156-AG156)</f>
        <v>#DIV/0!</v>
      </c>
      <c r="P157" s="45" t="e">
        <f>P156+ATM_Conf!$C$5*(Y156-AH156)</f>
        <v>#DIV/0!</v>
      </c>
      <c r="Q157" s="45" t="e">
        <f>Q156+ATM_Conf!$C$5*(Z156-AI156)</f>
        <v>#DIV/0!</v>
      </c>
      <c r="R157" s="45" t="e">
        <f>R156+ATM_Conf!$C$5*(AA156-AJ156)</f>
        <v>#DIV/0!</v>
      </c>
      <c r="S157" s="45" t="e">
        <f>S156+ATM_Conf!$C$5*(AB156-AK156)</f>
        <v>#DIV/0!</v>
      </c>
      <c r="T157" s="45"/>
      <c r="U157" s="45"/>
      <c r="V157" s="45"/>
      <c r="W157" s="45"/>
      <c r="X157" s="45"/>
      <c r="Y157" s="45"/>
      <c r="Z157" s="45"/>
      <c r="AA157" s="45"/>
      <c r="AB157" s="45"/>
      <c r="AC157" s="45" t="e">
        <f t="shared" si="76"/>
        <v>#DIV/0!</v>
      </c>
      <c r="AD157" s="45" t="e">
        <f t="shared" si="77"/>
        <v>#DIV/0!</v>
      </c>
      <c r="AE157" s="45" t="e">
        <f t="shared" si="78"/>
        <v>#DIV/0!</v>
      </c>
      <c r="AF157" s="45" t="e">
        <f t="shared" si="79"/>
        <v>#DIV/0!</v>
      </c>
      <c r="AG157" s="45" t="e">
        <f t="shared" si="80"/>
        <v>#DIV/0!</v>
      </c>
      <c r="AH157" s="45" t="e">
        <f t="shared" si="81"/>
        <v>#DIV/0!</v>
      </c>
      <c r="AI157" s="45" t="e">
        <f t="shared" si="82"/>
        <v>#DIV/0!</v>
      </c>
      <c r="AJ157" s="45" t="e">
        <f t="shared" si="83"/>
        <v>#DIV/0!</v>
      </c>
      <c r="AK157" s="45" t="e">
        <f t="shared" si="84"/>
        <v>#DIV/0!</v>
      </c>
      <c r="AL157" s="45" t="e">
        <f>T$3+K157/ATM_Conf!$C$5</f>
        <v>#DIV/0!</v>
      </c>
      <c r="AM157" s="45" t="e">
        <f>U$3+L157/ATM_Conf!$C$5</f>
        <v>#DIV/0!</v>
      </c>
      <c r="AN157" s="45" t="e">
        <f>V$3+M157/ATM_Conf!$C$5</f>
        <v>#DIV/0!</v>
      </c>
      <c r="AO157" s="45" t="e">
        <f>W$3+N157/ATM_Conf!$C$5</f>
        <v>#DIV/0!</v>
      </c>
      <c r="AP157" s="45" t="e">
        <f>X$3+O157/ATM_Conf!$C$5</f>
        <v>#DIV/0!</v>
      </c>
      <c r="AQ157" s="45" t="e">
        <f>Y$3+P157/ATM_Conf!$C$5</f>
        <v>#DIV/0!</v>
      </c>
      <c r="AR157" s="45" t="e">
        <f>Z$3+Q157/ATM_Conf!$C$5</f>
        <v>#DIV/0!</v>
      </c>
      <c r="AS157" s="45" t="e">
        <f>AA$3+R157/ATM_Conf!$C$5</f>
        <v>#DIV/0!</v>
      </c>
      <c r="AT157" s="45" t="e">
        <f>AB$3+S157/ATM_Conf!$C$5</f>
        <v>#DIV/0!</v>
      </c>
      <c r="AU157" s="45" t="e">
        <f>BD$3*MIN(1,(ATM_Conf!$C$6-Links!F157)/(ATM_Conf!$C$6-ATM_Conf!$C$7))</f>
        <v>#DIV/0!</v>
      </c>
      <c r="AV157" s="45" t="e">
        <f>BE$3*MIN(1,(ATM_Conf!$C$6-Links!G157)/(ATM_Conf!$C$6-ATM_Conf!$C$7))</f>
        <v>#DIV/0!</v>
      </c>
      <c r="AW157" s="45" t="e">
        <f>BF$3*MIN(1,(ATM_Conf!$C$6-Links!H157)/(ATM_Conf!$C$6-ATM_Conf!$C$7))</f>
        <v>#DIV/0!</v>
      </c>
      <c r="AX157" s="45" t="e">
        <f>BG$3*MIN(1,(ATM_Conf!$C$6-Links!I157)/(ATM_Conf!$C$6-ATM_Conf!$C$7))</f>
        <v>#DIV/0!</v>
      </c>
      <c r="AY157" s="45" t="e">
        <f>BH$3*MIN(1,(ATM_Conf!$C$6-Links!J157)/(ATM_Conf!$C$6-ATM_Conf!$C$7))</f>
        <v>#DIV/0!</v>
      </c>
      <c r="AZ157" s="45" t="e">
        <f>BI$3*MIN(1,(ATM_Conf!$C$6-Links!K157)/(ATM_Conf!$C$6-ATM_Conf!$C$7))</f>
        <v>#DIV/0!</v>
      </c>
      <c r="BA157" s="45" t="e">
        <f>BJ$3*MIN(1,(ATM_Conf!$C$6-Links!L157)/(ATM_Conf!$C$6-ATM_Conf!$C$7))</f>
        <v>#DIV/0!</v>
      </c>
      <c r="BB157" s="45" t="e">
        <f>BK$3*MIN(1,(ATM_Conf!$C$6-Links!M157)/(ATM_Conf!$C$6-ATM_Conf!$C$7))</f>
        <v>#DIV/0!</v>
      </c>
      <c r="BC157" s="45" t="e">
        <f>BL$3*MIN(1,(ATM_Conf!$C$6-Links!N157)/(ATM_Conf!$C$6-ATM_Conf!$C$7))</f>
        <v>#DIV/0!</v>
      </c>
      <c r="BD157" s="45"/>
      <c r="BE157" s="45"/>
      <c r="BF157" s="45"/>
      <c r="BG157" s="45"/>
      <c r="BH157" s="45"/>
      <c r="BI157" s="45"/>
      <c r="BJ157" s="45"/>
      <c r="BK157" s="45"/>
      <c r="BL157" s="45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 t="e">
        <f t="shared" si="85"/>
        <v>#DIV/0!</v>
      </c>
      <c r="BW157" s="53" t="e">
        <f t="shared" si="86"/>
        <v>#DIV/0!</v>
      </c>
      <c r="BX157" s="53" t="e">
        <f t="shared" si="87"/>
        <v>#DIV/0!</v>
      </c>
      <c r="BY157" s="53" t="e">
        <f t="shared" si="88"/>
        <v>#DIV/0!</v>
      </c>
      <c r="BZ157" s="53" t="e">
        <f t="shared" si="89"/>
        <v>#DIV/0!</v>
      </c>
      <c r="CA157" s="53" t="e">
        <f t="shared" si="90"/>
        <v>#DIV/0!</v>
      </c>
      <c r="CB157" s="53" t="e">
        <f t="shared" si="91"/>
        <v>#DIV/0!</v>
      </c>
      <c r="CC157" s="53" t="e">
        <f t="shared" si="92"/>
        <v>#DIV/0!</v>
      </c>
      <c r="CD157" s="53" t="e">
        <f t="shared" si="93"/>
        <v>#DIV/0!</v>
      </c>
      <c r="CE157" s="55">
        <f t="shared" si="75"/>
        <v>0</v>
      </c>
      <c r="CF157" s="55">
        <f t="shared" si="75"/>
        <v>0</v>
      </c>
      <c r="CG157" s="55">
        <f t="shared" si="75"/>
        <v>0</v>
      </c>
      <c r="CH157" s="55">
        <f t="shared" si="75"/>
        <v>0</v>
      </c>
      <c r="CI157" s="55">
        <f t="shared" si="75"/>
        <v>0</v>
      </c>
      <c r="CJ157" s="55">
        <f t="shared" si="75"/>
        <v>0</v>
      </c>
      <c r="CK157" s="55">
        <f t="shared" si="75"/>
        <v>0</v>
      </c>
      <c r="CL157" s="55">
        <f t="shared" si="75"/>
        <v>0</v>
      </c>
      <c r="CM157" s="55">
        <f t="shared" si="75"/>
        <v>0</v>
      </c>
    </row>
    <row r="158" spans="1:91" x14ac:dyDescent="0.15">
      <c r="A158" s="42">
        <v>156</v>
      </c>
      <c r="B158" s="45">
        <f t="shared" si="99"/>
        <v>1</v>
      </c>
      <c r="C158" s="45">
        <f t="shared" si="98"/>
        <v>1</v>
      </c>
      <c r="D158" s="45">
        <f t="shared" si="98"/>
        <v>1</v>
      </c>
      <c r="E158" s="45">
        <f t="shared" si="98"/>
        <v>1</v>
      </c>
      <c r="F158" s="45">
        <f t="shared" si="98"/>
        <v>1</v>
      </c>
      <c r="G158" s="45">
        <f t="shared" si="98"/>
        <v>1</v>
      </c>
      <c r="H158" s="45">
        <f t="shared" si="98"/>
        <v>1</v>
      </c>
      <c r="I158" s="45">
        <f t="shared" si="98"/>
        <v>1</v>
      </c>
      <c r="J158" s="45">
        <f t="shared" si="98"/>
        <v>1</v>
      </c>
      <c r="K158" s="45" t="e">
        <f>K157+ATM_Conf!$C$5*(T157-AC157)</f>
        <v>#DIV/0!</v>
      </c>
      <c r="L158" s="45" t="e">
        <f>L157+ATM_Conf!$C$5*(U157-AD157)</f>
        <v>#DIV/0!</v>
      </c>
      <c r="M158" s="45" t="e">
        <f>M157+ATM_Conf!$C$5*(V157-AE157)</f>
        <v>#DIV/0!</v>
      </c>
      <c r="N158" s="45" t="e">
        <f>N157+ATM_Conf!$C$5*(W157-AF157)</f>
        <v>#DIV/0!</v>
      </c>
      <c r="O158" s="45" t="e">
        <f>O157+ATM_Conf!$C$5*(X157-AG157)</f>
        <v>#DIV/0!</v>
      </c>
      <c r="P158" s="45" t="e">
        <f>P157+ATM_Conf!$C$5*(Y157-AH157)</f>
        <v>#DIV/0!</v>
      </c>
      <c r="Q158" s="45" t="e">
        <f>Q157+ATM_Conf!$C$5*(Z157-AI157)</f>
        <v>#DIV/0!</v>
      </c>
      <c r="R158" s="45" t="e">
        <f>R157+ATM_Conf!$C$5*(AA157-AJ157)</f>
        <v>#DIV/0!</v>
      </c>
      <c r="S158" s="45" t="e">
        <f>S157+ATM_Conf!$C$5*(AB157-AK157)</f>
        <v>#DIV/0!</v>
      </c>
      <c r="T158" s="45"/>
      <c r="U158" s="45"/>
      <c r="V158" s="45"/>
      <c r="W158" s="45"/>
      <c r="X158" s="45"/>
      <c r="Y158" s="45"/>
      <c r="Z158" s="45"/>
      <c r="AA158" s="45"/>
      <c r="AB158" s="45"/>
      <c r="AC158" s="45" t="e">
        <f t="shared" si="76"/>
        <v>#DIV/0!</v>
      </c>
      <c r="AD158" s="45" t="e">
        <f t="shared" si="77"/>
        <v>#DIV/0!</v>
      </c>
      <c r="AE158" s="45" t="e">
        <f t="shared" si="78"/>
        <v>#DIV/0!</v>
      </c>
      <c r="AF158" s="45" t="e">
        <f t="shared" si="79"/>
        <v>#DIV/0!</v>
      </c>
      <c r="AG158" s="45" t="e">
        <f t="shared" si="80"/>
        <v>#DIV/0!</v>
      </c>
      <c r="AH158" s="45" t="e">
        <f t="shared" si="81"/>
        <v>#DIV/0!</v>
      </c>
      <c r="AI158" s="45" t="e">
        <f t="shared" si="82"/>
        <v>#DIV/0!</v>
      </c>
      <c r="AJ158" s="45" t="e">
        <f t="shared" si="83"/>
        <v>#DIV/0!</v>
      </c>
      <c r="AK158" s="45" t="e">
        <f t="shared" si="84"/>
        <v>#DIV/0!</v>
      </c>
      <c r="AL158" s="45" t="e">
        <f>T$3+K158/ATM_Conf!$C$5</f>
        <v>#DIV/0!</v>
      </c>
      <c r="AM158" s="45" t="e">
        <f>U$3+L158/ATM_Conf!$C$5</f>
        <v>#DIV/0!</v>
      </c>
      <c r="AN158" s="45" t="e">
        <f>V$3+M158/ATM_Conf!$C$5</f>
        <v>#DIV/0!</v>
      </c>
      <c r="AO158" s="45" t="e">
        <f>W$3+N158/ATM_Conf!$C$5</f>
        <v>#DIV/0!</v>
      </c>
      <c r="AP158" s="45" t="e">
        <f>X$3+O158/ATM_Conf!$C$5</f>
        <v>#DIV/0!</v>
      </c>
      <c r="AQ158" s="45" t="e">
        <f>Y$3+P158/ATM_Conf!$C$5</f>
        <v>#DIV/0!</v>
      </c>
      <c r="AR158" s="45" t="e">
        <f>Z$3+Q158/ATM_Conf!$C$5</f>
        <v>#DIV/0!</v>
      </c>
      <c r="AS158" s="45" t="e">
        <f>AA$3+R158/ATM_Conf!$C$5</f>
        <v>#DIV/0!</v>
      </c>
      <c r="AT158" s="45" t="e">
        <f>AB$3+S158/ATM_Conf!$C$5</f>
        <v>#DIV/0!</v>
      </c>
      <c r="AU158" s="45" t="e">
        <f>BD$3*MIN(1,(ATM_Conf!$C$6-Links!F158)/(ATM_Conf!$C$6-ATM_Conf!$C$7))</f>
        <v>#DIV/0!</v>
      </c>
      <c r="AV158" s="45" t="e">
        <f>BE$3*MIN(1,(ATM_Conf!$C$6-Links!G158)/(ATM_Conf!$C$6-ATM_Conf!$C$7))</f>
        <v>#DIV/0!</v>
      </c>
      <c r="AW158" s="45" t="e">
        <f>BF$3*MIN(1,(ATM_Conf!$C$6-Links!H158)/(ATM_Conf!$C$6-ATM_Conf!$C$7))</f>
        <v>#DIV/0!</v>
      </c>
      <c r="AX158" s="45" t="e">
        <f>BG$3*MIN(1,(ATM_Conf!$C$6-Links!I158)/(ATM_Conf!$C$6-ATM_Conf!$C$7))</f>
        <v>#DIV/0!</v>
      </c>
      <c r="AY158" s="45" t="e">
        <f>BH$3*MIN(1,(ATM_Conf!$C$6-Links!J158)/(ATM_Conf!$C$6-ATM_Conf!$C$7))</f>
        <v>#DIV/0!</v>
      </c>
      <c r="AZ158" s="45" t="e">
        <f>BI$3*MIN(1,(ATM_Conf!$C$6-Links!K158)/(ATM_Conf!$C$6-ATM_Conf!$C$7))</f>
        <v>#DIV/0!</v>
      </c>
      <c r="BA158" s="45" t="e">
        <f>BJ$3*MIN(1,(ATM_Conf!$C$6-Links!L158)/(ATM_Conf!$C$6-ATM_Conf!$C$7))</f>
        <v>#DIV/0!</v>
      </c>
      <c r="BB158" s="45" t="e">
        <f>BK$3*MIN(1,(ATM_Conf!$C$6-Links!M158)/(ATM_Conf!$C$6-ATM_Conf!$C$7))</f>
        <v>#DIV/0!</v>
      </c>
      <c r="BC158" s="45" t="e">
        <f>BL$3*MIN(1,(ATM_Conf!$C$6-Links!N158)/(ATM_Conf!$C$6-ATM_Conf!$C$7))</f>
        <v>#DIV/0!</v>
      </c>
      <c r="BD158" s="45"/>
      <c r="BE158" s="45"/>
      <c r="BF158" s="45"/>
      <c r="BG158" s="45"/>
      <c r="BH158" s="45"/>
      <c r="BI158" s="45"/>
      <c r="BJ158" s="45"/>
      <c r="BK158" s="45"/>
      <c r="BL158" s="45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 t="e">
        <f t="shared" si="85"/>
        <v>#DIV/0!</v>
      </c>
      <c r="BW158" s="53" t="e">
        <f t="shared" si="86"/>
        <v>#DIV/0!</v>
      </c>
      <c r="BX158" s="53" t="e">
        <f t="shared" si="87"/>
        <v>#DIV/0!</v>
      </c>
      <c r="BY158" s="53" t="e">
        <f t="shared" si="88"/>
        <v>#DIV/0!</v>
      </c>
      <c r="BZ158" s="53" t="e">
        <f t="shared" si="89"/>
        <v>#DIV/0!</v>
      </c>
      <c r="CA158" s="53" t="e">
        <f t="shared" si="90"/>
        <v>#DIV/0!</v>
      </c>
      <c r="CB158" s="53" t="e">
        <f t="shared" si="91"/>
        <v>#DIV/0!</v>
      </c>
      <c r="CC158" s="53" t="e">
        <f t="shared" si="92"/>
        <v>#DIV/0!</v>
      </c>
      <c r="CD158" s="53" t="e">
        <f t="shared" si="93"/>
        <v>#DIV/0!</v>
      </c>
      <c r="CE158" s="55">
        <f t="shared" si="75"/>
        <v>0</v>
      </c>
      <c r="CF158" s="55">
        <f t="shared" si="75"/>
        <v>0</v>
      </c>
      <c r="CG158" s="55">
        <f t="shared" si="75"/>
        <v>0</v>
      </c>
      <c r="CH158" s="55">
        <f t="shared" ref="CF158:CM181" si="100">CH$3</f>
        <v>0</v>
      </c>
      <c r="CI158" s="55">
        <f t="shared" si="100"/>
        <v>0</v>
      </c>
      <c r="CJ158" s="55">
        <f t="shared" si="100"/>
        <v>0</v>
      </c>
      <c r="CK158" s="55">
        <f t="shared" si="100"/>
        <v>0</v>
      </c>
      <c r="CL158" s="55">
        <f t="shared" si="100"/>
        <v>0</v>
      </c>
      <c r="CM158" s="55">
        <f t="shared" si="100"/>
        <v>0</v>
      </c>
    </row>
    <row r="159" spans="1:91" x14ac:dyDescent="0.15">
      <c r="A159" s="42">
        <v>157</v>
      </c>
      <c r="B159" s="47">
        <v>1</v>
      </c>
      <c r="C159" s="47">
        <v>1</v>
      </c>
      <c r="D159" s="47">
        <v>1</v>
      </c>
      <c r="E159" s="47">
        <v>1</v>
      </c>
      <c r="F159" s="47">
        <v>1</v>
      </c>
      <c r="G159" s="47">
        <v>1</v>
      </c>
      <c r="H159" s="47">
        <v>1</v>
      </c>
      <c r="I159" s="47">
        <v>1</v>
      </c>
      <c r="J159" s="47">
        <v>1</v>
      </c>
      <c r="K159" s="45" t="e">
        <f>K158+ATM_Conf!$C$5*(T158-AC158)</f>
        <v>#DIV/0!</v>
      </c>
      <c r="L159" s="45" t="e">
        <f>L158+ATM_Conf!$C$5*(U158-AD158)</f>
        <v>#DIV/0!</v>
      </c>
      <c r="M159" s="45" t="e">
        <f>M158+ATM_Conf!$C$5*(V158-AE158)</f>
        <v>#DIV/0!</v>
      </c>
      <c r="N159" s="45" t="e">
        <f>N158+ATM_Conf!$C$5*(W158-AF158)</f>
        <v>#DIV/0!</v>
      </c>
      <c r="O159" s="45" t="e">
        <f>O158+ATM_Conf!$C$5*(X158-AG158)</f>
        <v>#DIV/0!</v>
      </c>
      <c r="P159" s="45" t="e">
        <f>P158+ATM_Conf!$C$5*(Y158-AH158)</f>
        <v>#DIV/0!</v>
      </c>
      <c r="Q159" s="45" t="e">
        <f>Q158+ATM_Conf!$C$5*(Z158-AI158)</f>
        <v>#DIV/0!</v>
      </c>
      <c r="R159" s="45" t="e">
        <f>R158+ATM_Conf!$C$5*(AA158-AJ158)</f>
        <v>#DIV/0!</v>
      </c>
      <c r="S159" s="45" t="e">
        <f>S158+ATM_Conf!$C$5*(AB158-AK158)</f>
        <v>#DIV/0!</v>
      </c>
      <c r="T159" s="45"/>
      <c r="U159" s="45"/>
      <c r="V159" s="45"/>
      <c r="W159" s="45"/>
      <c r="X159" s="45"/>
      <c r="Y159" s="45"/>
      <c r="Z159" s="45"/>
      <c r="AA159" s="45"/>
      <c r="AB159" s="45"/>
      <c r="AC159" s="45" t="e">
        <f t="shared" si="76"/>
        <v>#DIV/0!</v>
      </c>
      <c r="AD159" s="45" t="e">
        <f t="shared" si="77"/>
        <v>#DIV/0!</v>
      </c>
      <c r="AE159" s="45" t="e">
        <f t="shared" si="78"/>
        <v>#DIV/0!</v>
      </c>
      <c r="AF159" s="45" t="e">
        <f t="shared" si="79"/>
        <v>#DIV/0!</v>
      </c>
      <c r="AG159" s="45" t="e">
        <f t="shared" si="80"/>
        <v>#DIV/0!</v>
      </c>
      <c r="AH159" s="45" t="e">
        <f t="shared" si="81"/>
        <v>#DIV/0!</v>
      </c>
      <c r="AI159" s="45" t="e">
        <f t="shared" si="82"/>
        <v>#DIV/0!</v>
      </c>
      <c r="AJ159" s="45" t="e">
        <f t="shared" si="83"/>
        <v>#DIV/0!</v>
      </c>
      <c r="AK159" s="45" t="e">
        <f t="shared" si="84"/>
        <v>#DIV/0!</v>
      </c>
      <c r="AL159" s="45" t="e">
        <f>T$3+K159/ATM_Conf!$C$5</f>
        <v>#DIV/0!</v>
      </c>
      <c r="AM159" s="45" t="e">
        <f>U$3+L159/ATM_Conf!$C$5</f>
        <v>#DIV/0!</v>
      </c>
      <c r="AN159" s="45" t="e">
        <f>V$3+M159/ATM_Conf!$C$5</f>
        <v>#DIV/0!</v>
      </c>
      <c r="AO159" s="45" t="e">
        <f>W$3+N159/ATM_Conf!$C$5</f>
        <v>#DIV/0!</v>
      </c>
      <c r="AP159" s="45" t="e">
        <f>X$3+O159/ATM_Conf!$C$5</f>
        <v>#DIV/0!</v>
      </c>
      <c r="AQ159" s="45" t="e">
        <f>Y$3+P159/ATM_Conf!$C$5</f>
        <v>#DIV/0!</v>
      </c>
      <c r="AR159" s="45" t="e">
        <f>Z$3+Q159/ATM_Conf!$C$5</f>
        <v>#DIV/0!</v>
      </c>
      <c r="AS159" s="45" t="e">
        <f>AA$3+R159/ATM_Conf!$C$5</f>
        <v>#DIV/0!</v>
      </c>
      <c r="AT159" s="45" t="e">
        <f>AB$3+S159/ATM_Conf!$C$5</f>
        <v>#DIV/0!</v>
      </c>
      <c r="AU159" s="45" t="e">
        <f>BD$3*MIN(1,(ATM_Conf!$C$6-Links!F159)/(ATM_Conf!$C$6-ATM_Conf!$C$7))</f>
        <v>#DIV/0!</v>
      </c>
      <c r="AV159" s="45" t="e">
        <f>BE$3*MIN(1,(ATM_Conf!$C$6-Links!G159)/(ATM_Conf!$C$6-ATM_Conf!$C$7))</f>
        <v>#DIV/0!</v>
      </c>
      <c r="AW159" s="45" t="e">
        <f>BF$3*MIN(1,(ATM_Conf!$C$6-Links!H159)/(ATM_Conf!$C$6-ATM_Conf!$C$7))</f>
        <v>#DIV/0!</v>
      </c>
      <c r="AX159" s="45" t="e">
        <f>BG$3*MIN(1,(ATM_Conf!$C$6-Links!I159)/(ATM_Conf!$C$6-ATM_Conf!$C$7))</f>
        <v>#DIV/0!</v>
      </c>
      <c r="AY159" s="45" t="e">
        <f>BH$3*MIN(1,(ATM_Conf!$C$6-Links!J159)/(ATM_Conf!$C$6-ATM_Conf!$C$7))</f>
        <v>#DIV/0!</v>
      </c>
      <c r="AZ159" s="45" t="e">
        <f>BI$3*MIN(1,(ATM_Conf!$C$6-Links!K159)/(ATM_Conf!$C$6-ATM_Conf!$C$7))</f>
        <v>#DIV/0!</v>
      </c>
      <c r="BA159" s="45" t="e">
        <f>BJ$3*MIN(1,(ATM_Conf!$C$6-Links!L159)/(ATM_Conf!$C$6-ATM_Conf!$C$7))</f>
        <v>#DIV/0!</v>
      </c>
      <c r="BB159" s="45" t="e">
        <f>BK$3*MIN(1,(ATM_Conf!$C$6-Links!M159)/(ATM_Conf!$C$6-ATM_Conf!$C$7))</f>
        <v>#DIV/0!</v>
      </c>
      <c r="BC159" s="45" t="e">
        <f>BL$3*MIN(1,(ATM_Conf!$C$6-Links!N159)/(ATM_Conf!$C$6-ATM_Conf!$C$7))</f>
        <v>#DIV/0!</v>
      </c>
      <c r="BD159" s="45"/>
      <c r="BE159" s="45"/>
      <c r="BF159" s="45"/>
      <c r="BG159" s="45"/>
      <c r="BH159" s="45"/>
      <c r="BI159" s="45"/>
      <c r="BJ159" s="45"/>
      <c r="BK159" s="45"/>
      <c r="BL159" s="45"/>
      <c r="BM159" s="53">
        <f>(B159-B147)^2</f>
        <v>0</v>
      </c>
      <c r="BN159" s="53">
        <f t="shared" ref="BN159:BU159" si="101">(C159-C147)^2</f>
        <v>0</v>
      </c>
      <c r="BO159" s="53">
        <f t="shared" si="101"/>
        <v>0</v>
      </c>
      <c r="BP159" s="53">
        <f t="shared" si="101"/>
        <v>0</v>
      </c>
      <c r="BQ159" s="53">
        <f t="shared" si="101"/>
        <v>0</v>
      </c>
      <c r="BR159" s="53">
        <f t="shared" si="101"/>
        <v>0</v>
      </c>
      <c r="BS159" s="53">
        <f t="shared" si="101"/>
        <v>0</v>
      </c>
      <c r="BT159" s="53">
        <f t="shared" si="101"/>
        <v>0</v>
      </c>
      <c r="BU159" s="53">
        <f t="shared" si="101"/>
        <v>0</v>
      </c>
      <c r="BV159" s="53" t="e">
        <f t="shared" si="85"/>
        <v>#DIV/0!</v>
      </c>
      <c r="BW159" s="53" t="e">
        <f t="shared" si="86"/>
        <v>#DIV/0!</v>
      </c>
      <c r="BX159" s="53" t="e">
        <f t="shared" si="87"/>
        <v>#DIV/0!</v>
      </c>
      <c r="BY159" s="53" t="e">
        <f t="shared" si="88"/>
        <v>#DIV/0!</v>
      </c>
      <c r="BZ159" s="53" t="e">
        <f t="shared" si="89"/>
        <v>#DIV/0!</v>
      </c>
      <c r="CA159" s="53" t="e">
        <f t="shared" si="90"/>
        <v>#DIV/0!</v>
      </c>
      <c r="CB159" s="53" t="e">
        <f t="shared" si="91"/>
        <v>#DIV/0!</v>
      </c>
      <c r="CC159" s="53" t="e">
        <f t="shared" si="92"/>
        <v>#DIV/0!</v>
      </c>
      <c r="CD159" s="53" t="e">
        <f t="shared" si="93"/>
        <v>#DIV/0!</v>
      </c>
      <c r="CE159" s="55">
        <f t="shared" ref="CE159:CE181" si="102">CE$3</f>
        <v>0</v>
      </c>
      <c r="CF159" s="55">
        <f t="shared" si="100"/>
        <v>0</v>
      </c>
      <c r="CG159" s="55">
        <f t="shared" si="100"/>
        <v>0</v>
      </c>
      <c r="CH159" s="55">
        <f t="shared" si="100"/>
        <v>0</v>
      </c>
      <c r="CI159" s="55">
        <f t="shared" si="100"/>
        <v>0</v>
      </c>
      <c r="CJ159" s="55">
        <f t="shared" si="100"/>
        <v>0</v>
      </c>
      <c r="CK159" s="55">
        <f t="shared" si="100"/>
        <v>0</v>
      </c>
      <c r="CL159" s="55">
        <f t="shared" si="100"/>
        <v>0</v>
      </c>
      <c r="CM159" s="55">
        <f t="shared" si="100"/>
        <v>0</v>
      </c>
    </row>
    <row r="160" spans="1:91" x14ac:dyDescent="0.15">
      <c r="A160" s="42">
        <v>158</v>
      </c>
      <c r="B160" s="45">
        <f>B$159</f>
        <v>1</v>
      </c>
      <c r="C160" s="45">
        <f t="shared" ref="C160:J170" si="103">C$159</f>
        <v>1</v>
      </c>
      <c r="D160" s="45">
        <f t="shared" si="103"/>
        <v>1</v>
      </c>
      <c r="E160" s="45">
        <f t="shared" si="103"/>
        <v>1</v>
      </c>
      <c r="F160" s="45">
        <f t="shared" si="103"/>
        <v>1</v>
      </c>
      <c r="G160" s="45">
        <f t="shared" si="103"/>
        <v>1</v>
      </c>
      <c r="H160" s="45">
        <f t="shared" si="103"/>
        <v>1</v>
      </c>
      <c r="I160" s="45">
        <f t="shared" si="103"/>
        <v>1</v>
      </c>
      <c r="J160" s="45">
        <f t="shared" si="103"/>
        <v>1</v>
      </c>
      <c r="K160" s="45" t="e">
        <f>K159+ATM_Conf!$C$5*(T159-AC159)</f>
        <v>#DIV/0!</v>
      </c>
      <c r="L160" s="45" t="e">
        <f>L159+ATM_Conf!$C$5*(U159-AD159)</f>
        <v>#DIV/0!</v>
      </c>
      <c r="M160" s="45" t="e">
        <f>M159+ATM_Conf!$C$5*(V159-AE159)</f>
        <v>#DIV/0!</v>
      </c>
      <c r="N160" s="45" t="e">
        <f>N159+ATM_Conf!$C$5*(W159-AF159)</f>
        <v>#DIV/0!</v>
      </c>
      <c r="O160" s="45" t="e">
        <f>O159+ATM_Conf!$C$5*(X159-AG159)</f>
        <v>#DIV/0!</v>
      </c>
      <c r="P160" s="45" t="e">
        <f>P159+ATM_Conf!$C$5*(Y159-AH159)</f>
        <v>#DIV/0!</v>
      </c>
      <c r="Q160" s="45" t="e">
        <f>Q159+ATM_Conf!$C$5*(Z159-AI159)</f>
        <v>#DIV/0!</v>
      </c>
      <c r="R160" s="45" t="e">
        <f>R159+ATM_Conf!$C$5*(AA159-AJ159)</f>
        <v>#DIV/0!</v>
      </c>
      <c r="S160" s="45" t="e">
        <f>S159+ATM_Conf!$C$5*(AB159-AK159)</f>
        <v>#DIV/0!</v>
      </c>
      <c r="T160" s="45"/>
      <c r="U160" s="45"/>
      <c r="V160" s="45"/>
      <c r="W160" s="45"/>
      <c r="X160" s="45"/>
      <c r="Y160" s="45"/>
      <c r="Z160" s="45"/>
      <c r="AA160" s="45"/>
      <c r="AB160" s="45"/>
      <c r="AC160" s="45" t="e">
        <f t="shared" si="76"/>
        <v>#DIV/0!</v>
      </c>
      <c r="AD160" s="45" t="e">
        <f t="shared" si="77"/>
        <v>#DIV/0!</v>
      </c>
      <c r="AE160" s="45" t="e">
        <f t="shared" si="78"/>
        <v>#DIV/0!</v>
      </c>
      <c r="AF160" s="45" t="e">
        <f t="shared" si="79"/>
        <v>#DIV/0!</v>
      </c>
      <c r="AG160" s="45" t="e">
        <f t="shared" si="80"/>
        <v>#DIV/0!</v>
      </c>
      <c r="AH160" s="45" t="e">
        <f t="shared" si="81"/>
        <v>#DIV/0!</v>
      </c>
      <c r="AI160" s="45" t="e">
        <f t="shared" si="82"/>
        <v>#DIV/0!</v>
      </c>
      <c r="AJ160" s="45" t="e">
        <f t="shared" si="83"/>
        <v>#DIV/0!</v>
      </c>
      <c r="AK160" s="45" t="e">
        <f t="shared" si="84"/>
        <v>#DIV/0!</v>
      </c>
      <c r="AL160" s="45" t="e">
        <f>T$3+K160/ATM_Conf!$C$5</f>
        <v>#DIV/0!</v>
      </c>
      <c r="AM160" s="45" t="e">
        <f>U$3+L160/ATM_Conf!$C$5</f>
        <v>#DIV/0!</v>
      </c>
      <c r="AN160" s="45" t="e">
        <f>V$3+M160/ATM_Conf!$C$5</f>
        <v>#DIV/0!</v>
      </c>
      <c r="AO160" s="45" t="e">
        <f>W$3+N160/ATM_Conf!$C$5</f>
        <v>#DIV/0!</v>
      </c>
      <c r="AP160" s="45" t="e">
        <f>X$3+O160/ATM_Conf!$C$5</f>
        <v>#DIV/0!</v>
      </c>
      <c r="AQ160" s="45" t="e">
        <f>Y$3+P160/ATM_Conf!$C$5</f>
        <v>#DIV/0!</v>
      </c>
      <c r="AR160" s="45" t="e">
        <f>Z$3+Q160/ATM_Conf!$C$5</f>
        <v>#DIV/0!</v>
      </c>
      <c r="AS160" s="45" t="e">
        <f>AA$3+R160/ATM_Conf!$C$5</f>
        <v>#DIV/0!</v>
      </c>
      <c r="AT160" s="45" t="e">
        <f>AB$3+S160/ATM_Conf!$C$5</f>
        <v>#DIV/0!</v>
      </c>
      <c r="AU160" s="45" t="e">
        <f>BD$3*MIN(1,(ATM_Conf!$C$6-Links!F160)/(ATM_Conf!$C$6-ATM_Conf!$C$7))</f>
        <v>#DIV/0!</v>
      </c>
      <c r="AV160" s="45" t="e">
        <f>BE$3*MIN(1,(ATM_Conf!$C$6-Links!G160)/(ATM_Conf!$C$6-ATM_Conf!$C$7))</f>
        <v>#DIV/0!</v>
      </c>
      <c r="AW160" s="45" t="e">
        <f>BF$3*MIN(1,(ATM_Conf!$C$6-Links!H160)/(ATM_Conf!$C$6-ATM_Conf!$C$7))</f>
        <v>#DIV/0!</v>
      </c>
      <c r="AX160" s="45" t="e">
        <f>BG$3*MIN(1,(ATM_Conf!$C$6-Links!I160)/(ATM_Conf!$C$6-ATM_Conf!$C$7))</f>
        <v>#DIV/0!</v>
      </c>
      <c r="AY160" s="45" t="e">
        <f>BH$3*MIN(1,(ATM_Conf!$C$6-Links!J160)/(ATM_Conf!$C$6-ATM_Conf!$C$7))</f>
        <v>#DIV/0!</v>
      </c>
      <c r="AZ160" s="45" t="e">
        <f>BI$3*MIN(1,(ATM_Conf!$C$6-Links!K160)/(ATM_Conf!$C$6-ATM_Conf!$C$7))</f>
        <v>#DIV/0!</v>
      </c>
      <c r="BA160" s="45" t="e">
        <f>BJ$3*MIN(1,(ATM_Conf!$C$6-Links!L160)/(ATM_Conf!$C$6-ATM_Conf!$C$7))</f>
        <v>#DIV/0!</v>
      </c>
      <c r="BB160" s="45" t="e">
        <f>BK$3*MIN(1,(ATM_Conf!$C$6-Links!M160)/(ATM_Conf!$C$6-ATM_Conf!$C$7))</f>
        <v>#DIV/0!</v>
      </c>
      <c r="BC160" s="45" t="e">
        <f>BL$3*MIN(1,(ATM_Conf!$C$6-Links!N160)/(ATM_Conf!$C$6-ATM_Conf!$C$7))</f>
        <v>#DIV/0!</v>
      </c>
      <c r="BD160" s="45"/>
      <c r="BE160" s="45"/>
      <c r="BF160" s="45"/>
      <c r="BG160" s="45"/>
      <c r="BH160" s="45"/>
      <c r="BI160" s="45"/>
      <c r="BJ160" s="45"/>
      <c r="BK160" s="45"/>
      <c r="BL160" s="45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 t="e">
        <f t="shared" si="85"/>
        <v>#DIV/0!</v>
      </c>
      <c r="BW160" s="53" t="e">
        <f t="shared" si="86"/>
        <v>#DIV/0!</v>
      </c>
      <c r="BX160" s="53" t="e">
        <f t="shared" si="87"/>
        <v>#DIV/0!</v>
      </c>
      <c r="BY160" s="53" t="e">
        <f t="shared" si="88"/>
        <v>#DIV/0!</v>
      </c>
      <c r="BZ160" s="53" t="e">
        <f t="shared" si="89"/>
        <v>#DIV/0!</v>
      </c>
      <c r="CA160" s="53" t="e">
        <f t="shared" si="90"/>
        <v>#DIV/0!</v>
      </c>
      <c r="CB160" s="53" t="e">
        <f t="shared" si="91"/>
        <v>#DIV/0!</v>
      </c>
      <c r="CC160" s="53" t="e">
        <f t="shared" si="92"/>
        <v>#DIV/0!</v>
      </c>
      <c r="CD160" s="53" t="e">
        <f t="shared" si="93"/>
        <v>#DIV/0!</v>
      </c>
      <c r="CE160" s="55">
        <f t="shared" si="102"/>
        <v>0</v>
      </c>
      <c r="CF160" s="55">
        <f t="shared" si="100"/>
        <v>0</v>
      </c>
      <c r="CG160" s="55">
        <f t="shared" si="100"/>
        <v>0</v>
      </c>
      <c r="CH160" s="55">
        <f t="shared" si="100"/>
        <v>0</v>
      </c>
      <c r="CI160" s="55">
        <f t="shared" si="100"/>
        <v>0</v>
      </c>
      <c r="CJ160" s="55">
        <f t="shared" si="100"/>
        <v>0</v>
      </c>
      <c r="CK160" s="55">
        <f t="shared" si="100"/>
        <v>0</v>
      </c>
      <c r="CL160" s="55">
        <f t="shared" si="100"/>
        <v>0</v>
      </c>
      <c r="CM160" s="55">
        <f t="shared" si="100"/>
        <v>0</v>
      </c>
    </row>
    <row r="161" spans="1:91" x14ac:dyDescent="0.15">
      <c r="A161" s="42">
        <v>159</v>
      </c>
      <c r="B161" s="45">
        <f t="shared" ref="B161:B170" si="104">B$159</f>
        <v>1</v>
      </c>
      <c r="C161" s="45">
        <f t="shared" si="103"/>
        <v>1</v>
      </c>
      <c r="D161" s="45">
        <f t="shared" si="103"/>
        <v>1</v>
      </c>
      <c r="E161" s="45">
        <f t="shared" si="103"/>
        <v>1</v>
      </c>
      <c r="F161" s="45">
        <f t="shared" si="103"/>
        <v>1</v>
      </c>
      <c r="G161" s="45">
        <f t="shared" si="103"/>
        <v>1</v>
      </c>
      <c r="H161" s="45">
        <f t="shared" si="103"/>
        <v>1</v>
      </c>
      <c r="I161" s="45">
        <f t="shared" si="103"/>
        <v>1</v>
      </c>
      <c r="J161" s="45">
        <f t="shared" si="103"/>
        <v>1</v>
      </c>
      <c r="K161" s="45" t="e">
        <f>K160+ATM_Conf!$C$5*(T160-AC160)</f>
        <v>#DIV/0!</v>
      </c>
      <c r="L161" s="45" t="e">
        <f>L160+ATM_Conf!$C$5*(U160-AD160)</f>
        <v>#DIV/0!</v>
      </c>
      <c r="M161" s="45" t="e">
        <f>M160+ATM_Conf!$C$5*(V160-AE160)</f>
        <v>#DIV/0!</v>
      </c>
      <c r="N161" s="45" t="e">
        <f>N160+ATM_Conf!$C$5*(W160-AF160)</f>
        <v>#DIV/0!</v>
      </c>
      <c r="O161" s="45" t="e">
        <f>O160+ATM_Conf!$C$5*(X160-AG160)</f>
        <v>#DIV/0!</v>
      </c>
      <c r="P161" s="45" t="e">
        <f>P160+ATM_Conf!$C$5*(Y160-AH160)</f>
        <v>#DIV/0!</v>
      </c>
      <c r="Q161" s="45" t="e">
        <f>Q160+ATM_Conf!$C$5*(Z160-AI160)</f>
        <v>#DIV/0!</v>
      </c>
      <c r="R161" s="45" t="e">
        <f>R160+ATM_Conf!$C$5*(AA160-AJ160)</f>
        <v>#DIV/0!</v>
      </c>
      <c r="S161" s="45" t="e">
        <f>S160+ATM_Conf!$C$5*(AB160-AK160)</f>
        <v>#DIV/0!</v>
      </c>
      <c r="T161" s="45"/>
      <c r="U161" s="45"/>
      <c r="V161" s="45"/>
      <c r="W161" s="45"/>
      <c r="X161" s="45"/>
      <c r="Y161" s="45"/>
      <c r="Z161" s="45"/>
      <c r="AA161" s="45"/>
      <c r="AB161" s="45"/>
      <c r="AC161" s="45" t="e">
        <f t="shared" si="76"/>
        <v>#DIV/0!</v>
      </c>
      <c r="AD161" s="45" t="e">
        <f t="shared" si="77"/>
        <v>#DIV/0!</v>
      </c>
      <c r="AE161" s="45" t="e">
        <f t="shared" si="78"/>
        <v>#DIV/0!</v>
      </c>
      <c r="AF161" s="45" t="e">
        <f t="shared" si="79"/>
        <v>#DIV/0!</v>
      </c>
      <c r="AG161" s="45" t="e">
        <f t="shared" si="80"/>
        <v>#DIV/0!</v>
      </c>
      <c r="AH161" s="45" t="e">
        <f t="shared" si="81"/>
        <v>#DIV/0!</v>
      </c>
      <c r="AI161" s="45" t="e">
        <f t="shared" si="82"/>
        <v>#DIV/0!</v>
      </c>
      <c r="AJ161" s="45" t="e">
        <f t="shared" si="83"/>
        <v>#DIV/0!</v>
      </c>
      <c r="AK161" s="45" t="e">
        <f t="shared" si="84"/>
        <v>#DIV/0!</v>
      </c>
      <c r="AL161" s="45" t="e">
        <f>T$3+K161/ATM_Conf!$C$5</f>
        <v>#DIV/0!</v>
      </c>
      <c r="AM161" s="45" t="e">
        <f>U$3+L161/ATM_Conf!$C$5</f>
        <v>#DIV/0!</v>
      </c>
      <c r="AN161" s="45" t="e">
        <f>V$3+M161/ATM_Conf!$C$5</f>
        <v>#DIV/0!</v>
      </c>
      <c r="AO161" s="45" t="e">
        <f>W$3+N161/ATM_Conf!$C$5</f>
        <v>#DIV/0!</v>
      </c>
      <c r="AP161" s="45" t="e">
        <f>X$3+O161/ATM_Conf!$C$5</f>
        <v>#DIV/0!</v>
      </c>
      <c r="AQ161" s="45" t="e">
        <f>Y$3+P161/ATM_Conf!$C$5</f>
        <v>#DIV/0!</v>
      </c>
      <c r="AR161" s="45" t="e">
        <f>Z$3+Q161/ATM_Conf!$C$5</f>
        <v>#DIV/0!</v>
      </c>
      <c r="AS161" s="45" t="e">
        <f>AA$3+R161/ATM_Conf!$C$5</f>
        <v>#DIV/0!</v>
      </c>
      <c r="AT161" s="45" t="e">
        <f>AB$3+S161/ATM_Conf!$C$5</f>
        <v>#DIV/0!</v>
      </c>
      <c r="AU161" s="45" t="e">
        <f>BD$3*MIN(1,(ATM_Conf!$C$6-Links!F161)/(ATM_Conf!$C$6-ATM_Conf!$C$7))</f>
        <v>#DIV/0!</v>
      </c>
      <c r="AV161" s="45" t="e">
        <f>BE$3*MIN(1,(ATM_Conf!$C$6-Links!G161)/(ATM_Conf!$C$6-ATM_Conf!$C$7))</f>
        <v>#DIV/0!</v>
      </c>
      <c r="AW161" s="45" t="e">
        <f>BF$3*MIN(1,(ATM_Conf!$C$6-Links!H161)/(ATM_Conf!$C$6-ATM_Conf!$C$7))</f>
        <v>#DIV/0!</v>
      </c>
      <c r="AX161" s="45" t="e">
        <f>BG$3*MIN(1,(ATM_Conf!$C$6-Links!I161)/(ATM_Conf!$C$6-ATM_Conf!$C$7))</f>
        <v>#DIV/0!</v>
      </c>
      <c r="AY161" s="45" t="e">
        <f>BH$3*MIN(1,(ATM_Conf!$C$6-Links!J161)/(ATM_Conf!$C$6-ATM_Conf!$C$7))</f>
        <v>#DIV/0!</v>
      </c>
      <c r="AZ161" s="45" t="e">
        <f>BI$3*MIN(1,(ATM_Conf!$C$6-Links!K161)/(ATM_Conf!$C$6-ATM_Conf!$C$7))</f>
        <v>#DIV/0!</v>
      </c>
      <c r="BA161" s="45" t="e">
        <f>BJ$3*MIN(1,(ATM_Conf!$C$6-Links!L161)/(ATM_Conf!$C$6-ATM_Conf!$C$7))</f>
        <v>#DIV/0!</v>
      </c>
      <c r="BB161" s="45" t="e">
        <f>BK$3*MIN(1,(ATM_Conf!$C$6-Links!M161)/(ATM_Conf!$C$6-ATM_Conf!$C$7))</f>
        <v>#DIV/0!</v>
      </c>
      <c r="BC161" s="45" t="e">
        <f>BL$3*MIN(1,(ATM_Conf!$C$6-Links!N161)/(ATM_Conf!$C$6-ATM_Conf!$C$7))</f>
        <v>#DIV/0!</v>
      </c>
      <c r="BD161" s="45"/>
      <c r="BE161" s="45"/>
      <c r="BF161" s="45"/>
      <c r="BG161" s="45"/>
      <c r="BH161" s="45"/>
      <c r="BI161" s="45"/>
      <c r="BJ161" s="45"/>
      <c r="BK161" s="45"/>
      <c r="BL161" s="45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 t="e">
        <f t="shared" si="85"/>
        <v>#DIV/0!</v>
      </c>
      <c r="BW161" s="53" t="e">
        <f t="shared" si="86"/>
        <v>#DIV/0!</v>
      </c>
      <c r="BX161" s="53" t="e">
        <f t="shared" si="87"/>
        <v>#DIV/0!</v>
      </c>
      <c r="BY161" s="53" t="e">
        <f t="shared" si="88"/>
        <v>#DIV/0!</v>
      </c>
      <c r="BZ161" s="53" t="e">
        <f t="shared" si="89"/>
        <v>#DIV/0!</v>
      </c>
      <c r="CA161" s="53" t="e">
        <f t="shared" si="90"/>
        <v>#DIV/0!</v>
      </c>
      <c r="CB161" s="53" t="e">
        <f t="shared" si="91"/>
        <v>#DIV/0!</v>
      </c>
      <c r="CC161" s="53" t="e">
        <f t="shared" si="92"/>
        <v>#DIV/0!</v>
      </c>
      <c r="CD161" s="53" t="e">
        <f t="shared" si="93"/>
        <v>#DIV/0!</v>
      </c>
      <c r="CE161" s="55">
        <f t="shared" si="102"/>
        <v>0</v>
      </c>
      <c r="CF161" s="55">
        <f t="shared" si="100"/>
        <v>0</v>
      </c>
      <c r="CG161" s="55">
        <f t="shared" si="100"/>
        <v>0</v>
      </c>
      <c r="CH161" s="55">
        <f t="shared" si="100"/>
        <v>0</v>
      </c>
      <c r="CI161" s="55">
        <f t="shared" si="100"/>
        <v>0</v>
      </c>
      <c r="CJ161" s="55">
        <f t="shared" si="100"/>
        <v>0</v>
      </c>
      <c r="CK161" s="55">
        <f t="shared" si="100"/>
        <v>0</v>
      </c>
      <c r="CL161" s="55">
        <f t="shared" si="100"/>
        <v>0</v>
      </c>
      <c r="CM161" s="55">
        <f t="shared" si="100"/>
        <v>0</v>
      </c>
    </row>
    <row r="162" spans="1:91" x14ac:dyDescent="0.15">
      <c r="A162" s="42">
        <v>160</v>
      </c>
      <c r="B162" s="45">
        <f t="shared" si="104"/>
        <v>1</v>
      </c>
      <c r="C162" s="45">
        <f t="shared" si="103"/>
        <v>1</v>
      </c>
      <c r="D162" s="45">
        <f t="shared" si="103"/>
        <v>1</v>
      </c>
      <c r="E162" s="45">
        <f t="shared" si="103"/>
        <v>1</v>
      </c>
      <c r="F162" s="45">
        <f t="shared" si="103"/>
        <v>1</v>
      </c>
      <c r="G162" s="45">
        <f t="shared" si="103"/>
        <v>1</v>
      </c>
      <c r="H162" s="45">
        <f t="shared" si="103"/>
        <v>1</v>
      </c>
      <c r="I162" s="45">
        <f t="shared" si="103"/>
        <v>1</v>
      </c>
      <c r="J162" s="45">
        <f t="shared" si="103"/>
        <v>1</v>
      </c>
      <c r="K162" s="45" t="e">
        <f>K161+ATM_Conf!$C$5*(T161-AC161)</f>
        <v>#DIV/0!</v>
      </c>
      <c r="L162" s="45" t="e">
        <f>L161+ATM_Conf!$C$5*(U161-AD161)</f>
        <v>#DIV/0!</v>
      </c>
      <c r="M162" s="45" t="e">
        <f>M161+ATM_Conf!$C$5*(V161-AE161)</f>
        <v>#DIV/0!</v>
      </c>
      <c r="N162" s="45" t="e">
        <f>N161+ATM_Conf!$C$5*(W161-AF161)</f>
        <v>#DIV/0!</v>
      </c>
      <c r="O162" s="45" t="e">
        <f>O161+ATM_Conf!$C$5*(X161-AG161)</f>
        <v>#DIV/0!</v>
      </c>
      <c r="P162" s="45" t="e">
        <f>P161+ATM_Conf!$C$5*(Y161-AH161)</f>
        <v>#DIV/0!</v>
      </c>
      <c r="Q162" s="45" t="e">
        <f>Q161+ATM_Conf!$C$5*(Z161-AI161)</f>
        <v>#DIV/0!</v>
      </c>
      <c r="R162" s="45" t="e">
        <f>R161+ATM_Conf!$C$5*(AA161-AJ161)</f>
        <v>#DIV/0!</v>
      </c>
      <c r="S162" s="45" t="e">
        <f>S161+ATM_Conf!$C$5*(AB161-AK161)</f>
        <v>#DIV/0!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 t="e">
        <f t="shared" si="76"/>
        <v>#DIV/0!</v>
      </c>
      <c r="AD162" s="45" t="e">
        <f t="shared" si="77"/>
        <v>#DIV/0!</v>
      </c>
      <c r="AE162" s="45" t="e">
        <f t="shared" si="78"/>
        <v>#DIV/0!</v>
      </c>
      <c r="AF162" s="45" t="e">
        <f t="shared" si="79"/>
        <v>#DIV/0!</v>
      </c>
      <c r="AG162" s="45" t="e">
        <f t="shared" si="80"/>
        <v>#DIV/0!</v>
      </c>
      <c r="AH162" s="45" t="e">
        <f t="shared" si="81"/>
        <v>#DIV/0!</v>
      </c>
      <c r="AI162" s="45" t="e">
        <f t="shared" si="82"/>
        <v>#DIV/0!</v>
      </c>
      <c r="AJ162" s="45" t="e">
        <f t="shared" si="83"/>
        <v>#DIV/0!</v>
      </c>
      <c r="AK162" s="45" t="e">
        <f t="shared" si="84"/>
        <v>#DIV/0!</v>
      </c>
      <c r="AL162" s="45" t="e">
        <f>T$3+K162/ATM_Conf!$C$5</f>
        <v>#DIV/0!</v>
      </c>
      <c r="AM162" s="45" t="e">
        <f>U$3+L162/ATM_Conf!$C$5</f>
        <v>#DIV/0!</v>
      </c>
      <c r="AN162" s="45" t="e">
        <f>V$3+M162/ATM_Conf!$C$5</f>
        <v>#DIV/0!</v>
      </c>
      <c r="AO162" s="45" t="e">
        <f>W$3+N162/ATM_Conf!$C$5</f>
        <v>#DIV/0!</v>
      </c>
      <c r="AP162" s="45" t="e">
        <f>X$3+O162/ATM_Conf!$C$5</f>
        <v>#DIV/0!</v>
      </c>
      <c r="AQ162" s="45" t="e">
        <f>Y$3+P162/ATM_Conf!$C$5</f>
        <v>#DIV/0!</v>
      </c>
      <c r="AR162" s="45" t="e">
        <f>Z$3+Q162/ATM_Conf!$C$5</f>
        <v>#DIV/0!</v>
      </c>
      <c r="AS162" s="45" t="e">
        <f>AA$3+R162/ATM_Conf!$C$5</f>
        <v>#DIV/0!</v>
      </c>
      <c r="AT162" s="45" t="e">
        <f>AB$3+S162/ATM_Conf!$C$5</f>
        <v>#DIV/0!</v>
      </c>
      <c r="AU162" s="45" t="e">
        <f>BD$3*MIN(1,(ATM_Conf!$C$6-Links!F162)/(ATM_Conf!$C$6-ATM_Conf!$C$7))</f>
        <v>#DIV/0!</v>
      </c>
      <c r="AV162" s="45" t="e">
        <f>BE$3*MIN(1,(ATM_Conf!$C$6-Links!G162)/(ATM_Conf!$C$6-ATM_Conf!$C$7))</f>
        <v>#DIV/0!</v>
      </c>
      <c r="AW162" s="45" t="e">
        <f>BF$3*MIN(1,(ATM_Conf!$C$6-Links!H162)/(ATM_Conf!$C$6-ATM_Conf!$C$7))</f>
        <v>#DIV/0!</v>
      </c>
      <c r="AX162" s="45" t="e">
        <f>BG$3*MIN(1,(ATM_Conf!$C$6-Links!I162)/(ATM_Conf!$C$6-ATM_Conf!$C$7))</f>
        <v>#DIV/0!</v>
      </c>
      <c r="AY162" s="45" t="e">
        <f>BH$3*MIN(1,(ATM_Conf!$C$6-Links!J162)/(ATM_Conf!$C$6-ATM_Conf!$C$7))</f>
        <v>#DIV/0!</v>
      </c>
      <c r="AZ162" s="45" t="e">
        <f>BI$3*MIN(1,(ATM_Conf!$C$6-Links!K162)/(ATM_Conf!$C$6-ATM_Conf!$C$7))</f>
        <v>#DIV/0!</v>
      </c>
      <c r="BA162" s="45" t="e">
        <f>BJ$3*MIN(1,(ATM_Conf!$C$6-Links!L162)/(ATM_Conf!$C$6-ATM_Conf!$C$7))</f>
        <v>#DIV/0!</v>
      </c>
      <c r="BB162" s="45" t="e">
        <f>BK$3*MIN(1,(ATM_Conf!$C$6-Links!M162)/(ATM_Conf!$C$6-ATM_Conf!$C$7))</f>
        <v>#DIV/0!</v>
      </c>
      <c r="BC162" s="45" t="e">
        <f>BL$3*MIN(1,(ATM_Conf!$C$6-Links!N162)/(ATM_Conf!$C$6-ATM_Conf!$C$7))</f>
        <v>#DIV/0!</v>
      </c>
      <c r="BD162" s="45"/>
      <c r="BE162" s="45"/>
      <c r="BF162" s="45"/>
      <c r="BG162" s="45"/>
      <c r="BH162" s="45"/>
      <c r="BI162" s="45"/>
      <c r="BJ162" s="45"/>
      <c r="BK162" s="45"/>
      <c r="BL162" s="45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 t="e">
        <f t="shared" si="85"/>
        <v>#DIV/0!</v>
      </c>
      <c r="BW162" s="53" t="e">
        <f t="shared" si="86"/>
        <v>#DIV/0!</v>
      </c>
      <c r="BX162" s="53" t="e">
        <f t="shared" si="87"/>
        <v>#DIV/0!</v>
      </c>
      <c r="BY162" s="53" t="e">
        <f t="shared" si="88"/>
        <v>#DIV/0!</v>
      </c>
      <c r="BZ162" s="53" t="e">
        <f t="shared" si="89"/>
        <v>#DIV/0!</v>
      </c>
      <c r="CA162" s="53" t="e">
        <f t="shared" si="90"/>
        <v>#DIV/0!</v>
      </c>
      <c r="CB162" s="53" t="e">
        <f t="shared" si="91"/>
        <v>#DIV/0!</v>
      </c>
      <c r="CC162" s="53" t="e">
        <f t="shared" si="92"/>
        <v>#DIV/0!</v>
      </c>
      <c r="CD162" s="53" t="e">
        <f t="shared" si="93"/>
        <v>#DIV/0!</v>
      </c>
      <c r="CE162" s="55">
        <f t="shared" si="102"/>
        <v>0</v>
      </c>
      <c r="CF162" s="55">
        <f t="shared" si="100"/>
        <v>0</v>
      </c>
      <c r="CG162" s="55">
        <f t="shared" si="100"/>
        <v>0</v>
      </c>
      <c r="CH162" s="55">
        <f t="shared" si="100"/>
        <v>0</v>
      </c>
      <c r="CI162" s="55">
        <f t="shared" si="100"/>
        <v>0</v>
      </c>
      <c r="CJ162" s="55">
        <f t="shared" si="100"/>
        <v>0</v>
      </c>
      <c r="CK162" s="55">
        <f t="shared" si="100"/>
        <v>0</v>
      </c>
      <c r="CL162" s="55">
        <f t="shared" si="100"/>
        <v>0</v>
      </c>
      <c r="CM162" s="55">
        <f t="shared" si="100"/>
        <v>0</v>
      </c>
    </row>
    <row r="163" spans="1:91" x14ac:dyDescent="0.15">
      <c r="A163" s="42">
        <v>161</v>
      </c>
      <c r="B163" s="45">
        <f t="shared" si="104"/>
        <v>1</v>
      </c>
      <c r="C163" s="45">
        <f t="shared" si="103"/>
        <v>1</v>
      </c>
      <c r="D163" s="45">
        <f t="shared" si="103"/>
        <v>1</v>
      </c>
      <c r="E163" s="45">
        <f t="shared" si="103"/>
        <v>1</v>
      </c>
      <c r="F163" s="45">
        <f t="shared" si="103"/>
        <v>1</v>
      </c>
      <c r="G163" s="45">
        <f t="shared" si="103"/>
        <v>1</v>
      </c>
      <c r="H163" s="45">
        <f t="shared" si="103"/>
        <v>1</v>
      </c>
      <c r="I163" s="45">
        <f t="shared" si="103"/>
        <v>1</v>
      </c>
      <c r="J163" s="45">
        <f t="shared" si="103"/>
        <v>1</v>
      </c>
      <c r="K163" s="45" t="e">
        <f>K162+ATM_Conf!$C$5*(T162-AC162)</f>
        <v>#DIV/0!</v>
      </c>
      <c r="L163" s="45" t="e">
        <f>L162+ATM_Conf!$C$5*(U162-AD162)</f>
        <v>#DIV/0!</v>
      </c>
      <c r="M163" s="45" t="e">
        <f>M162+ATM_Conf!$C$5*(V162-AE162)</f>
        <v>#DIV/0!</v>
      </c>
      <c r="N163" s="45" t="e">
        <f>N162+ATM_Conf!$C$5*(W162-AF162)</f>
        <v>#DIV/0!</v>
      </c>
      <c r="O163" s="45" t="e">
        <f>O162+ATM_Conf!$C$5*(X162-AG162)</f>
        <v>#DIV/0!</v>
      </c>
      <c r="P163" s="45" t="e">
        <f>P162+ATM_Conf!$C$5*(Y162-AH162)</f>
        <v>#DIV/0!</v>
      </c>
      <c r="Q163" s="45" t="e">
        <f>Q162+ATM_Conf!$C$5*(Z162-AI162)</f>
        <v>#DIV/0!</v>
      </c>
      <c r="R163" s="45" t="e">
        <f>R162+ATM_Conf!$C$5*(AA162-AJ162)</f>
        <v>#DIV/0!</v>
      </c>
      <c r="S163" s="45" t="e">
        <f>S162+ATM_Conf!$C$5*(AB162-AK162)</f>
        <v>#DIV/0!</v>
      </c>
      <c r="T163" s="45"/>
      <c r="U163" s="45"/>
      <c r="V163" s="45"/>
      <c r="W163" s="45"/>
      <c r="X163" s="45"/>
      <c r="Y163" s="45"/>
      <c r="Z163" s="45"/>
      <c r="AA163" s="45"/>
      <c r="AB163" s="45"/>
      <c r="AC163" s="45" t="e">
        <f t="shared" si="76"/>
        <v>#DIV/0!</v>
      </c>
      <c r="AD163" s="45" t="e">
        <f t="shared" si="77"/>
        <v>#DIV/0!</v>
      </c>
      <c r="AE163" s="45" t="e">
        <f t="shared" si="78"/>
        <v>#DIV/0!</v>
      </c>
      <c r="AF163" s="45" t="e">
        <f t="shared" si="79"/>
        <v>#DIV/0!</v>
      </c>
      <c r="AG163" s="45" t="e">
        <f t="shared" si="80"/>
        <v>#DIV/0!</v>
      </c>
      <c r="AH163" s="45" t="e">
        <f t="shared" si="81"/>
        <v>#DIV/0!</v>
      </c>
      <c r="AI163" s="45" t="e">
        <f t="shared" si="82"/>
        <v>#DIV/0!</v>
      </c>
      <c r="AJ163" s="45" t="e">
        <f t="shared" si="83"/>
        <v>#DIV/0!</v>
      </c>
      <c r="AK163" s="45" t="e">
        <f t="shared" si="84"/>
        <v>#DIV/0!</v>
      </c>
      <c r="AL163" s="45" t="e">
        <f>T$3+K163/ATM_Conf!$C$5</f>
        <v>#DIV/0!</v>
      </c>
      <c r="AM163" s="45" t="e">
        <f>U$3+L163/ATM_Conf!$C$5</f>
        <v>#DIV/0!</v>
      </c>
      <c r="AN163" s="45" t="e">
        <f>V$3+M163/ATM_Conf!$C$5</f>
        <v>#DIV/0!</v>
      </c>
      <c r="AO163" s="45" t="e">
        <f>W$3+N163/ATM_Conf!$C$5</f>
        <v>#DIV/0!</v>
      </c>
      <c r="AP163" s="45" t="e">
        <f>X$3+O163/ATM_Conf!$C$5</f>
        <v>#DIV/0!</v>
      </c>
      <c r="AQ163" s="45" t="e">
        <f>Y$3+P163/ATM_Conf!$C$5</f>
        <v>#DIV/0!</v>
      </c>
      <c r="AR163" s="45" t="e">
        <f>Z$3+Q163/ATM_Conf!$C$5</f>
        <v>#DIV/0!</v>
      </c>
      <c r="AS163" s="45" t="e">
        <f>AA$3+R163/ATM_Conf!$C$5</f>
        <v>#DIV/0!</v>
      </c>
      <c r="AT163" s="45" t="e">
        <f>AB$3+S163/ATM_Conf!$C$5</f>
        <v>#DIV/0!</v>
      </c>
      <c r="AU163" s="45" t="e">
        <f>BD$3*MIN(1,(ATM_Conf!$C$6-Links!F163)/(ATM_Conf!$C$6-ATM_Conf!$C$7))</f>
        <v>#DIV/0!</v>
      </c>
      <c r="AV163" s="45" t="e">
        <f>BE$3*MIN(1,(ATM_Conf!$C$6-Links!G163)/(ATM_Conf!$C$6-ATM_Conf!$C$7))</f>
        <v>#DIV/0!</v>
      </c>
      <c r="AW163" s="45" t="e">
        <f>BF$3*MIN(1,(ATM_Conf!$C$6-Links!H163)/(ATM_Conf!$C$6-ATM_Conf!$C$7))</f>
        <v>#DIV/0!</v>
      </c>
      <c r="AX163" s="45" t="e">
        <f>BG$3*MIN(1,(ATM_Conf!$C$6-Links!I163)/(ATM_Conf!$C$6-ATM_Conf!$C$7))</f>
        <v>#DIV/0!</v>
      </c>
      <c r="AY163" s="45" t="e">
        <f>BH$3*MIN(1,(ATM_Conf!$C$6-Links!J163)/(ATM_Conf!$C$6-ATM_Conf!$C$7))</f>
        <v>#DIV/0!</v>
      </c>
      <c r="AZ163" s="45" t="e">
        <f>BI$3*MIN(1,(ATM_Conf!$C$6-Links!K163)/(ATM_Conf!$C$6-ATM_Conf!$C$7))</f>
        <v>#DIV/0!</v>
      </c>
      <c r="BA163" s="45" t="e">
        <f>BJ$3*MIN(1,(ATM_Conf!$C$6-Links!L163)/(ATM_Conf!$C$6-ATM_Conf!$C$7))</f>
        <v>#DIV/0!</v>
      </c>
      <c r="BB163" s="45" t="e">
        <f>BK$3*MIN(1,(ATM_Conf!$C$6-Links!M163)/(ATM_Conf!$C$6-ATM_Conf!$C$7))</f>
        <v>#DIV/0!</v>
      </c>
      <c r="BC163" s="45" t="e">
        <f>BL$3*MIN(1,(ATM_Conf!$C$6-Links!N163)/(ATM_Conf!$C$6-ATM_Conf!$C$7))</f>
        <v>#DIV/0!</v>
      </c>
      <c r="BD163" s="45"/>
      <c r="BE163" s="45"/>
      <c r="BF163" s="45"/>
      <c r="BG163" s="45"/>
      <c r="BH163" s="45"/>
      <c r="BI163" s="45"/>
      <c r="BJ163" s="45"/>
      <c r="BK163" s="45"/>
      <c r="BL163" s="45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 t="e">
        <f t="shared" si="85"/>
        <v>#DIV/0!</v>
      </c>
      <c r="BW163" s="53" t="e">
        <f t="shared" si="86"/>
        <v>#DIV/0!</v>
      </c>
      <c r="BX163" s="53" t="e">
        <f t="shared" si="87"/>
        <v>#DIV/0!</v>
      </c>
      <c r="BY163" s="53" t="e">
        <f t="shared" si="88"/>
        <v>#DIV/0!</v>
      </c>
      <c r="BZ163" s="53" t="e">
        <f t="shared" si="89"/>
        <v>#DIV/0!</v>
      </c>
      <c r="CA163" s="53" t="e">
        <f t="shared" si="90"/>
        <v>#DIV/0!</v>
      </c>
      <c r="CB163" s="53" t="e">
        <f t="shared" si="91"/>
        <v>#DIV/0!</v>
      </c>
      <c r="CC163" s="53" t="e">
        <f t="shared" si="92"/>
        <v>#DIV/0!</v>
      </c>
      <c r="CD163" s="53" t="e">
        <f t="shared" si="93"/>
        <v>#DIV/0!</v>
      </c>
      <c r="CE163" s="55">
        <f t="shared" si="102"/>
        <v>0</v>
      </c>
      <c r="CF163" s="55">
        <f t="shared" si="100"/>
        <v>0</v>
      </c>
      <c r="CG163" s="55">
        <f t="shared" si="100"/>
        <v>0</v>
      </c>
      <c r="CH163" s="55">
        <f t="shared" si="100"/>
        <v>0</v>
      </c>
      <c r="CI163" s="55">
        <f t="shared" si="100"/>
        <v>0</v>
      </c>
      <c r="CJ163" s="55">
        <f t="shared" si="100"/>
        <v>0</v>
      </c>
      <c r="CK163" s="55">
        <f t="shared" si="100"/>
        <v>0</v>
      </c>
      <c r="CL163" s="55">
        <f t="shared" si="100"/>
        <v>0</v>
      </c>
      <c r="CM163" s="55">
        <f t="shared" si="100"/>
        <v>0</v>
      </c>
    </row>
    <row r="164" spans="1:91" x14ac:dyDescent="0.15">
      <c r="A164" s="42">
        <v>162</v>
      </c>
      <c r="B164" s="45">
        <f t="shared" si="104"/>
        <v>1</v>
      </c>
      <c r="C164" s="45">
        <f t="shared" si="103"/>
        <v>1</v>
      </c>
      <c r="D164" s="45">
        <f t="shared" si="103"/>
        <v>1</v>
      </c>
      <c r="E164" s="45">
        <f t="shared" si="103"/>
        <v>1</v>
      </c>
      <c r="F164" s="45">
        <f t="shared" si="103"/>
        <v>1</v>
      </c>
      <c r="G164" s="45">
        <f t="shared" si="103"/>
        <v>1</v>
      </c>
      <c r="H164" s="45">
        <f t="shared" si="103"/>
        <v>1</v>
      </c>
      <c r="I164" s="45">
        <f t="shared" si="103"/>
        <v>1</v>
      </c>
      <c r="J164" s="45">
        <f t="shared" si="103"/>
        <v>1</v>
      </c>
      <c r="K164" s="45" t="e">
        <f>K163+ATM_Conf!$C$5*(T163-AC163)</f>
        <v>#DIV/0!</v>
      </c>
      <c r="L164" s="45" t="e">
        <f>L163+ATM_Conf!$C$5*(U163-AD163)</f>
        <v>#DIV/0!</v>
      </c>
      <c r="M164" s="45" t="e">
        <f>M163+ATM_Conf!$C$5*(V163-AE163)</f>
        <v>#DIV/0!</v>
      </c>
      <c r="N164" s="45" t="e">
        <f>N163+ATM_Conf!$C$5*(W163-AF163)</f>
        <v>#DIV/0!</v>
      </c>
      <c r="O164" s="45" t="e">
        <f>O163+ATM_Conf!$C$5*(X163-AG163)</f>
        <v>#DIV/0!</v>
      </c>
      <c r="P164" s="45" t="e">
        <f>P163+ATM_Conf!$C$5*(Y163-AH163)</f>
        <v>#DIV/0!</v>
      </c>
      <c r="Q164" s="45" t="e">
        <f>Q163+ATM_Conf!$C$5*(Z163-AI163)</f>
        <v>#DIV/0!</v>
      </c>
      <c r="R164" s="45" t="e">
        <f>R163+ATM_Conf!$C$5*(AA163-AJ163)</f>
        <v>#DIV/0!</v>
      </c>
      <c r="S164" s="45" t="e">
        <f>S163+ATM_Conf!$C$5*(AB163-AK163)</f>
        <v>#DIV/0!</v>
      </c>
      <c r="T164" s="45"/>
      <c r="U164" s="45"/>
      <c r="V164" s="45"/>
      <c r="W164" s="45"/>
      <c r="X164" s="45"/>
      <c r="Y164" s="45"/>
      <c r="Z164" s="45"/>
      <c r="AA164" s="45"/>
      <c r="AB164" s="45"/>
      <c r="AC164" s="45" t="e">
        <f t="shared" si="76"/>
        <v>#DIV/0!</v>
      </c>
      <c r="AD164" s="45" t="e">
        <f t="shared" si="77"/>
        <v>#DIV/0!</v>
      </c>
      <c r="AE164" s="45" t="e">
        <f t="shared" si="78"/>
        <v>#DIV/0!</v>
      </c>
      <c r="AF164" s="45" t="e">
        <f t="shared" si="79"/>
        <v>#DIV/0!</v>
      </c>
      <c r="AG164" s="45" t="e">
        <f t="shared" si="80"/>
        <v>#DIV/0!</v>
      </c>
      <c r="AH164" s="45" t="e">
        <f t="shared" si="81"/>
        <v>#DIV/0!</v>
      </c>
      <c r="AI164" s="45" t="e">
        <f t="shared" si="82"/>
        <v>#DIV/0!</v>
      </c>
      <c r="AJ164" s="45" t="e">
        <f t="shared" si="83"/>
        <v>#DIV/0!</v>
      </c>
      <c r="AK164" s="45" t="e">
        <f t="shared" si="84"/>
        <v>#DIV/0!</v>
      </c>
      <c r="AL164" s="45" t="e">
        <f>T$3+K164/ATM_Conf!$C$5</f>
        <v>#DIV/0!</v>
      </c>
      <c r="AM164" s="45" t="e">
        <f>U$3+L164/ATM_Conf!$C$5</f>
        <v>#DIV/0!</v>
      </c>
      <c r="AN164" s="45" t="e">
        <f>V$3+M164/ATM_Conf!$C$5</f>
        <v>#DIV/0!</v>
      </c>
      <c r="AO164" s="45" t="e">
        <f>W$3+N164/ATM_Conf!$C$5</f>
        <v>#DIV/0!</v>
      </c>
      <c r="AP164" s="45" t="e">
        <f>X$3+O164/ATM_Conf!$C$5</f>
        <v>#DIV/0!</v>
      </c>
      <c r="AQ164" s="45" t="e">
        <f>Y$3+P164/ATM_Conf!$C$5</f>
        <v>#DIV/0!</v>
      </c>
      <c r="AR164" s="45" t="e">
        <f>Z$3+Q164/ATM_Conf!$C$5</f>
        <v>#DIV/0!</v>
      </c>
      <c r="AS164" s="45" t="e">
        <f>AA$3+R164/ATM_Conf!$C$5</f>
        <v>#DIV/0!</v>
      </c>
      <c r="AT164" s="45" t="e">
        <f>AB$3+S164/ATM_Conf!$C$5</f>
        <v>#DIV/0!</v>
      </c>
      <c r="AU164" s="45" t="e">
        <f>BD$3*MIN(1,(ATM_Conf!$C$6-Links!F164)/(ATM_Conf!$C$6-ATM_Conf!$C$7))</f>
        <v>#DIV/0!</v>
      </c>
      <c r="AV164" s="45" t="e">
        <f>BE$3*MIN(1,(ATM_Conf!$C$6-Links!G164)/(ATM_Conf!$C$6-ATM_Conf!$C$7))</f>
        <v>#DIV/0!</v>
      </c>
      <c r="AW164" s="45" t="e">
        <f>BF$3*MIN(1,(ATM_Conf!$C$6-Links!H164)/(ATM_Conf!$C$6-ATM_Conf!$C$7))</f>
        <v>#DIV/0!</v>
      </c>
      <c r="AX164" s="45" t="e">
        <f>BG$3*MIN(1,(ATM_Conf!$C$6-Links!I164)/(ATM_Conf!$C$6-ATM_Conf!$C$7))</f>
        <v>#DIV/0!</v>
      </c>
      <c r="AY164" s="45" t="e">
        <f>BH$3*MIN(1,(ATM_Conf!$C$6-Links!J164)/(ATM_Conf!$C$6-ATM_Conf!$C$7))</f>
        <v>#DIV/0!</v>
      </c>
      <c r="AZ164" s="45" t="e">
        <f>BI$3*MIN(1,(ATM_Conf!$C$6-Links!K164)/(ATM_Conf!$C$6-ATM_Conf!$C$7))</f>
        <v>#DIV/0!</v>
      </c>
      <c r="BA164" s="45" t="e">
        <f>BJ$3*MIN(1,(ATM_Conf!$C$6-Links!L164)/(ATM_Conf!$C$6-ATM_Conf!$C$7))</f>
        <v>#DIV/0!</v>
      </c>
      <c r="BB164" s="45" t="e">
        <f>BK$3*MIN(1,(ATM_Conf!$C$6-Links!M164)/(ATM_Conf!$C$6-ATM_Conf!$C$7))</f>
        <v>#DIV/0!</v>
      </c>
      <c r="BC164" s="45" t="e">
        <f>BL$3*MIN(1,(ATM_Conf!$C$6-Links!N164)/(ATM_Conf!$C$6-ATM_Conf!$C$7))</f>
        <v>#DIV/0!</v>
      </c>
      <c r="BD164" s="45"/>
      <c r="BE164" s="45"/>
      <c r="BF164" s="45"/>
      <c r="BG164" s="45"/>
      <c r="BH164" s="45"/>
      <c r="BI164" s="45"/>
      <c r="BJ164" s="45"/>
      <c r="BK164" s="45"/>
      <c r="BL164" s="45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 t="e">
        <f t="shared" si="85"/>
        <v>#DIV/0!</v>
      </c>
      <c r="BW164" s="53" t="e">
        <f t="shared" si="86"/>
        <v>#DIV/0!</v>
      </c>
      <c r="BX164" s="53" t="e">
        <f t="shared" si="87"/>
        <v>#DIV/0!</v>
      </c>
      <c r="BY164" s="53" t="e">
        <f t="shared" si="88"/>
        <v>#DIV/0!</v>
      </c>
      <c r="BZ164" s="53" t="e">
        <f t="shared" si="89"/>
        <v>#DIV/0!</v>
      </c>
      <c r="CA164" s="53" t="e">
        <f t="shared" si="90"/>
        <v>#DIV/0!</v>
      </c>
      <c r="CB164" s="53" t="e">
        <f t="shared" si="91"/>
        <v>#DIV/0!</v>
      </c>
      <c r="CC164" s="53" t="e">
        <f t="shared" si="92"/>
        <v>#DIV/0!</v>
      </c>
      <c r="CD164" s="53" t="e">
        <f t="shared" si="93"/>
        <v>#DIV/0!</v>
      </c>
      <c r="CE164" s="55">
        <f t="shared" si="102"/>
        <v>0</v>
      </c>
      <c r="CF164" s="55">
        <f t="shared" si="100"/>
        <v>0</v>
      </c>
      <c r="CG164" s="55">
        <f t="shared" si="100"/>
        <v>0</v>
      </c>
      <c r="CH164" s="55">
        <f t="shared" si="100"/>
        <v>0</v>
      </c>
      <c r="CI164" s="55">
        <f t="shared" si="100"/>
        <v>0</v>
      </c>
      <c r="CJ164" s="55">
        <f t="shared" si="100"/>
        <v>0</v>
      </c>
      <c r="CK164" s="55">
        <f t="shared" si="100"/>
        <v>0</v>
      </c>
      <c r="CL164" s="55">
        <f t="shared" si="100"/>
        <v>0</v>
      </c>
      <c r="CM164" s="55">
        <f t="shared" si="100"/>
        <v>0</v>
      </c>
    </row>
    <row r="165" spans="1:91" x14ac:dyDescent="0.15">
      <c r="A165" s="42">
        <v>163</v>
      </c>
      <c r="B165" s="45">
        <f t="shared" si="104"/>
        <v>1</v>
      </c>
      <c r="C165" s="45">
        <f t="shared" si="103"/>
        <v>1</v>
      </c>
      <c r="D165" s="45">
        <f t="shared" si="103"/>
        <v>1</v>
      </c>
      <c r="E165" s="45">
        <f t="shared" si="103"/>
        <v>1</v>
      </c>
      <c r="F165" s="45">
        <f t="shared" si="103"/>
        <v>1</v>
      </c>
      <c r="G165" s="45">
        <f t="shared" si="103"/>
        <v>1</v>
      </c>
      <c r="H165" s="45">
        <f t="shared" si="103"/>
        <v>1</v>
      </c>
      <c r="I165" s="45">
        <f t="shared" si="103"/>
        <v>1</v>
      </c>
      <c r="J165" s="45">
        <f t="shared" si="103"/>
        <v>1</v>
      </c>
      <c r="K165" s="45" t="e">
        <f>K164+ATM_Conf!$C$5*(T164-AC164)</f>
        <v>#DIV/0!</v>
      </c>
      <c r="L165" s="45" t="e">
        <f>L164+ATM_Conf!$C$5*(U164-AD164)</f>
        <v>#DIV/0!</v>
      </c>
      <c r="M165" s="45" t="e">
        <f>M164+ATM_Conf!$C$5*(V164-AE164)</f>
        <v>#DIV/0!</v>
      </c>
      <c r="N165" s="45" t="e">
        <f>N164+ATM_Conf!$C$5*(W164-AF164)</f>
        <v>#DIV/0!</v>
      </c>
      <c r="O165" s="45" t="e">
        <f>O164+ATM_Conf!$C$5*(X164-AG164)</f>
        <v>#DIV/0!</v>
      </c>
      <c r="P165" s="45" t="e">
        <f>P164+ATM_Conf!$C$5*(Y164-AH164)</f>
        <v>#DIV/0!</v>
      </c>
      <c r="Q165" s="45" t="e">
        <f>Q164+ATM_Conf!$C$5*(Z164-AI164)</f>
        <v>#DIV/0!</v>
      </c>
      <c r="R165" s="45" t="e">
        <f>R164+ATM_Conf!$C$5*(AA164-AJ164)</f>
        <v>#DIV/0!</v>
      </c>
      <c r="S165" s="45" t="e">
        <f>S164+ATM_Conf!$C$5*(AB164-AK164)</f>
        <v>#DIV/0!</v>
      </c>
      <c r="T165" s="45"/>
      <c r="U165" s="45"/>
      <c r="V165" s="45"/>
      <c r="W165" s="45"/>
      <c r="X165" s="45"/>
      <c r="Y165" s="45"/>
      <c r="Z165" s="45"/>
      <c r="AA165" s="45"/>
      <c r="AB165" s="45"/>
      <c r="AC165" s="45" t="e">
        <f t="shared" si="76"/>
        <v>#DIV/0!</v>
      </c>
      <c r="AD165" s="45" t="e">
        <f t="shared" si="77"/>
        <v>#DIV/0!</v>
      </c>
      <c r="AE165" s="45" t="e">
        <f t="shared" si="78"/>
        <v>#DIV/0!</v>
      </c>
      <c r="AF165" s="45" t="e">
        <f t="shared" si="79"/>
        <v>#DIV/0!</v>
      </c>
      <c r="AG165" s="45" t="e">
        <f t="shared" si="80"/>
        <v>#DIV/0!</v>
      </c>
      <c r="AH165" s="45" t="e">
        <f t="shared" si="81"/>
        <v>#DIV/0!</v>
      </c>
      <c r="AI165" s="45" t="e">
        <f t="shared" si="82"/>
        <v>#DIV/0!</v>
      </c>
      <c r="AJ165" s="45" t="e">
        <f t="shared" si="83"/>
        <v>#DIV/0!</v>
      </c>
      <c r="AK165" s="45" t="e">
        <f t="shared" si="84"/>
        <v>#DIV/0!</v>
      </c>
      <c r="AL165" s="45" t="e">
        <f>T$3+K165/ATM_Conf!$C$5</f>
        <v>#DIV/0!</v>
      </c>
      <c r="AM165" s="45" t="e">
        <f>U$3+L165/ATM_Conf!$C$5</f>
        <v>#DIV/0!</v>
      </c>
      <c r="AN165" s="45" t="e">
        <f>V$3+M165/ATM_Conf!$C$5</f>
        <v>#DIV/0!</v>
      </c>
      <c r="AO165" s="45" t="e">
        <f>W$3+N165/ATM_Conf!$C$5</f>
        <v>#DIV/0!</v>
      </c>
      <c r="AP165" s="45" t="e">
        <f>X$3+O165/ATM_Conf!$C$5</f>
        <v>#DIV/0!</v>
      </c>
      <c r="AQ165" s="45" t="e">
        <f>Y$3+P165/ATM_Conf!$C$5</f>
        <v>#DIV/0!</v>
      </c>
      <c r="AR165" s="45" t="e">
        <f>Z$3+Q165/ATM_Conf!$C$5</f>
        <v>#DIV/0!</v>
      </c>
      <c r="AS165" s="45" t="e">
        <f>AA$3+R165/ATM_Conf!$C$5</f>
        <v>#DIV/0!</v>
      </c>
      <c r="AT165" s="45" t="e">
        <f>AB$3+S165/ATM_Conf!$C$5</f>
        <v>#DIV/0!</v>
      </c>
      <c r="AU165" s="45" t="e">
        <f>BD$3*MIN(1,(ATM_Conf!$C$6-Links!F165)/(ATM_Conf!$C$6-ATM_Conf!$C$7))</f>
        <v>#DIV/0!</v>
      </c>
      <c r="AV165" s="45" t="e">
        <f>BE$3*MIN(1,(ATM_Conf!$C$6-Links!G165)/(ATM_Conf!$C$6-ATM_Conf!$C$7))</f>
        <v>#DIV/0!</v>
      </c>
      <c r="AW165" s="45" t="e">
        <f>BF$3*MIN(1,(ATM_Conf!$C$6-Links!H165)/(ATM_Conf!$C$6-ATM_Conf!$C$7))</f>
        <v>#DIV/0!</v>
      </c>
      <c r="AX165" s="45" t="e">
        <f>BG$3*MIN(1,(ATM_Conf!$C$6-Links!I165)/(ATM_Conf!$C$6-ATM_Conf!$C$7))</f>
        <v>#DIV/0!</v>
      </c>
      <c r="AY165" s="45" t="e">
        <f>BH$3*MIN(1,(ATM_Conf!$C$6-Links!J165)/(ATM_Conf!$C$6-ATM_Conf!$C$7))</f>
        <v>#DIV/0!</v>
      </c>
      <c r="AZ165" s="45" t="e">
        <f>BI$3*MIN(1,(ATM_Conf!$C$6-Links!K165)/(ATM_Conf!$C$6-ATM_Conf!$C$7))</f>
        <v>#DIV/0!</v>
      </c>
      <c r="BA165" s="45" t="e">
        <f>BJ$3*MIN(1,(ATM_Conf!$C$6-Links!L165)/(ATM_Conf!$C$6-ATM_Conf!$C$7))</f>
        <v>#DIV/0!</v>
      </c>
      <c r="BB165" s="45" t="e">
        <f>BK$3*MIN(1,(ATM_Conf!$C$6-Links!M165)/(ATM_Conf!$C$6-ATM_Conf!$C$7))</f>
        <v>#DIV/0!</v>
      </c>
      <c r="BC165" s="45" t="e">
        <f>BL$3*MIN(1,(ATM_Conf!$C$6-Links!N165)/(ATM_Conf!$C$6-ATM_Conf!$C$7))</f>
        <v>#DIV/0!</v>
      </c>
      <c r="BD165" s="45"/>
      <c r="BE165" s="45"/>
      <c r="BF165" s="45"/>
      <c r="BG165" s="45"/>
      <c r="BH165" s="45"/>
      <c r="BI165" s="45"/>
      <c r="BJ165" s="45"/>
      <c r="BK165" s="45"/>
      <c r="BL165" s="45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 t="e">
        <f t="shared" si="85"/>
        <v>#DIV/0!</v>
      </c>
      <c r="BW165" s="53" t="e">
        <f t="shared" si="86"/>
        <v>#DIV/0!</v>
      </c>
      <c r="BX165" s="53" t="e">
        <f t="shared" si="87"/>
        <v>#DIV/0!</v>
      </c>
      <c r="BY165" s="53" t="e">
        <f t="shared" si="88"/>
        <v>#DIV/0!</v>
      </c>
      <c r="BZ165" s="53" t="e">
        <f t="shared" si="89"/>
        <v>#DIV/0!</v>
      </c>
      <c r="CA165" s="53" t="e">
        <f t="shared" si="90"/>
        <v>#DIV/0!</v>
      </c>
      <c r="CB165" s="53" t="e">
        <f t="shared" si="91"/>
        <v>#DIV/0!</v>
      </c>
      <c r="CC165" s="53" t="e">
        <f t="shared" si="92"/>
        <v>#DIV/0!</v>
      </c>
      <c r="CD165" s="53" t="e">
        <f t="shared" si="93"/>
        <v>#DIV/0!</v>
      </c>
      <c r="CE165" s="55">
        <f t="shared" si="102"/>
        <v>0</v>
      </c>
      <c r="CF165" s="55">
        <f t="shared" si="100"/>
        <v>0</v>
      </c>
      <c r="CG165" s="55">
        <f t="shared" si="100"/>
        <v>0</v>
      </c>
      <c r="CH165" s="55">
        <f t="shared" si="100"/>
        <v>0</v>
      </c>
      <c r="CI165" s="55">
        <f t="shared" si="100"/>
        <v>0</v>
      </c>
      <c r="CJ165" s="55">
        <f t="shared" si="100"/>
        <v>0</v>
      </c>
      <c r="CK165" s="55">
        <f t="shared" si="100"/>
        <v>0</v>
      </c>
      <c r="CL165" s="55">
        <f t="shared" si="100"/>
        <v>0</v>
      </c>
      <c r="CM165" s="55">
        <f t="shared" si="100"/>
        <v>0</v>
      </c>
    </row>
    <row r="166" spans="1:91" x14ac:dyDescent="0.15">
      <c r="A166" s="42">
        <v>164</v>
      </c>
      <c r="B166" s="45">
        <f t="shared" si="104"/>
        <v>1</v>
      </c>
      <c r="C166" s="45">
        <f t="shared" si="103"/>
        <v>1</v>
      </c>
      <c r="D166" s="45">
        <f t="shared" si="103"/>
        <v>1</v>
      </c>
      <c r="E166" s="45">
        <f t="shared" si="103"/>
        <v>1</v>
      </c>
      <c r="F166" s="45">
        <f t="shared" si="103"/>
        <v>1</v>
      </c>
      <c r="G166" s="45">
        <f t="shared" si="103"/>
        <v>1</v>
      </c>
      <c r="H166" s="45">
        <f t="shared" si="103"/>
        <v>1</v>
      </c>
      <c r="I166" s="45">
        <f t="shared" si="103"/>
        <v>1</v>
      </c>
      <c r="J166" s="45">
        <f t="shared" si="103"/>
        <v>1</v>
      </c>
      <c r="K166" s="45" t="e">
        <f>K165+ATM_Conf!$C$5*(T165-AC165)</f>
        <v>#DIV/0!</v>
      </c>
      <c r="L166" s="45" t="e">
        <f>L165+ATM_Conf!$C$5*(U165-AD165)</f>
        <v>#DIV/0!</v>
      </c>
      <c r="M166" s="45" t="e">
        <f>M165+ATM_Conf!$C$5*(V165-AE165)</f>
        <v>#DIV/0!</v>
      </c>
      <c r="N166" s="45" t="e">
        <f>N165+ATM_Conf!$C$5*(W165-AF165)</f>
        <v>#DIV/0!</v>
      </c>
      <c r="O166" s="45" t="e">
        <f>O165+ATM_Conf!$C$5*(X165-AG165)</f>
        <v>#DIV/0!</v>
      </c>
      <c r="P166" s="45" t="e">
        <f>P165+ATM_Conf!$C$5*(Y165-AH165)</f>
        <v>#DIV/0!</v>
      </c>
      <c r="Q166" s="45" t="e">
        <f>Q165+ATM_Conf!$C$5*(Z165-AI165)</f>
        <v>#DIV/0!</v>
      </c>
      <c r="R166" s="45" t="e">
        <f>R165+ATM_Conf!$C$5*(AA165-AJ165)</f>
        <v>#DIV/0!</v>
      </c>
      <c r="S166" s="45" t="e">
        <f>S165+ATM_Conf!$C$5*(AB165-AK165)</f>
        <v>#DIV/0!</v>
      </c>
      <c r="T166" s="45"/>
      <c r="U166" s="45"/>
      <c r="V166" s="45"/>
      <c r="W166" s="45"/>
      <c r="X166" s="45"/>
      <c r="Y166" s="45"/>
      <c r="Z166" s="45"/>
      <c r="AA166" s="45"/>
      <c r="AB166" s="45"/>
      <c r="AC166" s="45" t="e">
        <f t="shared" si="76"/>
        <v>#DIV/0!</v>
      </c>
      <c r="AD166" s="45" t="e">
        <f t="shared" si="77"/>
        <v>#DIV/0!</v>
      </c>
      <c r="AE166" s="45" t="e">
        <f t="shared" si="78"/>
        <v>#DIV/0!</v>
      </c>
      <c r="AF166" s="45" t="e">
        <f t="shared" si="79"/>
        <v>#DIV/0!</v>
      </c>
      <c r="AG166" s="45" t="e">
        <f t="shared" si="80"/>
        <v>#DIV/0!</v>
      </c>
      <c r="AH166" s="45" t="e">
        <f t="shared" si="81"/>
        <v>#DIV/0!</v>
      </c>
      <c r="AI166" s="45" t="e">
        <f t="shared" si="82"/>
        <v>#DIV/0!</v>
      </c>
      <c r="AJ166" s="45" t="e">
        <f t="shared" si="83"/>
        <v>#DIV/0!</v>
      </c>
      <c r="AK166" s="45" t="e">
        <f t="shared" si="84"/>
        <v>#DIV/0!</v>
      </c>
      <c r="AL166" s="45" t="e">
        <f>T$3+K166/ATM_Conf!$C$5</f>
        <v>#DIV/0!</v>
      </c>
      <c r="AM166" s="45" t="e">
        <f>U$3+L166/ATM_Conf!$C$5</f>
        <v>#DIV/0!</v>
      </c>
      <c r="AN166" s="45" t="e">
        <f>V$3+M166/ATM_Conf!$C$5</f>
        <v>#DIV/0!</v>
      </c>
      <c r="AO166" s="45" t="e">
        <f>W$3+N166/ATM_Conf!$C$5</f>
        <v>#DIV/0!</v>
      </c>
      <c r="AP166" s="45" t="e">
        <f>X$3+O166/ATM_Conf!$C$5</f>
        <v>#DIV/0!</v>
      </c>
      <c r="AQ166" s="45" t="e">
        <f>Y$3+P166/ATM_Conf!$C$5</f>
        <v>#DIV/0!</v>
      </c>
      <c r="AR166" s="45" t="e">
        <f>Z$3+Q166/ATM_Conf!$C$5</f>
        <v>#DIV/0!</v>
      </c>
      <c r="AS166" s="45" t="e">
        <f>AA$3+R166/ATM_Conf!$C$5</f>
        <v>#DIV/0!</v>
      </c>
      <c r="AT166" s="45" t="e">
        <f>AB$3+S166/ATM_Conf!$C$5</f>
        <v>#DIV/0!</v>
      </c>
      <c r="AU166" s="45" t="e">
        <f>BD$3*MIN(1,(ATM_Conf!$C$6-Links!F166)/(ATM_Conf!$C$6-ATM_Conf!$C$7))</f>
        <v>#DIV/0!</v>
      </c>
      <c r="AV166" s="45" t="e">
        <f>BE$3*MIN(1,(ATM_Conf!$C$6-Links!G166)/(ATM_Conf!$C$6-ATM_Conf!$C$7))</f>
        <v>#DIV/0!</v>
      </c>
      <c r="AW166" s="45" t="e">
        <f>BF$3*MIN(1,(ATM_Conf!$C$6-Links!H166)/(ATM_Conf!$C$6-ATM_Conf!$C$7))</f>
        <v>#DIV/0!</v>
      </c>
      <c r="AX166" s="45" t="e">
        <f>BG$3*MIN(1,(ATM_Conf!$C$6-Links!I166)/(ATM_Conf!$C$6-ATM_Conf!$C$7))</f>
        <v>#DIV/0!</v>
      </c>
      <c r="AY166" s="45" t="e">
        <f>BH$3*MIN(1,(ATM_Conf!$C$6-Links!J166)/(ATM_Conf!$C$6-ATM_Conf!$C$7))</f>
        <v>#DIV/0!</v>
      </c>
      <c r="AZ166" s="45" t="e">
        <f>BI$3*MIN(1,(ATM_Conf!$C$6-Links!K166)/(ATM_Conf!$C$6-ATM_Conf!$C$7))</f>
        <v>#DIV/0!</v>
      </c>
      <c r="BA166" s="45" t="e">
        <f>BJ$3*MIN(1,(ATM_Conf!$C$6-Links!L166)/(ATM_Conf!$C$6-ATM_Conf!$C$7))</f>
        <v>#DIV/0!</v>
      </c>
      <c r="BB166" s="45" t="e">
        <f>BK$3*MIN(1,(ATM_Conf!$C$6-Links!M166)/(ATM_Conf!$C$6-ATM_Conf!$C$7))</f>
        <v>#DIV/0!</v>
      </c>
      <c r="BC166" s="45" t="e">
        <f>BL$3*MIN(1,(ATM_Conf!$C$6-Links!N166)/(ATM_Conf!$C$6-ATM_Conf!$C$7))</f>
        <v>#DIV/0!</v>
      </c>
      <c r="BD166" s="45"/>
      <c r="BE166" s="45"/>
      <c r="BF166" s="45"/>
      <c r="BG166" s="45"/>
      <c r="BH166" s="45"/>
      <c r="BI166" s="45"/>
      <c r="BJ166" s="45"/>
      <c r="BK166" s="45"/>
      <c r="BL166" s="45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 t="e">
        <f t="shared" si="85"/>
        <v>#DIV/0!</v>
      </c>
      <c r="BW166" s="53" t="e">
        <f t="shared" si="86"/>
        <v>#DIV/0!</v>
      </c>
      <c r="BX166" s="53" t="e">
        <f t="shared" si="87"/>
        <v>#DIV/0!</v>
      </c>
      <c r="BY166" s="53" t="e">
        <f t="shared" si="88"/>
        <v>#DIV/0!</v>
      </c>
      <c r="BZ166" s="53" t="e">
        <f t="shared" si="89"/>
        <v>#DIV/0!</v>
      </c>
      <c r="CA166" s="53" t="e">
        <f t="shared" si="90"/>
        <v>#DIV/0!</v>
      </c>
      <c r="CB166" s="53" t="e">
        <f t="shared" si="91"/>
        <v>#DIV/0!</v>
      </c>
      <c r="CC166" s="53" t="e">
        <f t="shared" si="92"/>
        <v>#DIV/0!</v>
      </c>
      <c r="CD166" s="53" t="e">
        <f t="shared" si="93"/>
        <v>#DIV/0!</v>
      </c>
      <c r="CE166" s="55">
        <f t="shared" si="102"/>
        <v>0</v>
      </c>
      <c r="CF166" s="55">
        <f t="shared" si="100"/>
        <v>0</v>
      </c>
      <c r="CG166" s="55">
        <f t="shared" si="100"/>
        <v>0</v>
      </c>
      <c r="CH166" s="55">
        <f t="shared" si="100"/>
        <v>0</v>
      </c>
      <c r="CI166" s="55">
        <f t="shared" si="100"/>
        <v>0</v>
      </c>
      <c r="CJ166" s="55">
        <f t="shared" si="100"/>
        <v>0</v>
      </c>
      <c r="CK166" s="55">
        <f t="shared" si="100"/>
        <v>0</v>
      </c>
      <c r="CL166" s="55">
        <f t="shared" si="100"/>
        <v>0</v>
      </c>
      <c r="CM166" s="55">
        <f t="shared" si="100"/>
        <v>0</v>
      </c>
    </row>
    <row r="167" spans="1:91" x14ac:dyDescent="0.15">
      <c r="A167" s="42">
        <v>165</v>
      </c>
      <c r="B167" s="45">
        <f t="shared" si="104"/>
        <v>1</v>
      </c>
      <c r="C167" s="45">
        <f t="shared" si="103"/>
        <v>1</v>
      </c>
      <c r="D167" s="45">
        <f t="shared" si="103"/>
        <v>1</v>
      </c>
      <c r="E167" s="45">
        <f t="shared" si="103"/>
        <v>1</v>
      </c>
      <c r="F167" s="45">
        <f t="shared" si="103"/>
        <v>1</v>
      </c>
      <c r="G167" s="45">
        <f t="shared" si="103"/>
        <v>1</v>
      </c>
      <c r="H167" s="45">
        <f t="shared" si="103"/>
        <v>1</v>
      </c>
      <c r="I167" s="45">
        <f t="shared" si="103"/>
        <v>1</v>
      </c>
      <c r="J167" s="45">
        <f t="shared" si="103"/>
        <v>1</v>
      </c>
      <c r="K167" s="45" t="e">
        <f>K166+ATM_Conf!$C$5*(T166-AC166)</f>
        <v>#DIV/0!</v>
      </c>
      <c r="L167" s="45" t="e">
        <f>L166+ATM_Conf!$C$5*(U166-AD166)</f>
        <v>#DIV/0!</v>
      </c>
      <c r="M167" s="45" t="e">
        <f>M166+ATM_Conf!$C$5*(V166-AE166)</f>
        <v>#DIV/0!</v>
      </c>
      <c r="N167" s="45" t="e">
        <f>N166+ATM_Conf!$C$5*(W166-AF166)</f>
        <v>#DIV/0!</v>
      </c>
      <c r="O167" s="45" t="e">
        <f>O166+ATM_Conf!$C$5*(X166-AG166)</f>
        <v>#DIV/0!</v>
      </c>
      <c r="P167" s="45" t="e">
        <f>P166+ATM_Conf!$C$5*(Y166-AH166)</f>
        <v>#DIV/0!</v>
      </c>
      <c r="Q167" s="45" t="e">
        <f>Q166+ATM_Conf!$C$5*(Z166-AI166)</f>
        <v>#DIV/0!</v>
      </c>
      <c r="R167" s="45" t="e">
        <f>R166+ATM_Conf!$C$5*(AA166-AJ166)</f>
        <v>#DIV/0!</v>
      </c>
      <c r="S167" s="45" t="e">
        <f>S166+ATM_Conf!$C$5*(AB166-AK166)</f>
        <v>#DIV/0!</v>
      </c>
      <c r="T167" s="45"/>
      <c r="U167" s="45"/>
      <c r="V167" s="45"/>
      <c r="W167" s="45"/>
      <c r="X167" s="45"/>
      <c r="Y167" s="45"/>
      <c r="Z167" s="45"/>
      <c r="AA167" s="45"/>
      <c r="AB167" s="45"/>
      <c r="AC167" s="45" t="e">
        <f t="shared" si="76"/>
        <v>#DIV/0!</v>
      </c>
      <c r="AD167" s="45" t="e">
        <f t="shared" si="77"/>
        <v>#DIV/0!</v>
      </c>
      <c r="AE167" s="45" t="e">
        <f t="shared" si="78"/>
        <v>#DIV/0!</v>
      </c>
      <c r="AF167" s="45" t="e">
        <f t="shared" si="79"/>
        <v>#DIV/0!</v>
      </c>
      <c r="AG167" s="45" t="e">
        <f t="shared" si="80"/>
        <v>#DIV/0!</v>
      </c>
      <c r="AH167" s="45" t="e">
        <f t="shared" si="81"/>
        <v>#DIV/0!</v>
      </c>
      <c r="AI167" s="45" t="e">
        <f t="shared" si="82"/>
        <v>#DIV/0!</v>
      </c>
      <c r="AJ167" s="45" t="e">
        <f t="shared" si="83"/>
        <v>#DIV/0!</v>
      </c>
      <c r="AK167" s="45" t="e">
        <f t="shared" si="84"/>
        <v>#DIV/0!</v>
      </c>
      <c r="AL167" s="45" t="e">
        <f>T$3+K167/ATM_Conf!$C$5</f>
        <v>#DIV/0!</v>
      </c>
      <c r="AM167" s="45" t="e">
        <f>U$3+L167/ATM_Conf!$C$5</f>
        <v>#DIV/0!</v>
      </c>
      <c r="AN167" s="45" t="e">
        <f>V$3+M167/ATM_Conf!$C$5</f>
        <v>#DIV/0!</v>
      </c>
      <c r="AO167" s="45" t="e">
        <f>W$3+N167/ATM_Conf!$C$5</f>
        <v>#DIV/0!</v>
      </c>
      <c r="AP167" s="45" t="e">
        <f>X$3+O167/ATM_Conf!$C$5</f>
        <v>#DIV/0!</v>
      </c>
      <c r="AQ167" s="45" t="e">
        <f>Y$3+P167/ATM_Conf!$C$5</f>
        <v>#DIV/0!</v>
      </c>
      <c r="AR167" s="45" t="e">
        <f>Z$3+Q167/ATM_Conf!$C$5</f>
        <v>#DIV/0!</v>
      </c>
      <c r="AS167" s="45" t="e">
        <f>AA$3+R167/ATM_Conf!$C$5</f>
        <v>#DIV/0!</v>
      </c>
      <c r="AT167" s="45" t="e">
        <f>AB$3+S167/ATM_Conf!$C$5</f>
        <v>#DIV/0!</v>
      </c>
      <c r="AU167" s="45" t="e">
        <f>BD$3*MIN(1,(ATM_Conf!$C$6-Links!F167)/(ATM_Conf!$C$6-ATM_Conf!$C$7))</f>
        <v>#DIV/0!</v>
      </c>
      <c r="AV167" s="45" t="e">
        <f>BE$3*MIN(1,(ATM_Conf!$C$6-Links!G167)/(ATM_Conf!$C$6-ATM_Conf!$C$7))</f>
        <v>#DIV/0!</v>
      </c>
      <c r="AW167" s="45" t="e">
        <f>BF$3*MIN(1,(ATM_Conf!$C$6-Links!H167)/(ATM_Conf!$C$6-ATM_Conf!$C$7))</f>
        <v>#DIV/0!</v>
      </c>
      <c r="AX167" s="45" t="e">
        <f>BG$3*MIN(1,(ATM_Conf!$C$6-Links!I167)/(ATM_Conf!$C$6-ATM_Conf!$C$7))</f>
        <v>#DIV/0!</v>
      </c>
      <c r="AY167" s="45" t="e">
        <f>BH$3*MIN(1,(ATM_Conf!$C$6-Links!J167)/(ATM_Conf!$C$6-ATM_Conf!$C$7))</f>
        <v>#DIV/0!</v>
      </c>
      <c r="AZ167" s="45" t="e">
        <f>BI$3*MIN(1,(ATM_Conf!$C$6-Links!K167)/(ATM_Conf!$C$6-ATM_Conf!$C$7))</f>
        <v>#DIV/0!</v>
      </c>
      <c r="BA167" s="45" t="e">
        <f>BJ$3*MIN(1,(ATM_Conf!$C$6-Links!L167)/(ATM_Conf!$C$6-ATM_Conf!$C$7))</f>
        <v>#DIV/0!</v>
      </c>
      <c r="BB167" s="45" t="e">
        <f>BK$3*MIN(1,(ATM_Conf!$C$6-Links!M167)/(ATM_Conf!$C$6-ATM_Conf!$C$7))</f>
        <v>#DIV/0!</v>
      </c>
      <c r="BC167" s="45" t="e">
        <f>BL$3*MIN(1,(ATM_Conf!$C$6-Links!N167)/(ATM_Conf!$C$6-ATM_Conf!$C$7))</f>
        <v>#DIV/0!</v>
      </c>
      <c r="BD167" s="45"/>
      <c r="BE167" s="45"/>
      <c r="BF167" s="45"/>
      <c r="BG167" s="45"/>
      <c r="BH167" s="45"/>
      <c r="BI167" s="45"/>
      <c r="BJ167" s="45"/>
      <c r="BK167" s="45"/>
      <c r="BL167" s="45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 t="e">
        <f t="shared" si="85"/>
        <v>#DIV/0!</v>
      </c>
      <c r="BW167" s="53" t="e">
        <f t="shared" si="86"/>
        <v>#DIV/0!</v>
      </c>
      <c r="BX167" s="53" t="e">
        <f t="shared" si="87"/>
        <v>#DIV/0!</v>
      </c>
      <c r="BY167" s="53" t="e">
        <f t="shared" si="88"/>
        <v>#DIV/0!</v>
      </c>
      <c r="BZ167" s="53" t="e">
        <f t="shared" si="89"/>
        <v>#DIV/0!</v>
      </c>
      <c r="CA167" s="53" t="e">
        <f t="shared" si="90"/>
        <v>#DIV/0!</v>
      </c>
      <c r="CB167" s="53" t="e">
        <f t="shared" si="91"/>
        <v>#DIV/0!</v>
      </c>
      <c r="CC167" s="53" t="e">
        <f t="shared" si="92"/>
        <v>#DIV/0!</v>
      </c>
      <c r="CD167" s="53" t="e">
        <f t="shared" si="93"/>
        <v>#DIV/0!</v>
      </c>
      <c r="CE167" s="55">
        <f t="shared" si="102"/>
        <v>0</v>
      </c>
      <c r="CF167" s="55">
        <f t="shared" si="100"/>
        <v>0</v>
      </c>
      <c r="CG167" s="55">
        <f t="shared" si="100"/>
        <v>0</v>
      </c>
      <c r="CH167" s="55">
        <f t="shared" si="100"/>
        <v>0</v>
      </c>
      <c r="CI167" s="55">
        <f t="shared" si="100"/>
        <v>0</v>
      </c>
      <c r="CJ167" s="55">
        <f t="shared" si="100"/>
        <v>0</v>
      </c>
      <c r="CK167" s="55">
        <f t="shared" si="100"/>
        <v>0</v>
      </c>
      <c r="CL167" s="55">
        <f t="shared" si="100"/>
        <v>0</v>
      </c>
      <c r="CM167" s="55">
        <f t="shared" si="100"/>
        <v>0</v>
      </c>
    </row>
    <row r="168" spans="1:91" x14ac:dyDescent="0.15">
      <c r="A168" s="42">
        <v>166</v>
      </c>
      <c r="B168" s="45">
        <f t="shared" si="104"/>
        <v>1</v>
      </c>
      <c r="C168" s="45">
        <f t="shared" si="103"/>
        <v>1</v>
      </c>
      <c r="D168" s="45">
        <f t="shared" si="103"/>
        <v>1</v>
      </c>
      <c r="E168" s="45">
        <f t="shared" si="103"/>
        <v>1</v>
      </c>
      <c r="F168" s="45">
        <f t="shared" si="103"/>
        <v>1</v>
      </c>
      <c r="G168" s="45">
        <f t="shared" si="103"/>
        <v>1</v>
      </c>
      <c r="H168" s="45">
        <f t="shared" si="103"/>
        <v>1</v>
      </c>
      <c r="I168" s="45">
        <f t="shared" si="103"/>
        <v>1</v>
      </c>
      <c r="J168" s="45">
        <f t="shared" si="103"/>
        <v>1</v>
      </c>
      <c r="K168" s="45" t="e">
        <f>K167+ATM_Conf!$C$5*(T167-AC167)</f>
        <v>#DIV/0!</v>
      </c>
      <c r="L168" s="45" t="e">
        <f>L167+ATM_Conf!$C$5*(U167-AD167)</f>
        <v>#DIV/0!</v>
      </c>
      <c r="M168" s="45" t="e">
        <f>M167+ATM_Conf!$C$5*(V167-AE167)</f>
        <v>#DIV/0!</v>
      </c>
      <c r="N168" s="45" t="e">
        <f>N167+ATM_Conf!$C$5*(W167-AF167)</f>
        <v>#DIV/0!</v>
      </c>
      <c r="O168" s="45" t="e">
        <f>O167+ATM_Conf!$C$5*(X167-AG167)</f>
        <v>#DIV/0!</v>
      </c>
      <c r="P168" s="45" t="e">
        <f>P167+ATM_Conf!$C$5*(Y167-AH167)</f>
        <v>#DIV/0!</v>
      </c>
      <c r="Q168" s="45" t="e">
        <f>Q167+ATM_Conf!$C$5*(Z167-AI167)</f>
        <v>#DIV/0!</v>
      </c>
      <c r="R168" s="45" t="e">
        <f>R167+ATM_Conf!$C$5*(AA167-AJ167)</f>
        <v>#DIV/0!</v>
      </c>
      <c r="S168" s="45" t="e">
        <f>S167+ATM_Conf!$C$5*(AB167-AK167)</f>
        <v>#DIV/0!</v>
      </c>
      <c r="T168" s="45"/>
      <c r="U168" s="45"/>
      <c r="V168" s="45"/>
      <c r="W168" s="45"/>
      <c r="X168" s="45"/>
      <c r="Y168" s="45"/>
      <c r="Z168" s="45"/>
      <c r="AA168" s="45"/>
      <c r="AB168" s="45"/>
      <c r="AC168" s="45" t="e">
        <f t="shared" si="76"/>
        <v>#DIV/0!</v>
      </c>
      <c r="AD168" s="45" t="e">
        <f t="shared" si="77"/>
        <v>#DIV/0!</v>
      </c>
      <c r="AE168" s="45" t="e">
        <f t="shared" si="78"/>
        <v>#DIV/0!</v>
      </c>
      <c r="AF168" s="45" t="e">
        <f t="shared" si="79"/>
        <v>#DIV/0!</v>
      </c>
      <c r="AG168" s="45" t="e">
        <f t="shared" si="80"/>
        <v>#DIV/0!</v>
      </c>
      <c r="AH168" s="45" t="e">
        <f t="shared" si="81"/>
        <v>#DIV/0!</v>
      </c>
      <c r="AI168" s="45" t="e">
        <f t="shared" si="82"/>
        <v>#DIV/0!</v>
      </c>
      <c r="AJ168" s="45" t="e">
        <f t="shared" si="83"/>
        <v>#DIV/0!</v>
      </c>
      <c r="AK168" s="45" t="e">
        <f t="shared" si="84"/>
        <v>#DIV/0!</v>
      </c>
      <c r="AL168" s="45" t="e">
        <f>T$3+K168/ATM_Conf!$C$5</f>
        <v>#DIV/0!</v>
      </c>
      <c r="AM168" s="45" t="e">
        <f>U$3+L168/ATM_Conf!$C$5</f>
        <v>#DIV/0!</v>
      </c>
      <c r="AN168" s="45" t="e">
        <f>V$3+M168/ATM_Conf!$C$5</f>
        <v>#DIV/0!</v>
      </c>
      <c r="AO168" s="45" t="e">
        <f>W$3+N168/ATM_Conf!$C$5</f>
        <v>#DIV/0!</v>
      </c>
      <c r="AP168" s="45" t="e">
        <f>X$3+O168/ATM_Conf!$C$5</f>
        <v>#DIV/0!</v>
      </c>
      <c r="AQ168" s="45" t="e">
        <f>Y$3+P168/ATM_Conf!$C$5</f>
        <v>#DIV/0!</v>
      </c>
      <c r="AR168" s="45" t="e">
        <f>Z$3+Q168/ATM_Conf!$C$5</f>
        <v>#DIV/0!</v>
      </c>
      <c r="AS168" s="45" t="e">
        <f>AA$3+R168/ATM_Conf!$C$5</f>
        <v>#DIV/0!</v>
      </c>
      <c r="AT168" s="45" t="e">
        <f>AB$3+S168/ATM_Conf!$C$5</f>
        <v>#DIV/0!</v>
      </c>
      <c r="AU168" s="45" t="e">
        <f>BD$3*MIN(1,(ATM_Conf!$C$6-Links!F168)/(ATM_Conf!$C$6-ATM_Conf!$C$7))</f>
        <v>#DIV/0!</v>
      </c>
      <c r="AV168" s="45" t="e">
        <f>BE$3*MIN(1,(ATM_Conf!$C$6-Links!G168)/(ATM_Conf!$C$6-ATM_Conf!$C$7))</f>
        <v>#DIV/0!</v>
      </c>
      <c r="AW168" s="45" t="e">
        <f>BF$3*MIN(1,(ATM_Conf!$C$6-Links!H168)/(ATM_Conf!$C$6-ATM_Conf!$C$7))</f>
        <v>#DIV/0!</v>
      </c>
      <c r="AX168" s="45" t="e">
        <f>BG$3*MIN(1,(ATM_Conf!$C$6-Links!I168)/(ATM_Conf!$C$6-ATM_Conf!$C$7))</f>
        <v>#DIV/0!</v>
      </c>
      <c r="AY168" s="45" t="e">
        <f>BH$3*MIN(1,(ATM_Conf!$C$6-Links!J168)/(ATM_Conf!$C$6-ATM_Conf!$C$7))</f>
        <v>#DIV/0!</v>
      </c>
      <c r="AZ168" s="45" t="e">
        <f>BI$3*MIN(1,(ATM_Conf!$C$6-Links!K168)/(ATM_Conf!$C$6-ATM_Conf!$C$7))</f>
        <v>#DIV/0!</v>
      </c>
      <c r="BA168" s="45" t="e">
        <f>BJ$3*MIN(1,(ATM_Conf!$C$6-Links!L168)/(ATM_Conf!$C$6-ATM_Conf!$C$7))</f>
        <v>#DIV/0!</v>
      </c>
      <c r="BB168" s="45" t="e">
        <f>BK$3*MIN(1,(ATM_Conf!$C$6-Links!M168)/(ATM_Conf!$C$6-ATM_Conf!$C$7))</f>
        <v>#DIV/0!</v>
      </c>
      <c r="BC168" s="45" t="e">
        <f>BL$3*MIN(1,(ATM_Conf!$C$6-Links!N168)/(ATM_Conf!$C$6-ATM_Conf!$C$7))</f>
        <v>#DIV/0!</v>
      </c>
      <c r="BD168" s="45"/>
      <c r="BE168" s="45"/>
      <c r="BF168" s="45"/>
      <c r="BG168" s="45"/>
      <c r="BH168" s="45"/>
      <c r="BI168" s="45"/>
      <c r="BJ168" s="45"/>
      <c r="BK168" s="45"/>
      <c r="BL168" s="45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 t="e">
        <f t="shared" si="85"/>
        <v>#DIV/0!</v>
      </c>
      <c r="BW168" s="53" t="e">
        <f t="shared" si="86"/>
        <v>#DIV/0!</v>
      </c>
      <c r="BX168" s="53" t="e">
        <f t="shared" si="87"/>
        <v>#DIV/0!</v>
      </c>
      <c r="BY168" s="53" t="e">
        <f t="shared" si="88"/>
        <v>#DIV/0!</v>
      </c>
      <c r="BZ168" s="53" t="e">
        <f t="shared" si="89"/>
        <v>#DIV/0!</v>
      </c>
      <c r="CA168" s="53" t="e">
        <f t="shared" si="90"/>
        <v>#DIV/0!</v>
      </c>
      <c r="CB168" s="53" t="e">
        <f t="shared" si="91"/>
        <v>#DIV/0!</v>
      </c>
      <c r="CC168" s="53" t="e">
        <f t="shared" si="92"/>
        <v>#DIV/0!</v>
      </c>
      <c r="CD168" s="53" t="e">
        <f t="shared" si="93"/>
        <v>#DIV/0!</v>
      </c>
      <c r="CE168" s="55">
        <f t="shared" si="102"/>
        <v>0</v>
      </c>
      <c r="CF168" s="55">
        <f t="shared" si="100"/>
        <v>0</v>
      </c>
      <c r="CG168" s="55">
        <f t="shared" si="100"/>
        <v>0</v>
      </c>
      <c r="CH168" s="55">
        <f t="shared" si="100"/>
        <v>0</v>
      </c>
      <c r="CI168" s="55">
        <f t="shared" si="100"/>
        <v>0</v>
      </c>
      <c r="CJ168" s="55">
        <f t="shared" si="100"/>
        <v>0</v>
      </c>
      <c r="CK168" s="55">
        <f t="shared" si="100"/>
        <v>0</v>
      </c>
      <c r="CL168" s="55">
        <f t="shared" si="100"/>
        <v>0</v>
      </c>
      <c r="CM168" s="55">
        <f t="shared" si="100"/>
        <v>0</v>
      </c>
    </row>
    <row r="169" spans="1:91" x14ac:dyDescent="0.15">
      <c r="A169" s="42">
        <v>167</v>
      </c>
      <c r="B169" s="45">
        <f t="shared" si="104"/>
        <v>1</v>
      </c>
      <c r="C169" s="45">
        <f t="shared" si="103"/>
        <v>1</v>
      </c>
      <c r="D169" s="45">
        <f t="shared" si="103"/>
        <v>1</v>
      </c>
      <c r="E169" s="45">
        <f t="shared" si="103"/>
        <v>1</v>
      </c>
      <c r="F169" s="45">
        <f t="shared" si="103"/>
        <v>1</v>
      </c>
      <c r="G169" s="45">
        <f t="shared" si="103"/>
        <v>1</v>
      </c>
      <c r="H169" s="45">
        <f t="shared" si="103"/>
        <v>1</v>
      </c>
      <c r="I169" s="45">
        <f t="shared" si="103"/>
        <v>1</v>
      </c>
      <c r="J169" s="45">
        <f t="shared" si="103"/>
        <v>1</v>
      </c>
      <c r="K169" s="45" t="e">
        <f>K168+ATM_Conf!$C$5*(T168-AC168)</f>
        <v>#DIV/0!</v>
      </c>
      <c r="L169" s="45" t="e">
        <f>L168+ATM_Conf!$C$5*(U168-AD168)</f>
        <v>#DIV/0!</v>
      </c>
      <c r="M169" s="45" t="e">
        <f>M168+ATM_Conf!$C$5*(V168-AE168)</f>
        <v>#DIV/0!</v>
      </c>
      <c r="N169" s="45" t="e">
        <f>N168+ATM_Conf!$C$5*(W168-AF168)</f>
        <v>#DIV/0!</v>
      </c>
      <c r="O169" s="45" t="e">
        <f>O168+ATM_Conf!$C$5*(X168-AG168)</f>
        <v>#DIV/0!</v>
      </c>
      <c r="P169" s="45" t="e">
        <f>P168+ATM_Conf!$C$5*(Y168-AH168)</f>
        <v>#DIV/0!</v>
      </c>
      <c r="Q169" s="45" t="e">
        <f>Q168+ATM_Conf!$C$5*(Z168-AI168)</f>
        <v>#DIV/0!</v>
      </c>
      <c r="R169" s="45" t="e">
        <f>R168+ATM_Conf!$C$5*(AA168-AJ168)</f>
        <v>#DIV/0!</v>
      </c>
      <c r="S169" s="45" t="e">
        <f>S168+ATM_Conf!$C$5*(AB168-AK168)</f>
        <v>#DIV/0!</v>
      </c>
      <c r="T169" s="45"/>
      <c r="U169" s="45"/>
      <c r="V169" s="45"/>
      <c r="W169" s="45"/>
      <c r="X169" s="45"/>
      <c r="Y169" s="45"/>
      <c r="Z169" s="45"/>
      <c r="AA169" s="45"/>
      <c r="AB169" s="45"/>
      <c r="AC169" s="45" t="e">
        <f t="shared" si="76"/>
        <v>#DIV/0!</v>
      </c>
      <c r="AD169" s="45" t="e">
        <f t="shared" si="77"/>
        <v>#DIV/0!</v>
      </c>
      <c r="AE169" s="45" t="e">
        <f t="shared" si="78"/>
        <v>#DIV/0!</v>
      </c>
      <c r="AF169" s="45" t="e">
        <f t="shared" si="79"/>
        <v>#DIV/0!</v>
      </c>
      <c r="AG169" s="45" t="e">
        <f t="shared" si="80"/>
        <v>#DIV/0!</v>
      </c>
      <c r="AH169" s="45" t="e">
        <f t="shared" si="81"/>
        <v>#DIV/0!</v>
      </c>
      <c r="AI169" s="45" t="e">
        <f t="shared" si="82"/>
        <v>#DIV/0!</v>
      </c>
      <c r="AJ169" s="45" t="e">
        <f t="shared" si="83"/>
        <v>#DIV/0!</v>
      </c>
      <c r="AK169" s="45" t="e">
        <f t="shared" si="84"/>
        <v>#DIV/0!</v>
      </c>
      <c r="AL169" s="45" t="e">
        <f>T$3+K169/ATM_Conf!$C$5</f>
        <v>#DIV/0!</v>
      </c>
      <c r="AM169" s="45" t="e">
        <f>U$3+L169/ATM_Conf!$C$5</f>
        <v>#DIV/0!</v>
      </c>
      <c r="AN169" s="45" t="e">
        <f>V$3+M169/ATM_Conf!$C$5</f>
        <v>#DIV/0!</v>
      </c>
      <c r="AO169" s="45" t="e">
        <f>W$3+N169/ATM_Conf!$C$5</f>
        <v>#DIV/0!</v>
      </c>
      <c r="AP169" s="45" t="e">
        <f>X$3+O169/ATM_Conf!$C$5</f>
        <v>#DIV/0!</v>
      </c>
      <c r="AQ169" s="45" t="e">
        <f>Y$3+P169/ATM_Conf!$C$5</f>
        <v>#DIV/0!</v>
      </c>
      <c r="AR169" s="45" t="e">
        <f>Z$3+Q169/ATM_Conf!$C$5</f>
        <v>#DIV/0!</v>
      </c>
      <c r="AS169" s="45" t="e">
        <f>AA$3+R169/ATM_Conf!$C$5</f>
        <v>#DIV/0!</v>
      </c>
      <c r="AT169" s="45" t="e">
        <f>AB$3+S169/ATM_Conf!$C$5</f>
        <v>#DIV/0!</v>
      </c>
      <c r="AU169" s="45" t="e">
        <f>BD$3*MIN(1,(ATM_Conf!$C$6-Links!F169)/(ATM_Conf!$C$6-ATM_Conf!$C$7))</f>
        <v>#DIV/0!</v>
      </c>
      <c r="AV169" s="45" t="e">
        <f>BE$3*MIN(1,(ATM_Conf!$C$6-Links!G169)/(ATM_Conf!$C$6-ATM_Conf!$C$7))</f>
        <v>#DIV/0!</v>
      </c>
      <c r="AW169" s="45" t="e">
        <f>BF$3*MIN(1,(ATM_Conf!$C$6-Links!H169)/(ATM_Conf!$C$6-ATM_Conf!$C$7))</f>
        <v>#DIV/0!</v>
      </c>
      <c r="AX169" s="45" t="e">
        <f>BG$3*MIN(1,(ATM_Conf!$C$6-Links!I169)/(ATM_Conf!$C$6-ATM_Conf!$C$7))</f>
        <v>#DIV/0!</v>
      </c>
      <c r="AY169" s="45" t="e">
        <f>BH$3*MIN(1,(ATM_Conf!$C$6-Links!J169)/(ATM_Conf!$C$6-ATM_Conf!$C$7))</f>
        <v>#DIV/0!</v>
      </c>
      <c r="AZ169" s="45" t="e">
        <f>BI$3*MIN(1,(ATM_Conf!$C$6-Links!K169)/(ATM_Conf!$C$6-ATM_Conf!$C$7))</f>
        <v>#DIV/0!</v>
      </c>
      <c r="BA169" s="45" t="e">
        <f>BJ$3*MIN(1,(ATM_Conf!$C$6-Links!L169)/(ATM_Conf!$C$6-ATM_Conf!$C$7))</f>
        <v>#DIV/0!</v>
      </c>
      <c r="BB169" s="45" t="e">
        <f>BK$3*MIN(1,(ATM_Conf!$C$6-Links!M169)/(ATM_Conf!$C$6-ATM_Conf!$C$7))</f>
        <v>#DIV/0!</v>
      </c>
      <c r="BC169" s="45" t="e">
        <f>BL$3*MIN(1,(ATM_Conf!$C$6-Links!N169)/(ATM_Conf!$C$6-ATM_Conf!$C$7))</f>
        <v>#DIV/0!</v>
      </c>
      <c r="BD169" s="45"/>
      <c r="BE169" s="45"/>
      <c r="BF169" s="45"/>
      <c r="BG169" s="45"/>
      <c r="BH169" s="45"/>
      <c r="BI169" s="45"/>
      <c r="BJ169" s="45"/>
      <c r="BK169" s="45"/>
      <c r="BL169" s="45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 t="e">
        <f t="shared" si="85"/>
        <v>#DIV/0!</v>
      </c>
      <c r="BW169" s="53" t="e">
        <f t="shared" si="86"/>
        <v>#DIV/0!</v>
      </c>
      <c r="BX169" s="53" t="e">
        <f t="shared" si="87"/>
        <v>#DIV/0!</v>
      </c>
      <c r="BY169" s="53" t="e">
        <f t="shared" si="88"/>
        <v>#DIV/0!</v>
      </c>
      <c r="BZ169" s="53" t="e">
        <f t="shared" si="89"/>
        <v>#DIV/0!</v>
      </c>
      <c r="CA169" s="53" t="e">
        <f t="shared" si="90"/>
        <v>#DIV/0!</v>
      </c>
      <c r="CB169" s="53" t="e">
        <f t="shared" si="91"/>
        <v>#DIV/0!</v>
      </c>
      <c r="CC169" s="53" t="e">
        <f t="shared" si="92"/>
        <v>#DIV/0!</v>
      </c>
      <c r="CD169" s="53" t="e">
        <f t="shared" si="93"/>
        <v>#DIV/0!</v>
      </c>
      <c r="CE169" s="55">
        <f t="shared" si="102"/>
        <v>0</v>
      </c>
      <c r="CF169" s="55">
        <f t="shared" si="100"/>
        <v>0</v>
      </c>
      <c r="CG169" s="55">
        <f t="shared" si="100"/>
        <v>0</v>
      </c>
      <c r="CH169" s="55">
        <f t="shared" si="100"/>
        <v>0</v>
      </c>
      <c r="CI169" s="55">
        <f t="shared" si="100"/>
        <v>0</v>
      </c>
      <c r="CJ169" s="55">
        <f t="shared" si="100"/>
        <v>0</v>
      </c>
      <c r="CK169" s="55">
        <f t="shared" si="100"/>
        <v>0</v>
      </c>
      <c r="CL169" s="55">
        <f t="shared" si="100"/>
        <v>0</v>
      </c>
      <c r="CM169" s="55">
        <f t="shared" si="100"/>
        <v>0</v>
      </c>
    </row>
    <row r="170" spans="1:91" x14ac:dyDescent="0.15">
      <c r="A170" s="42">
        <v>168</v>
      </c>
      <c r="B170" s="45">
        <f t="shared" si="104"/>
        <v>1</v>
      </c>
      <c r="C170" s="45">
        <f t="shared" si="103"/>
        <v>1</v>
      </c>
      <c r="D170" s="45">
        <f t="shared" si="103"/>
        <v>1</v>
      </c>
      <c r="E170" s="45">
        <f t="shared" si="103"/>
        <v>1</v>
      </c>
      <c r="F170" s="45">
        <f t="shared" si="103"/>
        <v>1</v>
      </c>
      <c r="G170" s="45">
        <f t="shared" si="103"/>
        <v>1</v>
      </c>
      <c r="H170" s="45">
        <f t="shared" si="103"/>
        <v>1</v>
      </c>
      <c r="I170" s="45">
        <f t="shared" si="103"/>
        <v>1</v>
      </c>
      <c r="J170" s="45">
        <f t="shared" si="103"/>
        <v>1</v>
      </c>
      <c r="K170" s="45" t="e">
        <f>K169+ATM_Conf!$C$5*(T169-AC169)</f>
        <v>#DIV/0!</v>
      </c>
      <c r="L170" s="45" t="e">
        <f>L169+ATM_Conf!$C$5*(U169-AD169)</f>
        <v>#DIV/0!</v>
      </c>
      <c r="M170" s="45" t="e">
        <f>M169+ATM_Conf!$C$5*(V169-AE169)</f>
        <v>#DIV/0!</v>
      </c>
      <c r="N170" s="45" t="e">
        <f>N169+ATM_Conf!$C$5*(W169-AF169)</f>
        <v>#DIV/0!</v>
      </c>
      <c r="O170" s="45" t="e">
        <f>O169+ATM_Conf!$C$5*(X169-AG169)</f>
        <v>#DIV/0!</v>
      </c>
      <c r="P170" s="45" t="e">
        <f>P169+ATM_Conf!$C$5*(Y169-AH169)</f>
        <v>#DIV/0!</v>
      </c>
      <c r="Q170" s="45" t="e">
        <f>Q169+ATM_Conf!$C$5*(Z169-AI169)</f>
        <v>#DIV/0!</v>
      </c>
      <c r="R170" s="45" t="e">
        <f>R169+ATM_Conf!$C$5*(AA169-AJ169)</f>
        <v>#DIV/0!</v>
      </c>
      <c r="S170" s="45" t="e">
        <f>S169+ATM_Conf!$C$5*(AB169-AK169)</f>
        <v>#DIV/0!</v>
      </c>
      <c r="T170" s="45"/>
      <c r="U170" s="45"/>
      <c r="V170" s="45"/>
      <c r="W170" s="45"/>
      <c r="X170" s="45"/>
      <c r="Y170" s="45"/>
      <c r="Z170" s="45"/>
      <c r="AA170" s="45"/>
      <c r="AB170" s="45"/>
      <c r="AC170" s="45" t="e">
        <f t="shared" si="76"/>
        <v>#DIV/0!</v>
      </c>
      <c r="AD170" s="45" t="e">
        <f t="shared" si="77"/>
        <v>#DIV/0!</v>
      </c>
      <c r="AE170" s="45" t="e">
        <f t="shared" si="78"/>
        <v>#DIV/0!</v>
      </c>
      <c r="AF170" s="45" t="e">
        <f t="shared" si="79"/>
        <v>#DIV/0!</v>
      </c>
      <c r="AG170" s="45" t="e">
        <f t="shared" si="80"/>
        <v>#DIV/0!</v>
      </c>
      <c r="AH170" s="45" t="e">
        <f t="shared" si="81"/>
        <v>#DIV/0!</v>
      </c>
      <c r="AI170" s="45" t="e">
        <f t="shared" si="82"/>
        <v>#DIV/0!</v>
      </c>
      <c r="AJ170" s="45" t="e">
        <f t="shared" si="83"/>
        <v>#DIV/0!</v>
      </c>
      <c r="AK170" s="45" t="e">
        <f t="shared" si="84"/>
        <v>#DIV/0!</v>
      </c>
      <c r="AL170" s="45" t="e">
        <f>T$3+K170/ATM_Conf!$C$5</f>
        <v>#DIV/0!</v>
      </c>
      <c r="AM170" s="45" t="e">
        <f>U$3+L170/ATM_Conf!$C$5</f>
        <v>#DIV/0!</v>
      </c>
      <c r="AN170" s="45" t="e">
        <f>V$3+M170/ATM_Conf!$C$5</f>
        <v>#DIV/0!</v>
      </c>
      <c r="AO170" s="45" t="e">
        <f>W$3+N170/ATM_Conf!$C$5</f>
        <v>#DIV/0!</v>
      </c>
      <c r="AP170" s="45" t="e">
        <f>X$3+O170/ATM_Conf!$C$5</f>
        <v>#DIV/0!</v>
      </c>
      <c r="AQ170" s="45" t="e">
        <f>Y$3+P170/ATM_Conf!$C$5</f>
        <v>#DIV/0!</v>
      </c>
      <c r="AR170" s="45" t="e">
        <f>Z$3+Q170/ATM_Conf!$C$5</f>
        <v>#DIV/0!</v>
      </c>
      <c r="AS170" s="45" t="e">
        <f>AA$3+R170/ATM_Conf!$C$5</f>
        <v>#DIV/0!</v>
      </c>
      <c r="AT170" s="45" t="e">
        <f>AB$3+S170/ATM_Conf!$C$5</f>
        <v>#DIV/0!</v>
      </c>
      <c r="AU170" s="45" t="e">
        <f>BD$3*MIN(1,(ATM_Conf!$C$6-Links!F170)/(ATM_Conf!$C$6-ATM_Conf!$C$7))</f>
        <v>#DIV/0!</v>
      </c>
      <c r="AV170" s="45" t="e">
        <f>BE$3*MIN(1,(ATM_Conf!$C$6-Links!G170)/(ATM_Conf!$C$6-ATM_Conf!$C$7))</f>
        <v>#DIV/0!</v>
      </c>
      <c r="AW170" s="45" t="e">
        <f>BF$3*MIN(1,(ATM_Conf!$C$6-Links!H170)/(ATM_Conf!$C$6-ATM_Conf!$C$7))</f>
        <v>#DIV/0!</v>
      </c>
      <c r="AX170" s="45" t="e">
        <f>BG$3*MIN(1,(ATM_Conf!$C$6-Links!I170)/(ATM_Conf!$C$6-ATM_Conf!$C$7))</f>
        <v>#DIV/0!</v>
      </c>
      <c r="AY170" s="45" t="e">
        <f>BH$3*MIN(1,(ATM_Conf!$C$6-Links!J170)/(ATM_Conf!$C$6-ATM_Conf!$C$7))</f>
        <v>#DIV/0!</v>
      </c>
      <c r="AZ170" s="45" t="e">
        <f>BI$3*MIN(1,(ATM_Conf!$C$6-Links!K170)/(ATM_Conf!$C$6-ATM_Conf!$C$7))</f>
        <v>#DIV/0!</v>
      </c>
      <c r="BA170" s="45" t="e">
        <f>BJ$3*MIN(1,(ATM_Conf!$C$6-Links!L170)/(ATM_Conf!$C$6-ATM_Conf!$C$7))</f>
        <v>#DIV/0!</v>
      </c>
      <c r="BB170" s="45" t="e">
        <f>BK$3*MIN(1,(ATM_Conf!$C$6-Links!M170)/(ATM_Conf!$C$6-ATM_Conf!$C$7))</f>
        <v>#DIV/0!</v>
      </c>
      <c r="BC170" s="45" t="e">
        <f>BL$3*MIN(1,(ATM_Conf!$C$6-Links!N170)/(ATM_Conf!$C$6-ATM_Conf!$C$7))</f>
        <v>#DIV/0!</v>
      </c>
      <c r="BD170" s="45"/>
      <c r="BE170" s="45"/>
      <c r="BF170" s="45"/>
      <c r="BG170" s="45"/>
      <c r="BH170" s="45"/>
      <c r="BI170" s="45"/>
      <c r="BJ170" s="45"/>
      <c r="BK170" s="45"/>
      <c r="BL170" s="45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 t="e">
        <f t="shared" si="85"/>
        <v>#DIV/0!</v>
      </c>
      <c r="BW170" s="53" t="e">
        <f t="shared" si="86"/>
        <v>#DIV/0!</v>
      </c>
      <c r="BX170" s="53" t="e">
        <f t="shared" si="87"/>
        <v>#DIV/0!</v>
      </c>
      <c r="BY170" s="53" t="e">
        <f t="shared" si="88"/>
        <v>#DIV/0!</v>
      </c>
      <c r="BZ170" s="53" t="e">
        <f t="shared" si="89"/>
        <v>#DIV/0!</v>
      </c>
      <c r="CA170" s="53" t="e">
        <f t="shared" si="90"/>
        <v>#DIV/0!</v>
      </c>
      <c r="CB170" s="53" t="e">
        <f t="shared" si="91"/>
        <v>#DIV/0!</v>
      </c>
      <c r="CC170" s="53" t="e">
        <f t="shared" si="92"/>
        <v>#DIV/0!</v>
      </c>
      <c r="CD170" s="53" t="e">
        <f t="shared" si="93"/>
        <v>#DIV/0!</v>
      </c>
      <c r="CE170" s="55">
        <f t="shared" si="102"/>
        <v>0</v>
      </c>
      <c r="CF170" s="55">
        <f t="shared" si="100"/>
        <v>0</v>
      </c>
      <c r="CG170" s="55">
        <f t="shared" si="100"/>
        <v>0</v>
      </c>
      <c r="CH170" s="55">
        <f t="shared" si="100"/>
        <v>0</v>
      </c>
      <c r="CI170" s="55">
        <f t="shared" si="100"/>
        <v>0</v>
      </c>
      <c r="CJ170" s="55">
        <f t="shared" si="100"/>
        <v>0</v>
      </c>
      <c r="CK170" s="55">
        <f t="shared" si="100"/>
        <v>0</v>
      </c>
      <c r="CL170" s="55">
        <f t="shared" si="100"/>
        <v>0</v>
      </c>
      <c r="CM170" s="55">
        <f t="shared" si="100"/>
        <v>0</v>
      </c>
    </row>
    <row r="171" spans="1:91" x14ac:dyDescent="0.15">
      <c r="A171" s="42">
        <v>169</v>
      </c>
      <c r="B171" s="47">
        <v>1</v>
      </c>
      <c r="C171" s="47">
        <v>1</v>
      </c>
      <c r="D171" s="47">
        <v>1</v>
      </c>
      <c r="E171" s="47">
        <v>1</v>
      </c>
      <c r="F171" s="47">
        <v>1</v>
      </c>
      <c r="G171" s="47">
        <v>1</v>
      </c>
      <c r="H171" s="47">
        <v>1</v>
      </c>
      <c r="I171" s="47">
        <v>1</v>
      </c>
      <c r="J171" s="47">
        <v>1</v>
      </c>
      <c r="K171" s="45" t="e">
        <f>K170+ATM_Conf!$C$5*(T170-AC170)</f>
        <v>#DIV/0!</v>
      </c>
      <c r="L171" s="45" t="e">
        <f>L170+ATM_Conf!$C$5*(U170-AD170)</f>
        <v>#DIV/0!</v>
      </c>
      <c r="M171" s="45" t="e">
        <f>M170+ATM_Conf!$C$5*(V170-AE170)</f>
        <v>#DIV/0!</v>
      </c>
      <c r="N171" s="45" t="e">
        <f>N170+ATM_Conf!$C$5*(W170-AF170)</f>
        <v>#DIV/0!</v>
      </c>
      <c r="O171" s="45" t="e">
        <f>O170+ATM_Conf!$C$5*(X170-AG170)</f>
        <v>#DIV/0!</v>
      </c>
      <c r="P171" s="45" t="e">
        <f>P170+ATM_Conf!$C$5*(Y170-AH170)</f>
        <v>#DIV/0!</v>
      </c>
      <c r="Q171" s="45" t="e">
        <f>Q170+ATM_Conf!$C$5*(Z170-AI170)</f>
        <v>#DIV/0!</v>
      </c>
      <c r="R171" s="45" t="e">
        <f>R170+ATM_Conf!$C$5*(AA170-AJ170)</f>
        <v>#DIV/0!</v>
      </c>
      <c r="S171" s="45" t="e">
        <f>S170+ATM_Conf!$C$5*(AB170-AK170)</f>
        <v>#DIV/0!</v>
      </c>
      <c r="T171" s="45"/>
      <c r="U171" s="45"/>
      <c r="V171" s="45"/>
      <c r="W171" s="45"/>
      <c r="X171" s="45"/>
      <c r="Y171" s="45"/>
      <c r="Z171" s="45"/>
      <c r="AA171" s="45"/>
      <c r="AB171" s="45"/>
      <c r="AC171" s="45" t="e">
        <f t="shared" si="76"/>
        <v>#DIV/0!</v>
      </c>
      <c r="AD171" s="45" t="e">
        <f t="shared" si="77"/>
        <v>#DIV/0!</v>
      </c>
      <c r="AE171" s="45" t="e">
        <f t="shared" si="78"/>
        <v>#DIV/0!</v>
      </c>
      <c r="AF171" s="45" t="e">
        <f t="shared" si="79"/>
        <v>#DIV/0!</v>
      </c>
      <c r="AG171" s="45" t="e">
        <f t="shared" si="80"/>
        <v>#DIV/0!</v>
      </c>
      <c r="AH171" s="45" t="e">
        <f t="shared" si="81"/>
        <v>#DIV/0!</v>
      </c>
      <c r="AI171" s="45" t="e">
        <f t="shared" si="82"/>
        <v>#DIV/0!</v>
      </c>
      <c r="AJ171" s="45" t="e">
        <f t="shared" si="83"/>
        <v>#DIV/0!</v>
      </c>
      <c r="AK171" s="45" t="e">
        <f t="shared" si="84"/>
        <v>#DIV/0!</v>
      </c>
      <c r="AL171" s="45" t="e">
        <f>T$3+K171/ATM_Conf!$C$5</f>
        <v>#DIV/0!</v>
      </c>
      <c r="AM171" s="45" t="e">
        <f>U$3+L171/ATM_Conf!$C$5</f>
        <v>#DIV/0!</v>
      </c>
      <c r="AN171" s="45" t="e">
        <f>V$3+M171/ATM_Conf!$C$5</f>
        <v>#DIV/0!</v>
      </c>
      <c r="AO171" s="45" t="e">
        <f>W$3+N171/ATM_Conf!$C$5</f>
        <v>#DIV/0!</v>
      </c>
      <c r="AP171" s="45" t="e">
        <f>X$3+O171/ATM_Conf!$C$5</f>
        <v>#DIV/0!</v>
      </c>
      <c r="AQ171" s="45" t="e">
        <f>Y$3+P171/ATM_Conf!$C$5</f>
        <v>#DIV/0!</v>
      </c>
      <c r="AR171" s="45" t="e">
        <f>Z$3+Q171/ATM_Conf!$C$5</f>
        <v>#DIV/0!</v>
      </c>
      <c r="AS171" s="45" t="e">
        <f>AA$3+R171/ATM_Conf!$C$5</f>
        <v>#DIV/0!</v>
      </c>
      <c r="AT171" s="45" t="e">
        <f>AB$3+S171/ATM_Conf!$C$5</f>
        <v>#DIV/0!</v>
      </c>
      <c r="AU171" s="45" t="e">
        <f>BD$3*MIN(1,(ATM_Conf!$C$6-Links!F171)/(ATM_Conf!$C$6-ATM_Conf!$C$7))</f>
        <v>#DIV/0!</v>
      </c>
      <c r="AV171" s="45" t="e">
        <f>BE$3*MIN(1,(ATM_Conf!$C$6-Links!G171)/(ATM_Conf!$C$6-ATM_Conf!$C$7))</f>
        <v>#DIV/0!</v>
      </c>
      <c r="AW171" s="45" t="e">
        <f>BF$3*MIN(1,(ATM_Conf!$C$6-Links!H171)/(ATM_Conf!$C$6-ATM_Conf!$C$7))</f>
        <v>#DIV/0!</v>
      </c>
      <c r="AX171" s="45" t="e">
        <f>BG$3*MIN(1,(ATM_Conf!$C$6-Links!I171)/(ATM_Conf!$C$6-ATM_Conf!$C$7))</f>
        <v>#DIV/0!</v>
      </c>
      <c r="AY171" s="45" t="e">
        <f>BH$3*MIN(1,(ATM_Conf!$C$6-Links!J171)/(ATM_Conf!$C$6-ATM_Conf!$C$7))</f>
        <v>#DIV/0!</v>
      </c>
      <c r="AZ171" s="45" t="e">
        <f>BI$3*MIN(1,(ATM_Conf!$C$6-Links!K171)/(ATM_Conf!$C$6-ATM_Conf!$C$7))</f>
        <v>#DIV/0!</v>
      </c>
      <c r="BA171" s="45" t="e">
        <f>BJ$3*MIN(1,(ATM_Conf!$C$6-Links!L171)/(ATM_Conf!$C$6-ATM_Conf!$C$7))</f>
        <v>#DIV/0!</v>
      </c>
      <c r="BB171" s="45" t="e">
        <f>BK$3*MIN(1,(ATM_Conf!$C$6-Links!M171)/(ATM_Conf!$C$6-ATM_Conf!$C$7))</f>
        <v>#DIV/0!</v>
      </c>
      <c r="BC171" s="45" t="e">
        <f>BL$3*MIN(1,(ATM_Conf!$C$6-Links!N171)/(ATM_Conf!$C$6-ATM_Conf!$C$7))</f>
        <v>#DIV/0!</v>
      </c>
      <c r="BD171" s="45"/>
      <c r="BE171" s="45"/>
      <c r="BF171" s="45"/>
      <c r="BG171" s="45"/>
      <c r="BH171" s="45"/>
      <c r="BI171" s="45"/>
      <c r="BJ171" s="45"/>
      <c r="BK171" s="45"/>
      <c r="BL171" s="45"/>
      <c r="BM171" s="53">
        <f>(B171-B159)^2</f>
        <v>0</v>
      </c>
      <c r="BN171" s="53">
        <f t="shared" ref="BN171:BU171" si="105">(C171-C159)^2</f>
        <v>0</v>
      </c>
      <c r="BO171" s="53">
        <f t="shared" si="105"/>
        <v>0</v>
      </c>
      <c r="BP171" s="53">
        <f t="shared" si="105"/>
        <v>0</v>
      </c>
      <c r="BQ171" s="53">
        <f t="shared" si="105"/>
        <v>0</v>
      </c>
      <c r="BR171" s="53">
        <f t="shared" si="105"/>
        <v>0</v>
      </c>
      <c r="BS171" s="53">
        <f t="shared" si="105"/>
        <v>0</v>
      </c>
      <c r="BT171" s="53">
        <f t="shared" si="105"/>
        <v>0</v>
      </c>
      <c r="BU171" s="53">
        <f t="shared" si="105"/>
        <v>0</v>
      </c>
      <c r="BV171" s="53" t="e">
        <f t="shared" si="85"/>
        <v>#DIV/0!</v>
      </c>
      <c r="BW171" s="53" t="e">
        <f t="shared" si="86"/>
        <v>#DIV/0!</v>
      </c>
      <c r="BX171" s="53" t="e">
        <f t="shared" si="87"/>
        <v>#DIV/0!</v>
      </c>
      <c r="BY171" s="53" t="e">
        <f t="shared" si="88"/>
        <v>#DIV/0!</v>
      </c>
      <c r="BZ171" s="53" t="e">
        <f t="shared" si="89"/>
        <v>#DIV/0!</v>
      </c>
      <c r="CA171" s="53" t="e">
        <f t="shared" si="90"/>
        <v>#DIV/0!</v>
      </c>
      <c r="CB171" s="53" t="e">
        <f t="shared" si="91"/>
        <v>#DIV/0!</v>
      </c>
      <c r="CC171" s="53" t="e">
        <f t="shared" si="92"/>
        <v>#DIV/0!</v>
      </c>
      <c r="CD171" s="53" t="e">
        <f t="shared" si="93"/>
        <v>#DIV/0!</v>
      </c>
      <c r="CE171" s="55">
        <f t="shared" si="102"/>
        <v>0</v>
      </c>
      <c r="CF171" s="55">
        <f t="shared" si="100"/>
        <v>0</v>
      </c>
      <c r="CG171" s="55">
        <f t="shared" si="100"/>
        <v>0</v>
      </c>
      <c r="CH171" s="55">
        <f t="shared" si="100"/>
        <v>0</v>
      </c>
      <c r="CI171" s="55">
        <f t="shared" si="100"/>
        <v>0</v>
      </c>
      <c r="CJ171" s="55">
        <f t="shared" si="100"/>
        <v>0</v>
      </c>
      <c r="CK171" s="55">
        <f t="shared" si="100"/>
        <v>0</v>
      </c>
      <c r="CL171" s="55">
        <f t="shared" si="100"/>
        <v>0</v>
      </c>
      <c r="CM171" s="55">
        <f t="shared" si="100"/>
        <v>0</v>
      </c>
    </row>
    <row r="172" spans="1:91" x14ac:dyDescent="0.15">
      <c r="A172" s="42">
        <v>170</v>
      </c>
      <c r="B172" s="45">
        <f>B$171</f>
        <v>1</v>
      </c>
      <c r="C172" s="45">
        <f t="shared" ref="C172:J182" si="106">C$171</f>
        <v>1</v>
      </c>
      <c r="D172" s="45">
        <f t="shared" si="106"/>
        <v>1</v>
      </c>
      <c r="E172" s="45">
        <f t="shared" si="106"/>
        <v>1</v>
      </c>
      <c r="F172" s="45">
        <f t="shared" si="106"/>
        <v>1</v>
      </c>
      <c r="G172" s="45">
        <f t="shared" si="106"/>
        <v>1</v>
      </c>
      <c r="H172" s="45">
        <f t="shared" si="106"/>
        <v>1</v>
      </c>
      <c r="I172" s="45">
        <f t="shared" si="106"/>
        <v>1</v>
      </c>
      <c r="J172" s="45">
        <f t="shared" si="106"/>
        <v>1</v>
      </c>
      <c r="K172" s="45" t="e">
        <f>K171+ATM_Conf!$C$5*(T171-AC171)</f>
        <v>#DIV/0!</v>
      </c>
      <c r="L172" s="45" t="e">
        <f>L171+ATM_Conf!$C$5*(U171-AD171)</f>
        <v>#DIV/0!</v>
      </c>
      <c r="M172" s="45" t="e">
        <f>M171+ATM_Conf!$C$5*(V171-AE171)</f>
        <v>#DIV/0!</v>
      </c>
      <c r="N172" s="45" t="e">
        <f>N171+ATM_Conf!$C$5*(W171-AF171)</f>
        <v>#DIV/0!</v>
      </c>
      <c r="O172" s="45" t="e">
        <f>O171+ATM_Conf!$C$5*(X171-AG171)</f>
        <v>#DIV/0!</v>
      </c>
      <c r="P172" s="45" t="e">
        <f>P171+ATM_Conf!$C$5*(Y171-AH171)</f>
        <v>#DIV/0!</v>
      </c>
      <c r="Q172" s="45" t="e">
        <f>Q171+ATM_Conf!$C$5*(Z171-AI171)</f>
        <v>#DIV/0!</v>
      </c>
      <c r="R172" s="45" t="e">
        <f>R171+ATM_Conf!$C$5*(AA171-AJ171)</f>
        <v>#DIV/0!</v>
      </c>
      <c r="S172" s="45" t="e">
        <f>S171+ATM_Conf!$C$5*(AB171-AK171)</f>
        <v>#DIV/0!</v>
      </c>
      <c r="T172" s="45"/>
      <c r="U172" s="45"/>
      <c r="V172" s="45"/>
      <c r="W172" s="45"/>
      <c r="X172" s="45"/>
      <c r="Y172" s="45"/>
      <c r="Z172" s="45"/>
      <c r="AA172" s="45"/>
      <c r="AB172" s="45"/>
      <c r="AC172" s="45" t="e">
        <f t="shared" si="76"/>
        <v>#DIV/0!</v>
      </c>
      <c r="AD172" s="45" t="e">
        <f t="shared" si="77"/>
        <v>#DIV/0!</v>
      </c>
      <c r="AE172" s="45" t="e">
        <f t="shared" si="78"/>
        <v>#DIV/0!</v>
      </c>
      <c r="AF172" s="45" t="e">
        <f t="shared" si="79"/>
        <v>#DIV/0!</v>
      </c>
      <c r="AG172" s="45" t="e">
        <f t="shared" si="80"/>
        <v>#DIV/0!</v>
      </c>
      <c r="AH172" s="45" t="e">
        <f t="shared" si="81"/>
        <v>#DIV/0!</v>
      </c>
      <c r="AI172" s="45" t="e">
        <f t="shared" si="82"/>
        <v>#DIV/0!</v>
      </c>
      <c r="AJ172" s="45" t="e">
        <f t="shared" si="83"/>
        <v>#DIV/0!</v>
      </c>
      <c r="AK172" s="45" t="e">
        <f t="shared" si="84"/>
        <v>#DIV/0!</v>
      </c>
      <c r="AL172" s="45" t="e">
        <f>T$3+K172/ATM_Conf!$C$5</f>
        <v>#DIV/0!</v>
      </c>
      <c r="AM172" s="45" t="e">
        <f>U$3+L172/ATM_Conf!$C$5</f>
        <v>#DIV/0!</v>
      </c>
      <c r="AN172" s="45" t="e">
        <f>V$3+M172/ATM_Conf!$C$5</f>
        <v>#DIV/0!</v>
      </c>
      <c r="AO172" s="45" t="e">
        <f>W$3+N172/ATM_Conf!$C$5</f>
        <v>#DIV/0!</v>
      </c>
      <c r="AP172" s="45" t="e">
        <f>X$3+O172/ATM_Conf!$C$5</f>
        <v>#DIV/0!</v>
      </c>
      <c r="AQ172" s="45" t="e">
        <f>Y$3+P172/ATM_Conf!$C$5</f>
        <v>#DIV/0!</v>
      </c>
      <c r="AR172" s="45" t="e">
        <f>Z$3+Q172/ATM_Conf!$C$5</f>
        <v>#DIV/0!</v>
      </c>
      <c r="AS172" s="45" t="e">
        <f>AA$3+R172/ATM_Conf!$C$5</f>
        <v>#DIV/0!</v>
      </c>
      <c r="AT172" s="45" t="e">
        <f>AB$3+S172/ATM_Conf!$C$5</f>
        <v>#DIV/0!</v>
      </c>
      <c r="AU172" s="45" t="e">
        <f>BD$3*MIN(1,(ATM_Conf!$C$6-Links!F172)/(ATM_Conf!$C$6-ATM_Conf!$C$7))</f>
        <v>#DIV/0!</v>
      </c>
      <c r="AV172" s="45" t="e">
        <f>BE$3*MIN(1,(ATM_Conf!$C$6-Links!G172)/(ATM_Conf!$C$6-ATM_Conf!$C$7))</f>
        <v>#DIV/0!</v>
      </c>
      <c r="AW172" s="45" t="e">
        <f>BF$3*MIN(1,(ATM_Conf!$C$6-Links!H172)/(ATM_Conf!$C$6-ATM_Conf!$C$7))</f>
        <v>#DIV/0!</v>
      </c>
      <c r="AX172" s="45" t="e">
        <f>BG$3*MIN(1,(ATM_Conf!$C$6-Links!I172)/(ATM_Conf!$C$6-ATM_Conf!$C$7))</f>
        <v>#DIV/0!</v>
      </c>
      <c r="AY172" s="45" t="e">
        <f>BH$3*MIN(1,(ATM_Conf!$C$6-Links!J172)/(ATM_Conf!$C$6-ATM_Conf!$C$7))</f>
        <v>#DIV/0!</v>
      </c>
      <c r="AZ172" s="45" t="e">
        <f>BI$3*MIN(1,(ATM_Conf!$C$6-Links!K172)/(ATM_Conf!$C$6-ATM_Conf!$C$7))</f>
        <v>#DIV/0!</v>
      </c>
      <c r="BA172" s="45" t="e">
        <f>BJ$3*MIN(1,(ATM_Conf!$C$6-Links!L172)/(ATM_Conf!$C$6-ATM_Conf!$C$7))</f>
        <v>#DIV/0!</v>
      </c>
      <c r="BB172" s="45" t="e">
        <f>BK$3*MIN(1,(ATM_Conf!$C$6-Links!M172)/(ATM_Conf!$C$6-ATM_Conf!$C$7))</f>
        <v>#DIV/0!</v>
      </c>
      <c r="BC172" s="45" t="e">
        <f>BL$3*MIN(1,(ATM_Conf!$C$6-Links!N172)/(ATM_Conf!$C$6-ATM_Conf!$C$7))</f>
        <v>#DIV/0!</v>
      </c>
      <c r="BD172" s="45"/>
      <c r="BE172" s="45"/>
      <c r="BF172" s="45"/>
      <c r="BG172" s="45"/>
      <c r="BH172" s="45"/>
      <c r="BI172" s="45"/>
      <c r="BJ172" s="45"/>
      <c r="BK172" s="45"/>
      <c r="BL172" s="45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 t="e">
        <f t="shared" si="85"/>
        <v>#DIV/0!</v>
      </c>
      <c r="BW172" s="53" t="e">
        <f t="shared" si="86"/>
        <v>#DIV/0!</v>
      </c>
      <c r="BX172" s="53" t="e">
        <f t="shared" si="87"/>
        <v>#DIV/0!</v>
      </c>
      <c r="BY172" s="53" t="e">
        <f t="shared" si="88"/>
        <v>#DIV/0!</v>
      </c>
      <c r="BZ172" s="53" t="e">
        <f t="shared" si="89"/>
        <v>#DIV/0!</v>
      </c>
      <c r="CA172" s="53" t="e">
        <f t="shared" si="90"/>
        <v>#DIV/0!</v>
      </c>
      <c r="CB172" s="53" t="e">
        <f t="shared" si="91"/>
        <v>#DIV/0!</v>
      </c>
      <c r="CC172" s="53" t="e">
        <f t="shared" si="92"/>
        <v>#DIV/0!</v>
      </c>
      <c r="CD172" s="53" t="e">
        <f t="shared" si="93"/>
        <v>#DIV/0!</v>
      </c>
      <c r="CE172" s="55">
        <f t="shared" si="102"/>
        <v>0</v>
      </c>
      <c r="CF172" s="55">
        <f t="shared" si="100"/>
        <v>0</v>
      </c>
      <c r="CG172" s="55">
        <f t="shared" si="100"/>
        <v>0</v>
      </c>
      <c r="CH172" s="55">
        <f t="shared" si="100"/>
        <v>0</v>
      </c>
      <c r="CI172" s="55">
        <f t="shared" si="100"/>
        <v>0</v>
      </c>
      <c r="CJ172" s="55">
        <f t="shared" si="100"/>
        <v>0</v>
      </c>
      <c r="CK172" s="55">
        <f t="shared" si="100"/>
        <v>0</v>
      </c>
      <c r="CL172" s="55">
        <f t="shared" si="100"/>
        <v>0</v>
      </c>
      <c r="CM172" s="55">
        <f t="shared" si="100"/>
        <v>0</v>
      </c>
    </row>
    <row r="173" spans="1:91" x14ac:dyDescent="0.15">
      <c r="A173" s="42">
        <v>171</v>
      </c>
      <c r="B173" s="45">
        <f t="shared" ref="B173:B182" si="107">B$171</f>
        <v>1</v>
      </c>
      <c r="C173" s="45">
        <f t="shared" si="106"/>
        <v>1</v>
      </c>
      <c r="D173" s="45">
        <f t="shared" si="106"/>
        <v>1</v>
      </c>
      <c r="E173" s="45">
        <f t="shared" si="106"/>
        <v>1</v>
      </c>
      <c r="F173" s="45">
        <f t="shared" si="106"/>
        <v>1</v>
      </c>
      <c r="G173" s="45">
        <f t="shared" si="106"/>
        <v>1</v>
      </c>
      <c r="H173" s="45">
        <f t="shared" si="106"/>
        <v>1</v>
      </c>
      <c r="I173" s="45">
        <f t="shared" si="106"/>
        <v>1</v>
      </c>
      <c r="J173" s="45">
        <f t="shared" si="106"/>
        <v>1</v>
      </c>
      <c r="K173" s="45" t="e">
        <f>K172+ATM_Conf!$C$5*(T172-AC172)</f>
        <v>#DIV/0!</v>
      </c>
      <c r="L173" s="45" t="e">
        <f>L172+ATM_Conf!$C$5*(U172-AD172)</f>
        <v>#DIV/0!</v>
      </c>
      <c r="M173" s="45" t="e">
        <f>M172+ATM_Conf!$C$5*(V172-AE172)</f>
        <v>#DIV/0!</v>
      </c>
      <c r="N173" s="45" t="e">
        <f>N172+ATM_Conf!$C$5*(W172-AF172)</f>
        <v>#DIV/0!</v>
      </c>
      <c r="O173" s="45" t="e">
        <f>O172+ATM_Conf!$C$5*(X172-AG172)</f>
        <v>#DIV/0!</v>
      </c>
      <c r="P173" s="45" t="e">
        <f>P172+ATM_Conf!$C$5*(Y172-AH172)</f>
        <v>#DIV/0!</v>
      </c>
      <c r="Q173" s="45" t="e">
        <f>Q172+ATM_Conf!$C$5*(Z172-AI172)</f>
        <v>#DIV/0!</v>
      </c>
      <c r="R173" s="45" t="e">
        <f>R172+ATM_Conf!$C$5*(AA172-AJ172)</f>
        <v>#DIV/0!</v>
      </c>
      <c r="S173" s="45" t="e">
        <f>S172+ATM_Conf!$C$5*(AB172-AK172)</f>
        <v>#DIV/0!</v>
      </c>
      <c r="T173" s="45"/>
      <c r="U173" s="45"/>
      <c r="V173" s="45"/>
      <c r="W173" s="45"/>
      <c r="X173" s="45"/>
      <c r="Y173" s="45"/>
      <c r="Z173" s="45"/>
      <c r="AA173" s="45"/>
      <c r="AB173" s="45"/>
      <c r="AC173" s="45" t="e">
        <f t="shared" si="76"/>
        <v>#DIV/0!</v>
      </c>
      <c r="AD173" s="45" t="e">
        <f t="shared" si="77"/>
        <v>#DIV/0!</v>
      </c>
      <c r="AE173" s="45" t="e">
        <f t="shared" si="78"/>
        <v>#DIV/0!</v>
      </c>
      <c r="AF173" s="45" t="e">
        <f t="shared" si="79"/>
        <v>#DIV/0!</v>
      </c>
      <c r="AG173" s="45" t="e">
        <f t="shared" si="80"/>
        <v>#DIV/0!</v>
      </c>
      <c r="AH173" s="45" t="e">
        <f t="shared" si="81"/>
        <v>#DIV/0!</v>
      </c>
      <c r="AI173" s="45" t="e">
        <f t="shared" si="82"/>
        <v>#DIV/0!</v>
      </c>
      <c r="AJ173" s="45" t="e">
        <f t="shared" si="83"/>
        <v>#DIV/0!</v>
      </c>
      <c r="AK173" s="45" t="e">
        <f t="shared" si="84"/>
        <v>#DIV/0!</v>
      </c>
      <c r="AL173" s="45" t="e">
        <f>T$3+K173/ATM_Conf!$C$5</f>
        <v>#DIV/0!</v>
      </c>
      <c r="AM173" s="45" t="e">
        <f>U$3+L173/ATM_Conf!$C$5</f>
        <v>#DIV/0!</v>
      </c>
      <c r="AN173" s="45" t="e">
        <f>V$3+M173/ATM_Conf!$C$5</f>
        <v>#DIV/0!</v>
      </c>
      <c r="AO173" s="45" t="e">
        <f>W$3+N173/ATM_Conf!$C$5</f>
        <v>#DIV/0!</v>
      </c>
      <c r="AP173" s="45" t="e">
        <f>X$3+O173/ATM_Conf!$C$5</f>
        <v>#DIV/0!</v>
      </c>
      <c r="AQ173" s="45" t="e">
        <f>Y$3+P173/ATM_Conf!$C$5</f>
        <v>#DIV/0!</v>
      </c>
      <c r="AR173" s="45" t="e">
        <f>Z$3+Q173/ATM_Conf!$C$5</f>
        <v>#DIV/0!</v>
      </c>
      <c r="AS173" s="45" t="e">
        <f>AA$3+R173/ATM_Conf!$C$5</f>
        <v>#DIV/0!</v>
      </c>
      <c r="AT173" s="45" t="e">
        <f>AB$3+S173/ATM_Conf!$C$5</f>
        <v>#DIV/0!</v>
      </c>
      <c r="AU173" s="45" t="e">
        <f>BD$3*MIN(1,(ATM_Conf!$C$6-Links!F173)/(ATM_Conf!$C$6-ATM_Conf!$C$7))</f>
        <v>#DIV/0!</v>
      </c>
      <c r="AV173" s="45" t="e">
        <f>BE$3*MIN(1,(ATM_Conf!$C$6-Links!G173)/(ATM_Conf!$C$6-ATM_Conf!$C$7))</f>
        <v>#DIV/0!</v>
      </c>
      <c r="AW173" s="45" t="e">
        <f>BF$3*MIN(1,(ATM_Conf!$C$6-Links!H173)/(ATM_Conf!$C$6-ATM_Conf!$C$7))</f>
        <v>#DIV/0!</v>
      </c>
      <c r="AX173" s="45" t="e">
        <f>BG$3*MIN(1,(ATM_Conf!$C$6-Links!I173)/(ATM_Conf!$C$6-ATM_Conf!$C$7))</f>
        <v>#DIV/0!</v>
      </c>
      <c r="AY173" s="45" t="e">
        <f>BH$3*MIN(1,(ATM_Conf!$C$6-Links!J173)/(ATM_Conf!$C$6-ATM_Conf!$C$7))</f>
        <v>#DIV/0!</v>
      </c>
      <c r="AZ173" s="45" t="e">
        <f>BI$3*MIN(1,(ATM_Conf!$C$6-Links!K173)/(ATM_Conf!$C$6-ATM_Conf!$C$7))</f>
        <v>#DIV/0!</v>
      </c>
      <c r="BA173" s="45" t="e">
        <f>BJ$3*MIN(1,(ATM_Conf!$C$6-Links!L173)/(ATM_Conf!$C$6-ATM_Conf!$C$7))</f>
        <v>#DIV/0!</v>
      </c>
      <c r="BB173" s="45" t="e">
        <f>BK$3*MIN(1,(ATM_Conf!$C$6-Links!M173)/(ATM_Conf!$C$6-ATM_Conf!$C$7))</f>
        <v>#DIV/0!</v>
      </c>
      <c r="BC173" s="45" t="e">
        <f>BL$3*MIN(1,(ATM_Conf!$C$6-Links!N173)/(ATM_Conf!$C$6-ATM_Conf!$C$7))</f>
        <v>#DIV/0!</v>
      </c>
      <c r="BD173" s="45"/>
      <c r="BE173" s="45"/>
      <c r="BF173" s="45"/>
      <c r="BG173" s="45"/>
      <c r="BH173" s="45"/>
      <c r="BI173" s="45"/>
      <c r="BJ173" s="45"/>
      <c r="BK173" s="45"/>
      <c r="BL173" s="45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 t="e">
        <f t="shared" si="85"/>
        <v>#DIV/0!</v>
      </c>
      <c r="BW173" s="53" t="e">
        <f t="shared" si="86"/>
        <v>#DIV/0!</v>
      </c>
      <c r="BX173" s="53" t="e">
        <f t="shared" si="87"/>
        <v>#DIV/0!</v>
      </c>
      <c r="BY173" s="53" t="e">
        <f t="shared" si="88"/>
        <v>#DIV/0!</v>
      </c>
      <c r="BZ173" s="53" t="e">
        <f t="shared" si="89"/>
        <v>#DIV/0!</v>
      </c>
      <c r="CA173" s="53" t="e">
        <f t="shared" si="90"/>
        <v>#DIV/0!</v>
      </c>
      <c r="CB173" s="53" t="e">
        <f t="shared" si="91"/>
        <v>#DIV/0!</v>
      </c>
      <c r="CC173" s="53" t="e">
        <f t="shared" si="92"/>
        <v>#DIV/0!</v>
      </c>
      <c r="CD173" s="53" t="e">
        <f t="shared" si="93"/>
        <v>#DIV/0!</v>
      </c>
      <c r="CE173" s="55">
        <f t="shared" si="102"/>
        <v>0</v>
      </c>
      <c r="CF173" s="55">
        <f t="shared" si="100"/>
        <v>0</v>
      </c>
      <c r="CG173" s="55">
        <f t="shared" si="100"/>
        <v>0</v>
      </c>
      <c r="CH173" s="55">
        <f t="shared" si="100"/>
        <v>0</v>
      </c>
      <c r="CI173" s="55">
        <f t="shared" si="100"/>
        <v>0</v>
      </c>
      <c r="CJ173" s="55">
        <f t="shared" si="100"/>
        <v>0</v>
      </c>
      <c r="CK173" s="55">
        <f t="shared" si="100"/>
        <v>0</v>
      </c>
      <c r="CL173" s="55">
        <f t="shared" si="100"/>
        <v>0</v>
      </c>
      <c r="CM173" s="55">
        <f t="shared" si="100"/>
        <v>0</v>
      </c>
    </row>
    <row r="174" spans="1:91" x14ac:dyDescent="0.15">
      <c r="A174" s="42">
        <v>172</v>
      </c>
      <c r="B174" s="45">
        <f t="shared" si="107"/>
        <v>1</v>
      </c>
      <c r="C174" s="45">
        <f t="shared" si="106"/>
        <v>1</v>
      </c>
      <c r="D174" s="45">
        <f t="shared" si="106"/>
        <v>1</v>
      </c>
      <c r="E174" s="45">
        <f t="shared" si="106"/>
        <v>1</v>
      </c>
      <c r="F174" s="45">
        <f t="shared" si="106"/>
        <v>1</v>
      </c>
      <c r="G174" s="45">
        <f t="shared" si="106"/>
        <v>1</v>
      </c>
      <c r="H174" s="45">
        <f t="shared" si="106"/>
        <v>1</v>
      </c>
      <c r="I174" s="45">
        <f t="shared" si="106"/>
        <v>1</v>
      </c>
      <c r="J174" s="45">
        <f t="shared" si="106"/>
        <v>1</v>
      </c>
      <c r="K174" s="45" t="e">
        <f>K173+ATM_Conf!$C$5*(T173-AC173)</f>
        <v>#DIV/0!</v>
      </c>
      <c r="L174" s="45" t="e">
        <f>L173+ATM_Conf!$C$5*(U173-AD173)</f>
        <v>#DIV/0!</v>
      </c>
      <c r="M174" s="45" t="e">
        <f>M173+ATM_Conf!$C$5*(V173-AE173)</f>
        <v>#DIV/0!</v>
      </c>
      <c r="N174" s="45" t="e">
        <f>N173+ATM_Conf!$C$5*(W173-AF173)</f>
        <v>#DIV/0!</v>
      </c>
      <c r="O174" s="45" t="e">
        <f>O173+ATM_Conf!$C$5*(X173-AG173)</f>
        <v>#DIV/0!</v>
      </c>
      <c r="P174" s="45" t="e">
        <f>P173+ATM_Conf!$C$5*(Y173-AH173)</f>
        <v>#DIV/0!</v>
      </c>
      <c r="Q174" s="45" t="e">
        <f>Q173+ATM_Conf!$C$5*(Z173-AI173)</f>
        <v>#DIV/0!</v>
      </c>
      <c r="R174" s="45" t="e">
        <f>R173+ATM_Conf!$C$5*(AA173-AJ173)</f>
        <v>#DIV/0!</v>
      </c>
      <c r="S174" s="45" t="e">
        <f>S173+ATM_Conf!$C$5*(AB173-AK173)</f>
        <v>#DIV/0!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 t="e">
        <f t="shared" si="76"/>
        <v>#DIV/0!</v>
      </c>
      <c r="AD174" s="45" t="e">
        <f t="shared" si="77"/>
        <v>#DIV/0!</v>
      </c>
      <c r="AE174" s="45" t="e">
        <f t="shared" si="78"/>
        <v>#DIV/0!</v>
      </c>
      <c r="AF174" s="45" t="e">
        <f t="shared" si="79"/>
        <v>#DIV/0!</v>
      </c>
      <c r="AG174" s="45" t="e">
        <f t="shared" si="80"/>
        <v>#DIV/0!</v>
      </c>
      <c r="AH174" s="45" t="e">
        <f t="shared" si="81"/>
        <v>#DIV/0!</v>
      </c>
      <c r="AI174" s="45" t="e">
        <f t="shared" si="82"/>
        <v>#DIV/0!</v>
      </c>
      <c r="AJ174" s="45" t="e">
        <f t="shared" si="83"/>
        <v>#DIV/0!</v>
      </c>
      <c r="AK174" s="45" t="e">
        <f t="shared" si="84"/>
        <v>#DIV/0!</v>
      </c>
      <c r="AL174" s="45" t="e">
        <f>T$3+K174/ATM_Conf!$C$5</f>
        <v>#DIV/0!</v>
      </c>
      <c r="AM174" s="45" t="e">
        <f>U$3+L174/ATM_Conf!$C$5</f>
        <v>#DIV/0!</v>
      </c>
      <c r="AN174" s="45" t="e">
        <f>V$3+M174/ATM_Conf!$C$5</f>
        <v>#DIV/0!</v>
      </c>
      <c r="AO174" s="45" t="e">
        <f>W$3+N174/ATM_Conf!$C$5</f>
        <v>#DIV/0!</v>
      </c>
      <c r="AP174" s="45" t="e">
        <f>X$3+O174/ATM_Conf!$C$5</f>
        <v>#DIV/0!</v>
      </c>
      <c r="AQ174" s="45" t="e">
        <f>Y$3+P174/ATM_Conf!$C$5</f>
        <v>#DIV/0!</v>
      </c>
      <c r="AR174" s="45" t="e">
        <f>Z$3+Q174/ATM_Conf!$C$5</f>
        <v>#DIV/0!</v>
      </c>
      <c r="AS174" s="45" t="e">
        <f>AA$3+R174/ATM_Conf!$C$5</f>
        <v>#DIV/0!</v>
      </c>
      <c r="AT174" s="45" t="e">
        <f>AB$3+S174/ATM_Conf!$C$5</f>
        <v>#DIV/0!</v>
      </c>
      <c r="AU174" s="45" t="e">
        <f>BD$3*MIN(1,(ATM_Conf!$C$6-Links!F174)/(ATM_Conf!$C$6-ATM_Conf!$C$7))</f>
        <v>#DIV/0!</v>
      </c>
      <c r="AV174" s="45" t="e">
        <f>BE$3*MIN(1,(ATM_Conf!$C$6-Links!G174)/(ATM_Conf!$C$6-ATM_Conf!$C$7))</f>
        <v>#DIV/0!</v>
      </c>
      <c r="AW174" s="45" t="e">
        <f>BF$3*MIN(1,(ATM_Conf!$C$6-Links!H174)/(ATM_Conf!$C$6-ATM_Conf!$C$7))</f>
        <v>#DIV/0!</v>
      </c>
      <c r="AX174" s="45" t="e">
        <f>BG$3*MIN(1,(ATM_Conf!$C$6-Links!I174)/(ATM_Conf!$C$6-ATM_Conf!$C$7))</f>
        <v>#DIV/0!</v>
      </c>
      <c r="AY174" s="45" t="e">
        <f>BH$3*MIN(1,(ATM_Conf!$C$6-Links!J174)/(ATM_Conf!$C$6-ATM_Conf!$C$7))</f>
        <v>#DIV/0!</v>
      </c>
      <c r="AZ174" s="45" t="e">
        <f>BI$3*MIN(1,(ATM_Conf!$C$6-Links!K174)/(ATM_Conf!$C$6-ATM_Conf!$C$7))</f>
        <v>#DIV/0!</v>
      </c>
      <c r="BA174" s="45" t="e">
        <f>BJ$3*MIN(1,(ATM_Conf!$C$6-Links!L174)/(ATM_Conf!$C$6-ATM_Conf!$C$7))</f>
        <v>#DIV/0!</v>
      </c>
      <c r="BB174" s="45" t="e">
        <f>BK$3*MIN(1,(ATM_Conf!$C$6-Links!M174)/(ATM_Conf!$C$6-ATM_Conf!$C$7))</f>
        <v>#DIV/0!</v>
      </c>
      <c r="BC174" s="45" t="e">
        <f>BL$3*MIN(1,(ATM_Conf!$C$6-Links!N174)/(ATM_Conf!$C$6-ATM_Conf!$C$7))</f>
        <v>#DIV/0!</v>
      </c>
      <c r="BD174" s="45"/>
      <c r="BE174" s="45"/>
      <c r="BF174" s="45"/>
      <c r="BG174" s="45"/>
      <c r="BH174" s="45"/>
      <c r="BI174" s="45"/>
      <c r="BJ174" s="45"/>
      <c r="BK174" s="45"/>
      <c r="BL174" s="45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 t="e">
        <f t="shared" si="85"/>
        <v>#DIV/0!</v>
      </c>
      <c r="BW174" s="53" t="e">
        <f t="shared" si="86"/>
        <v>#DIV/0!</v>
      </c>
      <c r="BX174" s="53" t="e">
        <f t="shared" si="87"/>
        <v>#DIV/0!</v>
      </c>
      <c r="BY174" s="53" t="e">
        <f t="shared" si="88"/>
        <v>#DIV/0!</v>
      </c>
      <c r="BZ174" s="53" t="e">
        <f t="shared" si="89"/>
        <v>#DIV/0!</v>
      </c>
      <c r="CA174" s="53" t="e">
        <f t="shared" si="90"/>
        <v>#DIV/0!</v>
      </c>
      <c r="CB174" s="53" t="e">
        <f t="shared" si="91"/>
        <v>#DIV/0!</v>
      </c>
      <c r="CC174" s="53" t="e">
        <f t="shared" si="92"/>
        <v>#DIV/0!</v>
      </c>
      <c r="CD174" s="53" t="e">
        <f t="shared" si="93"/>
        <v>#DIV/0!</v>
      </c>
      <c r="CE174" s="55">
        <f t="shared" si="102"/>
        <v>0</v>
      </c>
      <c r="CF174" s="55">
        <f t="shared" si="100"/>
        <v>0</v>
      </c>
      <c r="CG174" s="55">
        <f t="shared" si="100"/>
        <v>0</v>
      </c>
      <c r="CH174" s="55">
        <f t="shared" si="100"/>
        <v>0</v>
      </c>
      <c r="CI174" s="55">
        <f t="shared" si="100"/>
        <v>0</v>
      </c>
      <c r="CJ174" s="55">
        <f t="shared" si="100"/>
        <v>0</v>
      </c>
      <c r="CK174" s="55">
        <f t="shared" si="100"/>
        <v>0</v>
      </c>
      <c r="CL174" s="55">
        <f t="shared" si="100"/>
        <v>0</v>
      </c>
      <c r="CM174" s="55">
        <f t="shared" si="100"/>
        <v>0</v>
      </c>
    </row>
    <row r="175" spans="1:91" x14ac:dyDescent="0.15">
      <c r="A175" s="42">
        <v>173</v>
      </c>
      <c r="B175" s="45">
        <f t="shared" si="107"/>
        <v>1</v>
      </c>
      <c r="C175" s="45">
        <f t="shared" si="106"/>
        <v>1</v>
      </c>
      <c r="D175" s="45">
        <f t="shared" si="106"/>
        <v>1</v>
      </c>
      <c r="E175" s="45">
        <f t="shared" si="106"/>
        <v>1</v>
      </c>
      <c r="F175" s="45">
        <f t="shared" si="106"/>
        <v>1</v>
      </c>
      <c r="G175" s="45">
        <f t="shared" si="106"/>
        <v>1</v>
      </c>
      <c r="H175" s="45">
        <f t="shared" si="106"/>
        <v>1</v>
      </c>
      <c r="I175" s="45">
        <f t="shared" si="106"/>
        <v>1</v>
      </c>
      <c r="J175" s="45">
        <f t="shared" si="106"/>
        <v>1</v>
      </c>
      <c r="K175" s="45" t="e">
        <f>K174+ATM_Conf!$C$5*(T174-AC174)</f>
        <v>#DIV/0!</v>
      </c>
      <c r="L175" s="45" t="e">
        <f>L174+ATM_Conf!$C$5*(U174-AD174)</f>
        <v>#DIV/0!</v>
      </c>
      <c r="M175" s="45" t="e">
        <f>M174+ATM_Conf!$C$5*(V174-AE174)</f>
        <v>#DIV/0!</v>
      </c>
      <c r="N175" s="45" t="e">
        <f>N174+ATM_Conf!$C$5*(W174-AF174)</f>
        <v>#DIV/0!</v>
      </c>
      <c r="O175" s="45" t="e">
        <f>O174+ATM_Conf!$C$5*(X174-AG174)</f>
        <v>#DIV/0!</v>
      </c>
      <c r="P175" s="45" t="e">
        <f>P174+ATM_Conf!$C$5*(Y174-AH174)</f>
        <v>#DIV/0!</v>
      </c>
      <c r="Q175" s="45" t="e">
        <f>Q174+ATM_Conf!$C$5*(Z174-AI174)</f>
        <v>#DIV/0!</v>
      </c>
      <c r="R175" s="45" t="e">
        <f>R174+ATM_Conf!$C$5*(AA174-AJ174)</f>
        <v>#DIV/0!</v>
      </c>
      <c r="S175" s="45" t="e">
        <f>S174+ATM_Conf!$C$5*(AB174-AK174)</f>
        <v>#DIV/0!</v>
      </c>
      <c r="T175" s="45"/>
      <c r="U175" s="45"/>
      <c r="V175" s="45"/>
      <c r="W175" s="45"/>
      <c r="X175" s="45"/>
      <c r="Y175" s="45"/>
      <c r="Z175" s="45"/>
      <c r="AA175" s="45"/>
      <c r="AB175" s="45"/>
      <c r="AC175" s="45" t="e">
        <f t="shared" si="76"/>
        <v>#DIV/0!</v>
      </c>
      <c r="AD175" s="45" t="e">
        <f t="shared" si="77"/>
        <v>#DIV/0!</v>
      </c>
      <c r="AE175" s="45" t="e">
        <f t="shared" si="78"/>
        <v>#DIV/0!</v>
      </c>
      <c r="AF175" s="45" t="e">
        <f t="shared" si="79"/>
        <v>#DIV/0!</v>
      </c>
      <c r="AG175" s="45" t="e">
        <f t="shared" si="80"/>
        <v>#DIV/0!</v>
      </c>
      <c r="AH175" s="45" t="e">
        <f t="shared" si="81"/>
        <v>#DIV/0!</v>
      </c>
      <c r="AI175" s="45" t="e">
        <f t="shared" si="82"/>
        <v>#DIV/0!</v>
      </c>
      <c r="AJ175" s="45" t="e">
        <f t="shared" si="83"/>
        <v>#DIV/0!</v>
      </c>
      <c r="AK175" s="45" t="e">
        <f t="shared" si="84"/>
        <v>#DIV/0!</v>
      </c>
      <c r="AL175" s="45" t="e">
        <f>T$3+K175/ATM_Conf!$C$5</f>
        <v>#DIV/0!</v>
      </c>
      <c r="AM175" s="45" t="e">
        <f>U$3+L175/ATM_Conf!$C$5</f>
        <v>#DIV/0!</v>
      </c>
      <c r="AN175" s="45" t="e">
        <f>V$3+M175/ATM_Conf!$C$5</f>
        <v>#DIV/0!</v>
      </c>
      <c r="AO175" s="45" t="e">
        <f>W$3+N175/ATM_Conf!$C$5</f>
        <v>#DIV/0!</v>
      </c>
      <c r="AP175" s="45" t="e">
        <f>X$3+O175/ATM_Conf!$C$5</f>
        <v>#DIV/0!</v>
      </c>
      <c r="AQ175" s="45" t="e">
        <f>Y$3+P175/ATM_Conf!$C$5</f>
        <v>#DIV/0!</v>
      </c>
      <c r="AR175" s="45" t="e">
        <f>Z$3+Q175/ATM_Conf!$C$5</f>
        <v>#DIV/0!</v>
      </c>
      <c r="AS175" s="45" t="e">
        <f>AA$3+R175/ATM_Conf!$C$5</f>
        <v>#DIV/0!</v>
      </c>
      <c r="AT175" s="45" t="e">
        <f>AB$3+S175/ATM_Conf!$C$5</f>
        <v>#DIV/0!</v>
      </c>
      <c r="AU175" s="45" t="e">
        <f>BD$3*MIN(1,(ATM_Conf!$C$6-Links!F175)/(ATM_Conf!$C$6-ATM_Conf!$C$7))</f>
        <v>#DIV/0!</v>
      </c>
      <c r="AV175" s="45" t="e">
        <f>BE$3*MIN(1,(ATM_Conf!$C$6-Links!G175)/(ATM_Conf!$C$6-ATM_Conf!$C$7))</f>
        <v>#DIV/0!</v>
      </c>
      <c r="AW175" s="45" t="e">
        <f>BF$3*MIN(1,(ATM_Conf!$C$6-Links!H175)/(ATM_Conf!$C$6-ATM_Conf!$C$7))</f>
        <v>#DIV/0!</v>
      </c>
      <c r="AX175" s="45" t="e">
        <f>BG$3*MIN(1,(ATM_Conf!$C$6-Links!I175)/(ATM_Conf!$C$6-ATM_Conf!$C$7))</f>
        <v>#DIV/0!</v>
      </c>
      <c r="AY175" s="45" t="e">
        <f>BH$3*MIN(1,(ATM_Conf!$C$6-Links!J175)/(ATM_Conf!$C$6-ATM_Conf!$C$7))</f>
        <v>#DIV/0!</v>
      </c>
      <c r="AZ175" s="45" t="e">
        <f>BI$3*MIN(1,(ATM_Conf!$C$6-Links!K175)/(ATM_Conf!$C$6-ATM_Conf!$C$7))</f>
        <v>#DIV/0!</v>
      </c>
      <c r="BA175" s="45" t="e">
        <f>BJ$3*MIN(1,(ATM_Conf!$C$6-Links!L175)/(ATM_Conf!$C$6-ATM_Conf!$C$7))</f>
        <v>#DIV/0!</v>
      </c>
      <c r="BB175" s="45" t="e">
        <f>BK$3*MIN(1,(ATM_Conf!$C$6-Links!M175)/(ATM_Conf!$C$6-ATM_Conf!$C$7))</f>
        <v>#DIV/0!</v>
      </c>
      <c r="BC175" s="45" t="e">
        <f>BL$3*MIN(1,(ATM_Conf!$C$6-Links!N175)/(ATM_Conf!$C$6-ATM_Conf!$C$7))</f>
        <v>#DIV/0!</v>
      </c>
      <c r="BD175" s="45"/>
      <c r="BE175" s="45"/>
      <c r="BF175" s="45"/>
      <c r="BG175" s="45"/>
      <c r="BH175" s="45"/>
      <c r="BI175" s="45"/>
      <c r="BJ175" s="45"/>
      <c r="BK175" s="45"/>
      <c r="BL175" s="45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 t="e">
        <f t="shared" si="85"/>
        <v>#DIV/0!</v>
      </c>
      <c r="BW175" s="53" t="e">
        <f t="shared" si="86"/>
        <v>#DIV/0!</v>
      </c>
      <c r="BX175" s="53" t="e">
        <f t="shared" si="87"/>
        <v>#DIV/0!</v>
      </c>
      <c r="BY175" s="53" t="e">
        <f t="shared" si="88"/>
        <v>#DIV/0!</v>
      </c>
      <c r="BZ175" s="53" t="e">
        <f t="shared" si="89"/>
        <v>#DIV/0!</v>
      </c>
      <c r="CA175" s="53" t="e">
        <f t="shared" si="90"/>
        <v>#DIV/0!</v>
      </c>
      <c r="CB175" s="53" t="e">
        <f t="shared" si="91"/>
        <v>#DIV/0!</v>
      </c>
      <c r="CC175" s="53" t="e">
        <f t="shared" si="92"/>
        <v>#DIV/0!</v>
      </c>
      <c r="CD175" s="53" t="e">
        <f t="shared" si="93"/>
        <v>#DIV/0!</v>
      </c>
      <c r="CE175" s="55">
        <f t="shared" si="102"/>
        <v>0</v>
      </c>
      <c r="CF175" s="55">
        <f t="shared" si="100"/>
        <v>0</v>
      </c>
      <c r="CG175" s="55">
        <f t="shared" si="100"/>
        <v>0</v>
      </c>
      <c r="CH175" s="55">
        <f t="shared" si="100"/>
        <v>0</v>
      </c>
      <c r="CI175" s="55">
        <f t="shared" si="100"/>
        <v>0</v>
      </c>
      <c r="CJ175" s="55">
        <f t="shared" si="100"/>
        <v>0</v>
      </c>
      <c r="CK175" s="55">
        <f t="shared" si="100"/>
        <v>0</v>
      </c>
      <c r="CL175" s="55">
        <f t="shared" si="100"/>
        <v>0</v>
      </c>
      <c r="CM175" s="55">
        <f t="shared" si="100"/>
        <v>0</v>
      </c>
    </row>
    <row r="176" spans="1:91" x14ac:dyDescent="0.15">
      <c r="A176" s="42">
        <v>174</v>
      </c>
      <c r="B176" s="45">
        <f t="shared" si="107"/>
        <v>1</v>
      </c>
      <c r="C176" s="45">
        <f t="shared" si="106"/>
        <v>1</v>
      </c>
      <c r="D176" s="45">
        <f t="shared" si="106"/>
        <v>1</v>
      </c>
      <c r="E176" s="45">
        <f t="shared" si="106"/>
        <v>1</v>
      </c>
      <c r="F176" s="45">
        <f t="shared" si="106"/>
        <v>1</v>
      </c>
      <c r="G176" s="45">
        <f t="shared" si="106"/>
        <v>1</v>
      </c>
      <c r="H176" s="45">
        <f t="shared" si="106"/>
        <v>1</v>
      </c>
      <c r="I176" s="45">
        <f t="shared" si="106"/>
        <v>1</v>
      </c>
      <c r="J176" s="45">
        <f t="shared" si="106"/>
        <v>1</v>
      </c>
      <c r="K176" s="45" t="e">
        <f>K175+ATM_Conf!$C$5*(T175-AC175)</f>
        <v>#DIV/0!</v>
      </c>
      <c r="L176" s="45" t="e">
        <f>L175+ATM_Conf!$C$5*(U175-AD175)</f>
        <v>#DIV/0!</v>
      </c>
      <c r="M176" s="45" t="e">
        <f>M175+ATM_Conf!$C$5*(V175-AE175)</f>
        <v>#DIV/0!</v>
      </c>
      <c r="N176" s="45" t="e">
        <f>N175+ATM_Conf!$C$5*(W175-AF175)</f>
        <v>#DIV/0!</v>
      </c>
      <c r="O176" s="45" t="e">
        <f>O175+ATM_Conf!$C$5*(X175-AG175)</f>
        <v>#DIV/0!</v>
      </c>
      <c r="P176" s="45" t="e">
        <f>P175+ATM_Conf!$C$5*(Y175-AH175)</f>
        <v>#DIV/0!</v>
      </c>
      <c r="Q176" s="45" t="e">
        <f>Q175+ATM_Conf!$C$5*(Z175-AI175)</f>
        <v>#DIV/0!</v>
      </c>
      <c r="R176" s="45" t="e">
        <f>R175+ATM_Conf!$C$5*(AA175-AJ175)</f>
        <v>#DIV/0!</v>
      </c>
      <c r="S176" s="45" t="e">
        <f>S175+ATM_Conf!$C$5*(AB175-AK175)</f>
        <v>#DIV/0!</v>
      </c>
      <c r="T176" s="45"/>
      <c r="U176" s="45"/>
      <c r="V176" s="45"/>
      <c r="W176" s="45"/>
      <c r="X176" s="45"/>
      <c r="Y176" s="45"/>
      <c r="Z176" s="45"/>
      <c r="AA176" s="45"/>
      <c r="AB176" s="45"/>
      <c r="AC176" s="45" t="e">
        <f t="shared" si="76"/>
        <v>#DIV/0!</v>
      </c>
      <c r="AD176" s="45" t="e">
        <f t="shared" si="77"/>
        <v>#DIV/0!</v>
      </c>
      <c r="AE176" s="45" t="e">
        <f t="shared" si="78"/>
        <v>#DIV/0!</v>
      </c>
      <c r="AF176" s="45" t="e">
        <f t="shared" si="79"/>
        <v>#DIV/0!</v>
      </c>
      <c r="AG176" s="45" t="e">
        <f t="shared" si="80"/>
        <v>#DIV/0!</v>
      </c>
      <c r="AH176" s="45" t="e">
        <f t="shared" si="81"/>
        <v>#DIV/0!</v>
      </c>
      <c r="AI176" s="45" t="e">
        <f t="shared" si="82"/>
        <v>#DIV/0!</v>
      </c>
      <c r="AJ176" s="45" t="e">
        <f t="shared" si="83"/>
        <v>#DIV/0!</v>
      </c>
      <c r="AK176" s="45" t="e">
        <f t="shared" si="84"/>
        <v>#DIV/0!</v>
      </c>
      <c r="AL176" s="45" t="e">
        <f>T$3+K176/ATM_Conf!$C$5</f>
        <v>#DIV/0!</v>
      </c>
      <c r="AM176" s="45" t="e">
        <f>U$3+L176/ATM_Conf!$C$5</f>
        <v>#DIV/0!</v>
      </c>
      <c r="AN176" s="45" t="e">
        <f>V$3+M176/ATM_Conf!$C$5</f>
        <v>#DIV/0!</v>
      </c>
      <c r="AO176" s="45" t="e">
        <f>W$3+N176/ATM_Conf!$C$5</f>
        <v>#DIV/0!</v>
      </c>
      <c r="AP176" s="45" t="e">
        <f>X$3+O176/ATM_Conf!$C$5</f>
        <v>#DIV/0!</v>
      </c>
      <c r="AQ176" s="45" t="e">
        <f>Y$3+P176/ATM_Conf!$C$5</f>
        <v>#DIV/0!</v>
      </c>
      <c r="AR176" s="45" t="e">
        <f>Z$3+Q176/ATM_Conf!$C$5</f>
        <v>#DIV/0!</v>
      </c>
      <c r="AS176" s="45" t="e">
        <f>AA$3+R176/ATM_Conf!$C$5</f>
        <v>#DIV/0!</v>
      </c>
      <c r="AT176" s="45" t="e">
        <f>AB$3+S176/ATM_Conf!$C$5</f>
        <v>#DIV/0!</v>
      </c>
      <c r="AU176" s="45" t="e">
        <f>BD$3*MIN(1,(ATM_Conf!$C$6-Links!F176)/(ATM_Conf!$C$6-ATM_Conf!$C$7))</f>
        <v>#DIV/0!</v>
      </c>
      <c r="AV176" s="45" t="e">
        <f>BE$3*MIN(1,(ATM_Conf!$C$6-Links!G176)/(ATM_Conf!$C$6-ATM_Conf!$C$7))</f>
        <v>#DIV/0!</v>
      </c>
      <c r="AW176" s="45" t="e">
        <f>BF$3*MIN(1,(ATM_Conf!$C$6-Links!H176)/(ATM_Conf!$C$6-ATM_Conf!$C$7))</f>
        <v>#DIV/0!</v>
      </c>
      <c r="AX176" s="45" t="e">
        <f>BG$3*MIN(1,(ATM_Conf!$C$6-Links!I176)/(ATM_Conf!$C$6-ATM_Conf!$C$7))</f>
        <v>#DIV/0!</v>
      </c>
      <c r="AY176" s="45" t="e">
        <f>BH$3*MIN(1,(ATM_Conf!$C$6-Links!J176)/(ATM_Conf!$C$6-ATM_Conf!$C$7))</f>
        <v>#DIV/0!</v>
      </c>
      <c r="AZ176" s="45" t="e">
        <f>BI$3*MIN(1,(ATM_Conf!$C$6-Links!K176)/(ATM_Conf!$C$6-ATM_Conf!$C$7))</f>
        <v>#DIV/0!</v>
      </c>
      <c r="BA176" s="45" t="e">
        <f>BJ$3*MIN(1,(ATM_Conf!$C$6-Links!L176)/(ATM_Conf!$C$6-ATM_Conf!$C$7))</f>
        <v>#DIV/0!</v>
      </c>
      <c r="BB176" s="45" t="e">
        <f>BK$3*MIN(1,(ATM_Conf!$C$6-Links!M176)/(ATM_Conf!$C$6-ATM_Conf!$C$7))</f>
        <v>#DIV/0!</v>
      </c>
      <c r="BC176" s="45" t="e">
        <f>BL$3*MIN(1,(ATM_Conf!$C$6-Links!N176)/(ATM_Conf!$C$6-ATM_Conf!$C$7))</f>
        <v>#DIV/0!</v>
      </c>
      <c r="BD176" s="45"/>
      <c r="BE176" s="45"/>
      <c r="BF176" s="45"/>
      <c r="BG176" s="45"/>
      <c r="BH176" s="45"/>
      <c r="BI176" s="45"/>
      <c r="BJ176" s="45"/>
      <c r="BK176" s="45"/>
      <c r="BL176" s="45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 t="e">
        <f t="shared" si="85"/>
        <v>#DIV/0!</v>
      </c>
      <c r="BW176" s="53" t="e">
        <f t="shared" si="86"/>
        <v>#DIV/0!</v>
      </c>
      <c r="BX176" s="53" t="e">
        <f t="shared" si="87"/>
        <v>#DIV/0!</v>
      </c>
      <c r="BY176" s="53" t="e">
        <f t="shared" si="88"/>
        <v>#DIV/0!</v>
      </c>
      <c r="BZ176" s="53" t="e">
        <f t="shared" si="89"/>
        <v>#DIV/0!</v>
      </c>
      <c r="CA176" s="53" t="e">
        <f t="shared" si="90"/>
        <v>#DIV/0!</v>
      </c>
      <c r="CB176" s="53" t="e">
        <f t="shared" si="91"/>
        <v>#DIV/0!</v>
      </c>
      <c r="CC176" s="53" t="e">
        <f t="shared" si="92"/>
        <v>#DIV/0!</v>
      </c>
      <c r="CD176" s="53" t="e">
        <f t="shared" si="93"/>
        <v>#DIV/0!</v>
      </c>
      <c r="CE176" s="55">
        <f t="shared" si="102"/>
        <v>0</v>
      </c>
      <c r="CF176" s="55">
        <f t="shared" si="100"/>
        <v>0</v>
      </c>
      <c r="CG176" s="55">
        <f t="shared" si="100"/>
        <v>0</v>
      </c>
      <c r="CH176" s="55">
        <f t="shared" si="100"/>
        <v>0</v>
      </c>
      <c r="CI176" s="55">
        <f t="shared" si="100"/>
        <v>0</v>
      </c>
      <c r="CJ176" s="55">
        <f t="shared" si="100"/>
        <v>0</v>
      </c>
      <c r="CK176" s="55">
        <f t="shared" si="100"/>
        <v>0</v>
      </c>
      <c r="CL176" s="55">
        <f t="shared" si="100"/>
        <v>0</v>
      </c>
      <c r="CM176" s="55">
        <f t="shared" si="100"/>
        <v>0</v>
      </c>
    </row>
    <row r="177" spans="1:91" x14ac:dyDescent="0.15">
      <c r="A177" s="42">
        <v>175</v>
      </c>
      <c r="B177" s="45">
        <f t="shared" si="107"/>
        <v>1</v>
      </c>
      <c r="C177" s="45">
        <f t="shared" si="106"/>
        <v>1</v>
      </c>
      <c r="D177" s="45">
        <f t="shared" si="106"/>
        <v>1</v>
      </c>
      <c r="E177" s="45">
        <f t="shared" si="106"/>
        <v>1</v>
      </c>
      <c r="F177" s="45">
        <f t="shared" si="106"/>
        <v>1</v>
      </c>
      <c r="G177" s="45">
        <f t="shared" si="106"/>
        <v>1</v>
      </c>
      <c r="H177" s="45">
        <f t="shared" si="106"/>
        <v>1</v>
      </c>
      <c r="I177" s="45">
        <f t="shared" si="106"/>
        <v>1</v>
      </c>
      <c r="J177" s="45">
        <f t="shared" si="106"/>
        <v>1</v>
      </c>
      <c r="K177" s="45" t="e">
        <f>K176+ATM_Conf!$C$5*(T176-AC176)</f>
        <v>#DIV/0!</v>
      </c>
      <c r="L177" s="45" t="e">
        <f>L176+ATM_Conf!$C$5*(U176-AD176)</f>
        <v>#DIV/0!</v>
      </c>
      <c r="M177" s="45" t="e">
        <f>M176+ATM_Conf!$C$5*(V176-AE176)</f>
        <v>#DIV/0!</v>
      </c>
      <c r="N177" s="45" t="e">
        <f>N176+ATM_Conf!$C$5*(W176-AF176)</f>
        <v>#DIV/0!</v>
      </c>
      <c r="O177" s="45" t="e">
        <f>O176+ATM_Conf!$C$5*(X176-AG176)</f>
        <v>#DIV/0!</v>
      </c>
      <c r="P177" s="45" t="e">
        <f>P176+ATM_Conf!$C$5*(Y176-AH176)</f>
        <v>#DIV/0!</v>
      </c>
      <c r="Q177" s="45" t="e">
        <f>Q176+ATM_Conf!$C$5*(Z176-AI176)</f>
        <v>#DIV/0!</v>
      </c>
      <c r="R177" s="45" t="e">
        <f>R176+ATM_Conf!$C$5*(AA176-AJ176)</f>
        <v>#DIV/0!</v>
      </c>
      <c r="S177" s="45" t="e">
        <f>S176+ATM_Conf!$C$5*(AB176-AK176)</f>
        <v>#DIV/0!</v>
      </c>
      <c r="T177" s="45"/>
      <c r="U177" s="45"/>
      <c r="V177" s="45"/>
      <c r="W177" s="45"/>
      <c r="X177" s="45"/>
      <c r="Y177" s="45"/>
      <c r="Z177" s="45"/>
      <c r="AA177" s="45"/>
      <c r="AB177" s="45"/>
      <c r="AC177" s="45" t="e">
        <f t="shared" si="76"/>
        <v>#DIV/0!</v>
      </c>
      <c r="AD177" s="45" t="e">
        <f t="shared" si="77"/>
        <v>#DIV/0!</v>
      </c>
      <c r="AE177" s="45" t="e">
        <f t="shared" si="78"/>
        <v>#DIV/0!</v>
      </c>
      <c r="AF177" s="45" t="e">
        <f t="shared" si="79"/>
        <v>#DIV/0!</v>
      </c>
      <c r="AG177" s="45" t="e">
        <f t="shared" si="80"/>
        <v>#DIV/0!</v>
      </c>
      <c r="AH177" s="45" t="e">
        <f t="shared" si="81"/>
        <v>#DIV/0!</v>
      </c>
      <c r="AI177" s="45" t="e">
        <f t="shared" si="82"/>
        <v>#DIV/0!</v>
      </c>
      <c r="AJ177" s="45" t="e">
        <f t="shared" si="83"/>
        <v>#DIV/0!</v>
      </c>
      <c r="AK177" s="45" t="e">
        <f t="shared" si="84"/>
        <v>#DIV/0!</v>
      </c>
      <c r="AL177" s="45" t="e">
        <f>T$3+K177/ATM_Conf!$C$5</f>
        <v>#DIV/0!</v>
      </c>
      <c r="AM177" s="45" t="e">
        <f>U$3+L177/ATM_Conf!$C$5</f>
        <v>#DIV/0!</v>
      </c>
      <c r="AN177" s="45" t="e">
        <f>V$3+M177/ATM_Conf!$C$5</f>
        <v>#DIV/0!</v>
      </c>
      <c r="AO177" s="45" t="e">
        <f>W$3+N177/ATM_Conf!$C$5</f>
        <v>#DIV/0!</v>
      </c>
      <c r="AP177" s="45" t="e">
        <f>X$3+O177/ATM_Conf!$C$5</f>
        <v>#DIV/0!</v>
      </c>
      <c r="AQ177" s="45" t="e">
        <f>Y$3+P177/ATM_Conf!$C$5</f>
        <v>#DIV/0!</v>
      </c>
      <c r="AR177" s="45" t="e">
        <f>Z$3+Q177/ATM_Conf!$C$5</f>
        <v>#DIV/0!</v>
      </c>
      <c r="AS177" s="45" t="e">
        <f>AA$3+R177/ATM_Conf!$C$5</f>
        <v>#DIV/0!</v>
      </c>
      <c r="AT177" s="45" t="e">
        <f>AB$3+S177/ATM_Conf!$C$5</f>
        <v>#DIV/0!</v>
      </c>
      <c r="AU177" s="45" t="e">
        <f>BD$3*MIN(1,(ATM_Conf!$C$6-Links!F177)/(ATM_Conf!$C$6-ATM_Conf!$C$7))</f>
        <v>#DIV/0!</v>
      </c>
      <c r="AV177" s="45" t="e">
        <f>BE$3*MIN(1,(ATM_Conf!$C$6-Links!G177)/(ATM_Conf!$C$6-ATM_Conf!$C$7))</f>
        <v>#DIV/0!</v>
      </c>
      <c r="AW177" s="45" t="e">
        <f>BF$3*MIN(1,(ATM_Conf!$C$6-Links!H177)/(ATM_Conf!$C$6-ATM_Conf!$C$7))</f>
        <v>#DIV/0!</v>
      </c>
      <c r="AX177" s="45" t="e">
        <f>BG$3*MIN(1,(ATM_Conf!$C$6-Links!I177)/(ATM_Conf!$C$6-ATM_Conf!$C$7))</f>
        <v>#DIV/0!</v>
      </c>
      <c r="AY177" s="45" t="e">
        <f>BH$3*MIN(1,(ATM_Conf!$C$6-Links!J177)/(ATM_Conf!$C$6-ATM_Conf!$C$7))</f>
        <v>#DIV/0!</v>
      </c>
      <c r="AZ177" s="45" t="e">
        <f>BI$3*MIN(1,(ATM_Conf!$C$6-Links!K177)/(ATM_Conf!$C$6-ATM_Conf!$C$7))</f>
        <v>#DIV/0!</v>
      </c>
      <c r="BA177" s="45" t="e">
        <f>BJ$3*MIN(1,(ATM_Conf!$C$6-Links!L177)/(ATM_Conf!$C$6-ATM_Conf!$C$7))</f>
        <v>#DIV/0!</v>
      </c>
      <c r="BB177" s="45" t="e">
        <f>BK$3*MIN(1,(ATM_Conf!$C$6-Links!M177)/(ATM_Conf!$C$6-ATM_Conf!$C$7))</f>
        <v>#DIV/0!</v>
      </c>
      <c r="BC177" s="45" t="e">
        <f>BL$3*MIN(1,(ATM_Conf!$C$6-Links!N177)/(ATM_Conf!$C$6-ATM_Conf!$C$7))</f>
        <v>#DIV/0!</v>
      </c>
      <c r="BD177" s="45"/>
      <c r="BE177" s="45"/>
      <c r="BF177" s="45"/>
      <c r="BG177" s="45"/>
      <c r="BH177" s="45"/>
      <c r="BI177" s="45"/>
      <c r="BJ177" s="45"/>
      <c r="BK177" s="45"/>
      <c r="BL177" s="45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 t="e">
        <f t="shared" si="85"/>
        <v>#DIV/0!</v>
      </c>
      <c r="BW177" s="53" t="e">
        <f t="shared" si="86"/>
        <v>#DIV/0!</v>
      </c>
      <c r="BX177" s="53" t="e">
        <f t="shared" si="87"/>
        <v>#DIV/0!</v>
      </c>
      <c r="BY177" s="53" t="e">
        <f t="shared" si="88"/>
        <v>#DIV/0!</v>
      </c>
      <c r="BZ177" s="53" t="e">
        <f t="shared" si="89"/>
        <v>#DIV/0!</v>
      </c>
      <c r="CA177" s="53" t="e">
        <f t="shared" si="90"/>
        <v>#DIV/0!</v>
      </c>
      <c r="CB177" s="53" t="e">
        <f t="shared" si="91"/>
        <v>#DIV/0!</v>
      </c>
      <c r="CC177" s="53" t="e">
        <f t="shared" si="92"/>
        <v>#DIV/0!</v>
      </c>
      <c r="CD177" s="53" t="e">
        <f t="shared" si="93"/>
        <v>#DIV/0!</v>
      </c>
      <c r="CE177" s="55">
        <f t="shared" si="102"/>
        <v>0</v>
      </c>
      <c r="CF177" s="55">
        <f t="shared" si="100"/>
        <v>0</v>
      </c>
      <c r="CG177" s="55">
        <f t="shared" si="100"/>
        <v>0</v>
      </c>
      <c r="CH177" s="55">
        <f t="shared" si="100"/>
        <v>0</v>
      </c>
      <c r="CI177" s="55">
        <f t="shared" si="100"/>
        <v>0</v>
      </c>
      <c r="CJ177" s="55">
        <f t="shared" si="100"/>
        <v>0</v>
      </c>
      <c r="CK177" s="55">
        <f t="shared" si="100"/>
        <v>0</v>
      </c>
      <c r="CL177" s="55">
        <f t="shared" si="100"/>
        <v>0</v>
      </c>
      <c r="CM177" s="55">
        <f t="shared" si="100"/>
        <v>0</v>
      </c>
    </row>
    <row r="178" spans="1:91" x14ac:dyDescent="0.15">
      <c r="A178" s="42">
        <v>176</v>
      </c>
      <c r="B178" s="45">
        <f t="shared" si="107"/>
        <v>1</v>
      </c>
      <c r="C178" s="45">
        <f t="shared" si="106"/>
        <v>1</v>
      </c>
      <c r="D178" s="45">
        <f t="shared" si="106"/>
        <v>1</v>
      </c>
      <c r="E178" s="45">
        <f t="shared" si="106"/>
        <v>1</v>
      </c>
      <c r="F178" s="45">
        <f t="shared" si="106"/>
        <v>1</v>
      </c>
      <c r="G178" s="45">
        <f t="shared" si="106"/>
        <v>1</v>
      </c>
      <c r="H178" s="45">
        <f t="shared" si="106"/>
        <v>1</v>
      </c>
      <c r="I178" s="45">
        <f t="shared" si="106"/>
        <v>1</v>
      </c>
      <c r="J178" s="45">
        <f t="shared" si="106"/>
        <v>1</v>
      </c>
      <c r="K178" s="45" t="e">
        <f>K177+ATM_Conf!$C$5*(T177-AC177)</f>
        <v>#DIV/0!</v>
      </c>
      <c r="L178" s="45" t="e">
        <f>L177+ATM_Conf!$C$5*(U177-AD177)</f>
        <v>#DIV/0!</v>
      </c>
      <c r="M178" s="45" t="e">
        <f>M177+ATM_Conf!$C$5*(V177-AE177)</f>
        <v>#DIV/0!</v>
      </c>
      <c r="N178" s="45" t="e">
        <f>N177+ATM_Conf!$C$5*(W177-AF177)</f>
        <v>#DIV/0!</v>
      </c>
      <c r="O178" s="45" t="e">
        <f>O177+ATM_Conf!$C$5*(X177-AG177)</f>
        <v>#DIV/0!</v>
      </c>
      <c r="P178" s="45" t="e">
        <f>P177+ATM_Conf!$C$5*(Y177-AH177)</f>
        <v>#DIV/0!</v>
      </c>
      <c r="Q178" s="45" t="e">
        <f>Q177+ATM_Conf!$C$5*(Z177-AI177)</f>
        <v>#DIV/0!</v>
      </c>
      <c r="R178" s="45" t="e">
        <f>R177+ATM_Conf!$C$5*(AA177-AJ177)</f>
        <v>#DIV/0!</v>
      </c>
      <c r="S178" s="45" t="e">
        <f>S177+ATM_Conf!$C$5*(AB177-AK177)</f>
        <v>#DIV/0!</v>
      </c>
      <c r="T178" s="45"/>
      <c r="U178" s="45"/>
      <c r="V178" s="45"/>
      <c r="W178" s="45"/>
      <c r="X178" s="45"/>
      <c r="Y178" s="45"/>
      <c r="Z178" s="45"/>
      <c r="AA178" s="45"/>
      <c r="AB178" s="45"/>
      <c r="AC178" s="45" t="e">
        <f t="shared" si="76"/>
        <v>#DIV/0!</v>
      </c>
      <c r="AD178" s="45" t="e">
        <f t="shared" si="77"/>
        <v>#DIV/0!</v>
      </c>
      <c r="AE178" s="45" t="e">
        <f t="shared" si="78"/>
        <v>#DIV/0!</v>
      </c>
      <c r="AF178" s="45" t="e">
        <f t="shared" si="79"/>
        <v>#DIV/0!</v>
      </c>
      <c r="AG178" s="45" t="e">
        <f t="shared" si="80"/>
        <v>#DIV/0!</v>
      </c>
      <c r="AH178" s="45" t="e">
        <f t="shared" si="81"/>
        <v>#DIV/0!</v>
      </c>
      <c r="AI178" s="45" t="e">
        <f t="shared" si="82"/>
        <v>#DIV/0!</v>
      </c>
      <c r="AJ178" s="45" t="e">
        <f t="shared" si="83"/>
        <v>#DIV/0!</v>
      </c>
      <c r="AK178" s="45" t="e">
        <f t="shared" si="84"/>
        <v>#DIV/0!</v>
      </c>
      <c r="AL178" s="45" t="e">
        <f>T$3+K178/ATM_Conf!$C$5</f>
        <v>#DIV/0!</v>
      </c>
      <c r="AM178" s="45" t="e">
        <f>U$3+L178/ATM_Conf!$C$5</f>
        <v>#DIV/0!</v>
      </c>
      <c r="AN178" s="45" t="e">
        <f>V$3+M178/ATM_Conf!$C$5</f>
        <v>#DIV/0!</v>
      </c>
      <c r="AO178" s="45" t="e">
        <f>W$3+N178/ATM_Conf!$C$5</f>
        <v>#DIV/0!</v>
      </c>
      <c r="AP178" s="45" t="e">
        <f>X$3+O178/ATM_Conf!$C$5</f>
        <v>#DIV/0!</v>
      </c>
      <c r="AQ178" s="45" t="e">
        <f>Y$3+P178/ATM_Conf!$C$5</f>
        <v>#DIV/0!</v>
      </c>
      <c r="AR178" s="45" t="e">
        <f>Z$3+Q178/ATM_Conf!$C$5</f>
        <v>#DIV/0!</v>
      </c>
      <c r="AS178" s="45" t="e">
        <f>AA$3+R178/ATM_Conf!$C$5</f>
        <v>#DIV/0!</v>
      </c>
      <c r="AT178" s="45" t="e">
        <f>AB$3+S178/ATM_Conf!$C$5</f>
        <v>#DIV/0!</v>
      </c>
      <c r="AU178" s="45" t="e">
        <f>BD$3*MIN(1,(ATM_Conf!$C$6-Links!F178)/(ATM_Conf!$C$6-ATM_Conf!$C$7))</f>
        <v>#DIV/0!</v>
      </c>
      <c r="AV178" s="45" t="e">
        <f>BE$3*MIN(1,(ATM_Conf!$C$6-Links!G178)/(ATM_Conf!$C$6-ATM_Conf!$C$7))</f>
        <v>#DIV/0!</v>
      </c>
      <c r="AW178" s="45" t="e">
        <f>BF$3*MIN(1,(ATM_Conf!$C$6-Links!H178)/(ATM_Conf!$C$6-ATM_Conf!$C$7))</f>
        <v>#DIV/0!</v>
      </c>
      <c r="AX178" s="45" t="e">
        <f>BG$3*MIN(1,(ATM_Conf!$C$6-Links!I178)/(ATM_Conf!$C$6-ATM_Conf!$C$7))</f>
        <v>#DIV/0!</v>
      </c>
      <c r="AY178" s="45" t="e">
        <f>BH$3*MIN(1,(ATM_Conf!$C$6-Links!J178)/(ATM_Conf!$C$6-ATM_Conf!$C$7))</f>
        <v>#DIV/0!</v>
      </c>
      <c r="AZ178" s="45" t="e">
        <f>BI$3*MIN(1,(ATM_Conf!$C$6-Links!K178)/(ATM_Conf!$C$6-ATM_Conf!$C$7))</f>
        <v>#DIV/0!</v>
      </c>
      <c r="BA178" s="45" t="e">
        <f>BJ$3*MIN(1,(ATM_Conf!$C$6-Links!L178)/(ATM_Conf!$C$6-ATM_Conf!$C$7))</f>
        <v>#DIV/0!</v>
      </c>
      <c r="BB178" s="45" t="e">
        <f>BK$3*MIN(1,(ATM_Conf!$C$6-Links!M178)/(ATM_Conf!$C$6-ATM_Conf!$C$7))</f>
        <v>#DIV/0!</v>
      </c>
      <c r="BC178" s="45" t="e">
        <f>BL$3*MIN(1,(ATM_Conf!$C$6-Links!N178)/(ATM_Conf!$C$6-ATM_Conf!$C$7))</f>
        <v>#DIV/0!</v>
      </c>
      <c r="BD178" s="45"/>
      <c r="BE178" s="45"/>
      <c r="BF178" s="45"/>
      <c r="BG178" s="45"/>
      <c r="BH178" s="45"/>
      <c r="BI178" s="45"/>
      <c r="BJ178" s="45"/>
      <c r="BK178" s="45"/>
      <c r="BL178" s="45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 t="e">
        <f t="shared" si="85"/>
        <v>#DIV/0!</v>
      </c>
      <c r="BW178" s="53" t="e">
        <f t="shared" si="86"/>
        <v>#DIV/0!</v>
      </c>
      <c r="BX178" s="53" t="e">
        <f t="shared" si="87"/>
        <v>#DIV/0!</v>
      </c>
      <c r="BY178" s="53" t="e">
        <f t="shared" si="88"/>
        <v>#DIV/0!</v>
      </c>
      <c r="BZ178" s="53" t="e">
        <f t="shared" si="89"/>
        <v>#DIV/0!</v>
      </c>
      <c r="CA178" s="53" t="e">
        <f t="shared" si="90"/>
        <v>#DIV/0!</v>
      </c>
      <c r="CB178" s="53" t="e">
        <f t="shared" si="91"/>
        <v>#DIV/0!</v>
      </c>
      <c r="CC178" s="53" t="e">
        <f t="shared" si="92"/>
        <v>#DIV/0!</v>
      </c>
      <c r="CD178" s="53" t="e">
        <f t="shared" si="93"/>
        <v>#DIV/0!</v>
      </c>
      <c r="CE178" s="55">
        <f t="shared" si="102"/>
        <v>0</v>
      </c>
      <c r="CF178" s="55">
        <f t="shared" si="100"/>
        <v>0</v>
      </c>
      <c r="CG178" s="55">
        <f t="shared" si="100"/>
        <v>0</v>
      </c>
      <c r="CH178" s="55">
        <f t="shared" si="100"/>
        <v>0</v>
      </c>
      <c r="CI178" s="55">
        <f t="shared" si="100"/>
        <v>0</v>
      </c>
      <c r="CJ178" s="55">
        <f t="shared" si="100"/>
        <v>0</v>
      </c>
      <c r="CK178" s="55">
        <f t="shared" si="100"/>
        <v>0</v>
      </c>
      <c r="CL178" s="55">
        <f t="shared" si="100"/>
        <v>0</v>
      </c>
      <c r="CM178" s="55">
        <f t="shared" si="100"/>
        <v>0</v>
      </c>
    </row>
    <row r="179" spans="1:91" x14ac:dyDescent="0.15">
      <c r="A179" s="42">
        <v>177</v>
      </c>
      <c r="B179" s="45">
        <f t="shared" si="107"/>
        <v>1</v>
      </c>
      <c r="C179" s="45">
        <f t="shared" si="106"/>
        <v>1</v>
      </c>
      <c r="D179" s="45">
        <f t="shared" si="106"/>
        <v>1</v>
      </c>
      <c r="E179" s="45">
        <f t="shared" si="106"/>
        <v>1</v>
      </c>
      <c r="F179" s="45">
        <f t="shared" si="106"/>
        <v>1</v>
      </c>
      <c r="G179" s="45">
        <f t="shared" si="106"/>
        <v>1</v>
      </c>
      <c r="H179" s="45">
        <f t="shared" si="106"/>
        <v>1</v>
      </c>
      <c r="I179" s="45">
        <f t="shared" si="106"/>
        <v>1</v>
      </c>
      <c r="J179" s="45">
        <f t="shared" si="106"/>
        <v>1</v>
      </c>
      <c r="K179" s="45" t="e">
        <f>K178+ATM_Conf!$C$5*(T178-AC178)</f>
        <v>#DIV/0!</v>
      </c>
      <c r="L179" s="45" t="e">
        <f>L178+ATM_Conf!$C$5*(U178-AD178)</f>
        <v>#DIV/0!</v>
      </c>
      <c r="M179" s="45" t="e">
        <f>M178+ATM_Conf!$C$5*(V178-AE178)</f>
        <v>#DIV/0!</v>
      </c>
      <c r="N179" s="45" t="e">
        <f>N178+ATM_Conf!$C$5*(W178-AF178)</f>
        <v>#DIV/0!</v>
      </c>
      <c r="O179" s="45" t="e">
        <f>O178+ATM_Conf!$C$5*(X178-AG178)</f>
        <v>#DIV/0!</v>
      </c>
      <c r="P179" s="45" t="e">
        <f>P178+ATM_Conf!$C$5*(Y178-AH178)</f>
        <v>#DIV/0!</v>
      </c>
      <c r="Q179" s="45" t="e">
        <f>Q178+ATM_Conf!$C$5*(Z178-AI178)</f>
        <v>#DIV/0!</v>
      </c>
      <c r="R179" s="45" t="e">
        <f>R178+ATM_Conf!$C$5*(AA178-AJ178)</f>
        <v>#DIV/0!</v>
      </c>
      <c r="S179" s="45" t="e">
        <f>S178+ATM_Conf!$C$5*(AB178-AK178)</f>
        <v>#DIV/0!</v>
      </c>
      <c r="T179" s="45"/>
      <c r="U179" s="45"/>
      <c r="V179" s="45"/>
      <c r="W179" s="45"/>
      <c r="X179" s="45"/>
      <c r="Y179" s="45"/>
      <c r="Z179" s="45"/>
      <c r="AA179" s="45"/>
      <c r="AB179" s="45"/>
      <c r="AC179" s="45" t="e">
        <f t="shared" si="76"/>
        <v>#DIV/0!</v>
      </c>
      <c r="AD179" s="45" t="e">
        <f t="shared" si="77"/>
        <v>#DIV/0!</v>
      </c>
      <c r="AE179" s="45" t="e">
        <f t="shared" si="78"/>
        <v>#DIV/0!</v>
      </c>
      <c r="AF179" s="45" t="e">
        <f t="shared" si="79"/>
        <v>#DIV/0!</v>
      </c>
      <c r="AG179" s="45" t="e">
        <f t="shared" si="80"/>
        <v>#DIV/0!</v>
      </c>
      <c r="AH179" s="45" t="e">
        <f t="shared" si="81"/>
        <v>#DIV/0!</v>
      </c>
      <c r="AI179" s="45" t="e">
        <f t="shared" si="82"/>
        <v>#DIV/0!</v>
      </c>
      <c r="AJ179" s="45" t="e">
        <f t="shared" si="83"/>
        <v>#DIV/0!</v>
      </c>
      <c r="AK179" s="45" t="e">
        <f t="shared" si="84"/>
        <v>#DIV/0!</v>
      </c>
      <c r="AL179" s="45" t="e">
        <f>T$3+K179/ATM_Conf!$C$5</f>
        <v>#DIV/0!</v>
      </c>
      <c r="AM179" s="45" t="e">
        <f>U$3+L179/ATM_Conf!$C$5</f>
        <v>#DIV/0!</v>
      </c>
      <c r="AN179" s="45" t="e">
        <f>V$3+M179/ATM_Conf!$C$5</f>
        <v>#DIV/0!</v>
      </c>
      <c r="AO179" s="45" t="e">
        <f>W$3+N179/ATM_Conf!$C$5</f>
        <v>#DIV/0!</v>
      </c>
      <c r="AP179" s="45" t="e">
        <f>X$3+O179/ATM_Conf!$C$5</f>
        <v>#DIV/0!</v>
      </c>
      <c r="AQ179" s="45" t="e">
        <f>Y$3+P179/ATM_Conf!$C$5</f>
        <v>#DIV/0!</v>
      </c>
      <c r="AR179" s="45" t="e">
        <f>Z$3+Q179/ATM_Conf!$C$5</f>
        <v>#DIV/0!</v>
      </c>
      <c r="AS179" s="45" t="e">
        <f>AA$3+R179/ATM_Conf!$C$5</f>
        <v>#DIV/0!</v>
      </c>
      <c r="AT179" s="45" t="e">
        <f>AB$3+S179/ATM_Conf!$C$5</f>
        <v>#DIV/0!</v>
      </c>
      <c r="AU179" s="45" t="e">
        <f>BD$3*MIN(1,(ATM_Conf!$C$6-Links!F179)/(ATM_Conf!$C$6-ATM_Conf!$C$7))</f>
        <v>#DIV/0!</v>
      </c>
      <c r="AV179" s="45" t="e">
        <f>BE$3*MIN(1,(ATM_Conf!$C$6-Links!G179)/(ATM_Conf!$C$6-ATM_Conf!$C$7))</f>
        <v>#DIV/0!</v>
      </c>
      <c r="AW179" s="45" t="e">
        <f>BF$3*MIN(1,(ATM_Conf!$C$6-Links!H179)/(ATM_Conf!$C$6-ATM_Conf!$C$7))</f>
        <v>#DIV/0!</v>
      </c>
      <c r="AX179" s="45" t="e">
        <f>BG$3*MIN(1,(ATM_Conf!$C$6-Links!I179)/(ATM_Conf!$C$6-ATM_Conf!$C$7))</f>
        <v>#DIV/0!</v>
      </c>
      <c r="AY179" s="45" t="e">
        <f>BH$3*MIN(1,(ATM_Conf!$C$6-Links!J179)/(ATM_Conf!$C$6-ATM_Conf!$C$7))</f>
        <v>#DIV/0!</v>
      </c>
      <c r="AZ179" s="45" t="e">
        <f>BI$3*MIN(1,(ATM_Conf!$C$6-Links!K179)/(ATM_Conf!$C$6-ATM_Conf!$C$7))</f>
        <v>#DIV/0!</v>
      </c>
      <c r="BA179" s="45" t="e">
        <f>BJ$3*MIN(1,(ATM_Conf!$C$6-Links!L179)/(ATM_Conf!$C$6-ATM_Conf!$C$7))</f>
        <v>#DIV/0!</v>
      </c>
      <c r="BB179" s="45" t="e">
        <f>BK$3*MIN(1,(ATM_Conf!$C$6-Links!M179)/(ATM_Conf!$C$6-ATM_Conf!$C$7))</f>
        <v>#DIV/0!</v>
      </c>
      <c r="BC179" s="45" t="e">
        <f>BL$3*MIN(1,(ATM_Conf!$C$6-Links!N179)/(ATM_Conf!$C$6-ATM_Conf!$C$7))</f>
        <v>#DIV/0!</v>
      </c>
      <c r="BD179" s="45"/>
      <c r="BE179" s="45"/>
      <c r="BF179" s="45"/>
      <c r="BG179" s="45"/>
      <c r="BH179" s="45"/>
      <c r="BI179" s="45"/>
      <c r="BJ179" s="45"/>
      <c r="BK179" s="45"/>
      <c r="BL179" s="45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 t="e">
        <f t="shared" si="85"/>
        <v>#DIV/0!</v>
      </c>
      <c r="BW179" s="53" t="e">
        <f t="shared" si="86"/>
        <v>#DIV/0!</v>
      </c>
      <c r="BX179" s="53" t="e">
        <f t="shared" si="87"/>
        <v>#DIV/0!</v>
      </c>
      <c r="BY179" s="53" t="e">
        <f t="shared" si="88"/>
        <v>#DIV/0!</v>
      </c>
      <c r="BZ179" s="53" t="e">
        <f t="shared" si="89"/>
        <v>#DIV/0!</v>
      </c>
      <c r="CA179" s="53" t="e">
        <f t="shared" si="90"/>
        <v>#DIV/0!</v>
      </c>
      <c r="CB179" s="53" t="e">
        <f t="shared" si="91"/>
        <v>#DIV/0!</v>
      </c>
      <c r="CC179" s="53" t="e">
        <f t="shared" si="92"/>
        <v>#DIV/0!</v>
      </c>
      <c r="CD179" s="53" t="e">
        <f t="shared" si="93"/>
        <v>#DIV/0!</v>
      </c>
      <c r="CE179" s="55">
        <f t="shared" si="102"/>
        <v>0</v>
      </c>
      <c r="CF179" s="55">
        <f t="shared" si="100"/>
        <v>0</v>
      </c>
      <c r="CG179" s="55">
        <f t="shared" si="100"/>
        <v>0</v>
      </c>
      <c r="CH179" s="55">
        <f t="shared" si="100"/>
        <v>0</v>
      </c>
      <c r="CI179" s="55">
        <f t="shared" si="100"/>
        <v>0</v>
      </c>
      <c r="CJ179" s="55">
        <f t="shared" si="100"/>
        <v>0</v>
      </c>
      <c r="CK179" s="55">
        <f t="shared" si="100"/>
        <v>0</v>
      </c>
      <c r="CL179" s="55">
        <f t="shared" si="100"/>
        <v>0</v>
      </c>
      <c r="CM179" s="55">
        <f t="shared" si="100"/>
        <v>0</v>
      </c>
    </row>
    <row r="180" spans="1:91" x14ac:dyDescent="0.15">
      <c r="A180" s="42">
        <v>178</v>
      </c>
      <c r="B180" s="45">
        <f t="shared" si="107"/>
        <v>1</v>
      </c>
      <c r="C180" s="45">
        <f t="shared" si="106"/>
        <v>1</v>
      </c>
      <c r="D180" s="45">
        <f t="shared" si="106"/>
        <v>1</v>
      </c>
      <c r="E180" s="45">
        <f t="shared" si="106"/>
        <v>1</v>
      </c>
      <c r="F180" s="45">
        <f t="shared" si="106"/>
        <v>1</v>
      </c>
      <c r="G180" s="45">
        <f t="shared" si="106"/>
        <v>1</v>
      </c>
      <c r="H180" s="45">
        <f t="shared" si="106"/>
        <v>1</v>
      </c>
      <c r="I180" s="45">
        <f t="shared" si="106"/>
        <v>1</v>
      </c>
      <c r="J180" s="45">
        <f t="shared" si="106"/>
        <v>1</v>
      </c>
      <c r="K180" s="45" t="e">
        <f>K179+ATM_Conf!$C$5*(T179-AC179)</f>
        <v>#DIV/0!</v>
      </c>
      <c r="L180" s="45" t="e">
        <f>L179+ATM_Conf!$C$5*(U179-AD179)</f>
        <v>#DIV/0!</v>
      </c>
      <c r="M180" s="45" t="e">
        <f>M179+ATM_Conf!$C$5*(V179-AE179)</f>
        <v>#DIV/0!</v>
      </c>
      <c r="N180" s="45" t="e">
        <f>N179+ATM_Conf!$C$5*(W179-AF179)</f>
        <v>#DIV/0!</v>
      </c>
      <c r="O180" s="45" t="e">
        <f>O179+ATM_Conf!$C$5*(X179-AG179)</f>
        <v>#DIV/0!</v>
      </c>
      <c r="P180" s="45" t="e">
        <f>P179+ATM_Conf!$C$5*(Y179-AH179)</f>
        <v>#DIV/0!</v>
      </c>
      <c r="Q180" s="45" t="e">
        <f>Q179+ATM_Conf!$C$5*(Z179-AI179)</f>
        <v>#DIV/0!</v>
      </c>
      <c r="R180" s="45" t="e">
        <f>R179+ATM_Conf!$C$5*(AA179-AJ179)</f>
        <v>#DIV/0!</v>
      </c>
      <c r="S180" s="45" t="e">
        <f>S179+ATM_Conf!$C$5*(AB179-AK179)</f>
        <v>#DIV/0!</v>
      </c>
      <c r="T180" s="45"/>
      <c r="U180" s="45"/>
      <c r="V180" s="45"/>
      <c r="W180" s="45"/>
      <c r="X180" s="45"/>
      <c r="Y180" s="45"/>
      <c r="Z180" s="45"/>
      <c r="AA180" s="45"/>
      <c r="AB180" s="45"/>
      <c r="AC180" s="45" t="e">
        <f t="shared" si="76"/>
        <v>#DIV/0!</v>
      </c>
      <c r="AD180" s="45" t="e">
        <f t="shared" si="77"/>
        <v>#DIV/0!</v>
      </c>
      <c r="AE180" s="45" t="e">
        <f t="shared" si="78"/>
        <v>#DIV/0!</v>
      </c>
      <c r="AF180" s="45" t="e">
        <f t="shared" si="79"/>
        <v>#DIV/0!</v>
      </c>
      <c r="AG180" s="45" t="e">
        <f t="shared" si="80"/>
        <v>#DIV/0!</v>
      </c>
      <c r="AH180" s="45" t="e">
        <f t="shared" si="81"/>
        <v>#DIV/0!</v>
      </c>
      <c r="AI180" s="45" t="e">
        <f t="shared" si="82"/>
        <v>#DIV/0!</v>
      </c>
      <c r="AJ180" s="45" t="e">
        <f t="shared" si="83"/>
        <v>#DIV/0!</v>
      </c>
      <c r="AK180" s="45" t="e">
        <f t="shared" si="84"/>
        <v>#DIV/0!</v>
      </c>
      <c r="AL180" s="45" t="e">
        <f>T$3+K180/ATM_Conf!$C$5</f>
        <v>#DIV/0!</v>
      </c>
      <c r="AM180" s="45" t="e">
        <f>U$3+L180/ATM_Conf!$C$5</f>
        <v>#DIV/0!</v>
      </c>
      <c r="AN180" s="45" t="e">
        <f>V$3+M180/ATM_Conf!$C$5</f>
        <v>#DIV/0!</v>
      </c>
      <c r="AO180" s="45" t="e">
        <f>W$3+N180/ATM_Conf!$C$5</f>
        <v>#DIV/0!</v>
      </c>
      <c r="AP180" s="45" t="e">
        <f>X$3+O180/ATM_Conf!$C$5</f>
        <v>#DIV/0!</v>
      </c>
      <c r="AQ180" s="45" t="e">
        <f>Y$3+P180/ATM_Conf!$C$5</f>
        <v>#DIV/0!</v>
      </c>
      <c r="AR180" s="45" t="e">
        <f>Z$3+Q180/ATM_Conf!$C$5</f>
        <v>#DIV/0!</v>
      </c>
      <c r="AS180" s="45" t="e">
        <f>AA$3+R180/ATM_Conf!$C$5</f>
        <v>#DIV/0!</v>
      </c>
      <c r="AT180" s="45" t="e">
        <f>AB$3+S180/ATM_Conf!$C$5</f>
        <v>#DIV/0!</v>
      </c>
      <c r="AU180" s="45" t="e">
        <f>BD$3*MIN(1,(ATM_Conf!$C$6-Links!F180)/(ATM_Conf!$C$6-ATM_Conf!$C$7))</f>
        <v>#DIV/0!</v>
      </c>
      <c r="AV180" s="45" t="e">
        <f>BE$3*MIN(1,(ATM_Conf!$C$6-Links!G180)/(ATM_Conf!$C$6-ATM_Conf!$C$7))</f>
        <v>#DIV/0!</v>
      </c>
      <c r="AW180" s="45" t="e">
        <f>BF$3*MIN(1,(ATM_Conf!$C$6-Links!H180)/(ATM_Conf!$C$6-ATM_Conf!$C$7))</f>
        <v>#DIV/0!</v>
      </c>
      <c r="AX180" s="45" t="e">
        <f>BG$3*MIN(1,(ATM_Conf!$C$6-Links!I180)/(ATM_Conf!$C$6-ATM_Conf!$C$7))</f>
        <v>#DIV/0!</v>
      </c>
      <c r="AY180" s="45" t="e">
        <f>BH$3*MIN(1,(ATM_Conf!$C$6-Links!J180)/(ATM_Conf!$C$6-ATM_Conf!$C$7))</f>
        <v>#DIV/0!</v>
      </c>
      <c r="AZ180" s="45" t="e">
        <f>BI$3*MIN(1,(ATM_Conf!$C$6-Links!K180)/(ATM_Conf!$C$6-ATM_Conf!$C$7))</f>
        <v>#DIV/0!</v>
      </c>
      <c r="BA180" s="45" t="e">
        <f>BJ$3*MIN(1,(ATM_Conf!$C$6-Links!L180)/(ATM_Conf!$C$6-ATM_Conf!$C$7))</f>
        <v>#DIV/0!</v>
      </c>
      <c r="BB180" s="45" t="e">
        <f>BK$3*MIN(1,(ATM_Conf!$C$6-Links!M180)/(ATM_Conf!$C$6-ATM_Conf!$C$7))</f>
        <v>#DIV/0!</v>
      </c>
      <c r="BC180" s="45" t="e">
        <f>BL$3*MIN(1,(ATM_Conf!$C$6-Links!N180)/(ATM_Conf!$C$6-ATM_Conf!$C$7))</f>
        <v>#DIV/0!</v>
      </c>
      <c r="BD180" s="45"/>
      <c r="BE180" s="45"/>
      <c r="BF180" s="45"/>
      <c r="BG180" s="45"/>
      <c r="BH180" s="45"/>
      <c r="BI180" s="45"/>
      <c r="BJ180" s="45"/>
      <c r="BK180" s="45"/>
      <c r="BL180" s="45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 t="e">
        <f t="shared" si="85"/>
        <v>#DIV/0!</v>
      </c>
      <c r="BW180" s="53" t="e">
        <f t="shared" si="86"/>
        <v>#DIV/0!</v>
      </c>
      <c r="BX180" s="53" t="e">
        <f t="shared" si="87"/>
        <v>#DIV/0!</v>
      </c>
      <c r="BY180" s="53" t="e">
        <f t="shared" si="88"/>
        <v>#DIV/0!</v>
      </c>
      <c r="BZ180" s="53" t="e">
        <f t="shared" si="89"/>
        <v>#DIV/0!</v>
      </c>
      <c r="CA180" s="53" t="e">
        <f t="shared" si="90"/>
        <v>#DIV/0!</v>
      </c>
      <c r="CB180" s="53" t="e">
        <f t="shared" si="91"/>
        <v>#DIV/0!</v>
      </c>
      <c r="CC180" s="53" t="e">
        <f t="shared" si="92"/>
        <v>#DIV/0!</v>
      </c>
      <c r="CD180" s="53" t="e">
        <f t="shared" si="93"/>
        <v>#DIV/0!</v>
      </c>
      <c r="CE180" s="55">
        <f t="shared" si="102"/>
        <v>0</v>
      </c>
      <c r="CF180" s="55">
        <f t="shared" si="100"/>
        <v>0</v>
      </c>
      <c r="CG180" s="55">
        <f t="shared" si="100"/>
        <v>0</v>
      </c>
      <c r="CH180" s="55">
        <f t="shared" si="100"/>
        <v>0</v>
      </c>
      <c r="CI180" s="55">
        <f t="shared" si="100"/>
        <v>0</v>
      </c>
      <c r="CJ180" s="55">
        <f t="shared" si="100"/>
        <v>0</v>
      </c>
      <c r="CK180" s="55">
        <f t="shared" si="100"/>
        <v>0</v>
      </c>
      <c r="CL180" s="55">
        <f t="shared" si="100"/>
        <v>0</v>
      </c>
      <c r="CM180" s="55">
        <f t="shared" si="100"/>
        <v>0</v>
      </c>
    </row>
    <row r="181" spans="1:91" x14ac:dyDescent="0.15">
      <c r="A181" s="42">
        <v>179</v>
      </c>
      <c r="B181" s="45">
        <f t="shared" si="107"/>
        <v>1</v>
      </c>
      <c r="C181" s="45">
        <f t="shared" si="106"/>
        <v>1</v>
      </c>
      <c r="D181" s="45">
        <f t="shared" si="106"/>
        <v>1</v>
      </c>
      <c r="E181" s="45">
        <f t="shared" si="106"/>
        <v>1</v>
      </c>
      <c r="F181" s="45">
        <f t="shared" si="106"/>
        <v>1</v>
      </c>
      <c r="G181" s="45">
        <f t="shared" si="106"/>
        <v>1</v>
      </c>
      <c r="H181" s="45">
        <f t="shared" si="106"/>
        <v>1</v>
      </c>
      <c r="I181" s="45">
        <f t="shared" si="106"/>
        <v>1</v>
      </c>
      <c r="J181" s="45">
        <f t="shared" si="106"/>
        <v>1</v>
      </c>
      <c r="K181" s="45" t="e">
        <f>K180+ATM_Conf!$C$5*(T180-AC180)</f>
        <v>#DIV/0!</v>
      </c>
      <c r="L181" s="45" t="e">
        <f>L180+ATM_Conf!$C$5*(U180-AD180)</f>
        <v>#DIV/0!</v>
      </c>
      <c r="M181" s="45" t="e">
        <f>M180+ATM_Conf!$C$5*(V180-AE180)</f>
        <v>#DIV/0!</v>
      </c>
      <c r="N181" s="45" t="e">
        <f>N180+ATM_Conf!$C$5*(W180-AF180)</f>
        <v>#DIV/0!</v>
      </c>
      <c r="O181" s="45" t="e">
        <f>O180+ATM_Conf!$C$5*(X180-AG180)</f>
        <v>#DIV/0!</v>
      </c>
      <c r="P181" s="45" t="e">
        <f>P180+ATM_Conf!$C$5*(Y180-AH180)</f>
        <v>#DIV/0!</v>
      </c>
      <c r="Q181" s="45" t="e">
        <f>Q180+ATM_Conf!$C$5*(Z180-AI180)</f>
        <v>#DIV/0!</v>
      </c>
      <c r="R181" s="45" t="e">
        <f>R180+ATM_Conf!$C$5*(AA180-AJ180)</f>
        <v>#DIV/0!</v>
      </c>
      <c r="S181" s="45" t="e">
        <f>S180+ATM_Conf!$C$5*(AB180-AK180)</f>
        <v>#DIV/0!</v>
      </c>
      <c r="T181" s="45"/>
      <c r="U181" s="45"/>
      <c r="V181" s="45"/>
      <c r="W181" s="45"/>
      <c r="X181" s="45"/>
      <c r="Y181" s="45"/>
      <c r="Z181" s="45"/>
      <c r="AA181" s="45"/>
      <c r="AB181" s="45"/>
      <c r="AC181" s="45" t="e">
        <f t="shared" si="76"/>
        <v>#DIV/0!</v>
      </c>
      <c r="AD181" s="45" t="e">
        <f t="shared" si="77"/>
        <v>#DIV/0!</v>
      </c>
      <c r="AE181" s="45" t="e">
        <f t="shared" si="78"/>
        <v>#DIV/0!</v>
      </c>
      <c r="AF181" s="45" t="e">
        <f t="shared" si="79"/>
        <v>#DIV/0!</v>
      </c>
      <c r="AG181" s="45" t="e">
        <f t="shared" si="80"/>
        <v>#DIV/0!</v>
      </c>
      <c r="AH181" s="45" t="e">
        <f t="shared" si="81"/>
        <v>#DIV/0!</v>
      </c>
      <c r="AI181" s="45" t="e">
        <f t="shared" si="82"/>
        <v>#DIV/0!</v>
      </c>
      <c r="AJ181" s="45" t="e">
        <f t="shared" si="83"/>
        <v>#DIV/0!</v>
      </c>
      <c r="AK181" s="45" t="e">
        <f t="shared" si="84"/>
        <v>#DIV/0!</v>
      </c>
      <c r="AL181" s="45" t="e">
        <f>T$3+K181/ATM_Conf!$C$5</f>
        <v>#DIV/0!</v>
      </c>
      <c r="AM181" s="45" t="e">
        <f>U$3+L181/ATM_Conf!$C$5</f>
        <v>#DIV/0!</v>
      </c>
      <c r="AN181" s="45" t="e">
        <f>V$3+M181/ATM_Conf!$C$5</f>
        <v>#DIV/0!</v>
      </c>
      <c r="AO181" s="45" t="e">
        <f>W$3+N181/ATM_Conf!$C$5</f>
        <v>#DIV/0!</v>
      </c>
      <c r="AP181" s="45" t="e">
        <f>X$3+O181/ATM_Conf!$C$5</f>
        <v>#DIV/0!</v>
      </c>
      <c r="AQ181" s="45" t="e">
        <f>Y$3+P181/ATM_Conf!$C$5</f>
        <v>#DIV/0!</v>
      </c>
      <c r="AR181" s="45" t="e">
        <f>Z$3+Q181/ATM_Conf!$C$5</f>
        <v>#DIV/0!</v>
      </c>
      <c r="AS181" s="45" t="e">
        <f>AA$3+R181/ATM_Conf!$C$5</f>
        <v>#DIV/0!</v>
      </c>
      <c r="AT181" s="45" t="e">
        <f>AB$3+S181/ATM_Conf!$C$5</f>
        <v>#DIV/0!</v>
      </c>
      <c r="AU181" s="45" t="e">
        <f>BD$3*MIN(1,(ATM_Conf!$C$6-Links!F181)/(ATM_Conf!$C$6-ATM_Conf!$C$7))</f>
        <v>#DIV/0!</v>
      </c>
      <c r="AV181" s="45" t="e">
        <f>BE$3*MIN(1,(ATM_Conf!$C$6-Links!G181)/(ATM_Conf!$C$6-ATM_Conf!$C$7))</f>
        <v>#DIV/0!</v>
      </c>
      <c r="AW181" s="45" t="e">
        <f>BF$3*MIN(1,(ATM_Conf!$C$6-Links!H181)/(ATM_Conf!$C$6-ATM_Conf!$C$7))</f>
        <v>#DIV/0!</v>
      </c>
      <c r="AX181" s="45" t="e">
        <f>BG$3*MIN(1,(ATM_Conf!$C$6-Links!I181)/(ATM_Conf!$C$6-ATM_Conf!$C$7))</f>
        <v>#DIV/0!</v>
      </c>
      <c r="AY181" s="45" t="e">
        <f>BH$3*MIN(1,(ATM_Conf!$C$6-Links!J181)/(ATM_Conf!$C$6-ATM_Conf!$C$7))</f>
        <v>#DIV/0!</v>
      </c>
      <c r="AZ181" s="45" t="e">
        <f>BI$3*MIN(1,(ATM_Conf!$C$6-Links!K181)/(ATM_Conf!$C$6-ATM_Conf!$C$7))</f>
        <v>#DIV/0!</v>
      </c>
      <c r="BA181" s="45" t="e">
        <f>BJ$3*MIN(1,(ATM_Conf!$C$6-Links!L181)/(ATM_Conf!$C$6-ATM_Conf!$C$7))</f>
        <v>#DIV/0!</v>
      </c>
      <c r="BB181" s="45" t="e">
        <f>BK$3*MIN(1,(ATM_Conf!$C$6-Links!M181)/(ATM_Conf!$C$6-ATM_Conf!$C$7))</f>
        <v>#DIV/0!</v>
      </c>
      <c r="BC181" s="45" t="e">
        <f>BL$3*MIN(1,(ATM_Conf!$C$6-Links!N181)/(ATM_Conf!$C$6-ATM_Conf!$C$7))</f>
        <v>#DIV/0!</v>
      </c>
      <c r="BD181" s="45"/>
      <c r="BE181" s="45"/>
      <c r="BF181" s="45"/>
      <c r="BG181" s="45"/>
      <c r="BH181" s="45"/>
      <c r="BI181" s="45"/>
      <c r="BJ181" s="45"/>
      <c r="BK181" s="45"/>
      <c r="BL181" s="45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 t="e">
        <f t="shared" si="85"/>
        <v>#DIV/0!</v>
      </c>
      <c r="BW181" s="53" t="e">
        <f t="shared" si="86"/>
        <v>#DIV/0!</v>
      </c>
      <c r="BX181" s="53" t="e">
        <f t="shared" si="87"/>
        <v>#DIV/0!</v>
      </c>
      <c r="BY181" s="53" t="e">
        <f t="shared" si="88"/>
        <v>#DIV/0!</v>
      </c>
      <c r="BZ181" s="53" t="e">
        <f t="shared" si="89"/>
        <v>#DIV/0!</v>
      </c>
      <c r="CA181" s="53" t="e">
        <f t="shared" si="90"/>
        <v>#DIV/0!</v>
      </c>
      <c r="CB181" s="53" t="e">
        <f t="shared" si="91"/>
        <v>#DIV/0!</v>
      </c>
      <c r="CC181" s="53" t="e">
        <f t="shared" si="92"/>
        <v>#DIV/0!</v>
      </c>
      <c r="CD181" s="53" t="e">
        <f t="shared" si="93"/>
        <v>#DIV/0!</v>
      </c>
      <c r="CE181" s="55">
        <f t="shared" si="102"/>
        <v>0</v>
      </c>
      <c r="CF181" s="55">
        <f t="shared" si="100"/>
        <v>0</v>
      </c>
      <c r="CG181" s="55">
        <f t="shared" si="100"/>
        <v>0</v>
      </c>
      <c r="CH181" s="55">
        <f t="shared" si="100"/>
        <v>0</v>
      </c>
      <c r="CI181" s="55">
        <f t="shared" si="100"/>
        <v>0</v>
      </c>
      <c r="CJ181" s="55">
        <f t="shared" si="100"/>
        <v>0</v>
      </c>
      <c r="CK181" s="55">
        <f t="shared" si="100"/>
        <v>0</v>
      </c>
      <c r="CL181" s="55">
        <f t="shared" si="100"/>
        <v>0</v>
      </c>
      <c r="CM181" s="55">
        <f t="shared" si="100"/>
        <v>0</v>
      </c>
    </row>
    <row r="182" spans="1:91" x14ac:dyDescent="0.15">
      <c r="A182" s="42">
        <v>180</v>
      </c>
      <c r="B182" s="45">
        <f t="shared" si="107"/>
        <v>1</v>
      </c>
      <c r="C182" s="45">
        <f t="shared" si="106"/>
        <v>1</v>
      </c>
      <c r="D182" s="45">
        <f t="shared" si="106"/>
        <v>1</v>
      </c>
      <c r="E182" s="45">
        <f t="shared" si="106"/>
        <v>1</v>
      </c>
      <c r="F182" s="45">
        <f t="shared" si="106"/>
        <v>1</v>
      </c>
      <c r="G182" s="45">
        <f t="shared" si="106"/>
        <v>1</v>
      </c>
      <c r="H182" s="45">
        <f t="shared" si="106"/>
        <v>1</v>
      </c>
      <c r="I182" s="45">
        <f t="shared" si="106"/>
        <v>1</v>
      </c>
      <c r="J182" s="45">
        <f t="shared" si="106"/>
        <v>1</v>
      </c>
      <c r="K182" s="45" t="e">
        <f>K181+ATM_Conf!$C$5*(T181-AC181)</f>
        <v>#DIV/0!</v>
      </c>
      <c r="L182" s="45" t="e">
        <f>L181+ATM_Conf!$C$5*(U181-AD181)</f>
        <v>#DIV/0!</v>
      </c>
      <c r="M182" s="45" t="e">
        <f>M181+ATM_Conf!$C$5*(V181-AE181)</f>
        <v>#DIV/0!</v>
      </c>
      <c r="N182" s="45" t="e">
        <f>N181+ATM_Conf!$C$5*(W181-AF181)</f>
        <v>#DIV/0!</v>
      </c>
      <c r="O182" s="45" t="e">
        <f>O181+ATM_Conf!$C$5*(X181-AG181)</f>
        <v>#DIV/0!</v>
      </c>
      <c r="P182" s="45" t="e">
        <f>P181+ATM_Conf!$C$5*(Y181-AH181)</f>
        <v>#DIV/0!</v>
      </c>
      <c r="Q182" s="45" t="e">
        <f>Q181+ATM_Conf!$C$5*(Z181-AI181)</f>
        <v>#DIV/0!</v>
      </c>
      <c r="R182" s="45" t="e">
        <f>R181+ATM_Conf!$C$5*(AA181-AJ181)</f>
        <v>#DIV/0!</v>
      </c>
      <c r="S182" s="45" t="e">
        <f>S181+ATM_Conf!$C$5*(AB181-AK181)</f>
        <v>#DIV/0!</v>
      </c>
      <c r="T182" s="45"/>
      <c r="U182" s="45"/>
      <c r="V182" s="45"/>
      <c r="W182" s="45"/>
      <c r="X182" s="45"/>
      <c r="Y182" s="45"/>
      <c r="Z182" s="45"/>
      <c r="AA182" s="45"/>
      <c r="AB182" s="45"/>
      <c r="AC182" s="45" t="e">
        <f t="shared" si="76"/>
        <v>#DIV/0!</v>
      </c>
      <c r="AD182" s="45" t="e">
        <f t="shared" si="77"/>
        <v>#DIV/0!</v>
      </c>
      <c r="AE182" s="45" t="e">
        <f t="shared" si="78"/>
        <v>#DIV/0!</v>
      </c>
      <c r="AF182" s="45" t="e">
        <f t="shared" si="79"/>
        <v>#DIV/0!</v>
      </c>
      <c r="AG182" s="45" t="e">
        <f t="shared" si="80"/>
        <v>#DIV/0!</v>
      </c>
      <c r="AH182" s="45" t="e">
        <f t="shared" si="81"/>
        <v>#DIV/0!</v>
      </c>
      <c r="AI182" s="45" t="e">
        <f t="shared" si="82"/>
        <v>#DIV/0!</v>
      </c>
      <c r="AJ182" s="45" t="e">
        <f t="shared" si="83"/>
        <v>#DIV/0!</v>
      </c>
      <c r="AK182" s="45" t="e">
        <f t="shared" si="84"/>
        <v>#DIV/0!</v>
      </c>
      <c r="AL182" s="45" t="e">
        <f>T$3+K182/ATM_Conf!$C$5</f>
        <v>#DIV/0!</v>
      </c>
      <c r="AM182" s="45" t="e">
        <f>U$3+L182/ATM_Conf!$C$5</f>
        <v>#DIV/0!</v>
      </c>
      <c r="AN182" s="45" t="e">
        <f>V$3+M182/ATM_Conf!$C$5</f>
        <v>#DIV/0!</v>
      </c>
      <c r="AO182" s="45" t="e">
        <f>W$3+N182/ATM_Conf!$C$5</f>
        <v>#DIV/0!</v>
      </c>
      <c r="AP182" s="45" t="e">
        <f>X$3+O182/ATM_Conf!$C$5</f>
        <v>#DIV/0!</v>
      </c>
      <c r="AQ182" s="45" t="e">
        <f>Y$3+P182/ATM_Conf!$C$5</f>
        <v>#DIV/0!</v>
      </c>
      <c r="AR182" s="45" t="e">
        <f>Z$3+Q182/ATM_Conf!$C$5</f>
        <v>#DIV/0!</v>
      </c>
      <c r="AS182" s="45" t="e">
        <f>AA$3+R182/ATM_Conf!$C$5</f>
        <v>#DIV/0!</v>
      </c>
      <c r="AT182" s="45" t="e">
        <f>AB$3+S182/ATM_Conf!$C$5</f>
        <v>#DIV/0!</v>
      </c>
      <c r="AU182" s="45" t="e">
        <f>BD$3*MIN(1,(ATM_Conf!$C$6-Links!F182)/(ATM_Conf!$C$6-ATM_Conf!$C$7))</f>
        <v>#DIV/0!</v>
      </c>
      <c r="AV182" s="45" t="e">
        <f>BE$3*MIN(1,(ATM_Conf!$C$6-Links!G182)/(ATM_Conf!$C$6-ATM_Conf!$C$7))</f>
        <v>#DIV/0!</v>
      </c>
      <c r="AW182" s="45" t="e">
        <f>BF$3*MIN(1,(ATM_Conf!$C$6-Links!H182)/(ATM_Conf!$C$6-ATM_Conf!$C$7))</f>
        <v>#DIV/0!</v>
      </c>
      <c r="AX182" s="45" t="e">
        <f>BG$3*MIN(1,(ATM_Conf!$C$6-Links!I182)/(ATM_Conf!$C$6-ATM_Conf!$C$7))</f>
        <v>#DIV/0!</v>
      </c>
      <c r="AY182" s="45" t="e">
        <f>BH$3*MIN(1,(ATM_Conf!$C$6-Links!J182)/(ATM_Conf!$C$6-ATM_Conf!$C$7))</f>
        <v>#DIV/0!</v>
      </c>
      <c r="AZ182" s="45" t="e">
        <f>BI$3*MIN(1,(ATM_Conf!$C$6-Links!K182)/(ATM_Conf!$C$6-ATM_Conf!$C$7))</f>
        <v>#DIV/0!</v>
      </c>
      <c r="BA182" s="45" t="e">
        <f>BJ$3*MIN(1,(ATM_Conf!$C$6-Links!L182)/(ATM_Conf!$C$6-ATM_Conf!$C$7))</f>
        <v>#DIV/0!</v>
      </c>
      <c r="BB182" s="45" t="e">
        <f>BK$3*MIN(1,(ATM_Conf!$C$6-Links!M182)/(ATM_Conf!$C$6-ATM_Conf!$C$7))</f>
        <v>#DIV/0!</v>
      </c>
      <c r="BC182" s="45" t="e">
        <f>BL$3*MIN(1,(ATM_Conf!$C$6-Links!N182)/(ATM_Conf!$C$6-ATM_Conf!$C$7))</f>
        <v>#DIV/0!</v>
      </c>
      <c r="BD182" s="45"/>
      <c r="BE182" s="45"/>
      <c r="BF182" s="45"/>
      <c r="BG182" s="45"/>
      <c r="BH182" s="45"/>
      <c r="BI182" s="45"/>
      <c r="BJ182" s="45"/>
      <c r="BK182" s="45"/>
      <c r="BL182" s="45"/>
      <c r="BM182" s="56">
        <f>12*SUM(BM3:BU181)</f>
        <v>0</v>
      </c>
      <c r="BN182" s="53"/>
      <c r="BO182" s="53"/>
      <c r="BP182" s="53"/>
      <c r="BQ182" s="53"/>
      <c r="BR182" s="53"/>
      <c r="BS182" s="53"/>
      <c r="BT182" s="53"/>
      <c r="BU182" s="53"/>
      <c r="BV182" s="53" t="e">
        <f t="shared" si="85"/>
        <v>#DIV/0!</v>
      </c>
      <c r="BW182" s="53" t="e">
        <f t="shared" si="86"/>
        <v>#DIV/0!</v>
      </c>
      <c r="BX182" s="53" t="e">
        <f t="shared" si="87"/>
        <v>#DIV/0!</v>
      </c>
      <c r="BY182" s="53" t="e">
        <f t="shared" si="88"/>
        <v>#DIV/0!</v>
      </c>
      <c r="BZ182" s="53" t="e">
        <f t="shared" si="89"/>
        <v>#DIV/0!</v>
      </c>
      <c r="CA182" s="53" t="e">
        <f t="shared" si="90"/>
        <v>#DIV/0!</v>
      </c>
      <c r="CB182" s="53" t="e">
        <f t="shared" si="91"/>
        <v>#DIV/0!</v>
      </c>
      <c r="CC182" s="53" t="e">
        <f t="shared" si="92"/>
        <v>#DIV/0!</v>
      </c>
      <c r="CD182" s="53" t="e">
        <f t="shared" si="93"/>
        <v>#DIV/0!</v>
      </c>
      <c r="CE182" s="55"/>
      <c r="CF182" s="55"/>
      <c r="CG182" s="55"/>
      <c r="CH182" s="55"/>
      <c r="CI182" s="55"/>
      <c r="CJ182" s="55"/>
      <c r="CK182" s="55"/>
      <c r="CL182" s="55"/>
      <c r="CM182" s="55"/>
    </row>
    <row r="183" spans="1:91" x14ac:dyDescent="0.15">
      <c r="K183" s="66" t="e">
        <f>SUM(K4:S182)</f>
        <v>#DIV/0!</v>
      </c>
      <c r="BV183" s="66" t="e">
        <f>SUM(BV4:CD182)</f>
        <v>#DIV/0!</v>
      </c>
    </row>
    <row r="188" spans="1:91" x14ac:dyDescent="0.15">
      <c r="B188" s="83" t="s">
        <v>196</v>
      </c>
      <c r="C188" s="83"/>
      <c r="D188" s="83"/>
      <c r="E188" s="83"/>
      <c r="F188" s="83"/>
      <c r="G188" s="83"/>
      <c r="H188" s="83"/>
      <c r="I188" s="83"/>
      <c r="J188" s="83"/>
      <c r="K188" s="83" t="s">
        <v>205</v>
      </c>
      <c r="L188" s="83"/>
      <c r="M188" s="83"/>
      <c r="N188" s="83"/>
      <c r="O188" s="83"/>
      <c r="P188" s="83"/>
      <c r="Q188" s="83"/>
      <c r="R188" s="83"/>
      <c r="S188" s="83"/>
      <c r="T188" s="83" t="s">
        <v>214</v>
      </c>
      <c r="U188" s="83"/>
      <c r="V188" s="83"/>
      <c r="W188" s="83"/>
      <c r="X188" s="83"/>
      <c r="Y188" s="83"/>
      <c r="Z188" s="83"/>
      <c r="AA188" s="83"/>
      <c r="AB188" s="83"/>
    </row>
    <row r="189" spans="1:91" x14ac:dyDescent="0.15">
      <c r="B189" s="41">
        <v>1</v>
      </c>
      <c r="C189" s="41">
        <v>2</v>
      </c>
      <c r="D189" s="41">
        <v>3</v>
      </c>
      <c r="E189" s="41">
        <v>4</v>
      </c>
      <c r="F189" s="41">
        <v>5</v>
      </c>
      <c r="G189" s="41">
        <v>6</v>
      </c>
      <c r="H189" s="41">
        <v>7</v>
      </c>
      <c r="I189" s="41">
        <v>8</v>
      </c>
      <c r="J189" s="41">
        <v>9</v>
      </c>
      <c r="K189" s="41">
        <v>1</v>
      </c>
      <c r="L189" s="41">
        <v>2</v>
      </c>
      <c r="M189" s="41">
        <v>3</v>
      </c>
      <c r="N189" s="41">
        <v>4</v>
      </c>
      <c r="O189" s="41">
        <v>5</v>
      </c>
      <c r="P189" s="41">
        <v>6</v>
      </c>
      <c r="Q189" s="41">
        <v>7</v>
      </c>
      <c r="R189" s="41">
        <v>8</v>
      </c>
      <c r="S189" s="41">
        <v>9</v>
      </c>
      <c r="T189" s="41">
        <v>1</v>
      </c>
      <c r="U189" s="41">
        <v>2</v>
      </c>
      <c r="V189" s="41">
        <v>3</v>
      </c>
      <c r="W189" s="41">
        <v>4</v>
      </c>
      <c r="X189" s="41">
        <v>5</v>
      </c>
      <c r="Y189" s="41">
        <v>6</v>
      </c>
      <c r="Z189" s="41">
        <v>7</v>
      </c>
      <c r="AA189" s="41">
        <v>8</v>
      </c>
      <c r="AB189" s="41">
        <v>9</v>
      </c>
    </row>
    <row r="190" spans="1:91" x14ac:dyDescent="0.15">
      <c r="B190" s="43">
        <v>1</v>
      </c>
      <c r="C190" s="43">
        <v>1</v>
      </c>
      <c r="D190" s="43">
        <v>1</v>
      </c>
      <c r="E190" s="43">
        <v>1</v>
      </c>
      <c r="F190" s="43">
        <v>1</v>
      </c>
      <c r="G190" s="43">
        <v>1</v>
      </c>
      <c r="H190" s="43">
        <v>1</v>
      </c>
      <c r="I190" s="43">
        <v>1</v>
      </c>
      <c r="J190" s="43">
        <v>1</v>
      </c>
      <c r="K190" s="43">
        <v>1</v>
      </c>
      <c r="L190" s="43">
        <v>1</v>
      </c>
      <c r="M190" s="43">
        <v>1</v>
      </c>
      <c r="N190" s="43">
        <v>1</v>
      </c>
      <c r="O190" s="43">
        <v>1</v>
      </c>
      <c r="P190" s="43">
        <v>1</v>
      </c>
      <c r="Q190" s="43">
        <v>1</v>
      </c>
      <c r="R190" s="43">
        <v>1</v>
      </c>
      <c r="S190" s="43">
        <v>1</v>
      </c>
      <c r="T190" s="43">
        <v>1</v>
      </c>
      <c r="U190" s="43">
        <v>1</v>
      </c>
      <c r="V190" s="43">
        <v>1</v>
      </c>
      <c r="W190" s="43">
        <v>1</v>
      </c>
      <c r="X190" s="43">
        <v>1</v>
      </c>
      <c r="Y190" s="43">
        <v>1</v>
      </c>
      <c r="Z190" s="43">
        <v>1</v>
      </c>
      <c r="AA190" s="43">
        <v>1</v>
      </c>
      <c r="AB190" s="43">
        <v>1</v>
      </c>
    </row>
  </sheetData>
  <mergeCells count="14">
    <mergeCell ref="BV1:CD1"/>
    <mergeCell ref="CE1:CM1"/>
    <mergeCell ref="B188:J188"/>
    <mergeCell ref="K188:S188"/>
    <mergeCell ref="BD1:BL1"/>
    <mergeCell ref="T188:AB188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3"/>
  <sheetViews>
    <sheetView zoomScale="70" zoomScaleNormal="70" workbookViewId="0">
      <selection activeCell="I3" sqref="I3"/>
    </sheetView>
  </sheetViews>
  <sheetFormatPr defaultRowHeight="14.25" x14ac:dyDescent="0.15"/>
  <cols>
    <col min="1" max="16384" width="9" style="50"/>
  </cols>
  <sheetData>
    <row r="1" spans="1:28" x14ac:dyDescent="0.15">
      <c r="A1" s="91" t="s">
        <v>190</v>
      </c>
      <c r="B1" s="95" t="s">
        <v>168</v>
      </c>
      <c r="C1" s="96"/>
      <c r="D1" s="96"/>
      <c r="E1" s="96"/>
      <c r="F1" s="96"/>
      <c r="G1" s="96"/>
      <c r="H1" s="96"/>
      <c r="I1" s="96"/>
      <c r="J1" s="96"/>
      <c r="K1" s="97"/>
      <c r="L1" s="83" t="s">
        <v>206</v>
      </c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62"/>
    </row>
    <row r="2" spans="1:28" x14ac:dyDescent="0.15">
      <c r="A2" s="92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</v>
      </c>
      <c r="M2" s="41">
        <v>2</v>
      </c>
      <c r="N2" s="41">
        <v>3</v>
      </c>
      <c r="O2" s="41">
        <v>4</v>
      </c>
      <c r="P2" s="41">
        <v>5</v>
      </c>
      <c r="Q2" s="41">
        <v>6</v>
      </c>
      <c r="R2" s="41">
        <v>7</v>
      </c>
      <c r="S2" s="41">
        <v>8</v>
      </c>
      <c r="T2" s="41">
        <v>9</v>
      </c>
      <c r="U2" s="41">
        <v>10</v>
      </c>
      <c r="V2" s="41" t="s">
        <v>236</v>
      </c>
      <c r="W2" s="41" t="s">
        <v>237</v>
      </c>
      <c r="X2" s="41" t="s">
        <v>238</v>
      </c>
      <c r="Y2" s="41" t="s">
        <v>239</v>
      </c>
      <c r="Z2" s="41" t="s">
        <v>240</v>
      </c>
      <c r="AA2" s="41" t="s">
        <v>241</v>
      </c>
      <c r="AB2" s="62"/>
    </row>
    <row r="3" spans="1:28" x14ac:dyDescent="0.15">
      <c r="A3" s="48">
        <v>1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51" t="e">
        <f>(B195-B194+B196)/(A189*Q189)</f>
        <v>#DIV/0!</v>
      </c>
      <c r="M3" s="51" t="e">
        <f t="shared" ref="M3:AA3" si="0">(C195-C194+C196)/(B189*R189)</f>
        <v>#DIV/0!</v>
      </c>
      <c r="N3" s="51" t="e">
        <f t="shared" si="0"/>
        <v>#DIV/0!</v>
      </c>
      <c r="O3" s="51" t="e">
        <f t="shared" si="0"/>
        <v>#DIV/0!</v>
      </c>
      <c r="P3" s="73"/>
      <c r="Q3" s="73"/>
      <c r="R3" s="51" t="e">
        <f t="shared" si="0"/>
        <v>#DIV/0!</v>
      </c>
      <c r="S3" s="51" t="e">
        <f t="shared" si="0"/>
        <v>#DIV/0!</v>
      </c>
      <c r="T3" s="51" t="e">
        <f t="shared" si="0"/>
        <v>#DIV/0!</v>
      </c>
      <c r="U3" s="51" t="e">
        <f t="shared" si="0"/>
        <v>#DIV/0!</v>
      </c>
      <c r="V3" s="51" t="e">
        <f t="shared" si="0"/>
        <v>#DIV/0!</v>
      </c>
      <c r="W3" s="51" t="e">
        <f t="shared" si="0"/>
        <v>#DIV/0!</v>
      </c>
      <c r="X3" s="51" t="e">
        <f t="shared" si="0"/>
        <v>#DIV/0!</v>
      </c>
      <c r="Y3" s="51" t="e">
        <f t="shared" si="0"/>
        <v>#DIV/0!</v>
      </c>
      <c r="Z3" s="51" t="e">
        <f t="shared" si="0"/>
        <v>#DIV/0!</v>
      </c>
      <c r="AA3" s="51" t="e">
        <f t="shared" si="0"/>
        <v>#DIV/0!</v>
      </c>
    </row>
    <row r="4" spans="1:28" x14ac:dyDescent="0.15">
      <c r="A4" s="48">
        <v>2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55" t="e">
        <f>L3+ATM_Conf!$C$5*(Nodes!AB3)/('Off-Ramp'!A189*Q189)</f>
        <v>#DIV/0!</v>
      </c>
      <c r="M4" s="55" t="e">
        <f>M3+ATM_Conf!$C$5*(Nodes!AC3)/('Off-Ramp'!B189*R189)</f>
        <v>#DIV/0!</v>
      </c>
      <c r="N4" s="55" t="e">
        <f>N3+ATM_Conf!$C$5*(Nodes!AD3)/('Off-Ramp'!C189*S189)</f>
        <v>#DIV/0!</v>
      </c>
      <c r="O4" s="55" t="e">
        <f>O3+ATM_Conf!$C$5*(Nodes!AE3)/('Off-Ramp'!D189*T189)</f>
        <v>#DIV/0!</v>
      </c>
      <c r="P4" s="73"/>
      <c r="Q4" s="73"/>
      <c r="R4" s="55" t="e">
        <f>R3+ATM_Conf!$C$5*(Nodes!AH3)/('Off-Ramp'!G189*W189)</f>
        <v>#DIV/0!</v>
      </c>
      <c r="S4" s="55" t="e">
        <f>S3+ATM_Conf!$C$5*(Nodes!AI3)/('Off-Ramp'!H189*X189)</f>
        <v>#DIV/0!</v>
      </c>
      <c r="T4" s="55" t="e">
        <f>T3+ATM_Conf!$C$5*(Nodes!AJ3)/('Off-Ramp'!I189*Y189)</f>
        <v>#DIV/0!</v>
      </c>
      <c r="U4" s="55" t="e">
        <f>U3+ATM_Conf!$C$5*(Nodes!AK3)/('Off-Ramp'!J189*Z189)</f>
        <v>#DIV/0!</v>
      </c>
      <c r="V4" s="55" t="e">
        <f>V3+ATM_Conf!$C$5*(Nodes!AL3)/('Off-Ramp'!K189*AA189)</f>
        <v>#DIV/0!</v>
      </c>
      <c r="W4" s="55" t="e">
        <f>W3+ATM_Conf!$C$5*(Nodes!AM3)/('Off-Ramp'!L189*AB189)</f>
        <v>#DIV/0!</v>
      </c>
      <c r="X4" s="55" t="e">
        <f>X3+ATM_Conf!$C$5*(Nodes!AN3)/('Off-Ramp'!M189*AC189)</f>
        <v>#DIV/0!</v>
      </c>
      <c r="Y4" s="55" t="e">
        <f>Y3+ATM_Conf!$C$5*(Nodes!AO3)/('Off-Ramp'!N189*AD189)</f>
        <v>#DIV/0!</v>
      </c>
      <c r="Z4" s="55" t="e">
        <f>Z3+ATM_Conf!$C$5*(Nodes!AP3)/('Off-Ramp'!O189*AE189)</f>
        <v>#DIV/0!</v>
      </c>
      <c r="AA4" s="55" t="e">
        <f>AA3+ATM_Conf!$C$5*(Nodes!AQ3)/('Off-Ramp'!P189*AF189)</f>
        <v>#DIV/0!</v>
      </c>
    </row>
    <row r="5" spans="1:28" x14ac:dyDescent="0.15">
      <c r="A5" s="48">
        <v>3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55" t="e">
        <f t="shared" ref="L5:L35" si="1">B5/60/A$189</f>
        <v>#DIV/0!</v>
      </c>
      <c r="M5" s="55" t="e">
        <f t="shared" ref="M5:M35" si="2">C5/60/B$189</f>
        <v>#DIV/0!</v>
      </c>
      <c r="N5" s="55" t="e">
        <f t="shared" ref="N5:N35" si="3">D5/60/C$189</f>
        <v>#DIV/0!</v>
      </c>
      <c r="O5" s="55" t="e">
        <f t="shared" ref="O5:O35" si="4">E5/60/D$189</f>
        <v>#DIV/0!</v>
      </c>
      <c r="P5" s="73"/>
      <c r="Q5" s="73"/>
      <c r="R5" s="55" t="e">
        <f t="shared" ref="R5:R35" si="5">H5/60/G$189</f>
        <v>#DIV/0!</v>
      </c>
      <c r="S5" s="55" t="e">
        <f t="shared" ref="S5:S35" si="6">I5/60/H$189</f>
        <v>#DIV/0!</v>
      </c>
      <c r="T5" s="55" t="e">
        <f t="shared" ref="T5:T35" si="7">J5/60/I$189</f>
        <v>#DIV/0!</v>
      </c>
      <c r="U5" s="55" t="e">
        <f t="shared" ref="U5:U67" si="8">K5/60/J$189</f>
        <v>#DIV/0!</v>
      </c>
      <c r="V5" s="55" t="e">
        <f>V4+ATM_Conf!$C$5*(Nodes!AL4)/('Off-Ramp'!K190*AA190)</f>
        <v>#DIV/0!</v>
      </c>
      <c r="W5" s="55" t="e">
        <f>W4+ATM_Conf!$C$5*(Nodes!AM4)/('Off-Ramp'!L190*AB190)</f>
        <v>#DIV/0!</v>
      </c>
      <c r="X5" s="55" t="e">
        <f>X4+ATM_Conf!$C$5*(Nodes!AN4)/('Off-Ramp'!M190*AC190)</f>
        <v>#DIV/0!</v>
      </c>
      <c r="Y5" s="55" t="e">
        <f>Y4+ATM_Conf!$C$5*(Nodes!AO4)/('Off-Ramp'!N190*AD190)</f>
        <v>#DIV/0!</v>
      </c>
      <c r="Z5" s="55" t="e">
        <f>Z4+ATM_Conf!$C$5*(Nodes!AP4)/('Off-Ramp'!O190*AE190)</f>
        <v>#DIV/0!</v>
      </c>
      <c r="AA5" s="55" t="e">
        <f>AA4+ATM_Conf!$C$5*(Nodes!AQ4)/('Off-Ramp'!P190*AF190)</f>
        <v>#DIV/0!</v>
      </c>
    </row>
    <row r="6" spans="1:28" x14ac:dyDescent="0.15">
      <c r="A6" s="48">
        <v>4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55" t="e">
        <f t="shared" si="1"/>
        <v>#DIV/0!</v>
      </c>
      <c r="M6" s="55" t="e">
        <f t="shared" si="2"/>
        <v>#DIV/0!</v>
      </c>
      <c r="N6" s="55" t="e">
        <f t="shared" si="3"/>
        <v>#DIV/0!</v>
      </c>
      <c r="O6" s="55" t="e">
        <f t="shared" si="4"/>
        <v>#DIV/0!</v>
      </c>
      <c r="P6" s="73"/>
      <c r="Q6" s="73"/>
      <c r="R6" s="55" t="e">
        <f t="shared" si="5"/>
        <v>#DIV/0!</v>
      </c>
      <c r="S6" s="55" t="e">
        <f t="shared" si="6"/>
        <v>#DIV/0!</v>
      </c>
      <c r="T6" s="55" t="e">
        <f t="shared" si="7"/>
        <v>#DIV/0!</v>
      </c>
      <c r="U6" s="55" t="e">
        <f t="shared" si="8"/>
        <v>#DIV/0!</v>
      </c>
      <c r="V6" s="55" t="e">
        <f>V5+ATM_Conf!$C$5*(Nodes!AL5)/('Off-Ramp'!K191*AA191)</f>
        <v>#DIV/0!</v>
      </c>
      <c r="W6" s="55" t="e">
        <f>W5+ATM_Conf!$C$5*(Nodes!AM5)/('Off-Ramp'!L191*AB191)</f>
        <v>#DIV/0!</v>
      </c>
      <c r="X6" s="55" t="e">
        <f>X5+ATM_Conf!$C$5*(Nodes!AN5)/('Off-Ramp'!M191*AC191)</f>
        <v>#DIV/0!</v>
      </c>
      <c r="Y6" s="55" t="e">
        <f>Y5+ATM_Conf!$C$5*(Nodes!AO5)/('Off-Ramp'!N191*AD191)</f>
        <v>#DIV/0!</v>
      </c>
      <c r="Z6" s="55" t="e">
        <f>Z5+ATM_Conf!$C$5*(Nodes!AP5)/('Off-Ramp'!O191*AE191)</f>
        <v>#DIV/0!</v>
      </c>
      <c r="AA6" s="55" t="e">
        <f>AA5+ATM_Conf!$C$5*(Nodes!AQ5)/('Off-Ramp'!P191*AF191)</f>
        <v>#DIV/0!</v>
      </c>
    </row>
    <row r="7" spans="1:28" x14ac:dyDescent="0.15">
      <c r="A7" s="48">
        <v>5</v>
      </c>
      <c r="B7" s="63"/>
      <c r="C7" s="63"/>
      <c r="D7" s="63"/>
      <c r="E7" s="63"/>
      <c r="F7" s="63"/>
      <c r="G7" s="63"/>
      <c r="H7" s="63"/>
      <c r="I7" s="63"/>
      <c r="J7" s="63"/>
      <c r="K7" s="63"/>
      <c r="L7" s="55" t="e">
        <f t="shared" si="1"/>
        <v>#DIV/0!</v>
      </c>
      <c r="M7" s="55" t="e">
        <f t="shared" si="2"/>
        <v>#DIV/0!</v>
      </c>
      <c r="N7" s="55" t="e">
        <f t="shared" si="3"/>
        <v>#DIV/0!</v>
      </c>
      <c r="O7" s="55" t="e">
        <f t="shared" si="4"/>
        <v>#DIV/0!</v>
      </c>
      <c r="P7" s="73"/>
      <c r="Q7" s="73"/>
      <c r="R7" s="55" t="e">
        <f t="shared" si="5"/>
        <v>#DIV/0!</v>
      </c>
      <c r="S7" s="55" t="e">
        <f t="shared" si="6"/>
        <v>#DIV/0!</v>
      </c>
      <c r="T7" s="55" t="e">
        <f t="shared" si="7"/>
        <v>#DIV/0!</v>
      </c>
      <c r="U7" s="55" t="e">
        <f t="shared" si="8"/>
        <v>#DIV/0!</v>
      </c>
      <c r="V7" s="55" t="e">
        <f>V6+ATM_Conf!$C$5*(Nodes!AL6)/('Off-Ramp'!K192*AA192)</f>
        <v>#DIV/0!</v>
      </c>
      <c r="W7" s="55" t="e">
        <f>W6+ATM_Conf!$C$5*(Nodes!AM6)/('Off-Ramp'!L192*AB192)</f>
        <v>#DIV/0!</v>
      </c>
      <c r="X7" s="55" t="e">
        <f>X6+ATM_Conf!$C$5*(Nodes!AN6)/('Off-Ramp'!M192*AC192)</f>
        <v>#DIV/0!</v>
      </c>
      <c r="Y7" s="55" t="e">
        <f>Y6+ATM_Conf!$C$5*(Nodes!AO6)/('Off-Ramp'!N192*AD192)</f>
        <v>#DIV/0!</v>
      </c>
      <c r="Z7" s="55" t="e">
        <f>Z6+ATM_Conf!$C$5*(Nodes!AP6)/('Off-Ramp'!O192*AE192)</f>
        <v>#DIV/0!</v>
      </c>
      <c r="AA7" s="55" t="e">
        <f>AA6+ATM_Conf!$C$5*(Nodes!AQ6)/('Off-Ramp'!P192*AF192)</f>
        <v>#DIV/0!</v>
      </c>
    </row>
    <row r="8" spans="1:28" x14ac:dyDescent="0.15">
      <c r="A8" s="48">
        <v>6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55" t="e">
        <f t="shared" si="1"/>
        <v>#DIV/0!</v>
      </c>
      <c r="M8" s="55" t="e">
        <f t="shared" si="2"/>
        <v>#DIV/0!</v>
      </c>
      <c r="N8" s="55" t="e">
        <f t="shared" si="3"/>
        <v>#DIV/0!</v>
      </c>
      <c r="O8" s="55" t="e">
        <f t="shared" si="4"/>
        <v>#DIV/0!</v>
      </c>
      <c r="P8" s="73"/>
      <c r="Q8" s="73"/>
      <c r="R8" s="55" t="e">
        <f t="shared" si="5"/>
        <v>#DIV/0!</v>
      </c>
      <c r="S8" s="55" t="e">
        <f t="shared" si="6"/>
        <v>#DIV/0!</v>
      </c>
      <c r="T8" s="55" t="e">
        <f t="shared" si="7"/>
        <v>#DIV/0!</v>
      </c>
      <c r="U8" s="55" t="e">
        <f t="shared" si="8"/>
        <v>#DIV/0!</v>
      </c>
      <c r="V8" s="55" t="e">
        <f>V7+ATM_Conf!$C$5*(Nodes!AL7)/('Off-Ramp'!K193*AA193)</f>
        <v>#DIV/0!</v>
      </c>
      <c r="W8" s="55" t="e">
        <f>W7+ATM_Conf!$C$5*(Nodes!AM7)/('Off-Ramp'!L193*AB193)</f>
        <v>#DIV/0!</v>
      </c>
      <c r="X8" s="55" t="e">
        <f>X7+ATM_Conf!$C$5*(Nodes!AN7)/('Off-Ramp'!M193*AC193)</f>
        <v>#DIV/0!</v>
      </c>
      <c r="Y8" s="55" t="e">
        <f>Y7+ATM_Conf!$C$5*(Nodes!AO7)/('Off-Ramp'!N193*AD193)</f>
        <v>#DIV/0!</v>
      </c>
      <c r="Z8" s="55" t="e">
        <f>Z7+ATM_Conf!$C$5*(Nodes!AP7)/('Off-Ramp'!O193*AE193)</f>
        <v>#DIV/0!</v>
      </c>
      <c r="AA8" s="55" t="e">
        <f>AA7+ATM_Conf!$C$5*(Nodes!AQ7)/('Off-Ramp'!P193*AF193)</f>
        <v>#DIV/0!</v>
      </c>
    </row>
    <row r="9" spans="1:28" x14ac:dyDescent="0.15">
      <c r="A9" s="48">
        <v>7</v>
      </c>
      <c r="B9" s="63"/>
      <c r="C9" s="63"/>
      <c r="D9" s="63"/>
      <c r="E9" s="63"/>
      <c r="F9" s="63"/>
      <c r="G9" s="63"/>
      <c r="H9" s="63"/>
      <c r="I9" s="63"/>
      <c r="J9" s="63"/>
      <c r="K9" s="63"/>
      <c r="L9" s="55" t="e">
        <f t="shared" si="1"/>
        <v>#DIV/0!</v>
      </c>
      <c r="M9" s="55" t="e">
        <f t="shared" si="2"/>
        <v>#DIV/0!</v>
      </c>
      <c r="N9" s="55" t="e">
        <f t="shared" si="3"/>
        <v>#DIV/0!</v>
      </c>
      <c r="O9" s="55" t="e">
        <f t="shared" si="4"/>
        <v>#DIV/0!</v>
      </c>
      <c r="P9" s="73"/>
      <c r="Q9" s="73"/>
      <c r="R9" s="55" t="e">
        <f t="shared" si="5"/>
        <v>#DIV/0!</v>
      </c>
      <c r="S9" s="55" t="e">
        <f t="shared" si="6"/>
        <v>#DIV/0!</v>
      </c>
      <c r="T9" s="55" t="e">
        <f t="shared" si="7"/>
        <v>#DIV/0!</v>
      </c>
      <c r="U9" s="55" t="e">
        <f t="shared" si="8"/>
        <v>#DIV/0!</v>
      </c>
      <c r="V9" s="55" t="e">
        <f>V8+ATM_Conf!$C$5*(Nodes!AL8)/('Off-Ramp'!K194*AA194)</f>
        <v>#DIV/0!</v>
      </c>
      <c r="W9" s="55" t="e">
        <f>W8+ATM_Conf!$C$5*(Nodes!AM8)/('Off-Ramp'!L194*AB194)</f>
        <v>#DIV/0!</v>
      </c>
      <c r="X9" s="55" t="e">
        <f>X8+ATM_Conf!$C$5*(Nodes!AN8)/('Off-Ramp'!M194*AC194)</f>
        <v>#DIV/0!</v>
      </c>
      <c r="Y9" s="55" t="e">
        <f>Y8+ATM_Conf!$C$5*(Nodes!AO8)/('Off-Ramp'!N194*AD194)</f>
        <v>#DIV/0!</v>
      </c>
      <c r="Z9" s="55" t="e">
        <f>Z8+ATM_Conf!$C$5*(Nodes!AP8)/('Off-Ramp'!O194*AE194)</f>
        <v>#DIV/0!</v>
      </c>
      <c r="AA9" s="55" t="e">
        <f>AA8+ATM_Conf!$C$5*(Nodes!AQ8)/('Off-Ramp'!P194*AF194)</f>
        <v>#DIV/0!</v>
      </c>
    </row>
    <row r="10" spans="1:28" x14ac:dyDescent="0.15">
      <c r="A10" s="48">
        <v>8</v>
      </c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55" t="e">
        <f t="shared" si="1"/>
        <v>#DIV/0!</v>
      </c>
      <c r="M10" s="55" t="e">
        <f t="shared" si="2"/>
        <v>#DIV/0!</v>
      </c>
      <c r="N10" s="55" t="e">
        <f t="shared" si="3"/>
        <v>#DIV/0!</v>
      </c>
      <c r="O10" s="55" t="e">
        <f t="shared" si="4"/>
        <v>#DIV/0!</v>
      </c>
      <c r="P10" s="73"/>
      <c r="Q10" s="73"/>
      <c r="R10" s="55" t="e">
        <f t="shared" si="5"/>
        <v>#DIV/0!</v>
      </c>
      <c r="S10" s="55" t="e">
        <f t="shared" si="6"/>
        <v>#DIV/0!</v>
      </c>
      <c r="T10" s="55" t="e">
        <f t="shared" si="7"/>
        <v>#DIV/0!</v>
      </c>
      <c r="U10" s="55" t="e">
        <f t="shared" si="8"/>
        <v>#DIV/0!</v>
      </c>
      <c r="V10" s="55" t="e">
        <f>V9+ATM_Conf!$C$5*(Nodes!AL9)/('Off-Ramp'!K195*AA195)</f>
        <v>#DIV/0!</v>
      </c>
      <c r="W10" s="55" t="e">
        <f>W9+ATM_Conf!$C$5*(Nodes!AM9)/('Off-Ramp'!L195*AB195)</f>
        <v>#DIV/0!</v>
      </c>
      <c r="X10" s="55" t="e">
        <f>X9+ATM_Conf!$C$5*(Nodes!AN9)/('Off-Ramp'!M195*AC195)</f>
        <v>#DIV/0!</v>
      </c>
      <c r="Y10" s="55" t="e">
        <f>Y9+ATM_Conf!$C$5*(Nodes!AO9)/('Off-Ramp'!N195*AD195)</f>
        <v>#DIV/0!</v>
      </c>
      <c r="Z10" s="55" t="e">
        <f>Z9+ATM_Conf!$C$5*(Nodes!AP9)/('Off-Ramp'!O195*AE195)</f>
        <v>#DIV/0!</v>
      </c>
      <c r="AA10" s="55" t="e">
        <f>AA9+ATM_Conf!$C$5*(Nodes!AQ9)/('Off-Ramp'!P195*AF195)</f>
        <v>#DIV/0!</v>
      </c>
    </row>
    <row r="11" spans="1:28" x14ac:dyDescent="0.15">
      <c r="A11" s="48">
        <v>9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55" t="e">
        <f t="shared" si="1"/>
        <v>#DIV/0!</v>
      </c>
      <c r="M11" s="55" t="e">
        <f t="shared" si="2"/>
        <v>#DIV/0!</v>
      </c>
      <c r="N11" s="55" t="e">
        <f t="shared" si="3"/>
        <v>#DIV/0!</v>
      </c>
      <c r="O11" s="55" t="e">
        <f t="shared" si="4"/>
        <v>#DIV/0!</v>
      </c>
      <c r="P11" s="73"/>
      <c r="Q11" s="73"/>
      <c r="R11" s="55" t="e">
        <f t="shared" si="5"/>
        <v>#DIV/0!</v>
      </c>
      <c r="S11" s="55" t="e">
        <f t="shared" si="6"/>
        <v>#DIV/0!</v>
      </c>
      <c r="T11" s="55" t="e">
        <f t="shared" si="7"/>
        <v>#DIV/0!</v>
      </c>
      <c r="U11" s="55" t="e">
        <f t="shared" si="8"/>
        <v>#DIV/0!</v>
      </c>
      <c r="V11" s="55" t="e">
        <f>V10+ATM_Conf!$C$5*(Nodes!AL10)/('Off-Ramp'!K196*AA196)</f>
        <v>#DIV/0!</v>
      </c>
      <c r="W11" s="55" t="e">
        <f>W10+ATM_Conf!$C$5*(Nodes!AM10)/('Off-Ramp'!L196*AB196)</f>
        <v>#DIV/0!</v>
      </c>
      <c r="X11" s="55" t="e">
        <f>X10+ATM_Conf!$C$5*(Nodes!AN10)/('Off-Ramp'!M196*AC196)</f>
        <v>#DIV/0!</v>
      </c>
      <c r="Y11" s="55" t="e">
        <f>Y10+ATM_Conf!$C$5*(Nodes!AO10)/('Off-Ramp'!N196*AD196)</f>
        <v>#DIV/0!</v>
      </c>
      <c r="Z11" s="55" t="e">
        <f>Z10+ATM_Conf!$C$5*(Nodes!AP10)/('Off-Ramp'!O196*AE196)</f>
        <v>#DIV/0!</v>
      </c>
      <c r="AA11" s="55" t="e">
        <f>AA10+ATM_Conf!$C$5*(Nodes!AQ10)/('Off-Ramp'!P196*AF196)</f>
        <v>#DIV/0!</v>
      </c>
    </row>
    <row r="12" spans="1:28" x14ac:dyDescent="0.15">
      <c r="A12" s="48">
        <v>10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55" t="e">
        <f t="shared" si="1"/>
        <v>#DIV/0!</v>
      </c>
      <c r="M12" s="55" t="e">
        <f t="shared" si="2"/>
        <v>#DIV/0!</v>
      </c>
      <c r="N12" s="55" t="e">
        <f t="shared" si="3"/>
        <v>#DIV/0!</v>
      </c>
      <c r="O12" s="55" t="e">
        <f t="shared" si="4"/>
        <v>#DIV/0!</v>
      </c>
      <c r="P12" s="73"/>
      <c r="Q12" s="73"/>
      <c r="R12" s="55" t="e">
        <f t="shared" si="5"/>
        <v>#DIV/0!</v>
      </c>
      <c r="S12" s="55" t="e">
        <f t="shared" si="6"/>
        <v>#DIV/0!</v>
      </c>
      <c r="T12" s="55" t="e">
        <f t="shared" si="7"/>
        <v>#DIV/0!</v>
      </c>
      <c r="U12" s="55" t="e">
        <f t="shared" si="8"/>
        <v>#DIV/0!</v>
      </c>
      <c r="V12" s="55" t="e">
        <f>V11+ATM_Conf!$C$5*(Nodes!AL11)/('Off-Ramp'!K197*AA197)</f>
        <v>#DIV/0!</v>
      </c>
      <c r="W12" s="55" t="e">
        <f>W11+ATM_Conf!$C$5*(Nodes!AM11)/('Off-Ramp'!L197*AB197)</f>
        <v>#DIV/0!</v>
      </c>
      <c r="X12" s="55" t="e">
        <f>X11+ATM_Conf!$C$5*(Nodes!AN11)/('Off-Ramp'!M197*AC197)</f>
        <v>#DIV/0!</v>
      </c>
      <c r="Y12" s="55" t="e">
        <f>Y11+ATM_Conf!$C$5*(Nodes!AO11)/('Off-Ramp'!N197*AD197)</f>
        <v>#DIV/0!</v>
      </c>
      <c r="Z12" s="55" t="e">
        <f>Z11+ATM_Conf!$C$5*(Nodes!AP11)/('Off-Ramp'!O197*AE197)</f>
        <v>#DIV/0!</v>
      </c>
      <c r="AA12" s="55" t="e">
        <f>AA11+ATM_Conf!$C$5*(Nodes!AQ11)/('Off-Ramp'!P197*AF197)</f>
        <v>#DIV/0!</v>
      </c>
    </row>
    <row r="13" spans="1:28" x14ac:dyDescent="0.15">
      <c r="A13" s="48">
        <v>11</v>
      </c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55" t="e">
        <f t="shared" si="1"/>
        <v>#DIV/0!</v>
      </c>
      <c r="M13" s="55" t="e">
        <f t="shared" si="2"/>
        <v>#DIV/0!</v>
      </c>
      <c r="N13" s="55" t="e">
        <f t="shared" si="3"/>
        <v>#DIV/0!</v>
      </c>
      <c r="O13" s="55" t="e">
        <f t="shared" si="4"/>
        <v>#DIV/0!</v>
      </c>
      <c r="P13" s="73"/>
      <c r="Q13" s="73"/>
      <c r="R13" s="55" t="e">
        <f t="shared" si="5"/>
        <v>#DIV/0!</v>
      </c>
      <c r="S13" s="55" t="e">
        <f t="shared" si="6"/>
        <v>#DIV/0!</v>
      </c>
      <c r="T13" s="55" t="e">
        <f t="shared" si="7"/>
        <v>#DIV/0!</v>
      </c>
      <c r="U13" s="55" t="e">
        <f t="shared" si="8"/>
        <v>#DIV/0!</v>
      </c>
      <c r="V13" s="55" t="e">
        <f>V12+ATM_Conf!$C$5*(Nodes!AL12)/('Off-Ramp'!K198*AA198)</f>
        <v>#DIV/0!</v>
      </c>
      <c r="W13" s="55" t="e">
        <f>W12+ATM_Conf!$C$5*(Nodes!AM12)/('Off-Ramp'!L198*AB198)</f>
        <v>#DIV/0!</v>
      </c>
      <c r="X13" s="55" t="e">
        <f>X12+ATM_Conf!$C$5*(Nodes!AN12)/('Off-Ramp'!M198*AC198)</f>
        <v>#DIV/0!</v>
      </c>
      <c r="Y13" s="55" t="e">
        <f>Y12+ATM_Conf!$C$5*(Nodes!AO12)/('Off-Ramp'!N198*AD198)</f>
        <v>#DIV/0!</v>
      </c>
      <c r="Z13" s="55" t="e">
        <f>Z12+ATM_Conf!$C$5*(Nodes!AP12)/('Off-Ramp'!O198*AE198)</f>
        <v>#DIV/0!</v>
      </c>
      <c r="AA13" s="55" t="e">
        <f>AA12+ATM_Conf!$C$5*(Nodes!AQ12)/('Off-Ramp'!P198*AF198)</f>
        <v>#DIV/0!</v>
      </c>
    </row>
    <row r="14" spans="1:28" x14ac:dyDescent="0.15">
      <c r="A14" s="48">
        <v>12</v>
      </c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55" t="e">
        <f t="shared" si="1"/>
        <v>#DIV/0!</v>
      </c>
      <c r="M14" s="55" t="e">
        <f t="shared" si="2"/>
        <v>#DIV/0!</v>
      </c>
      <c r="N14" s="55" t="e">
        <f t="shared" si="3"/>
        <v>#DIV/0!</v>
      </c>
      <c r="O14" s="55" t="e">
        <f t="shared" si="4"/>
        <v>#DIV/0!</v>
      </c>
      <c r="P14" s="73"/>
      <c r="Q14" s="73"/>
      <c r="R14" s="55" t="e">
        <f t="shared" si="5"/>
        <v>#DIV/0!</v>
      </c>
      <c r="S14" s="55" t="e">
        <f t="shared" si="6"/>
        <v>#DIV/0!</v>
      </c>
      <c r="T14" s="55" t="e">
        <f t="shared" si="7"/>
        <v>#DIV/0!</v>
      </c>
      <c r="U14" s="55" t="e">
        <f t="shared" si="8"/>
        <v>#DIV/0!</v>
      </c>
      <c r="V14" s="55" t="e">
        <f>V13+ATM_Conf!$C$5*(Nodes!AL13)/('Off-Ramp'!K199*AA199)</f>
        <v>#DIV/0!</v>
      </c>
      <c r="W14" s="55" t="e">
        <f>W13+ATM_Conf!$C$5*(Nodes!AM13)/('Off-Ramp'!L199*AB199)</f>
        <v>#DIV/0!</v>
      </c>
      <c r="X14" s="55" t="e">
        <f>X13+ATM_Conf!$C$5*(Nodes!AN13)/('Off-Ramp'!M199*AC199)</f>
        <v>#DIV/0!</v>
      </c>
      <c r="Y14" s="55" t="e">
        <f>Y13+ATM_Conf!$C$5*(Nodes!AO13)/('Off-Ramp'!N199*AD199)</f>
        <v>#DIV/0!</v>
      </c>
      <c r="Z14" s="55" t="e">
        <f>Z13+ATM_Conf!$C$5*(Nodes!AP13)/('Off-Ramp'!O199*AE199)</f>
        <v>#DIV/0!</v>
      </c>
      <c r="AA14" s="55" t="e">
        <f>AA13+ATM_Conf!$C$5*(Nodes!AQ13)/('Off-Ramp'!P199*AF199)</f>
        <v>#DIV/0!</v>
      </c>
    </row>
    <row r="15" spans="1:28" x14ac:dyDescent="0.15">
      <c r="A15" s="48">
        <v>13</v>
      </c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55" t="e">
        <f t="shared" si="1"/>
        <v>#DIV/0!</v>
      </c>
      <c r="M15" s="55" t="e">
        <f t="shared" si="2"/>
        <v>#DIV/0!</v>
      </c>
      <c r="N15" s="55" t="e">
        <f t="shared" si="3"/>
        <v>#DIV/0!</v>
      </c>
      <c r="O15" s="55" t="e">
        <f t="shared" si="4"/>
        <v>#DIV/0!</v>
      </c>
      <c r="P15" s="73"/>
      <c r="Q15" s="73"/>
      <c r="R15" s="55" t="e">
        <f t="shared" si="5"/>
        <v>#DIV/0!</v>
      </c>
      <c r="S15" s="55" t="e">
        <f t="shared" si="6"/>
        <v>#DIV/0!</v>
      </c>
      <c r="T15" s="55" t="e">
        <f t="shared" si="7"/>
        <v>#DIV/0!</v>
      </c>
      <c r="U15" s="55" t="e">
        <f t="shared" si="8"/>
        <v>#DIV/0!</v>
      </c>
      <c r="V15" s="55" t="e">
        <f>V14+ATM_Conf!$C$5*(Nodes!AL14)/('Off-Ramp'!K200*AA200)</f>
        <v>#DIV/0!</v>
      </c>
      <c r="W15" s="55" t="e">
        <f>W14+ATM_Conf!$C$5*(Nodes!AM14)/('Off-Ramp'!L200*AB200)</f>
        <v>#DIV/0!</v>
      </c>
      <c r="X15" s="55" t="e">
        <f>X14+ATM_Conf!$C$5*(Nodes!AN14)/('Off-Ramp'!M200*AC200)</f>
        <v>#DIV/0!</v>
      </c>
      <c r="Y15" s="55" t="e">
        <f>Y14+ATM_Conf!$C$5*(Nodes!AO14)/('Off-Ramp'!N200*AD200)</f>
        <v>#DIV/0!</v>
      </c>
      <c r="Z15" s="55" t="e">
        <f>Z14+ATM_Conf!$C$5*(Nodes!AP14)/('Off-Ramp'!O200*AE200)</f>
        <v>#DIV/0!</v>
      </c>
      <c r="AA15" s="55" t="e">
        <f>AA14+ATM_Conf!$C$5*(Nodes!AQ14)/('Off-Ramp'!P200*AF200)</f>
        <v>#DIV/0!</v>
      </c>
    </row>
    <row r="16" spans="1:28" x14ac:dyDescent="0.15">
      <c r="A16" s="48">
        <v>14</v>
      </c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55" t="e">
        <f t="shared" si="1"/>
        <v>#DIV/0!</v>
      </c>
      <c r="M16" s="55" t="e">
        <f t="shared" si="2"/>
        <v>#DIV/0!</v>
      </c>
      <c r="N16" s="55" t="e">
        <f t="shared" si="3"/>
        <v>#DIV/0!</v>
      </c>
      <c r="O16" s="55" t="e">
        <f t="shared" si="4"/>
        <v>#DIV/0!</v>
      </c>
      <c r="P16" s="73"/>
      <c r="Q16" s="73"/>
      <c r="R16" s="55" t="e">
        <f t="shared" si="5"/>
        <v>#DIV/0!</v>
      </c>
      <c r="S16" s="55" t="e">
        <f t="shared" si="6"/>
        <v>#DIV/0!</v>
      </c>
      <c r="T16" s="55" t="e">
        <f t="shared" si="7"/>
        <v>#DIV/0!</v>
      </c>
      <c r="U16" s="55" t="e">
        <f t="shared" si="8"/>
        <v>#DIV/0!</v>
      </c>
      <c r="V16" s="55" t="e">
        <f>V15+ATM_Conf!$C$5*(Nodes!AL15)/('Off-Ramp'!K201*AA201)</f>
        <v>#DIV/0!</v>
      </c>
      <c r="W16" s="55" t="e">
        <f>W15+ATM_Conf!$C$5*(Nodes!AM15)/('Off-Ramp'!L201*AB201)</f>
        <v>#DIV/0!</v>
      </c>
      <c r="X16" s="55" t="e">
        <f>X15+ATM_Conf!$C$5*(Nodes!AN15)/('Off-Ramp'!M201*AC201)</f>
        <v>#DIV/0!</v>
      </c>
      <c r="Y16" s="55" t="e">
        <f>Y15+ATM_Conf!$C$5*(Nodes!AO15)/('Off-Ramp'!N201*AD201)</f>
        <v>#DIV/0!</v>
      </c>
      <c r="Z16" s="55" t="e">
        <f>Z15+ATM_Conf!$C$5*(Nodes!AP15)/('Off-Ramp'!O201*AE201)</f>
        <v>#DIV/0!</v>
      </c>
      <c r="AA16" s="55" t="e">
        <f>AA15+ATM_Conf!$C$5*(Nodes!AQ15)/('Off-Ramp'!P201*AF201)</f>
        <v>#DIV/0!</v>
      </c>
    </row>
    <row r="17" spans="1:27" x14ac:dyDescent="0.15">
      <c r="A17" s="48">
        <v>15</v>
      </c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55" t="e">
        <f t="shared" si="1"/>
        <v>#DIV/0!</v>
      </c>
      <c r="M17" s="55" t="e">
        <f t="shared" si="2"/>
        <v>#DIV/0!</v>
      </c>
      <c r="N17" s="55" t="e">
        <f t="shared" si="3"/>
        <v>#DIV/0!</v>
      </c>
      <c r="O17" s="55" t="e">
        <f t="shared" si="4"/>
        <v>#DIV/0!</v>
      </c>
      <c r="P17" s="73"/>
      <c r="Q17" s="73"/>
      <c r="R17" s="55" t="e">
        <f t="shared" si="5"/>
        <v>#DIV/0!</v>
      </c>
      <c r="S17" s="55" t="e">
        <f t="shared" si="6"/>
        <v>#DIV/0!</v>
      </c>
      <c r="T17" s="55" t="e">
        <f t="shared" si="7"/>
        <v>#DIV/0!</v>
      </c>
      <c r="U17" s="55" t="e">
        <f t="shared" si="8"/>
        <v>#DIV/0!</v>
      </c>
      <c r="V17" s="55" t="e">
        <f>V16+ATM_Conf!$C$5*(Nodes!AL16)/('Off-Ramp'!K202*AA202)</f>
        <v>#DIV/0!</v>
      </c>
      <c r="W17" s="55" t="e">
        <f>W16+ATM_Conf!$C$5*(Nodes!AM16)/('Off-Ramp'!L202*AB202)</f>
        <v>#DIV/0!</v>
      </c>
      <c r="X17" s="55" t="e">
        <f>X16+ATM_Conf!$C$5*(Nodes!AN16)/('Off-Ramp'!M202*AC202)</f>
        <v>#DIV/0!</v>
      </c>
      <c r="Y17" s="55" t="e">
        <f>Y16+ATM_Conf!$C$5*(Nodes!AO16)/('Off-Ramp'!N202*AD202)</f>
        <v>#DIV/0!</v>
      </c>
      <c r="Z17" s="55" t="e">
        <f>Z16+ATM_Conf!$C$5*(Nodes!AP16)/('Off-Ramp'!O202*AE202)</f>
        <v>#DIV/0!</v>
      </c>
      <c r="AA17" s="55" t="e">
        <f>AA16+ATM_Conf!$C$5*(Nodes!AQ16)/('Off-Ramp'!P202*AF202)</f>
        <v>#DIV/0!</v>
      </c>
    </row>
    <row r="18" spans="1:27" x14ac:dyDescent="0.15">
      <c r="A18" s="48">
        <v>16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55" t="e">
        <f t="shared" si="1"/>
        <v>#DIV/0!</v>
      </c>
      <c r="M18" s="55" t="e">
        <f t="shared" si="2"/>
        <v>#DIV/0!</v>
      </c>
      <c r="N18" s="55" t="e">
        <f t="shared" si="3"/>
        <v>#DIV/0!</v>
      </c>
      <c r="O18" s="55" t="e">
        <f t="shared" si="4"/>
        <v>#DIV/0!</v>
      </c>
      <c r="P18" s="73"/>
      <c r="Q18" s="73"/>
      <c r="R18" s="55" t="e">
        <f t="shared" si="5"/>
        <v>#DIV/0!</v>
      </c>
      <c r="S18" s="55" t="e">
        <f t="shared" si="6"/>
        <v>#DIV/0!</v>
      </c>
      <c r="T18" s="55" t="e">
        <f t="shared" si="7"/>
        <v>#DIV/0!</v>
      </c>
      <c r="U18" s="55" t="e">
        <f t="shared" si="8"/>
        <v>#DIV/0!</v>
      </c>
      <c r="V18" s="55" t="e">
        <f>V17+ATM_Conf!$C$5*(Nodes!AL17)/('Off-Ramp'!K203*AA203)</f>
        <v>#DIV/0!</v>
      </c>
      <c r="W18" s="55" t="e">
        <f>W17+ATM_Conf!$C$5*(Nodes!AM17)/('Off-Ramp'!L203*AB203)</f>
        <v>#DIV/0!</v>
      </c>
      <c r="X18" s="55" t="e">
        <f>X17+ATM_Conf!$C$5*(Nodes!AN17)/('Off-Ramp'!M203*AC203)</f>
        <v>#DIV/0!</v>
      </c>
      <c r="Y18" s="55" t="e">
        <f>Y17+ATM_Conf!$C$5*(Nodes!AO17)/('Off-Ramp'!N203*AD203)</f>
        <v>#DIV/0!</v>
      </c>
      <c r="Z18" s="55" t="e">
        <f>Z17+ATM_Conf!$C$5*(Nodes!AP17)/('Off-Ramp'!O203*AE203)</f>
        <v>#DIV/0!</v>
      </c>
      <c r="AA18" s="55" t="e">
        <f>AA17+ATM_Conf!$C$5*(Nodes!AQ17)/('Off-Ramp'!P203*AF203)</f>
        <v>#DIV/0!</v>
      </c>
    </row>
    <row r="19" spans="1:27" x14ac:dyDescent="0.15">
      <c r="A19" s="48">
        <v>17</v>
      </c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55" t="e">
        <f t="shared" si="1"/>
        <v>#DIV/0!</v>
      </c>
      <c r="M19" s="55" t="e">
        <f t="shared" si="2"/>
        <v>#DIV/0!</v>
      </c>
      <c r="N19" s="55" t="e">
        <f t="shared" si="3"/>
        <v>#DIV/0!</v>
      </c>
      <c r="O19" s="55" t="e">
        <f t="shared" si="4"/>
        <v>#DIV/0!</v>
      </c>
      <c r="P19" s="73"/>
      <c r="Q19" s="73"/>
      <c r="R19" s="55" t="e">
        <f t="shared" si="5"/>
        <v>#DIV/0!</v>
      </c>
      <c r="S19" s="55" t="e">
        <f t="shared" si="6"/>
        <v>#DIV/0!</v>
      </c>
      <c r="T19" s="55" t="e">
        <f t="shared" si="7"/>
        <v>#DIV/0!</v>
      </c>
      <c r="U19" s="55" t="e">
        <f t="shared" si="8"/>
        <v>#DIV/0!</v>
      </c>
      <c r="V19" s="55" t="e">
        <f>V18+ATM_Conf!$C$5*(Nodes!AL18)/('Off-Ramp'!K204*AA204)</f>
        <v>#DIV/0!</v>
      </c>
      <c r="W19" s="55" t="e">
        <f>W18+ATM_Conf!$C$5*(Nodes!AM18)/('Off-Ramp'!L204*AB204)</f>
        <v>#DIV/0!</v>
      </c>
      <c r="X19" s="55" t="e">
        <f>X18+ATM_Conf!$C$5*(Nodes!AN18)/('Off-Ramp'!M204*AC204)</f>
        <v>#DIV/0!</v>
      </c>
      <c r="Y19" s="55" t="e">
        <f>Y18+ATM_Conf!$C$5*(Nodes!AO18)/('Off-Ramp'!N204*AD204)</f>
        <v>#DIV/0!</v>
      </c>
      <c r="Z19" s="55" t="e">
        <f>Z18+ATM_Conf!$C$5*(Nodes!AP18)/('Off-Ramp'!O204*AE204)</f>
        <v>#DIV/0!</v>
      </c>
      <c r="AA19" s="55" t="e">
        <f>AA18+ATM_Conf!$C$5*(Nodes!AQ18)/('Off-Ramp'!P204*AF204)</f>
        <v>#DIV/0!</v>
      </c>
    </row>
    <row r="20" spans="1:27" x14ac:dyDescent="0.15">
      <c r="A20" s="48">
        <v>18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55" t="e">
        <f t="shared" si="1"/>
        <v>#DIV/0!</v>
      </c>
      <c r="M20" s="55" t="e">
        <f t="shared" si="2"/>
        <v>#DIV/0!</v>
      </c>
      <c r="N20" s="55" t="e">
        <f t="shared" si="3"/>
        <v>#DIV/0!</v>
      </c>
      <c r="O20" s="55" t="e">
        <f t="shared" si="4"/>
        <v>#DIV/0!</v>
      </c>
      <c r="P20" s="73"/>
      <c r="Q20" s="73"/>
      <c r="R20" s="55" t="e">
        <f t="shared" si="5"/>
        <v>#DIV/0!</v>
      </c>
      <c r="S20" s="55" t="e">
        <f t="shared" si="6"/>
        <v>#DIV/0!</v>
      </c>
      <c r="T20" s="55" t="e">
        <f t="shared" si="7"/>
        <v>#DIV/0!</v>
      </c>
      <c r="U20" s="55" t="e">
        <f t="shared" si="8"/>
        <v>#DIV/0!</v>
      </c>
      <c r="V20" s="55" t="e">
        <f>V19+ATM_Conf!$C$5*(Nodes!AL19)/('Off-Ramp'!K205*AA205)</f>
        <v>#DIV/0!</v>
      </c>
      <c r="W20" s="55" t="e">
        <f>W19+ATM_Conf!$C$5*(Nodes!AM19)/('Off-Ramp'!L205*AB205)</f>
        <v>#DIV/0!</v>
      </c>
      <c r="X20" s="55" t="e">
        <f>X19+ATM_Conf!$C$5*(Nodes!AN19)/('Off-Ramp'!M205*AC205)</f>
        <v>#DIV/0!</v>
      </c>
      <c r="Y20" s="55" t="e">
        <f>Y19+ATM_Conf!$C$5*(Nodes!AO19)/('Off-Ramp'!N205*AD205)</f>
        <v>#DIV/0!</v>
      </c>
      <c r="Z20" s="55" t="e">
        <f>Z19+ATM_Conf!$C$5*(Nodes!AP19)/('Off-Ramp'!O205*AE205)</f>
        <v>#DIV/0!</v>
      </c>
      <c r="AA20" s="55" t="e">
        <f>AA19+ATM_Conf!$C$5*(Nodes!AQ19)/('Off-Ramp'!P205*AF205)</f>
        <v>#DIV/0!</v>
      </c>
    </row>
    <row r="21" spans="1:27" x14ac:dyDescent="0.15">
      <c r="A21" s="48">
        <v>19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55" t="e">
        <f t="shared" si="1"/>
        <v>#DIV/0!</v>
      </c>
      <c r="M21" s="55" t="e">
        <f t="shared" si="2"/>
        <v>#DIV/0!</v>
      </c>
      <c r="N21" s="55" t="e">
        <f t="shared" si="3"/>
        <v>#DIV/0!</v>
      </c>
      <c r="O21" s="55" t="e">
        <f t="shared" si="4"/>
        <v>#DIV/0!</v>
      </c>
      <c r="P21" s="73"/>
      <c r="Q21" s="73"/>
      <c r="R21" s="55" t="e">
        <f t="shared" si="5"/>
        <v>#DIV/0!</v>
      </c>
      <c r="S21" s="55" t="e">
        <f t="shared" si="6"/>
        <v>#DIV/0!</v>
      </c>
      <c r="T21" s="55" t="e">
        <f t="shared" si="7"/>
        <v>#DIV/0!</v>
      </c>
      <c r="U21" s="55" t="e">
        <f t="shared" si="8"/>
        <v>#DIV/0!</v>
      </c>
      <c r="V21" s="55" t="e">
        <f>V20+ATM_Conf!$C$5*(Nodes!AL20)/('Off-Ramp'!K206*AA206)</f>
        <v>#DIV/0!</v>
      </c>
      <c r="W21" s="55" t="e">
        <f>W20+ATM_Conf!$C$5*(Nodes!AM20)/('Off-Ramp'!L206*AB206)</f>
        <v>#DIV/0!</v>
      </c>
      <c r="X21" s="55" t="e">
        <f>X20+ATM_Conf!$C$5*(Nodes!AN20)/('Off-Ramp'!M206*AC206)</f>
        <v>#DIV/0!</v>
      </c>
      <c r="Y21" s="55" t="e">
        <f>Y20+ATM_Conf!$C$5*(Nodes!AO20)/('Off-Ramp'!N206*AD206)</f>
        <v>#DIV/0!</v>
      </c>
      <c r="Z21" s="55" t="e">
        <f>Z20+ATM_Conf!$C$5*(Nodes!AP20)/('Off-Ramp'!O206*AE206)</f>
        <v>#DIV/0!</v>
      </c>
      <c r="AA21" s="55" t="e">
        <f>AA20+ATM_Conf!$C$5*(Nodes!AQ20)/('Off-Ramp'!P206*AF206)</f>
        <v>#DIV/0!</v>
      </c>
    </row>
    <row r="22" spans="1:27" x14ac:dyDescent="0.15">
      <c r="A22" s="48">
        <v>20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55" t="e">
        <f t="shared" si="1"/>
        <v>#DIV/0!</v>
      </c>
      <c r="M22" s="55" t="e">
        <f t="shared" si="2"/>
        <v>#DIV/0!</v>
      </c>
      <c r="N22" s="55" t="e">
        <f t="shared" si="3"/>
        <v>#DIV/0!</v>
      </c>
      <c r="O22" s="55" t="e">
        <f t="shared" si="4"/>
        <v>#DIV/0!</v>
      </c>
      <c r="P22" s="73"/>
      <c r="Q22" s="73"/>
      <c r="R22" s="55" t="e">
        <f t="shared" si="5"/>
        <v>#DIV/0!</v>
      </c>
      <c r="S22" s="55" t="e">
        <f t="shared" si="6"/>
        <v>#DIV/0!</v>
      </c>
      <c r="T22" s="55" t="e">
        <f t="shared" si="7"/>
        <v>#DIV/0!</v>
      </c>
      <c r="U22" s="55" t="e">
        <f t="shared" si="8"/>
        <v>#DIV/0!</v>
      </c>
      <c r="V22" s="55" t="e">
        <f>V21+ATM_Conf!$C$5*(Nodes!AL21)/('Off-Ramp'!K207*AA207)</f>
        <v>#DIV/0!</v>
      </c>
      <c r="W22" s="55" t="e">
        <f>W21+ATM_Conf!$C$5*(Nodes!AM21)/('Off-Ramp'!L207*AB207)</f>
        <v>#DIV/0!</v>
      </c>
      <c r="X22" s="55" t="e">
        <f>X21+ATM_Conf!$C$5*(Nodes!AN21)/('Off-Ramp'!M207*AC207)</f>
        <v>#DIV/0!</v>
      </c>
      <c r="Y22" s="55" t="e">
        <f>Y21+ATM_Conf!$C$5*(Nodes!AO21)/('Off-Ramp'!N207*AD207)</f>
        <v>#DIV/0!</v>
      </c>
      <c r="Z22" s="55" t="e">
        <f>Z21+ATM_Conf!$C$5*(Nodes!AP21)/('Off-Ramp'!O207*AE207)</f>
        <v>#DIV/0!</v>
      </c>
      <c r="AA22" s="55" t="e">
        <f>AA21+ATM_Conf!$C$5*(Nodes!AQ21)/('Off-Ramp'!P207*AF207)</f>
        <v>#DIV/0!</v>
      </c>
    </row>
    <row r="23" spans="1:27" x14ac:dyDescent="0.15">
      <c r="A23" s="48">
        <v>21</v>
      </c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55" t="e">
        <f t="shared" si="1"/>
        <v>#DIV/0!</v>
      </c>
      <c r="M23" s="55" t="e">
        <f t="shared" si="2"/>
        <v>#DIV/0!</v>
      </c>
      <c r="N23" s="55" t="e">
        <f t="shared" si="3"/>
        <v>#DIV/0!</v>
      </c>
      <c r="O23" s="55" t="e">
        <f t="shared" si="4"/>
        <v>#DIV/0!</v>
      </c>
      <c r="P23" s="73"/>
      <c r="Q23" s="73"/>
      <c r="R23" s="55" t="e">
        <f t="shared" si="5"/>
        <v>#DIV/0!</v>
      </c>
      <c r="S23" s="55" t="e">
        <f t="shared" si="6"/>
        <v>#DIV/0!</v>
      </c>
      <c r="T23" s="55" t="e">
        <f t="shared" si="7"/>
        <v>#DIV/0!</v>
      </c>
      <c r="U23" s="55" t="e">
        <f t="shared" si="8"/>
        <v>#DIV/0!</v>
      </c>
      <c r="V23" s="55" t="e">
        <f>V22+ATM_Conf!$C$5*(Nodes!AL22)/('Off-Ramp'!K208*AA208)</f>
        <v>#DIV/0!</v>
      </c>
      <c r="W23" s="55" t="e">
        <f>W22+ATM_Conf!$C$5*(Nodes!AM22)/('Off-Ramp'!L208*AB208)</f>
        <v>#DIV/0!</v>
      </c>
      <c r="X23" s="55" t="e">
        <f>X22+ATM_Conf!$C$5*(Nodes!AN22)/('Off-Ramp'!M208*AC208)</f>
        <v>#DIV/0!</v>
      </c>
      <c r="Y23" s="55" t="e">
        <f>Y22+ATM_Conf!$C$5*(Nodes!AO22)/('Off-Ramp'!N208*AD208)</f>
        <v>#DIV/0!</v>
      </c>
      <c r="Z23" s="55" t="e">
        <f>Z22+ATM_Conf!$C$5*(Nodes!AP22)/('Off-Ramp'!O208*AE208)</f>
        <v>#DIV/0!</v>
      </c>
      <c r="AA23" s="55" t="e">
        <f>AA22+ATM_Conf!$C$5*(Nodes!AQ22)/('Off-Ramp'!P208*AF208)</f>
        <v>#DIV/0!</v>
      </c>
    </row>
    <row r="24" spans="1:27" x14ac:dyDescent="0.15">
      <c r="A24" s="48">
        <v>22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55" t="e">
        <f t="shared" si="1"/>
        <v>#DIV/0!</v>
      </c>
      <c r="M24" s="55" t="e">
        <f t="shared" si="2"/>
        <v>#DIV/0!</v>
      </c>
      <c r="N24" s="55" t="e">
        <f t="shared" si="3"/>
        <v>#DIV/0!</v>
      </c>
      <c r="O24" s="55" t="e">
        <f t="shared" si="4"/>
        <v>#DIV/0!</v>
      </c>
      <c r="P24" s="73"/>
      <c r="Q24" s="73"/>
      <c r="R24" s="55" t="e">
        <f t="shared" si="5"/>
        <v>#DIV/0!</v>
      </c>
      <c r="S24" s="55" t="e">
        <f t="shared" si="6"/>
        <v>#DIV/0!</v>
      </c>
      <c r="T24" s="55" t="e">
        <f t="shared" si="7"/>
        <v>#DIV/0!</v>
      </c>
      <c r="U24" s="55" t="e">
        <f t="shared" si="8"/>
        <v>#DIV/0!</v>
      </c>
      <c r="V24" s="55" t="e">
        <f>V23+ATM_Conf!$C$5*(Nodes!AL23)/('Off-Ramp'!K209*AA209)</f>
        <v>#DIV/0!</v>
      </c>
      <c r="W24" s="55" t="e">
        <f>W23+ATM_Conf!$C$5*(Nodes!AM23)/('Off-Ramp'!L209*AB209)</f>
        <v>#DIV/0!</v>
      </c>
      <c r="X24" s="55" t="e">
        <f>X23+ATM_Conf!$C$5*(Nodes!AN23)/('Off-Ramp'!M209*AC209)</f>
        <v>#DIV/0!</v>
      </c>
      <c r="Y24" s="55" t="e">
        <f>Y23+ATM_Conf!$C$5*(Nodes!AO23)/('Off-Ramp'!N209*AD209)</f>
        <v>#DIV/0!</v>
      </c>
      <c r="Z24" s="55" t="e">
        <f>Z23+ATM_Conf!$C$5*(Nodes!AP23)/('Off-Ramp'!O209*AE209)</f>
        <v>#DIV/0!</v>
      </c>
      <c r="AA24" s="55" t="e">
        <f>AA23+ATM_Conf!$C$5*(Nodes!AQ23)/('Off-Ramp'!P209*AF209)</f>
        <v>#DIV/0!</v>
      </c>
    </row>
    <row r="25" spans="1:27" x14ac:dyDescent="0.15">
      <c r="A25" s="48">
        <v>23</v>
      </c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55" t="e">
        <f t="shared" si="1"/>
        <v>#DIV/0!</v>
      </c>
      <c r="M25" s="55" t="e">
        <f t="shared" si="2"/>
        <v>#DIV/0!</v>
      </c>
      <c r="N25" s="55" t="e">
        <f t="shared" si="3"/>
        <v>#DIV/0!</v>
      </c>
      <c r="O25" s="55" t="e">
        <f t="shared" si="4"/>
        <v>#DIV/0!</v>
      </c>
      <c r="P25" s="73"/>
      <c r="Q25" s="73"/>
      <c r="R25" s="55" t="e">
        <f t="shared" si="5"/>
        <v>#DIV/0!</v>
      </c>
      <c r="S25" s="55" t="e">
        <f t="shared" si="6"/>
        <v>#DIV/0!</v>
      </c>
      <c r="T25" s="55" t="e">
        <f t="shared" si="7"/>
        <v>#DIV/0!</v>
      </c>
      <c r="U25" s="55" t="e">
        <f t="shared" si="8"/>
        <v>#DIV/0!</v>
      </c>
      <c r="V25" s="55" t="e">
        <f>V24+ATM_Conf!$C$5*(Nodes!AL24)/('Off-Ramp'!K210*AA210)</f>
        <v>#DIV/0!</v>
      </c>
      <c r="W25" s="55" t="e">
        <f>W24+ATM_Conf!$C$5*(Nodes!AM24)/('Off-Ramp'!L210*AB210)</f>
        <v>#DIV/0!</v>
      </c>
      <c r="X25" s="55" t="e">
        <f>X24+ATM_Conf!$C$5*(Nodes!AN24)/('Off-Ramp'!M210*AC210)</f>
        <v>#DIV/0!</v>
      </c>
      <c r="Y25" s="55" t="e">
        <f>Y24+ATM_Conf!$C$5*(Nodes!AO24)/('Off-Ramp'!N210*AD210)</f>
        <v>#DIV/0!</v>
      </c>
      <c r="Z25" s="55" t="e">
        <f>Z24+ATM_Conf!$C$5*(Nodes!AP24)/('Off-Ramp'!O210*AE210)</f>
        <v>#DIV/0!</v>
      </c>
      <c r="AA25" s="55" t="e">
        <f>AA24+ATM_Conf!$C$5*(Nodes!AQ24)/('Off-Ramp'!P210*AF210)</f>
        <v>#DIV/0!</v>
      </c>
    </row>
    <row r="26" spans="1:27" x14ac:dyDescent="0.15">
      <c r="A26" s="48">
        <v>24</v>
      </c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55" t="e">
        <f t="shared" si="1"/>
        <v>#DIV/0!</v>
      </c>
      <c r="M26" s="55" t="e">
        <f t="shared" si="2"/>
        <v>#DIV/0!</v>
      </c>
      <c r="N26" s="55" t="e">
        <f t="shared" si="3"/>
        <v>#DIV/0!</v>
      </c>
      <c r="O26" s="55" t="e">
        <f t="shared" si="4"/>
        <v>#DIV/0!</v>
      </c>
      <c r="P26" s="73"/>
      <c r="Q26" s="73"/>
      <c r="R26" s="55" t="e">
        <f t="shared" si="5"/>
        <v>#DIV/0!</v>
      </c>
      <c r="S26" s="55" t="e">
        <f t="shared" si="6"/>
        <v>#DIV/0!</v>
      </c>
      <c r="T26" s="55" t="e">
        <f t="shared" si="7"/>
        <v>#DIV/0!</v>
      </c>
      <c r="U26" s="55" t="e">
        <f t="shared" si="8"/>
        <v>#DIV/0!</v>
      </c>
      <c r="V26" s="55" t="e">
        <f>V25+ATM_Conf!$C$5*(Nodes!AL25)/('Off-Ramp'!K211*AA211)</f>
        <v>#DIV/0!</v>
      </c>
      <c r="W26" s="55" t="e">
        <f>W25+ATM_Conf!$C$5*(Nodes!AM25)/('Off-Ramp'!L211*AB211)</f>
        <v>#DIV/0!</v>
      </c>
      <c r="X26" s="55" t="e">
        <f>X25+ATM_Conf!$C$5*(Nodes!AN25)/('Off-Ramp'!M211*AC211)</f>
        <v>#DIV/0!</v>
      </c>
      <c r="Y26" s="55" t="e">
        <f>Y25+ATM_Conf!$C$5*(Nodes!AO25)/('Off-Ramp'!N211*AD211)</f>
        <v>#DIV/0!</v>
      </c>
      <c r="Z26" s="55" t="e">
        <f>Z25+ATM_Conf!$C$5*(Nodes!AP25)/('Off-Ramp'!O211*AE211)</f>
        <v>#DIV/0!</v>
      </c>
      <c r="AA26" s="55" t="e">
        <f>AA25+ATM_Conf!$C$5*(Nodes!AQ25)/('Off-Ramp'!P211*AF211)</f>
        <v>#DIV/0!</v>
      </c>
    </row>
    <row r="27" spans="1:27" x14ac:dyDescent="0.15">
      <c r="A27" s="48">
        <v>25</v>
      </c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55" t="e">
        <f t="shared" si="1"/>
        <v>#DIV/0!</v>
      </c>
      <c r="M27" s="55" t="e">
        <f t="shared" si="2"/>
        <v>#DIV/0!</v>
      </c>
      <c r="N27" s="55" t="e">
        <f t="shared" si="3"/>
        <v>#DIV/0!</v>
      </c>
      <c r="O27" s="55" t="e">
        <f t="shared" si="4"/>
        <v>#DIV/0!</v>
      </c>
      <c r="P27" s="73"/>
      <c r="Q27" s="73"/>
      <c r="R27" s="55" t="e">
        <f t="shared" si="5"/>
        <v>#DIV/0!</v>
      </c>
      <c r="S27" s="55" t="e">
        <f t="shared" si="6"/>
        <v>#DIV/0!</v>
      </c>
      <c r="T27" s="55" t="e">
        <f t="shared" si="7"/>
        <v>#DIV/0!</v>
      </c>
      <c r="U27" s="55" t="e">
        <f t="shared" si="8"/>
        <v>#DIV/0!</v>
      </c>
      <c r="V27" s="55" t="e">
        <f>V26+ATM_Conf!$C$5*(Nodes!AL26)/('Off-Ramp'!K212*AA212)</f>
        <v>#DIV/0!</v>
      </c>
      <c r="W27" s="55" t="e">
        <f>W26+ATM_Conf!$C$5*(Nodes!AM26)/('Off-Ramp'!L212*AB212)</f>
        <v>#DIV/0!</v>
      </c>
      <c r="X27" s="55" t="e">
        <f>X26+ATM_Conf!$C$5*(Nodes!AN26)/('Off-Ramp'!M212*AC212)</f>
        <v>#DIV/0!</v>
      </c>
      <c r="Y27" s="55" t="e">
        <f>Y26+ATM_Conf!$C$5*(Nodes!AO26)/('Off-Ramp'!N212*AD212)</f>
        <v>#DIV/0!</v>
      </c>
      <c r="Z27" s="55" t="e">
        <f>Z26+ATM_Conf!$C$5*(Nodes!AP26)/('Off-Ramp'!O212*AE212)</f>
        <v>#DIV/0!</v>
      </c>
      <c r="AA27" s="55" t="e">
        <f>AA26+ATM_Conf!$C$5*(Nodes!AQ26)/('Off-Ramp'!P212*AF212)</f>
        <v>#DIV/0!</v>
      </c>
    </row>
    <row r="28" spans="1:27" x14ac:dyDescent="0.15">
      <c r="A28" s="48">
        <v>26</v>
      </c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55" t="e">
        <f t="shared" si="1"/>
        <v>#DIV/0!</v>
      </c>
      <c r="M28" s="55" t="e">
        <f t="shared" si="2"/>
        <v>#DIV/0!</v>
      </c>
      <c r="N28" s="55" t="e">
        <f t="shared" si="3"/>
        <v>#DIV/0!</v>
      </c>
      <c r="O28" s="55" t="e">
        <f t="shared" si="4"/>
        <v>#DIV/0!</v>
      </c>
      <c r="P28" s="73"/>
      <c r="Q28" s="73"/>
      <c r="R28" s="55" t="e">
        <f t="shared" si="5"/>
        <v>#DIV/0!</v>
      </c>
      <c r="S28" s="55" t="e">
        <f t="shared" si="6"/>
        <v>#DIV/0!</v>
      </c>
      <c r="T28" s="55" t="e">
        <f t="shared" si="7"/>
        <v>#DIV/0!</v>
      </c>
      <c r="U28" s="55" t="e">
        <f t="shared" si="8"/>
        <v>#DIV/0!</v>
      </c>
      <c r="V28" s="55" t="e">
        <f>V27+ATM_Conf!$C$5*(Nodes!AL27)/('Off-Ramp'!K213*AA213)</f>
        <v>#DIV/0!</v>
      </c>
      <c r="W28" s="55" t="e">
        <f>W27+ATM_Conf!$C$5*(Nodes!AM27)/('Off-Ramp'!L213*AB213)</f>
        <v>#DIV/0!</v>
      </c>
      <c r="X28" s="55" t="e">
        <f>X27+ATM_Conf!$C$5*(Nodes!AN27)/('Off-Ramp'!M213*AC213)</f>
        <v>#DIV/0!</v>
      </c>
      <c r="Y28" s="55" t="e">
        <f>Y27+ATM_Conf!$C$5*(Nodes!AO27)/('Off-Ramp'!N213*AD213)</f>
        <v>#DIV/0!</v>
      </c>
      <c r="Z28" s="55" t="e">
        <f>Z27+ATM_Conf!$C$5*(Nodes!AP27)/('Off-Ramp'!O213*AE213)</f>
        <v>#DIV/0!</v>
      </c>
      <c r="AA28" s="55" t="e">
        <f>AA27+ATM_Conf!$C$5*(Nodes!AQ27)/('Off-Ramp'!P213*AF213)</f>
        <v>#DIV/0!</v>
      </c>
    </row>
    <row r="29" spans="1:27" x14ac:dyDescent="0.15">
      <c r="A29" s="48">
        <v>27</v>
      </c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55" t="e">
        <f t="shared" si="1"/>
        <v>#DIV/0!</v>
      </c>
      <c r="M29" s="55" t="e">
        <f t="shared" si="2"/>
        <v>#DIV/0!</v>
      </c>
      <c r="N29" s="55" t="e">
        <f t="shared" si="3"/>
        <v>#DIV/0!</v>
      </c>
      <c r="O29" s="55" t="e">
        <f t="shared" si="4"/>
        <v>#DIV/0!</v>
      </c>
      <c r="P29" s="73"/>
      <c r="Q29" s="73"/>
      <c r="R29" s="55" t="e">
        <f t="shared" si="5"/>
        <v>#DIV/0!</v>
      </c>
      <c r="S29" s="55" t="e">
        <f t="shared" si="6"/>
        <v>#DIV/0!</v>
      </c>
      <c r="T29" s="55" t="e">
        <f t="shared" si="7"/>
        <v>#DIV/0!</v>
      </c>
      <c r="U29" s="55" t="e">
        <f t="shared" si="8"/>
        <v>#DIV/0!</v>
      </c>
      <c r="V29" s="55" t="e">
        <f>V28+ATM_Conf!$C$5*(Nodes!AL28)/('Off-Ramp'!K214*AA214)</f>
        <v>#DIV/0!</v>
      </c>
      <c r="W29" s="55" t="e">
        <f>W28+ATM_Conf!$C$5*(Nodes!AM28)/('Off-Ramp'!L214*AB214)</f>
        <v>#DIV/0!</v>
      </c>
      <c r="X29" s="55" t="e">
        <f>X28+ATM_Conf!$C$5*(Nodes!AN28)/('Off-Ramp'!M214*AC214)</f>
        <v>#DIV/0!</v>
      </c>
      <c r="Y29" s="55" t="e">
        <f>Y28+ATM_Conf!$C$5*(Nodes!AO28)/('Off-Ramp'!N214*AD214)</f>
        <v>#DIV/0!</v>
      </c>
      <c r="Z29" s="55" t="e">
        <f>Z28+ATM_Conf!$C$5*(Nodes!AP28)/('Off-Ramp'!O214*AE214)</f>
        <v>#DIV/0!</v>
      </c>
      <c r="AA29" s="55" t="e">
        <f>AA28+ATM_Conf!$C$5*(Nodes!AQ28)/('Off-Ramp'!P214*AF214)</f>
        <v>#DIV/0!</v>
      </c>
    </row>
    <row r="30" spans="1:27" x14ac:dyDescent="0.15">
      <c r="A30" s="48">
        <v>28</v>
      </c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55" t="e">
        <f t="shared" si="1"/>
        <v>#DIV/0!</v>
      </c>
      <c r="M30" s="55" t="e">
        <f t="shared" si="2"/>
        <v>#DIV/0!</v>
      </c>
      <c r="N30" s="55" t="e">
        <f t="shared" si="3"/>
        <v>#DIV/0!</v>
      </c>
      <c r="O30" s="55" t="e">
        <f t="shared" si="4"/>
        <v>#DIV/0!</v>
      </c>
      <c r="P30" s="73"/>
      <c r="Q30" s="73"/>
      <c r="R30" s="55" t="e">
        <f t="shared" si="5"/>
        <v>#DIV/0!</v>
      </c>
      <c r="S30" s="55" t="e">
        <f t="shared" si="6"/>
        <v>#DIV/0!</v>
      </c>
      <c r="T30" s="55" t="e">
        <f t="shared" si="7"/>
        <v>#DIV/0!</v>
      </c>
      <c r="U30" s="55" t="e">
        <f t="shared" si="8"/>
        <v>#DIV/0!</v>
      </c>
      <c r="V30" s="55" t="e">
        <f>V29+ATM_Conf!$C$5*(Nodes!AL29)/('Off-Ramp'!K215*AA215)</f>
        <v>#DIV/0!</v>
      </c>
      <c r="W30" s="55" t="e">
        <f>W29+ATM_Conf!$C$5*(Nodes!AM29)/('Off-Ramp'!L215*AB215)</f>
        <v>#DIV/0!</v>
      </c>
      <c r="X30" s="55" t="e">
        <f>X29+ATM_Conf!$C$5*(Nodes!AN29)/('Off-Ramp'!M215*AC215)</f>
        <v>#DIV/0!</v>
      </c>
      <c r="Y30" s="55" t="e">
        <f>Y29+ATM_Conf!$C$5*(Nodes!AO29)/('Off-Ramp'!N215*AD215)</f>
        <v>#DIV/0!</v>
      </c>
      <c r="Z30" s="55" t="e">
        <f>Z29+ATM_Conf!$C$5*(Nodes!AP29)/('Off-Ramp'!O215*AE215)</f>
        <v>#DIV/0!</v>
      </c>
      <c r="AA30" s="55" t="e">
        <f>AA29+ATM_Conf!$C$5*(Nodes!AQ29)/('Off-Ramp'!P215*AF215)</f>
        <v>#DIV/0!</v>
      </c>
    </row>
    <row r="31" spans="1:27" x14ac:dyDescent="0.15">
      <c r="A31" s="48">
        <v>29</v>
      </c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55" t="e">
        <f t="shared" si="1"/>
        <v>#DIV/0!</v>
      </c>
      <c r="M31" s="55" t="e">
        <f t="shared" si="2"/>
        <v>#DIV/0!</v>
      </c>
      <c r="N31" s="55" t="e">
        <f t="shared" si="3"/>
        <v>#DIV/0!</v>
      </c>
      <c r="O31" s="55" t="e">
        <f t="shared" si="4"/>
        <v>#DIV/0!</v>
      </c>
      <c r="P31" s="73"/>
      <c r="Q31" s="73"/>
      <c r="R31" s="55" t="e">
        <f t="shared" si="5"/>
        <v>#DIV/0!</v>
      </c>
      <c r="S31" s="55" t="e">
        <f t="shared" si="6"/>
        <v>#DIV/0!</v>
      </c>
      <c r="T31" s="55" t="e">
        <f t="shared" si="7"/>
        <v>#DIV/0!</v>
      </c>
      <c r="U31" s="55" t="e">
        <f t="shared" si="8"/>
        <v>#DIV/0!</v>
      </c>
      <c r="V31" s="55" t="e">
        <f>V30+ATM_Conf!$C$5*(Nodes!AL30)/('Off-Ramp'!K216*AA216)</f>
        <v>#DIV/0!</v>
      </c>
      <c r="W31" s="55" t="e">
        <f>W30+ATM_Conf!$C$5*(Nodes!AM30)/('Off-Ramp'!L216*AB216)</f>
        <v>#DIV/0!</v>
      </c>
      <c r="X31" s="55" t="e">
        <f>X30+ATM_Conf!$C$5*(Nodes!AN30)/('Off-Ramp'!M216*AC216)</f>
        <v>#DIV/0!</v>
      </c>
      <c r="Y31" s="55" t="e">
        <f>Y30+ATM_Conf!$C$5*(Nodes!AO30)/('Off-Ramp'!N216*AD216)</f>
        <v>#DIV/0!</v>
      </c>
      <c r="Z31" s="55" t="e">
        <f>Z30+ATM_Conf!$C$5*(Nodes!AP30)/('Off-Ramp'!O216*AE216)</f>
        <v>#DIV/0!</v>
      </c>
      <c r="AA31" s="55" t="e">
        <f>AA30+ATM_Conf!$C$5*(Nodes!AQ30)/('Off-Ramp'!P216*AF216)</f>
        <v>#DIV/0!</v>
      </c>
    </row>
    <row r="32" spans="1:27" x14ac:dyDescent="0.15">
      <c r="A32" s="48">
        <v>30</v>
      </c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55" t="e">
        <f t="shared" si="1"/>
        <v>#DIV/0!</v>
      </c>
      <c r="M32" s="55" t="e">
        <f t="shared" si="2"/>
        <v>#DIV/0!</v>
      </c>
      <c r="N32" s="55" t="e">
        <f t="shared" si="3"/>
        <v>#DIV/0!</v>
      </c>
      <c r="O32" s="55" t="e">
        <f t="shared" si="4"/>
        <v>#DIV/0!</v>
      </c>
      <c r="P32" s="73"/>
      <c r="Q32" s="73"/>
      <c r="R32" s="55" t="e">
        <f t="shared" si="5"/>
        <v>#DIV/0!</v>
      </c>
      <c r="S32" s="55" t="e">
        <f t="shared" si="6"/>
        <v>#DIV/0!</v>
      </c>
      <c r="T32" s="55" t="e">
        <f t="shared" si="7"/>
        <v>#DIV/0!</v>
      </c>
      <c r="U32" s="55" t="e">
        <f t="shared" si="8"/>
        <v>#DIV/0!</v>
      </c>
      <c r="V32" s="55" t="e">
        <f>V31+ATM_Conf!$C$5*(Nodes!AL31)/('Off-Ramp'!K217*AA217)</f>
        <v>#DIV/0!</v>
      </c>
      <c r="W32" s="55" t="e">
        <f>W31+ATM_Conf!$C$5*(Nodes!AM31)/('Off-Ramp'!L217*AB217)</f>
        <v>#DIV/0!</v>
      </c>
      <c r="X32" s="55" t="e">
        <f>X31+ATM_Conf!$C$5*(Nodes!AN31)/('Off-Ramp'!M217*AC217)</f>
        <v>#DIV/0!</v>
      </c>
      <c r="Y32" s="55" t="e">
        <f>Y31+ATM_Conf!$C$5*(Nodes!AO31)/('Off-Ramp'!N217*AD217)</f>
        <v>#DIV/0!</v>
      </c>
      <c r="Z32" s="55" t="e">
        <f>Z31+ATM_Conf!$C$5*(Nodes!AP31)/('Off-Ramp'!O217*AE217)</f>
        <v>#DIV/0!</v>
      </c>
      <c r="AA32" s="55" t="e">
        <f>AA31+ATM_Conf!$C$5*(Nodes!AQ31)/('Off-Ramp'!P217*AF217)</f>
        <v>#DIV/0!</v>
      </c>
    </row>
    <row r="33" spans="1:27" x14ac:dyDescent="0.15">
      <c r="A33" s="48">
        <v>31</v>
      </c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55" t="e">
        <f t="shared" si="1"/>
        <v>#DIV/0!</v>
      </c>
      <c r="M33" s="55" t="e">
        <f t="shared" si="2"/>
        <v>#DIV/0!</v>
      </c>
      <c r="N33" s="55" t="e">
        <f t="shared" si="3"/>
        <v>#DIV/0!</v>
      </c>
      <c r="O33" s="55" t="e">
        <f t="shared" si="4"/>
        <v>#DIV/0!</v>
      </c>
      <c r="P33" s="73"/>
      <c r="Q33" s="73"/>
      <c r="R33" s="55" t="e">
        <f t="shared" si="5"/>
        <v>#DIV/0!</v>
      </c>
      <c r="S33" s="55" t="e">
        <f t="shared" si="6"/>
        <v>#DIV/0!</v>
      </c>
      <c r="T33" s="55" t="e">
        <f t="shared" si="7"/>
        <v>#DIV/0!</v>
      </c>
      <c r="U33" s="55" t="e">
        <f t="shared" si="8"/>
        <v>#DIV/0!</v>
      </c>
      <c r="V33" s="55" t="e">
        <f>V32+ATM_Conf!$C$5*(Nodes!AL32)/('Off-Ramp'!K218*AA218)</f>
        <v>#DIV/0!</v>
      </c>
      <c r="W33" s="55" t="e">
        <f>W32+ATM_Conf!$C$5*(Nodes!AM32)/('Off-Ramp'!L218*AB218)</f>
        <v>#DIV/0!</v>
      </c>
      <c r="X33" s="55" t="e">
        <f>X32+ATM_Conf!$C$5*(Nodes!AN32)/('Off-Ramp'!M218*AC218)</f>
        <v>#DIV/0!</v>
      </c>
      <c r="Y33" s="55" t="e">
        <f>Y32+ATM_Conf!$C$5*(Nodes!AO32)/('Off-Ramp'!N218*AD218)</f>
        <v>#DIV/0!</v>
      </c>
      <c r="Z33" s="55" t="e">
        <f>Z32+ATM_Conf!$C$5*(Nodes!AP32)/('Off-Ramp'!O218*AE218)</f>
        <v>#DIV/0!</v>
      </c>
      <c r="AA33" s="55" t="e">
        <f>AA32+ATM_Conf!$C$5*(Nodes!AQ32)/('Off-Ramp'!P218*AF218)</f>
        <v>#DIV/0!</v>
      </c>
    </row>
    <row r="34" spans="1:27" x14ac:dyDescent="0.15">
      <c r="A34" s="48">
        <v>32</v>
      </c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55" t="e">
        <f t="shared" si="1"/>
        <v>#DIV/0!</v>
      </c>
      <c r="M34" s="55" t="e">
        <f t="shared" si="2"/>
        <v>#DIV/0!</v>
      </c>
      <c r="N34" s="55" t="e">
        <f t="shared" si="3"/>
        <v>#DIV/0!</v>
      </c>
      <c r="O34" s="55" t="e">
        <f t="shared" si="4"/>
        <v>#DIV/0!</v>
      </c>
      <c r="P34" s="73"/>
      <c r="Q34" s="73"/>
      <c r="R34" s="55" t="e">
        <f t="shared" si="5"/>
        <v>#DIV/0!</v>
      </c>
      <c r="S34" s="55" t="e">
        <f t="shared" si="6"/>
        <v>#DIV/0!</v>
      </c>
      <c r="T34" s="55" t="e">
        <f t="shared" si="7"/>
        <v>#DIV/0!</v>
      </c>
      <c r="U34" s="55" t="e">
        <f t="shared" si="8"/>
        <v>#DIV/0!</v>
      </c>
      <c r="V34" s="55" t="e">
        <f>V33+ATM_Conf!$C$5*(Nodes!AL33)/('Off-Ramp'!K219*AA219)</f>
        <v>#DIV/0!</v>
      </c>
      <c r="W34" s="55" t="e">
        <f>W33+ATM_Conf!$C$5*(Nodes!AM33)/('Off-Ramp'!L219*AB219)</f>
        <v>#DIV/0!</v>
      </c>
      <c r="X34" s="55" t="e">
        <f>X33+ATM_Conf!$C$5*(Nodes!AN33)/('Off-Ramp'!M219*AC219)</f>
        <v>#DIV/0!</v>
      </c>
      <c r="Y34" s="55" t="e">
        <f>Y33+ATM_Conf!$C$5*(Nodes!AO33)/('Off-Ramp'!N219*AD219)</f>
        <v>#DIV/0!</v>
      </c>
      <c r="Z34" s="55" t="e">
        <f>Z33+ATM_Conf!$C$5*(Nodes!AP33)/('Off-Ramp'!O219*AE219)</f>
        <v>#DIV/0!</v>
      </c>
      <c r="AA34" s="55" t="e">
        <f>AA33+ATM_Conf!$C$5*(Nodes!AQ33)/('Off-Ramp'!P219*AF219)</f>
        <v>#DIV/0!</v>
      </c>
    </row>
    <row r="35" spans="1:27" x14ac:dyDescent="0.15">
      <c r="A35" s="48">
        <v>33</v>
      </c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55" t="e">
        <f t="shared" si="1"/>
        <v>#DIV/0!</v>
      </c>
      <c r="M35" s="55" t="e">
        <f t="shared" si="2"/>
        <v>#DIV/0!</v>
      </c>
      <c r="N35" s="55" t="e">
        <f t="shared" si="3"/>
        <v>#DIV/0!</v>
      </c>
      <c r="O35" s="55" t="e">
        <f t="shared" si="4"/>
        <v>#DIV/0!</v>
      </c>
      <c r="P35" s="73"/>
      <c r="Q35" s="73"/>
      <c r="R35" s="55" t="e">
        <f t="shared" si="5"/>
        <v>#DIV/0!</v>
      </c>
      <c r="S35" s="55" t="e">
        <f t="shared" si="6"/>
        <v>#DIV/0!</v>
      </c>
      <c r="T35" s="55" t="e">
        <f t="shared" si="7"/>
        <v>#DIV/0!</v>
      </c>
      <c r="U35" s="55" t="e">
        <f t="shared" si="8"/>
        <v>#DIV/0!</v>
      </c>
      <c r="V35" s="55" t="e">
        <f>V34+ATM_Conf!$C$5*(Nodes!AL34)/('Off-Ramp'!K220*AA220)</f>
        <v>#DIV/0!</v>
      </c>
      <c r="W35" s="55" t="e">
        <f>W34+ATM_Conf!$C$5*(Nodes!AM34)/('Off-Ramp'!L220*AB220)</f>
        <v>#DIV/0!</v>
      </c>
      <c r="X35" s="55" t="e">
        <f>X34+ATM_Conf!$C$5*(Nodes!AN34)/('Off-Ramp'!M220*AC220)</f>
        <v>#DIV/0!</v>
      </c>
      <c r="Y35" s="55" t="e">
        <f>Y34+ATM_Conf!$C$5*(Nodes!AO34)/('Off-Ramp'!N220*AD220)</f>
        <v>#DIV/0!</v>
      </c>
      <c r="Z35" s="55" t="e">
        <f>Z34+ATM_Conf!$C$5*(Nodes!AP34)/('Off-Ramp'!O220*AE220)</f>
        <v>#DIV/0!</v>
      </c>
      <c r="AA35" s="55" t="e">
        <f>AA34+ATM_Conf!$C$5*(Nodes!AQ34)/('Off-Ramp'!P220*AF220)</f>
        <v>#DIV/0!</v>
      </c>
    </row>
    <row r="36" spans="1:27" x14ac:dyDescent="0.15">
      <c r="A36" s="48">
        <v>34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55" t="e">
        <f t="shared" ref="L36:L67" si="9">B36/60/A$189</f>
        <v>#DIV/0!</v>
      </c>
      <c r="M36" s="55" t="e">
        <f t="shared" ref="M36:M67" si="10">C36/60/B$189</f>
        <v>#DIV/0!</v>
      </c>
      <c r="N36" s="55" t="e">
        <f t="shared" ref="N36:N67" si="11">D36/60/C$189</f>
        <v>#DIV/0!</v>
      </c>
      <c r="O36" s="55" t="e">
        <f t="shared" ref="O36:O67" si="12">E36/60/D$189</f>
        <v>#DIV/0!</v>
      </c>
      <c r="P36" s="73"/>
      <c r="Q36" s="73"/>
      <c r="R36" s="55" t="e">
        <f t="shared" ref="R36:R67" si="13">H36/60/G$189</f>
        <v>#DIV/0!</v>
      </c>
      <c r="S36" s="55" t="e">
        <f t="shared" ref="S36:S67" si="14">I36/60/H$189</f>
        <v>#DIV/0!</v>
      </c>
      <c r="T36" s="55" t="e">
        <f t="shared" ref="T36:T67" si="15">J36/60/I$189</f>
        <v>#DIV/0!</v>
      </c>
      <c r="U36" s="55" t="e">
        <f t="shared" si="8"/>
        <v>#DIV/0!</v>
      </c>
      <c r="V36" s="55" t="e">
        <f>V35+ATM_Conf!$C$5*(Nodes!AL35)/('Off-Ramp'!K221*AA221)</f>
        <v>#DIV/0!</v>
      </c>
      <c r="W36" s="55" t="e">
        <f>W35+ATM_Conf!$C$5*(Nodes!AM35)/('Off-Ramp'!L221*AB221)</f>
        <v>#DIV/0!</v>
      </c>
      <c r="X36" s="55" t="e">
        <f>X35+ATM_Conf!$C$5*(Nodes!AN35)/('Off-Ramp'!M221*AC221)</f>
        <v>#DIV/0!</v>
      </c>
      <c r="Y36" s="55" t="e">
        <f>Y35+ATM_Conf!$C$5*(Nodes!AO35)/('Off-Ramp'!N221*AD221)</f>
        <v>#DIV/0!</v>
      </c>
      <c r="Z36" s="55" t="e">
        <f>Z35+ATM_Conf!$C$5*(Nodes!AP35)/('Off-Ramp'!O221*AE221)</f>
        <v>#DIV/0!</v>
      </c>
      <c r="AA36" s="55" t="e">
        <f>AA35+ATM_Conf!$C$5*(Nodes!AQ35)/('Off-Ramp'!P221*AF221)</f>
        <v>#DIV/0!</v>
      </c>
    </row>
    <row r="37" spans="1:27" x14ac:dyDescent="0.15">
      <c r="A37" s="48">
        <v>35</v>
      </c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55" t="e">
        <f t="shared" si="9"/>
        <v>#DIV/0!</v>
      </c>
      <c r="M37" s="55" t="e">
        <f t="shared" si="10"/>
        <v>#DIV/0!</v>
      </c>
      <c r="N37" s="55" t="e">
        <f t="shared" si="11"/>
        <v>#DIV/0!</v>
      </c>
      <c r="O37" s="55" t="e">
        <f t="shared" si="12"/>
        <v>#DIV/0!</v>
      </c>
      <c r="P37" s="73"/>
      <c r="Q37" s="73"/>
      <c r="R37" s="55" t="e">
        <f t="shared" si="13"/>
        <v>#DIV/0!</v>
      </c>
      <c r="S37" s="55" t="e">
        <f t="shared" si="14"/>
        <v>#DIV/0!</v>
      </c>
      <c r="T37" s="55" t="e">
        <f t="shared" si="15"/>
        <v>#DIV/0!</v>
      </c>
      <c r="U37" s="55" t="e">
        <f t="shared" si="8"/>
        <v>#DIV/0!</v>
      </c>
      <c r="V37" s="55" t="e">
        <f>V36+ATM_Conf!$C$5*(Nodes!AL36)/('Off-Ramp'!K222*AA222)</f>
        <v>#DIV/0!</v>
      </c>
      <c r="W37" s="55" t="e">
        <f>W36+ATM_Conf!$C$5*(Nodes!AM36)/('Off-Ramp'!L222*AB222)</f>
        <v>#DIV/0!</v>
      </c>
      <c r="X37" s="55" t="e">
        <f>X36+ATM_Conf!$C$5*(Nodes!AN36)/('Off-Ramp'!M222*AC222)</f>
        <v>#DIV/0!</v>
      </c>
      <c r="Y37" s="55" t="e">
        <f>Y36+ATM_Conf!$C$5*(Nodes!AO36)/('Off-Ramp'!N222*AD222)</f>
        <v>#DIV/0!</v>
      </c>
      <c r="Z37" s="55" t="e">
        <f>Z36+ATM_Conf!$C$5*(Nodes!AP36)/('Off-Ramp'!O222*AE222)</f>
        <v>#DIV/0!</v>
      </c>
      <c r="AA37" s="55" t="e">
        <f>AA36+ATM_Conf!$C$5*(Nodes!AQ36)/('Off-Ramp'!P222*AF222)</f>
        <v>#DIV/0!</v>
      </c>
    </row>
    <row r="38" spans="1:27" x14ac:dyDescent="0.15">
      <c r="A38" s="48">
        <v>36</v>
      </c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55" t="e">
        <f t="shared" si="9"/>
        <v>#DIV/0!</v>
      </c>
      <c r="M38" s="55" t="e">
        <f t="shared" si="10"/>
        <v>#DIV/0!</v>
      </c>
      <c r="N38" s="55" t="e">
        <f t="shared" si="11"/>
        <v>#DIV/0!</v>
      </c>
      <c r="O38" s="55" t="e">
        <f t="shared" si="12"/>
        <v>#DIV/0!</v>
      </c>
      <c r="P38" s="73"/>
      <c r="Q38" s="73"/>
      <c r="R38" s="55" t="e">
        <f t="shared" si="13"/>
        <v>#DIV/0!</v>
      </c>
      <c r="S38" s="55" t="e">
        <f t="shared" si="14"/>
        <v>#DIV/0!</v>
      </c>
      <c r="T38" s="55" t="e">
        <f t="shared" si="15"/>
        <v>#DIV/0!</v>
      </c>
      <c r="U38" s="55" t="e">
        <f t="shared" si="8"/>
        <v>#DIV/0!</v>
      </c>
      <c r="V38" s="55" t="e">
        <f>V37+ATM_Conf!$C$5*(Nodes!AL37)/('Off-Ramp'!K223*AA223)</f>
        <v>#DIV/0!</v>
      </c>
      <c r="W38" s="55" t="e">
        <f>W37+ATM_Conf!$C$5*(Nodes!AM37)/('Off-Ramp'!L223*AB223)</f>
        <v>#DIV/0!</v>
      </c>
      <c r="X38" s="55" t="e">
        <f>X37+ATM_Conf!$C$5*(Nodes!AN37)/('Off-Ramp'!M223*AC223)</f>
        <v>#DIV/0!</v>
      </c>
      <c r="Y38" s="55" t="e">
        <f>Y37+ATM_Conf!$C$5*(Nodes!AO37)/('Off-Ramp'!N223*AD223)</f>
        <v>#DIV/0!</v>
      </c>
      <c r="Z38" s="55" t="e">
        <f>Z37+ATM_Conf!$C$5*(Nodes!AP37)/('Off-Ramp'!O223*AE223)</f>
        <v>#DIV/0!</v>
      </c>
      <c r="AA38" s="55" t="e">
        <f>AA37+ATM_Conf!$C$5*(Nodes!AQ37)/('Off-Ramp'!P223*AF223)</f>
        <v>#DIV/0!</v>
      </c>
    </row>
    <row r="39" spans="1:27" x14ac:dyDescent="0.15">
      <c r="A39" s="48">
        <v>37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55" t="e">
        <f t="shared" si="9"/>
        <v>#DIV/0!</v>
      </c>
      <c r="M39" s="55" t="e">
        <f t="shared" si="10"/>
        <v>#DIV/0!</v>
      </c>
      <c r="N39" s="55" t="e">
        <f t="shared" si="11"/>
        <v>#DIV/0!</v>
      </c>
      <c r="O39" s="55" t="e">
        <f t="shared" si="12"/>
        <v>#DIV/0!</v>
      </c>
      <c r="P39" s="73"/>
      <c r="Q39" s="73"/>
      <c r="R39" s="55" t="e">
        <f t="shared" si="13"/>
        <v>#DIV/0!</v>
      </c>
      <c r="S39" s="55" t="e">
        <f t="shared" si="14"/>
        <v>#DIV/0!</v>
      </c>
      <c r="T39" s="55" t="e">
        <f t="shared" si="15"/>
        <v>#DIV/0!</v>
      </c>
      <c r="U39" s="55" t="e">
        <f t="shared" si="8"/>
        <v>#DIV/0!</v>
      </c>
      <c r="V39" s="55" t="e">
        <f>V38+ATM_Conf!$C$5*(Nodes!AL38)/('Off-Ramp'!K224*AA224)</f>
        <v>#DIV/0!</v>
      </c>
      <c r="W39" s="55" t="e">
        <f>W38+ATM_Conf!$C$5*(Nodes!AM38)/('Off-Ramp'!L224*AB224)</f>
        <v>#DIV/0!</v>
      </c>
      <c r="X39" s="55" t="e">
        <f>X38+ATM_Conf!$C$5*(Nodes!AN38)/('Off-Ramp'!M224*AC224)</f>
        <v>#DIV/0!</v>
      </c>
      <c r="Y39" s="55" t="e">
        <f>Y38+ATM_Conf!$C$5*(Nodes!AO38)/('Off-Ramp'!N224*AD224)</f>
        <v>#DIV/0!</v>
      </c>
      <c r="Z39" s="55" t="e">
        <f>Z38+ATM_Conf!$C$5*(Nodes!AP38)/('Off-Ramp'!O224*AE224)</f>
        <v>#DIV/0!</v>
      </c>
      <c r="AA39" s="55" t="e">
        <f>AA38+ATM_Conf!$C$5*(Nodes!AQ38)/('Off-Ramp'!P224*AF224)</f>
        <v>#DIV/0!</v>
      </c>
    </row>
    <row r="40" spans="1:27" x14ac:dyDescent="0.15">
      <c r="A40" s="48">
        <v>38</v>
      </c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55" t="e">
        <f t="shared" si="9"/>
        <v>#DIV/0!</v>
      </c>
      <c r="M40" s="55" t="e">
        <f t="shared" si="10"/>
        <v>#DIV/0!</v>
      </c>
      <c r="N40" s="55" t="e">
        <f t="shared" si="11"/>
        <v>#DIV/0!</v>
      </c>
      <c r="O40" s="55" t="e">
        <f t="shared" si="12"/>
        <v>#DIV/0!</v>
      </c>
      <c r="P40" s="73"/>
      <c r="Q40" s="73"/>
      <c r="R40" s="55" t="e">
        <f t="shared" si="13"/>
        <v>#DIV/0!</v>
      </c>
      <c r="S40" s="55" t="e">
        <f t="shared" si="14"/>
        <v>#DIV/0!</v>
      </c>
      <c r="T40" s="55" t="e">
        <f t="shared" si="15"/>
        <v>#DIV/0!</v>
      </c>
      <c r="U40" s="55" t="e">
        <f t="shared" si="8"/>
        <v>#DIV/0!</v>
      </c>
      <c r="V40" s="55" t="e">
        <f>V39+ATM_Conf!$C$5*(Nodes!AL39)/('Off-Ramp'!K225*AA225)</f>
        <v>#DIV/0!</v>
      </c>
      <c r="W40" s="55" t="e">
        <f>W39+ATM_Conf!$C$5*(Nodes!AM39)/('Off-Ramp'!L225*AB225)</f>
        <v>#DIV/0!</v>
      </c>
      <c r="X40" s="55" t="e">
        <f>X39+ATM_Conf!$C$5*(Nodes!AN39)/('Off-Ramp'!M225*AC225)</f>
        <v>#DIV/0!</v>
      </c>
      <c r="Y40" s="55" t="e">
        <f>Y39+ATM_Conf!$C$5*(Nodes!AO39)/('Off-Ramp'!N225*AD225)</f>
        <v>#DIV/0!</v>
      </c>
      <c r="Z40" s="55" t="e">
        <f>Z39+ATM_Conf!$C$5*(Nodes!AP39)/('Off-Ramp'!O225*AE225)</f>
        <v>#DIV/0!</v>
      </c>
      <c r="AA40" s="55" t="e">
        <f>AA39+ATM_Conf!$C$5*(Nodes!AQ39)/('Off-Ramp'!P225*AF225)</f>
        <v>#DIV/0!</v>
      </c>
    </row>
    <row r="41" spans="1:27" x14ac:dyDescent="0.15">
      <c r="A41" s="48">
        <v>39</v>
      </c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55" t="e">
        <f t="shared" si="9"/>
        <v>#DIV/0!</v>
      </c>
      <c r="M41" s="55" t="e">
        <f t="shared" si="10"/>
        <v>#DIV/0!</v>
      </c>
      <c r="N41" s="55" t="e">
        <f t="shared" si="11"/>
        <v>#DIV/0!</v>
      </c>
      <c r="O41" s="55" t="e">
        <f t="shared" si="12"/>
        <v>#DIV/0!</v>
      </c>
      <c r="P41" s="73"/>
      <c r="Q41" s="73"/>
      <c r="R41" s="55" t="e">
        <f t="shared" si="13"/>
        <v>#DIV/0!</v>
      </c>
      <c r="S41" s="55" t="e">
        <f t="shared" si="14"/>
        <v>#DIV/0!</v>
      </c>
      <c r="T41" s="55" t="e">
        <f t="shared" si="15"/>
        <v>#DIV/0!</v>
      </c>
      <c r="U41" s="55" t="e">
        <f t="shared" si="8"/>
        <v>#DIV/0!</v>
      </c>
      <c r="V41" s="55" t="e">
        <f>V40+ATM_Conf!$C$5*(Nodes!AL40)/('Off-Ramp'!K226*AA226)</f>
        <v>#DIV/0!</v>
      </c>
      <c r="W41" s="55" t="e">
        <f>W40+ATM_Conf!$C$5*(Nodes!AM40)/('Off-Ramp'!L226*AB226)</f>
        <v>#DIV/0!</v>
      </c>
      <c r="X41" s="55" t="e">
        <f>X40+ATM_Conf!$C$5*(Nodes!AN40)/('Off-Ramp'!M226*AC226)</f>
        <v>#DIV/0!</v>
      </c>
      <c r="Y41" s="55" t="e">
        <f>Y40+ATM_Conf!$C$5*(Nodes!AO40)/('Off-Ramp'!N226*AD226)</f>
        <v>#DIV/0!</v>
      </c>
      <c r="Z41" s="55" t="e">
        <f>Z40+ATM_Conf!$C$5*(Nodes!AP40)/('Off-Ramp'!O226*AE226)</f>
        <v>#DIV/0!</v>
      </c>
      <c r="AA41" s="55" t="e">
        <f>AA40+ATM_Conf!$C$5*(Nodes!AQ40)/('Off-Ramp'!P226*AF226)</f>
        <v>#DIV/0!</v>
      </c>
    </row>
    <row r="42" spans="1:27" x14ac:dyDescent="0.15">
      <c r="A42" s="48">
        <v>40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55" t="e">
        <f t="shared" si="9"/>
        <v>#DIV/0!</v>
      </c>
      <c r="M42" s="55" t="e">
        <f t="shared" si="10"/>
        <v>#DIV/0!</v>
      </c>
      <c r="N42" s="55" t="e">
        <f t="shared" si="11"/>
        <v>#DIV/0!</v>
      </c>
      <c r="O42" s="55" t="e">
        <f t="shared" si="12"/>
        <v>#DIV/0!</v>
      </c>
      <c r="P42" s="73"/>
      <c r="Q42" s="73"/>
      <c r="R42" s="55" t="e">
        <f t="shared" si="13"/>
        <v>#DIV/0!</v>
      </c>
      <c r="S42" s="55" t="e">
        <f t="shared" si="14"/>
        <v>#DIV/0!</v>
      </c>
      <c r="T42" s="55" t="e">
        <f t="shared" si="15"/>
        <v>#DIV/0!</v>
      </c>
      <c r="U42" s="55" t="e">
        <f t="shared" si="8"/>
        <v>#DIV/0!</v>
      </c>
      <c r="V42" s="55" t="e">
        <f>V41+ATM_Conf!$C$5*(Nodes!AL41)/('Off-Ramp'!K227*AA227)</f>
        <v>#DIV/0!</v>
      </c>
      <c r="W42" s="55" t="e">
        <f>W41+ATM_Conf!$C$5*(Nodes!AM41)/('Off-Ramp'!L227*AB227)</f>
        <v>#DIV/0!</v>
      </c>
      <c r="X42" s="55" t="e">
        <f>X41+ATM_Conf!$C$5*(Nodes!AN41)/('Off-Ramp'!M227*AC227)</f>
        <v>#DIV/0!</v>
      </c>
      <c r="Y42" s="55" t="e">
        <f>Y41+ATM_Conf!$C$5*(Nodes!AO41)/('Off-Ramp'!N227*AD227)</f>
        <v>#DIV/0!</v>
      </c>
      <c r="Z42" s="55" t="e">
        <f>Z41+ATM_Conf!$C$5*(Nodes!AP41)/('Off-Ramp'!O227*AE227)</f>
        <v>#DIV/0!</v>
      </c>
      <c r="AA42" s="55" t="e">
        <f>AA41+ATM_Conf!$C$5*(Nodes!AQ41)/('Off-Ramp'!P227*AF227)</f>
        <v>#DIV/0!</v>
      </c>
    </row>
    <row r="43" spans="1:27" x14ac:dyDescent="0.15">
      <c r="A43" s="48">
        <v>41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55" t="e">
        <f t="shared" si="9"/>
        <v>#DIV/0!</v>
      </c>
      <c r="M43" s="55" t="e">
        <f t="shared" si="10"/>
        <v>#DIV/0!</v>
      </c>
      <c r="N43" s="55" t="e">
        <f t="shared" si="11"/>
        <v>#DIV/0!</v>
      </c>
      <c r="O43" s="55" t="e">
        <f t="shared" si="12"/>
        <v>#DIV/0!</v>
      </c>
      <c r="P43" s="73"/>
      <c r="Q43" s="73"/>
      <c r="R43" s="55" t="e">
        <f t="shared" si="13"/>
        <v>#DIV/0!</v>
      </c>
      <c r="S43" s="55" t="e">
        <f t="shared" si="14"/>
        <v>#DIV/0!</v>
      </c>
      <c r="T43" s="55" t="e">
        <f t="shared" si="15"/>
        <v>#DIV/0!</v>
      </c>
      <c r="U43" s="55" t="e">
        <f t="shared" si="8"/>
        <v>#DIV/0!</v>
      </c>
      <c r="V43" s="55" t="e">
        <f>V42+ATM_Conf!$C$5*(Nodes!AL42)/('Off-Ramp'!K228*AA228)</f>
        <v>#DIV/0!</v>
      </c>
      <c r="W43" s="55" t="e">
        <f>W42+ATM_Conf!$C$5*(Nodes!AM42)/('Off-Ramp'!L228*AB228)</f>
        <v>#DIV/0!</v>
      </c>
      <c r="X43" s="55" t="e">
        <f>X42+ATM_Conf!$C$5*(Nodes!AN42)/('Off-Ramp'!M228*AC228)</f>
        <v>#DIV/0!</v>
      </c>
      <c r="Y43" s="55" t="e">
        <f>Y42+ATM_Conf!$C$5*(Nodes!AO42)/('Off-Ramp'!N228*AD228)</f>
        <v>#DIV/0!</v>
      </c>
      <c r="Z43" s="55" t="e">
        <f>Z42+ATM_Conf!$C$5*(Nodes!AP42)/('Off-Ramp'!O228*AE228)</f>
        <v>#DIV/0!</v>
      </c>
      <c r="AA43" s="55" t="e">
        <f>AA42+ATM_Conf!$C$5*(Nodes!AQ42)/('Off-Ramp'!P228*AF228)</f>
        <v>#DIV/0!</v>
      </c>
    </row>
    <row r="44" spans="1:27" x14ac:dyDescent="0.15">
      <c r="A44" s="48">
        <v>42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55" t="e">
        <f t="shared" si="9"/>
        <v>#DIV/0!</v>
      </c>
      <c r="M44" s="55" t="e">
        <f t="shared" si="10"/>
        <v>#DIV/0!</v>
      </c>
      <c r="N44" s="55" t="e">
        <f t="shared" si="11"/>
        <v>#DIV/0!</v>
      </c>
      <c r="O44" s="55" t="e">
        <f t="shared" si="12"/>
        <v>#DIV/0!</v>
      </c>
      <c r="P44" s="73"/>
      <c r="Q44" s="73"/>
      <c r="R44" s="55" t="e">
        <f t="shared" si="13"/>
        <v>#DIV/0!</v>
      </c>
      <c r="S44" s="55" t="e">
        <f t="shared" si="14"/>
        <v>#DIV/0!</v>
      </c>
      <c r="T44" s="55" t="e">
        <f t="shared" si="15"/>
        <v>#DIV/0!</v>
      </c>
      <c r="U44" s="55" t="e">
        <f t="shared" si="8"/>
        <v>#DIV/0!</v>
      </c>
      <c r="V44" s="55" t="e">
        <f>V43+ATM_Conf!$C$5*(Nodes!AL43)/('Off-Ramp'!K229*AA229)</f>
        <v>#DIV/0!</v>
      </c>
      <c r="W44" s="55" t="e">
        <f>W43+ATM_Conf!$C$5*(Nodes!AM43)/('Off-Ramp'!L229*AB229)</f>
        <v>#DIV/0!</v>
      </c>
      <c r="X44" s="55" t="e">
        <f>X43+ATM_Conf!$C$5*(Nodes!AN43)/('Off-Ramp'!M229*AC229)</f>
        <v>#DIV/0!</v>
      </c>
      <c r="Y44" s="55" t="e">
        <f>Y43+ATM_Conf!$C$5*(Nodes!AO43)/('Off-Ramp'!N229*AD229)</f>
        <v>#DIV/0!</v>
      </c>
      <c r="Z44" s="55" t="e">
        <f>Z43+ATM_Conf!$C$5*(Nodes!AP43)/('Off-Ramp'!O229*AE229)</f>
        <v>#DIV/0!</v>
      </c>
      <c r="AA44" s="55" t="e">
        <f>AA43+ATM_Conf!$C$5*(Nodes!AQ43)/('Off-Ramp'!P229*AF229)</f>
        <v>#DIV/0!</v>
      </c>
    </row>
    <row r="45" spans="1:27" x14ac:dyDescent="0.15">
      <c r="A45" s="48">
        <v>43</v>
      </c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55" t="e">
        <f t="shared" si="9"/>
        <v>#DIV/0!</v>
      </c>
      <c r="M45" s="55" t="e">
        <f t="shared" si="10"/>
        <v>#DIV/0!</v>
      </c>
      <c r="N45" s="55" t="e">
        <f t="shared" si="11"/>
        <v>#DIV/0!</v>
      </c>
      <c r="O45" s="55" t="e">
        <f t="shared" si="12"/>
        <v>#DIV/0!</v>
      </c>
      <c r="P45" s="73"/>
      <c r="Q45" s="73"/>
      <c r="R45" s="55" t="e">
        <f t="shared" si="13"/>
        <v>#DIV/0!</v>
      </c>
      <c r="S45" s="55" t="e">
        <f t="shared" si="14"/>
        <v>#DIV/0!</v>
      </c>
      <c r="T45" s="55" t="e">
        <f t="shared" si="15"/>
        <v>#DIV/0!</v>
      </c>
      <c r="U45" s="55" t="e">
        <f t="shared" si="8"/>
        <v>#DIV/0!</v>
      </c>
      <c r="V45" s="55" t="e">
        <f>V44+ATM_Conf!$C$5*(Nodes!AL44)/('Off-Ramp'!K230*AA230)</f>
        <v>#DIV/0!</v>
      </c>
      <c r="W45" s="55" t="e">
        <f>W44+ATM_Conf!$C$5*(Nodes!AM44)/('Off-Ramp'!L230*AB230)</f>
        <v>#DIV/0!</v>
      </c>
      <c r="X45" s="55" t="e">
        <f>X44+ATM_Conf!$C$5*(Nodes!AN44)/('Off-Ramp'!M230*AC230)</f>
        <v>#DIV/0!</v>
      </c>
      <c r="Y45" s="55" t="e">
        <f>Y44+ATM_Conf!$C$5*(Nodes!AO44)/('Off-Ramp'!N230*AD230)</f>
        <v>#DIV/0!</v>
      </c>
      <c r="Z45" s="55" t="e">
        <f>Z44+ATM_Conf!$C$5*(Nodes!AP44)/('Off-Ramp'!O230*AE230)</f>
        <v>#DIV/0!</v>
      </c>
      <c r="AA45" s="55" t="e">
        <f>AA44+ATM_Conf!$C$5*(Nodes!AQ44)/('Off-Ramp'!P230*AF230)</f>
        <v>#DIV/0!</v>
      </c>
    </row>
    <row r="46" spans="1:27" x14ac:dyDescent="0.15">
      <c r="A46" s="48">
        <v>44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55" t="e">
        <f t="shared" si="9"/>
        <v>#DIV/0!</v>
      </c>
      <c r="M46" s="55" t="e">
        <f t="shared" si="10"/>
        <v>#DIV/0!</v>
      </c>
      <c r="N46" s="55" t="e">
        <f t="shared" si="11"/>
        <v>#DIV/0!</v>
      </c>
      <c r="O46" s="55" t="e">
        <f t="shared" si="12"/>
        <v>#DIV/0!</v>
      </c>
      <c r="P46" s="73"/>
      <c r="Q46" s="73"/>
      <c r="R46" s="55" t="e">
        <f t="shared" si="13"/>
        <v>#DIV/0!</v>
      </c>
      <c r="S46" s="55" t="e">
        <f t="shared" si="14"/>
        <v>#DIV/0!</v>
      </c>
      <c r="T46" s="55" t="e">
        <f t="shared" si="15"/>
        <v>#DIV/0!</v>
      </c>
      <c r="U46" s="55" t="e">
        <f t="shared" si="8"/>
        <v>#DIV/0!</v>
      </c>
      <c r="V46" s="55" t="e">
        <f>V45+ATM_Conf!$C$5*(Nodes!AL45)/('Off-Ramp'!K231*AA231)</f>
        <v>#DIV/0!</v>
      </c>
      <c r="W46" s="55" t="e">
        <f>W45+ATM_Conf!$C$5*(Nodes!AM45)/('Off-Ramp'!L231*AB231)</f>
        <v>#DIV/0!</v>
      </c>
      <c r="X46" s="55" t="e">
        <f>X45+ATM_Conf!$C$5*(Nodes!AN45)/('Off-Ramp'!M231*AC231)</f>
        <v>#DIV/0!</v>
      </c>
      <c r="Y46" s="55" t="e">
        <f>Y45+ATM_Conf!$C$5*(Nodes!AO45)/('Off-Ramp'!N231*AD231)</f>
        <v>#DIV/0!</v>
      </c>
      <c r="Z46" s="55" t="e">
        <f>Z45+ATM_Conf!$C$5*(Nodes!AP45)/('Off-Ramp'!O231*AE231)</f>
        <v>#DIV/0!</v>
      </c>
      <c r="AA46" s="55" t="e">
        <f>AA45+ATM_Conf!$C$5*(Nodes!AQ45)/('Off-Ramp'!P231*AF231)</f>
        <v>#DIV/0!</v>
      </c>
    </row>
    <row r="47" spans="1:27" x14ac:dyDescent="0.15">
      <c r="A47" s="48">
        <v>45</v>
      </c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55" t="e">
        <f t="shared" si="9"/>
        <v>#DIV/0!</v>
      </c>
      <c r="M47" s="55" t="e">
        <f t="shared" si="10"/>
        <v>#DIV/0!</v>
      </c>
      <c r="N47" s="55" t="e">
        <f t="shared" si="11"/>
        <v>#DIV/0!</v>
      </c>
      <c r="O47" s="55" t="e">
        <f t="shared" si="12"/>
        <v>#DIV/0!</v>
      </c>
      <c r="P47" s="73"/>
      <c r="Q47" s="73"/>
      <c r="R47" s="55" t="e">
        <f t="shared" si="13"/>
        <v>#DIV/0!</v>
      </c>
      <c r="S47" s="55" t="e">
        <f t="shared" si="14"/>
        <v>#DIV/0!</v>
      </c>
      <c r="T47" s="55" t="e">
        <f t="shared" si="15"/>
        <v>#DIV/0!</v>
      </c>
      <c r="U47" s="55" t="e">
        <f t="shared" si="8"/>
        <v>#DIV/0!</v>
      </c>
      <c r="V47" s="55" t="e">
        <f>V46+ATM_Conf!$C$5*(Nodes!AL46)/('Off-Ramp'!K232*AA232)</f>
        <v>#DIV/0!</v>
      </c>
      <c r="W47" s="55" t="e">
        <f>W46+ATM_Conf!$C$5*(Nodes!AM46)/('Off-Ramp'!L232*AB232)</f>
        <v>#DIV/0!</v>
      </c>
      <c r="X47" s="55" t="e">
        <f>X46+ATM_Conf!$C$5*(Nodes!AN46)/('Off-Ramp'!M232*AC232)</f>
        <v>#DIV/0!</v>
      </c>
      <c r="Y47" s="55" t="e">
        <f>Y46+ATM_Conf!$C$5*(Nodes!AO46)/('Off-Ramp'!N232*AD232)</f>
        <v>#DIV/0!</v>
      </c>
      <c r="Z47" s="55" t="e">
        <f>Z46+ATM_Conf!$C$5*(Nodes!AP46)/('Off-Ramp'!O232*AE232)</f>
        <v>#DIV/0!</v>
      </c>
      <c r="AA47" s="55" t="e">
        <f>AA46+ATM_Conf!$C$5*(Nodes!AQ46)/('Off-Ramp'!P232*AF232)</f>
        <v>#DIV/0!</v>
      </c>
    </row>
    <row r="48" spans="1:27" x14ac:dyDescent="0.15">
      <c r="A48" s="48">
        <v>46</v>
      </c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55" t="e">
        <f t="shared" si="9"/>
        <v>#DIV/0!</v>
      </c>
      <c r="M48" s="55" t="e">
        <f t="shared" si="10"/>
        <v>#DIV/0!</v>
      </c>
      <c r="N48" s="55" t="e">
        <f t="shared" si="11"/>
        <v>#DIV/0!</v>
      </c>
      <c r="O48" s="55" t="e">
        <f t="shared" si="12"/>
        <v>#DIV/0!</v>
      </c>
      <c r="P48" s="73"/>
      <c r="Q48" s="73"/>
      <c r="R48" s="55" t="e">
        <f t="shared" si="13"/>
        <v>#DIV/0!</v>
      </c>
      <c r="S48" s="55" t="e">
        <f t="shared" si="14"/>
        <v>#DIV/0!</v>
      </c>
      <c r="T48" s="55" t="e">
        <f t="shared" si="15"/>
        <v>#DIV/0!</v>
      </c>
      <c r="U48" s="55" t="e">
        <f t="shared" si="8"/>
        <v>#DIV/0!</v>
      </c>
      <c r="V48" s="55" t="e">
        <f>V47+ATM_Conf!$C$5*(Nodes!AL47)/('Off-Ramp'!K233*AA233)</f>
        <v>#DIV/0!</v>
      </c>
      <c r="W48" s="55" t="e">
        <f>W47+ATM_Conf!$C$5*(Nodes!AM47)/('Off-Ramp'!L233*AB233)</f>
        <v>#DIV/0!</v>
      </c>
      <c r="X48" s="55" t="e">
        <f>X47+ATM_Conf!$C$5*(Nodes!AN47)/('Off-Ramp'!M233*AC233)</f>
        <v>#DIV/0!</v>
      </c>
      <c r="Y48" s="55" t="e">
        <f>Y47+ATM_Conf!$C$5*(Nodes!AO47)/('Off-Ramp'!N233*AD233)</f>
        <v>#DIV/0!</v>
      </c>
      <c r="Z48" s="55" t="e">
        <f>Z47+ATM_Conf!$C$5*(Nodes!AP47)/('Off-Ramp'!O233*AE233)</f>
        <v>#DIV/0!</v>
      </c>
      <c r="AA48" s="55" t="e">
        <f>AA47+ATM_Conf!$C$5*(Nodes!AQ47)/('Off-Ramp'!P233*AF233)</f>
        <v>#DIV/0!</v>
      </c>
    </row>
    <row r="49" spans="1:27" x14ac:dyDescent="0.15">
      <c r="A49" s="48">
        <v>47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55" t="e">
        <f t="shared" si="9"/>
        <v>#DIV/0!</v>
      </c>
      <c r="M49" s="55" t="e">
        <f t="shared" si="10"/>
        <v>#DIV/0!</v>
      </c>
      <c r="N49" s="55" t="e">
        <f t="shared" si="11"/>
        <v>#DIV/0!</v>
      </c>
      <c r="O49" s="55" t="e">
        <f t="shared" si="12"/>
        <v>#DIV/0!</v>
      </c>
      <c r="P49" s="73"/>
      <c r="Q49" s="73"/>
      <c r="R49" s="55" t="e">
        <f t="shared" si="13"/>
        <v>#DIV/0!</v>
      </c>
      <c r="S49" s="55" t="e">
        <f t="shared" si="14"/>
        <v>#DIV/0!</v>
      </c>
      <c r="T49" s="55" t="e">
        <f t="shared" si="15"/>
        <v>#DIV/0!</v>
      </c>
      <c r="U49" s="55" t="e">
        <f t="shared" si="8"/>
        <v>#DIV/0!</v>
      </c>
      <c r="V49" s="55" t="e">
        <f>V48+ATM_Conf!$C$5*(Nodes!AL48)/('Off-Ramp'!K234*AA234)</f>
        <v>#DIV/0!</v>
      </c>
      <c r="W49" s="55" t="e">
        <f>W48+ATM_Conf!$C$5*(Nodes!AM48)/('Off-Ramp'!L234*AB234)</f>
        <v>#DIV/0!</v>
      </c>
      <c r="X49" s="55" t="e">
        <f>X48+ATM_Conf!$C$5*(Nodes!AN48)/('Off-Ramp'!M234*AC234)</f>
        <v>#DIV/0!</v>
      </c>
      <c r="Y49" s="55" t="e">
        <f>Y48+ATM_Conf!$C$5*(Nodes!AO48)/('Off-Ramp'!N234*AD234)</f>
        <v>#DIV/0!</v>
      </c>
      <c r="Z49" s="55" t="e">
        <f>Z48+ATM_Conf!$C$5*(Nodes!AP48)/('Off-Ramp'!O234*AE234)</f>
        <v>#DIV/0!</v>
      </c>
      <c r="AA49" s="55" t="e">
        <f>AA48+ATM_Conf!$C$5*(Nodes!AQ48)/('Off-Ramp'!P234*AF234)</f>
        <v>#DIV/0!</v>
      </c>
    </row>
    <row r="50" spans="1:27" x14ac:dyDescent="0.15">
      <c r="A50" s="48">
        <v>48</v>
      </c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55" t="e">
        <f t="shared" si="9"/>
        <v>#DIV/0!</v>
      </c>
      <c r="M50" s="55" t="e">
        <f t="shared" si="10"/>
        <v>#DIV/0!</v>
      </c>
      <c r="N50" s="55" t="e">
        <f t="shared" si="11"/>
        <v>#DIV/0!</v>
      </c>
      <c r="O50" s="55" t="e">
        <f t="shared" si="12"/>
        <v>#DIV/0!</v>
      </c>
      <c r="P50" s="73"/>
      <c r="Q50" s="73"/>
      <c r="R50" s="55" t="e">
        <f t="shared" si="13"/>
        <v>#DIV/0!</v>
      </c>
      <c r="S50" s="55" t="e">
        <f t="shared" si="14"/>
        <v>#DIV/0!</v>
      </c>
      <c r="T50" s="55" t="e">
        <f t="shared" si="15"/>
        <v>#DIV/0!</v>
      </c>
      <c r="U50" s="55" t="e">
        <f t="shared" si="8"/>
        <v>#DIV/0!</v>
      </c>
      <c r="V50" s="55" t="e">
        <f>V49+ATM_Conf!$C$5*(Nodes!AL49)/('Off-Ramp'!K235*AA235)</f>
        <v>#DIV/0!</v>
      </c>
      <c r="W50" s="55" t="e">
        <f>W49+ATM_Conf!$C$5*(Nodes!AM49)/('Off-Ramp'!L235*AB235)</f>
        <v>#DIV/0!</v>
      </c>
      <c r="X50" s="55" t="e">
        <f>X49+ATM_Conf!$C$5*(Nodes!AN49)/('Off-Ramp'!M235*AC235)</f>
        <v>#DIV/0!</v>
      </c>
      <c r="Y50" s="55" t="e">
        <f>Y49+ATM_Conf!$C$5*(Nodes!AO49)/('Off-Ramp'!N235*AD235)</f>
        <v>#DIV/0!</v>
      </c>
      <c r="Z50" s="55" t="e">
        <f>Z49+ATM_Conf!$C$5*(Nodes!AP49)/('Off-Ramp'!O235*AE235)</f>
        <v>#DIV/0!</v>
      </c>
      <c r="AA50" s="55" t="e">
        <f>AA49+ATM_Conf!$C$5*(Nodes!AQ49)/('Off-Ramp'!P235*AF235)</f>
        <v>#DIV/0!</v>
      </c>
    </row>
    <row r="51" spans="1:27" x14ac:dyDescent="0.15">
      <c r="A51" s="48">
        <v>49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55" t="e">
        <f t="shared" si="9"/>
        <v>#DIV/0!</v>
      </c>
      <c r="M51" s="55" t="e">
        <f t="shared" si="10"/>
        <v>#DIV/0!</v>
      </c>
      <c r="N51" s="55" t="e">
        <f t="shared" si="11"/>
        <v>#DIV/0!</v>
      </c>
      <c r="O51" s="55" t="e">
        <f t="shared" si="12"/>
        <v>#DIV/0!</v>
      </c>
      <c r="P51" s="73"/>
      <c r="Q51" s="73"/>
      <c r="R51" s="55" t="e">
        <f t="shared" si="13"/>
        <v>#DIV/0!</v>
      </c>
      <c r="S51" s="55" t="e">
        <f t="shared" si="14"/>
        <v>#DIV/0!</v>
      </c>
      <c r="T51" s="55" t="e">
        <f t="shared" si="15"/>
        <v>#DIV/0!</v>
      </c>
      <c r="U51" s="55" t="e">
        <f t="shared" si="8"/>
        <v>#DIV/0!</v>
      </c>
      <c r="V51" s="55" t="e">
        <f>V50+ATM_Conf!$C$5*(Nodes!AL50)/('Off-Ramp'!K236*AA236)</f>
        <v>#DIV/0!</v>
      </c>
      <c r="W51" s="55" t="e">
        <f>W50+ATM_Conf!$C$5*(Nodes!AM50)/('Off-Ramp'!L236*AB236)</f>
        <v>#DIV/0!</v>
      </c>
      <c r="X51" s="55" t="e">
        <f>X50+ATM_Conf!$C$5*(Nodes!AN50)/('Off-Ramp'!M236*AC236)</f>
        <v>#DIV/0!</v>
      </c>
      <c r="Y51" s="55" t="e">
        <f>Y50+ATM_Conf!$C$5*(Nodes!AO50)/('Off-Ramp'!N236*AD236)</f>
        <v>#DIV/0!</v>
      </c>
      <c r="Z51" s="55" t="e">
        <f>Z50+ATM_Conf!$C$5*(Nodes!AP50)/('Off-Ramp'!O236*AE236)</f>
        <v>#DIV/0!</v>
      </c>
      <c r="AA51" s="55" t="e">
        <f>AA50+ATM_Conf!$C$5*(Nodes!AQ50)/('Off-Ramp'!P236*AF236)</f>
        <v>#DIV/0!</v>
      </c>
    </row>
    <row r="52" spans="1:27" x14ac:dyDescent="0.15">
      <c r="A52" s="48">
        <v>50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55" t="e">
        <f t="shared" si="9"/>
        <v>#DIV/0!</v>
      </c>
      <c r="M52" s="55" t="e">
        <f t="shared" si="10"/>
        <v>#DIV/0!</v>
      </c>
      <c r="N52" s="55" t="e">
        <f t="shared" si="11"/>
        <v>#DIV/0!</v>
      </c>
      <c r="O52" s="55" t="e">
        <f t="shared" si="12"/>
        <v>#DIV/0!</v>
      </c>
      <c r="P52" s="73"/>
      <c r="Q52" s="73"/>
      <c r="R52" s="55" t="e">
        <f t="shared" si="13"/>
        <v>#DIV/0!</v>
      </c>
      <c r="S52" s="55" t="e">
        <f t="shared" si="14"/>
        <v>#DIV/0!</v>
      </c>
      <c r="T52" s="55" t="e">
        <f t="shared" si="15"/>
        <v>#DIV/0!</v>
      </c>
      <c r="U52" s="55" t="e">
        <f t="shared" si="8"/>
        <v>#DIV/0!</v>
      </c>
      <c r="V52" s="55" t="e">
        <f>V51+ATM_Conf!$C$5*(Nodes!AL51)/('Off-Ramp'!K237*AA237)</f>
        <v>#DIV/0!</v>
      </c>
      <c r="W52" s="55" t="e">
        <f>W51+ATM_Conf!$C$5*(Nodes!AM51)/('Off-Ramp'!L237*AB237)</f>
        <v>#DIV/0!</v>
      </c>
      <c r="X52" s="55" t="e">
        <f>X51+ATM_Conf!$C$5*(Nodes!AN51)/('Off-Ramp'!M237*AC237)</f>
        <v>#DIV/0!</v>
      </c>
      <c r="Y52" s="55" t="e">
        <f>Y51+ATM_Conf!$C$5*(Nodes!AO51)/('Off-Ramp'!N237*AD237)</f>
        <v>#DIV/0!</v>
      </c>
      <c r="Z52" s="55" t="e">
        <f>Z51+ATM_Conf!$C$5*(Nodes!AP51)/('Off-Ramp'!O237*AE237)</f>
        <v>#DIV/0!</v>
      </c>
      <c r="AA52" s="55" t="e">
        <f>AA51+ATM_Conf!$C$5*(Nodes!AQ51)/('Off-Ramp'!P237*AF237)</f>
        <v>#DIV/0!</v>
      </c>
    </row>
    <row r="53" spans="1:27" x14ac:dyDescent="0.15">
      <c r="A53" s="48">
        <v>51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55" t="e">
        <f t="shared" si="9"/>
        <v>#DIV/0!</v>
      </c>
      <c r="M53" s="55" t="e">
        <f t="shared" si="10"/>
        <v>#DIV/0!</v>
      </c>
      <c r="N53" s="55" t="e">
        <f t="shared" si="11"/>
        <v>#DIV/0!</v>
      </c>
      <c r="O53" s="55" t="e">
        <f t="shared" si="12"/>
        <v>#DIV/0!</v>
      </c>
      <c r="P53" s="73"/>
      <c r="Q53" s="73"/>
      <c r="R53" s="55" t="e">
        <f t="shared" si="13"/>
        <v>#DIV/0!</v>
      </c>
      <c r="S53" s="55" t="e">
        <f t="shared" si="14"/>
        <v>#DIV/0!</v>
      </c>
      <c r="T53" s="55" t="e">
        <f t="shared" si="15"/>
        <v>#DIV/0!</v>
      </c>
      <c r="U53" s="55" t="e">
        <f t="shared" si="8"/>
        <v>#DIV/0!</v>
      </c>
      <c r="V53" s="55" t="e">
        <f>V52+ATM_Conf!$C$5*(Nodes!AL52)/('Off-Ramp'!K238*AA238)</f>
        <v>#DIV/0!</v>
      </c>
      <c r="W53" s="55" t="e">
        <f>W52+ATM_Conf!$C$5*(Nodes!AM52)/('Off-Ramp'!L238*AB238)</f>
        <v>#DIV/0!</v>
      </c>
      <c r="X53" s="55" t="e">
        <f>X52+ATM_Conf!$C$5*(Nodes!AN52)/('Off-Ramp'!M238*AC238)</f>
        <v>#DIV/0!</v>
      </c>
      <c r="Y53" s="55" t="e">
        <f>Y52+ATM_Conf!$C$5*(Nodes!AO52)/('Off-Ramp'!N238*AD238)</f>
        <v>#DIV/0!</v>
      </c>
      <c r="Z53" s="55" t="e">
        <f>Z52+ATM_Conf!$C$5*(Nodes!AP52)/('Off-Ramp'!O238*AE238)</f>
        <v>#DIV/0!</v>
      </c>
      <c r="AA53" s="55" t="e">
        <f>AA52+ATM_Conf!$C$5*(Nodes!AQ52)/('Off-Ramp'!P238*AF238)</f>
        <v>#DIV/0!</v>
      </c>
    </row>
    <row r="54" spans="1:27" x14ac:dyDescent="0.15">
      <c r="A54" s="48">
        <v>52</v>
      </c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55" t="e">
        <f t="shared" si="9"/>
        <v>#DIV/0!</v>
      </c>
      <c r="M54" s="55" t="e">
        <f t="shared" si="10"/>
        <v>#DIV/0!</v>
      </c>
      <c r="N54" s="55" t="e">
        <f t="shared" si="11"/>
        <v>#DIV/0!</v>
      </c>
      <c r="O54" s="55" t="e">
        <f t="shared" si="12"/>
        <v>#DIV/0!</v>
      </c>
      <c r="P54" s="73"/>
      <c r="Q54" s="73"/>
      <c r="R54" s="55" t="e">
        <f t="shared" si="13"/>
        <v>#DIV/0!</v>
      </c>
      <c r="S54" s="55" t="e">
        <f t="shared" si="14"/>
        <v>#DIV/0!</v>
      </c>
      <c r="T54" s="55" t="e">
        <f t="shared" si="15"/>
        <v>#DIV/0!</v>
      </c>
      <c r="U54" s="55" t="e">
        <f t="shared" si="8"/>
        <v>#DIV/0!</v>
      </c>
      <c r="V54" s="55" t="e">
        <f>V53+ATM_Conf!$C$5*(Nodes!AL53)/('Off-Ramp'!K239*AA239)</f>
        <v>#DIV/0!</v>
      </c>
      <c r="W54" s="55" t="e">
        <f>W53+ATM_Conf!$C$5*(Nodes!AM53)/('Off-Ramp'!L239*AB239)</f>
        <v>#DIV/0!</v>
      </c>
      <c r="X54" s="55" t="e">
        <f>X53+ATM_Conf!$C$5*(Nodes!AN53)/('Off-Ramp'!M239*AC239)</f>
        <v>#DIV/0!</v>
      </c>
      <c r="Y54" s="55" t="e">
        <f>Y53+ATM_Conf!$C$5*(Nodes!AO53)/('Off-Ramp'!N239*AD239)</f>
        <v>#DIV/0!</v>
      </c>
      <c r="Z54" s="55" t="e">
        <f>Z53+ATM_Conf!$C$5*(Nodes!AP53)/('Off-Ramp'!O239*AE239)</f>
        <v>#DIV/0!</v>
      </c>
      <c r="AA54" s="55" t="e">
        <f>AA53+ATM_Conf!$C$5*(Nodes!AQ53)/('Off-Ramp'!P239*AF239)</f>
        <v>#DIV/0!</v>
      </c>
    </row>
    <row r="55" spans="1:27" x14ac:dyDescent="0.15">
      <c r="A55" s="48">
        <v>53</v>
      </c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55" t="e">
        <f t="shared" si="9"/>
        <v>#DIV/0!</v>
      </c>
      <c r="M55" s="55" t="e">
        <f t="shared" si="10"/>
        <v>#DIV/0!</v>
      </c>
      <c r="N55" s="55" t="e">
        <f t="shared" si="11"/>
        <v>#DIV/0!</v>
      </c>
      <c r="O55" s="55" t="e">
        <f t="shared" si="12"/>
        <v>#DIV/0!</v>
      </c>
      <c r="P55" s="73"/>
      <c r="Q55" s="73"/>
      <c r="R55" s="55" t="e">
        <f t="shared" si="13"/>
        <v>#DIV/0!</v>
      </c>
      <c r="S55" s="55" t="e">
        <f t="shared" si="14"/>
        <v>#DIV/0!</v>
      </c>
      <c r="T55" s="55" t="e">
        <f t="shared" si="15"/>
        <v>#DIV/0!</v>
      </c>
      <c r="U55" s="55" t="e">
        <f t="shared" si="8"/>
        <v>#DIV/0!</v>
      </c>
      <c r="V55" s="55" t="e">
        <f>V54+ATM_Conf!$C$5*(Nodes!AL54)/('Off-Ramp'!K240*AA240)</f>
        <v>#DIV/0!</v>
      </c>
      <c r="W55" s="55" t="e">
        <f>W54+ATM_Conf!$C$5*(Nodes!AM54)/('Off-Ramp'!L240*AB240)</f>
        <v>#DIV/0!</v>
      </c>
      <c r="X55" s="55" t="e">
        <f>X54+ATM_Conf!$C$5*(Nodes!AN54)/('Off-Ramp'!M240*AC240)</f>
        <v>#DIV/0!</v>
      </c>
      <c r="Y55" s="55" t="e">
        <f>Y54+ATM_Conf!$C$5*(Nodes!AO54)/('Off-Ramp'!N240*AD240)</f>
        <v>#DIV/0!</v>
      </c>
      <c r="Z55" s="55" t="e">
        <f>Z54+ATM_Conf!$C$5*(Nodes!AP54)/('Off-Ramp'!O240*AE240)</f>
        <v>#DIV/0!</v>
      </c>
      <c r="AA55" s="55" t="e">
        <f>AA54+ATM_Conf!$C$5*(Nodes!AQ54)/('Off-Ramp'!P240*AF240)</f>
        <v>#DIV/0!</v>
      </c>
    </row>
    <row r="56" spans="1:27" x14ac:dyDescent="0.15">
      <c r="A56" s="48">
        <v>54</v>
      </c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55" t="e">
        <f t="shared" si="9"/>
        <v>#DIV/0!</v>
      </c>
      <c r="M56" s="55" t="e">
        <f t="shared" si="10"/>
        <v>#DIV/0!</v>
      </c>
      <c r="N56" s="55" t="e">
        <f t="shared" si="11"/>
        <v>#DIV/0!</v>
      </c>
      <c r="O56" s="55" t="e">
        <f t="shared" si="12"/>
        <v>#DIV/0!</v>
      </c>
      <c r="P56" s="73"/>
      <c r="Q56" s="73"/>
      <c r="R56" s="55" t="e">
        <f t="shared" si="13"/>
        <v>#DIV/0!</v>
      </c>
      <c r="S56" s="55" t="e">
        <f t="shared" si="14"/>
        <v>#DIV/0!</v>
      </c>
      <c r="T56" s="55" t="e">
        <f t="shared" si="15"/>
        <v>#DIV/0!</v>
      </c>
      <c r="U56" s="55" t="e">
        <f t="shared" si="8"/>
        <v>#DIV/0!</v>
      </c>
      <c r="V56" s="55" t="e">
        <f>V55+ATM_Conf!$C$5*(Nodes!AL55)/('Off-Ramp'!K241*AA241)</f>
        <v>#DIV/0!</v>
      </c>
      <c r="W56" s="55" t="e">
        <f>W55+ATM_Conf!$C$5*(Nodes!AM55)/('Off-Ramp'!L241*AB241)</f>
        <v>#DIV/0!</v>
      </c>
      <c r="X56" s="55" t="e">
        <f>X55+ATM_Conf!$C$5*(Nodes!AN55)/('Off-Ramp'!M241*AC241)</f>
        <v>#DIV/0!</v>
      </c>
      <c r="Y56" s="55" t="e">
        <f>Y55+ATM_Conf!$C$5*(Nodes!AO55)/('Off-Ramp'!N241*AD241)</f>
        <v>#DIV/0!</v>
      </c>
      <c r="Z56" s="55" t="e">
        <f>Z55+ATM_Conf!$C$5*(Nodes!AP55)/('Off-Ramp'!O241*AE241)</f>
        <v>#DIV/0!</v>
      </c>
      <c r="AA56" s="55" t="e">
        <f>AA55+ATM_Conf!$C$5*(Nodes!AQ55)/('Off-Ramp'!P241*AF241)</f>
        <v>#DIV/0!</v>
      </c>
    </row>
    <row r="57" spans="1:27" x14ac:dyDescent="0.15">
      <c r="A57" s="48">
        <v>55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55" t="e">
        <f t="shared" si="9"/>
        <v>#DIV/0!</v>
      </c>
      <c r="M57" s="55" t="e">
        <f t="shared" si="10"/>
        <v>#DIV/0!</v>
      </c>
      <c r="N57" s="55" t="e">
        <f t="shared" si="11"/>
        <v>#DIV/0!</v>
      </c>
      <c r="O57" s="55" t="e">
        <f t="shared" si="12"/>
        <v>#DIV/0!</v>
      </c>
      <c r="P57" s="73"/>
      <c r="Q57" s="73"/>
      <c r="R57" s="55" t="e">
        <f t="shared" si="13"/>
        <v>#DIV/0!</v>
      </c>
      <c r="S57" s="55" t="e">
        <f t="shared" si="14"/>
        <v>#DIV/0!</v>
      </c>
      <c r="T57" s="55" t="e">
        <f t="shared" si="15"/>
        <v>#DIV/0!</v>
      </c>
      <c r="U57" s="55" t="e">
        <f t="shared" si="8"/>
        <v>#DIV/0!</v>
      </c>
      <c r="V57" s="55" t="e">
        <f>V56+ATM_Conf!$C$5*(Nodes!AL56)/('Off-Ramp'!K242*AA242)</f>
        <v>#DIV/0!</v>
      </c>
      <c r="W57" s="55" t="e">
        <f>W56+ATM_Conf!$C$5*(Nodes!AM56)/('Off-Ramp'!L242*AB242)</f>
        <v>#DIV/0!</v>
      </c>
      <c r="X57" s="55" t="e">
        <f>X56+ATM_Conf!$C$5*(Nodes!AN56)/('Off-Ramp'!M242*AC242)</f>
        <v>#DIV/0!</v>
      </c>
      <c r="Y57" s="55" t="e">
        <f>Y56+ATM_Conf!$C$5*(Nodes!AO56)/('Off-Ramp'!N242*AD242)</f>
        <v>#DIV/0!</v>
      </c>
      <c r="Z57" s="55" t="e">
        <f>Z56+ATM_Conf!$C$5*(Nodes!AP56)/('Off-Ramp'!O242*AE242)</f>
        <v>#DIV/0!</v>
      </c>
      <c r="AA57" s="55" t="e">
        <f>AA56+ATM_Conf!$C$5*(Nodes!AQ56)/('Off-Ramp'!P242*AF242)</f>
        <v>#DIV/0!</v>
      </c>
    </row>
    <row r="58" spans="1:27" x14ac:dyDescent="0.15">
      <c r="A58" s="48">
        <v>56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55" t="e">
        <f t="shared" si="9"/>
        <v>#DIV/0!</v>
      </c>
      <c r="M58" s="55" t="e">
        <f t="shared" si="10"/>
        <v>#DIV/0!</v>
      </c>
      <c r="N58" s="55" t="e">
        <f t="shared" si="11"/>
        <v>#DIV/0!</v>
      </c>
      <c r="O58" s="55" t="e">
        <f t="shared" si="12"/>
        <v>#DIV/0!</v>
      </c>
      <c r="P58" s="73"/>
      <c r="Q58" s="73"/>
      <c r="R58" s="55" t="e">
        <f t="shared" si="13"/>
        <v>#DIV/0!</v>
      </c>
      <c r="S58" s="55" t="e">
        <f t="shared" si="14"/>
        <v>#DIV/0!</v>
      </c>
      <c r="T58" s="55" t="e">
        <f t="shared" si="15"/>
        <v>#DIV/0!</v>
      </c>
      <c r="U58" s="55" t="e">
        <f t="shared" si="8"/>
        <v>#DIV/0!</v>
      </c>
      <c r="V58" s="55" t="e">
        <f>V57+ATM_Conf!$C$5*(Nodes!AL57)/('Off-Ramp'!K243*AA243)</f>
        <v>#DIV/0!</v>
      </c>
      <c r="W58" s="55" t="e">
        <f>W57+ATM_Conf!$C$5*(Nodes!AM57)/('Off-Ramp'!L243*AB243)</f>
        <v>#DIV/0!</v>
      </c>
      <c r="X58" s="55" t="e">
        <f>X57+ATM_Conf!$C$5*(Nodes!AN57)/('Off-Ramp'!M243*AC243)</f>
        <v>#DIV/0!</v>
      </c>
      <c r="Y58" s="55" t="e">
        <f>Y57+ATM_Conf!$C$5*(Nodes!AO57)/('Off-Ramp'!N243*AD243)</f>
        <v>#DIV/0!</v>
      </c>
      <c r="Z58" s="55" t="e">
        <f>Z57+ATM_Conf!$C$5*(Nodes!AP57)/('Off-Ramp'!O243*AE243)</f>
        <v>#DIV/0!</v>
      </c>
      <c r="AA58" s="55" t="e">
        <f>AA57+ATM_Conf!$C$5*(Nodes!AQ57)/('Off-Ramp'!P243*AF243)</f>
        <v>#DIV/0!</v>
      </c>
    </row>
    <row r="59" spans="1:27" x14ac:dyDescent="0.15">
      <c r="A59" s="48">
        <v>57</v>
      </c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55" t="e">
        <f t="shared" si="9"/>
        <v>#DIV/0!</v>
      </c>
      <c r="M59" s="55" t="e">
        <f t="shared" si="10"/>
        <v>#DIV/0!</v>
      </c>
      <c r="N59" s="55" t="e">
        <f t="shared" si="11"/>
        <v>#DIV/0!</v>
      </c>
      <c r="O59" s="55" t="e">
        <f t="shared" si="12"/>
        <v>#DIV/0!</v>
      </c>
      <c r="P59" s="73"/>
      <c r="Q59" s="73"/>
      <c r="R59" s="55" t="e">
        <f t="shared" si="13"/>
        <v>#DIV/0!</v>
      </c>
      <c r="S59" s="55" t="e">
        <f t="shared" si="14"/>
        <v>#DIV/0!</v>
      </c>
      <c r="T59" s="55" t="e">
        <f t="shared" si="15"/>
        <v>#DIV/0!</v>
      </c>
      <c r="U59" s="55" t="e">
        <f t="shared" si="8"/>
        <v>#DIV/0!</v>
      </c>
      <c r="V59" s="55" t="e">
        <f>V58+ATM_Conf!$C$5*(Nodes!AL58)/('Off-Ramp'!K244*AA244)</f>
        <v>#DIV/0!</v>
      </c>
      <c r="W59" s="55" t="e">
        <f>W58+ATM_Conf!$C$5*(Nodes!AM58)/('Off-Ramp'!L244*AB244)</f>
        <v>#DIV/0!</v>
      </c>
      <c r="X59" s="55" t="e">
        <f>X58+ATM_Conf!$C$5*(Nodes!AN58)/('Off-Ramp'!M244*AC244)</f>
        <v>#DIV/0!</v>
      </c>
      <c r="Y59" s="55" t="e">
        <f>Y58+ATM_Conf!$C$5*(Nodes!AO58)/('Off-Ramp'!N244*AD244)</f>
        <v>#DIV/0!</v>
      </c>
      <c r="Z59" s="55" t="e">
        <f>Z58+ATM_Conf!$C$5*(Nodes!AP58)/('Off-Ramp'!O244*AE244)</f>
        <v>#DIV/0!</v>
      </c>
      <c r="AA59" s="55" t="e">
        <f>AA58+ATM_Conf!$C$5*(Nodes!AQ58)/('Off-Ramp'!P244*AF244)</f>
        <v>#DIV/0!</v>
      </c>
    </row>
    <row r="60" spans="1:27" x14ac:dyDescent="0.15">
      <c r="A60" s="48">
        <v>58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55" t="e">
        <f t="shared" si="9"/>
        <v>#DIV/0!</v>
      </c>
      <c r="M60" s="55" t="e">
        <f t="shared" si="10"/>
        <v>#DIV/0!</v>
      </c>
      <c r="N60" s="55" t="e">
        <f t="shared" si="11"/>
        <v>#DIV/0!</v>
      </c>
      <c r="O60" s="55" t="e">
        <f t="shared" si="12"/>
        <v>#DIV/0!</v>
      </c>
      <c r="P60" s="73"/>
      <c r="Q60" s="73"/>
      <c r="R60" s="55" t="e">
        <f t="shared" si="13"/>
        <v>#DIV/0!</v>
      </c>
      <c r="S60" s="55" t="e">
        <f t="shared" si="14"/>
        <v>#DIV/0!</v>
      </c>
      <c r="T60" s="55" t="e">
        <f t="shared" si="15"/>
        <v>#DIV/0!</v>
      </c>
      <c r="U60" s="55" t="e">
        <f t="shared" si="8"/>
        <v>#DIV/0!</v>
      </c>
      <c r="V60" s="55" t="e">
        <f>V59+ATM_Conf!$C$5*(Nodes!AL59)/('Off-Ramp'!K245*AA245)</f>
        <v>#DIV/0!</v>
      </c>
      <c r="W60" s="55" t="e">
        <f>W59+ATM_Conf!$C$5*(Nodes!AM59)/('Off-Ramp'!L245*AB245)</f>
        <v>#DIV/0!</v>
      </c>
      <c r="X60" s="55" t="e">
        <f>X59+ATM_Conf!$C$5*(Nodes!AN59)/('Off-Ramp'!M245*AC245)</f>
        <v>#DIV/0!</v>
      </c>
      <c r="Y60" s="55" t="e">
        <f>Y59+ATM_Conf!$C$5*(Nodes!AO59)/('Off-Ramp'!N245*AD245)</f>
        <v>#DIV/0!</v>
      </c>
      <c r="Z60" s="55" t="e">
        <f>Z59+ATM_Conf!$C$5*(Nodes!AP59)/('Off-Ramp'!O245*AE245)</f>
        <v>#DIV/0!</v>
      </c>
      <c r="AA60" s="55" t="e">
        <f>AA59+ATM_Conf!$C$5*(Nodes!AQ59)/('Off-Ramp'!P245*AF245)</f>
        <v>#DIV/0!</v>
      </c>
    </row>
    <row r="61" spans="1:27" x14ac:dyDescent="0.15">
      <c r="A61" s="48">
        <v>59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55" t="e">
        <f t="shared" si="9"/>
        <v>#DIV/0!</v>
      </c>
      <c r="M61" s="55" t="e">
        <f t="shared" si="10"/>
        <v>#DIV/0!</v>
      </c>
      <c r="N61" s="55" t="e">
        <f t="shared" si="11"/>
        <v>#DIV/0!</v>
      </c>
      <c r="O61" s="55" t="e">
        <f t="shared" si="12"/>
        <v>#DIV/0!</v>
      </c>
      <c r="P61" s="73"/>
      <c r="Q61" s="73"/>
      <c r="R61" s="55" t="e">
        <f t="shared" si="13"/>
        <v>#DIV/0!</v>
      </c>
      <c r="S61" s="55" t="e">
        <f t="shared" si="14"/>
        <v>#DIV/0!</v>
      </c>
      <c r="T61" s="55" t="e">
        <f t="shared" si="15"/>
        <v>#DIV/0!</v>
      </c>
      <c r="U61" s="55" t="e">
        <f t="shared" si="8"/>
        <v>#DIV/0!</v>
      </c>
      <c r="V61" s="55" t="e">
        <f>V60+ATM_Conf!$C$5*(Nodes!AL60)/('Off-Ramp'!K246*AA246)</f>
        <v>#DIV/0!</v>
      </c>
      <c r="W61" s="55" t="e">
        <f>W60+ATM_Conf!$C$5*(Nodes!AM60)/('Off-Ramp'!L246*AB246)</f>
        <v>#DIV/0!</v>
      </c>
      <c r="X61" s="55" t="e">
        <f>X60+ATM_Conf!$C$5*(Nodes!AN60)/('Off-Ramp'!M246*AC246)</f>
        <v>#DIV/0!</v>
      </c>
      <c r="Y61" s="55" t="e">
        <f>Y60+ATM_Conf!$C$5*(Nodes!AO60)/('Off-Ramp'!N246*AD246)</f>
        <v>#DIV/0!</v>
      </c>
      <c r="Z61" s="55" t="e">
        <f>Z60+ATM_Conf!$C$5*(Nodes!AP60)/('Off-Ramp'!O246*AE246)</f>
        <v>#DIV/0!</v>
      </c>
      <c r="AA61" s="55" t="e">
        <f>AA60+ATM_Conf!$C$5*(Nodes!AQ60)/('Off-Ramp'!P246*AF246)</f>
        <v>#DIV/0!</v>
      </c>
    </row>
    <row r="62" spans="1:27" x14ac:dyDescent="0.15">
      <c r="A62" s="48">
        <v>60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55" t="e">
        <f t="shared" si="9"/>
        <v>#DIV/0!</v>
      </c>
      <c r="M62" s="55" t="e">
        <f t="shared" si="10"/>
        <v>#DIV/0!</v>
      </c>
      <c r="N62" s="55" t="e">
        <f t="shared" si="11"/>
        <v>#DIV/0!</v>
      </c>
      <c r="O62" s="55" t="e">
        <f t="shared" si="12"/>
        <v>#DIV/0!</v>
      </c>
      <c r="P62" s="73"/>
      <c r="Q62" s="73"/>
      <c r="R62" s="55" t="e">
        <f t="shared" si="13"/>
        <v>#DIV/0!</v>
      </c>
      <c r="S62" s="55" t="e">
        <f t="shared" si="14"/>
        <v>#DIV/0!</v>
      </c>
      <c r="T62" s="55" t="e">
        <f t="shared" si="15"/>
        <v>#DIV/0!</v>
      </c>
      <c r="U62" s="55" t="e">
        <f t="shared" si="8"/>
        <v>#DIV/0!</v>
      </c>
      <c r="V62" s="55" t="e">
        <f>V61+ATM_Conf!$C$5*(Nodes!AL61)/('Off-Ramp'!K247*AA247)</f>
        <v>#DIV/0!</v>
      </c>
      <c r="W62" s="55" t="e">
        <f>W61+ATM_Conf!$C$5*(Nodes!AM61)/('Off-Ramp'!L247*AB247)</f>
        <v>#DIV/0!</v>
      </c>
      <c r="X62" s="55" t="e">
        <f>X61+ATM_Conf!$C$5*(Nodes!AN61)/('Off-Ramp'!M247*AC247)</f>
        <v>#DIV/0!</v>
      </c>
      <c r="Y62" s="55" t="e">
        <f>Y61+ATM_Conf!$C$5*(Nodes!AO61)/('Off-Ramp'!N247*AD247)</f>
        <v>#DIV/0!</v>
      </c>
      <c r="Z62" s="55" t="e">
        <f>Z61+ATM_Conf!$C$5*(Nodes!AP61)/('Off-Ramp'!O247*AE247)</f>
        <v>#DIV/0!</v>
      </c>
      <c r="AA62" s="55" t="e">
        <f>AA61+ATM_Conf!$C$5*(Nodes!AQ61)/('Off-Ramp'!P247*AF247)</f>
        <v>#DIV/0!</v>
      </c>
    </row>
    <row r="63" spans="1:27" x14ac:dyDescent="0.15">
      <c r="A63" s="48">
        <v>61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55" t="e">
        <f t="shared" si="9"/>
        <v>#DIV/0!</v>
      </c>
      <c r="M63" s="55" t="e">
        <f t="shared" si="10"/>
        <v>#DIV/0!</v>
      </c>
      <c r="N63" s="55" t="e">
        <f t="shared" si="11"/>
        <v>#DIV/0!</v>
      </c>
      <c r="O63" s="55" t="e">
        <f t="shared" si="12"/>
        <v>#DIV/0!</v>
      </c>
      <c r="P63" s="73"/>
      <c r="Q63" s="73"/>
      <c r="R63" s="55" t="e">
        <f t="shared" si="13"/>
        <v>#DIV/0!</v>
      </c>
      <c r="S63" s="55" t="e">
        <f t="shared" si="14"/>
        <v>#DIV/0!</v>
      </c>
      <c r="T63" s="55" t="e">
        <f t="shared" si="15"/>
        <v>#DIV/0!</v>
      </c>
      <c r="U63" s="55" t="e">
        <f t="shared" si="8"/>
        <v>#DIV/0!</v>
      </c>
      <c r="V63" s="55" t="e">
        <f>V62+ATM_Conf!$C$5*(Nodes!AL62)/('Off-Ramp'!K248*AA248)</f>
        <v>#DIV/0!</v>
      </c>
      <c r="W63" s="55" t="e">
        <f>W62+ATM_Conf!$C$5*(Nodes!AM62)/('Off-Ramp'!L248*AB248)</f>
        <v>#DIV/0!</v>
      </c>
      <c r="X63" s="55" t="e">
        <f>X62+ATM_Conf!$C$5*(Nodes!AN62)/('Off-Ramp'!M248*AC248)</f>
        <v>#DIV/0!</v>
      </c>
      <c r="Y63" s="55" t="e">
        <f>Y62+ATM_Conf!$C$5*(Nodes!AO62)/('Off-Ramp'!N248*AD248)</f>
        <v>#DIV/0!</v>
      </c>
      <c r="Z63" s="55" t="e">
        <f>Z62+ATM_Conf!$C$5*(Nodes!AP62)/('Off-Ramp'!O248*AE248)</f>
        <v>#DIV/0!</v>
      </c>
      <c r="AA63" s="55" t="e">
        <f>AA62+ATM_Conf!$C$5*(Nodes!AQ62)/('Off-Ramp'!P248*AF248)</f>
        <v>#DIV/0!</v>
      </c>
    </row>
    <row r="64" spans="1:27" x14ac:dyDescent="0.15">
      <c r="A64" s="48">
        <v>62</v>
      </c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55" t="e">
        <f t="shared" si="9"/>
        <v>#DIV/0!</v>
      </c>
      <c r="M64" s="55" t="e">
        <f t="shared" si="10"/>
        <v>#DIV/0!</v>
      </c>
      <c r="N64" s="55" t="e">
        <f t="shared" si="11"/>
        <v>#DIV/0!</v>
      </c>
      <c r="O64" s="55" t="e">
        <f t="shared" si="12"/>
        <v>#DIV/0!</v>
      </c>
      <c r="P64" s="73"/>
      <c r="Q64" s="73"/>
      <c r="R64" s="55" t="e">
        <f t="shared" si="13"/>
        <v>#DIV/0!</v>
      </c>
      <c r="S64" s="55" t="e">
        <f t="shared" si="14"/>
        <v>#DIV/0!</v>
      </c>
      <c r="T64" s="55" t="e">
        <f t="shared" si="15"/>
        <v>#DIV/0!</v>
      </c>
      <c r="U64" s="55" t="e">
        <f t="shared" si="8"/>
        <v>#DIV/0!</v>
      </c>
      <c r="V64" s="55" t="e">
        <f>V63+ATM_Conf!$C$5*(Nodes!AL63)/('Off-Ramp'!K249*AA249)</f>
        <v>#DIV/0!</v>
      </c>
      <c r="W64" s="55" t="e">
        <f>W63+ATM_Conf!$C$5*(Nodes!AM63)/('Off-Ramp'!L249*AB249)</f>
        <v>#DIV/0!</v>
      </c>
      <c r="X64" s="55" t="e">
        <f>X63+ATM_Conf!$C$5*(Nodes!AN63)/('Off-Ramp'!M249*AC249)</f>
        <v>#DIV/0!</v>
      </c>
      <c r="Y64" s="55" t="e">
        <f>Y63+ATM_Conf!$C$5*(Nodes!AO63)/('Off-Ramp'!N249*AD249)</f>
        <v>#DIV/0!</v>
      </c>
      <c r="Z64" s="55" t="e">
        <f>Z63+ATM_Conf!$C$5*(Nodes!AP63)/('Off-Ramp'!O249*AE249)</f>
        <v>#DIV/0!</v>
      </c>
      <c r="AA64" s="55" t="e">
        <f>AA63+ATM_Conf!$C$5*(Nodes!AQ63)/('Off-Ramp'!P249*AF249)</f>
        <v>#DIV/0!</v>
      </c>
    </row>
    <row r="65" spans="1:27" x14ac:dyDescent="0.15">
      <c r="A65" s="48">
        <v>63</v>
      </c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55" t="e">
        <f t="shared" si="9"/>
        <v>#DIV/0!</v>
      </c>
      <c r="M65" s="55" t="e">
        <f t="shared" si="10"/>
        <v>#DIV/0!</v>
      </c>
      <c r="N65" s="55" t="e">
        <f t="shared" si="11"/>
        <v>#DIV/0!</v>
      </c>
      <c r="O65" s="55" t="e">
        <f t="shared" si="12"/>
        <v>#DIV/0!</v>
      </c>
      <c r="P65" s="73"/>
      <c r="Q65" s="73"/>
      <c r="R65" s="55" t="e">
        <f t="shared" si="13"/>
        <v>#DIV/0!</v>
      </c>
      <c r="S65" s="55" t="e">
        <f t="shared" si="14"/>
        <v>#DIV/0!</v>
      </c>
      <c r="T65" s="55" t="e">
        <f t="shared" si="15"/>
        <v>#DIV/0!</v>
      </c>
      <c r="U65" s="55" t="e">
        <f t="shared" si="8"/>
        <v>#DIV/0!</v>
      </c>
      <c r="V65" s="55" t="e">
        <f>V64+ATM_Conf!$C$5*(Nodes!AL64)/('Off-Ramp'!K250*AA250)</f>
        <v>#DIV/0!</v>
      </c>
      <c r="W65" s="55" t="e">
        <f>W64+ATM_Conf!$C$5*(Nodes!AM64)/('Off-Ramp'!L250*AB250)</f>
        <v>#DIV/0!</v>
      </c>
      <c r="X65" s="55" t="e">
        <f>X64+ATM_Conf!$C$5*(Nodes!AN64)/('Off-Ramp'!M250*AC250)</f>
        <v>#DIV/0!</v>
      </c>
      <c r="Y65" s="55" t="e">
        <f>Y64+ATM_Conf!$C$5*(Nodes!AO64)/('Off-Ramp'!N250*AD250)</f>
        <v>#DIV/0!</v>
      </c>
      <c r="Z65" s="55" t="e">
        <f>Z64+ATM_Conf!$C$5*(Nodes!AP64)/('Off-Ramp'!O250*AE250)</f>
        <v>#DIV/0!</v>
      </c>
      <c r="AA65" s="55" t="e">
        <f>AA64+ATM_Conf!$C$5*(Nodes!AQ64)/('Off-Ramp'!P250*AF250)</f>
        <v>#DIV/0!</v>
      </c>
    </row>
    <row r="66" spans="1:27" x14ac:dyDescent="0.15">
      <c r="A66" s="48">
        <v>64</v>
      </c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55" t="e">
        <f t="shared" si="9"/>
        <v>#DIV/0!</v>
      </c>
      <c r="M66" s="55" t="e">
        <f t="shared" si="10"/>
        <v>#DIV/0!</v>
      </c>
      <c r="N66" s="55" t="e">
        <f t="shared" si="11"/>
        <v>#DIV/0!</v>
      </c>
      <c r="O66" s="55" t="e">
        <f t="shared" si="12"/>
        <v>#DIV/0!</v>
      </c>
      <c r="P66" s="73"/>
      <c r="Q66" s="73"/>
      <c r="R66" s="55" t="e">
        <f t="shared" si="13"/>
        <v>#DIV/0!</v>
      </c>
      <c r="S66" s="55" t="e">
        <f t="shared" si="14"/>
        <v>#DIV/0!</v>
      </c>
      <c r="T66" s="55" t="e">
        <f t="shared" si="15"/>
        <v>#DIV/0!</v>
      </c>
      <c r="U66" s="55" t="e">
        <f t="shared" si="8"/>
        <v>#DIV/0!</v>
      </c>
      <c r="V66" s="55" t="e">
        <f>V65+ATM_Conf!$C$5*(Nodes!AL65)/('Off-Ramp'!K251*AA251)</f>
        <v>#DIV/0!</v>
      </c>
      <c r="W66" s="55" t="e">
        <f>W65+ATM_Conf!$C$5*(Nodes!AM65)/('Off-Ramp'!L251*AB251)</f>
        <v>#DIV/0!</v>
      </c>
      <c r="X66" s="55" t="e">
        <f>X65+ATM_Conf!$C$5*(Nodes!AN65)/('Off-Ramp'!M251*AC251)</f>
        <v>#DIV/0!</v>
      </c>
      <c r="Y66" s="55" t="e">
        <f>Y65+ATM_Conf!$C$5*(Nodes!AO65)/('Off-Ramp'!N251*AD251)</f>
        <v>#DIV/0!</v>
      </c>
      <c r="Z66" s="55" t="e">
        <f>Z65+ATM_Conf!$C$5*(Nodes!AP65)/('Off-Ramp'!O251*AE251)</f>
        <v>#DIV/0!</v>
      </c>
      <c r="AA66" s="55" t="e">
        <f>AA65+ATM_Conf!$C$5*(Nodes!AQ65)/('Off-Ramp'!P251*AF251)</f>
        <v>#DIV/0!</v>
      </c>
    </row>
    <row r="67" spans="1:27" x14ac:dyDescent="0.15">
      <c r="A67" s="48">
        <v>65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55" t="e">
        <f t="shared" si="9"/>
        <v>#DIV/0!</v>
      </c>
      <c r="M67" s="55" t="e">
        <f t="shared" si="10"/>
        <v>#DIV/0!</v>
      </c>
      <c r="N67" s="55" t="e">
        <f t="shared" si="11"/>
        <v>#DIV/0!</v>
      </c>
      <c r="O67" s="55" t="e">
        <f t="shared" si="12"/>
        <v>#DIV/0!</v>
      </c>
      <c r="P67" s="73"/>
      <c r="Q67" s="73"/>
      <c r="R67" s="55" t="e">
        <f t="shared" si="13"/>
        <v>#DIV/0!</v>
      </c>
      <c r="S67" s="55" t="e">
        <f t="shared" si="14"/>
        <v>#DIV/0!</v>
      </c>
      <c r="T67" s="55" t="e">
        <f t="shared" si="15"/>
        <v>#DIV/0!</v>
      </c>
      <c r="U67" s="55" t="e">
        <f t="shared" si="8"/>
        <v>#DIV/0!</v>
      </c>
      <c r="V67" s="55" t="e">
        <f>V66+ATM_Conf!$C$5*(Nodes!AL66)/('Off-Ramp'!K252*AA252)</f>
        <v>#DIV/0!</v>
      </c>
      <c r="W67" s="55" t="e">
        <f>W66+ATM_Conf!$C$5*(Nodes!AM66)/('Off-Ramp'!L252*AB252)</f>
        <v>#DIV/0!</v>
      </c>
      <c r="X67" s="55" t="e">
        <f>X66+ATM_Conf!$C$5*(Nodes!AN66)/('Off-Ramp'!M252*AC252)</f>
        <v>#DIV/0!</v>
      </c>
      <c r="Y67" s="55" t="e">
        <f>Y66+ATM_Conf!$C$5*(Nodes!AO66)/('Off-Ramp'!N252*AD252)</f>
        <v>#DIV/0!</v>
      </c>
      <c r="Z67" s="55" t="e">
        <f>Z66+ATM_Conf!$C$5*(Nodes!AP66)/('Off-Ramp'!O252*AE252)</f>
        <v>#DIV/0!</v>
      </c>
      <c r="AA67" s="55" t="e">
        <f>AA66+ATM_Conf!$C$5*(Nodes!AQ66)/('Off-Ramp'!P252*AF252)</f>
        <v>#DIV/0!</v>
      </c>
    </row>
    <row r="68" spans="1:27" x14ac:dyDescent="0.15">
      <c r="A68" s="48">
        <v>66</v>
      </c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55" t="e">
        <f t="shared" ref="L68:L99" si="16">B68/60/A$189</f>
        <v>#DIV/0!</v>
      </c>
      <c r="M68" s="55" t="e">
        <f t="shared" ref="M68:M99" si="17">C68/60/B$189</f>
        <v>#DIV/0!</v>
      </c>
      <c r="N68" s="55" t="e">
        <f t="shared" ref="N68:N99" si="18">D68/60/C$189</f>
        <v>#DIV/0!</v>
      </c>
      <c r="O68" s="55" t="e">
        <f t="shared" ref="O68:O99" si="19">E68/60/D$189</f>
        <v>#DIV/0!</v>
      </c>
      <c r="P68" s="73"/>
      <c r="Q68" s="73"/>
      <c r="R68" s="55" t="e">
        <f t="shared" ref="R68:R99" si="20">H68/60/G$189</f>
        <v>#DIV/0!</v>
      </c>
      <c r="S68" s="55" t="e">
        <f t="shared" ref="S68:S99" si="21">I68/60/H$189</f>
        <v>#DIV/0!</v>
      </c>
      <c r="T68" s="55" t="e">
        <f t="shared" ref="T68:T99" si="22">J68/60/I$189</f>
        <v>#DIV/0!</v>
      </c>
      <c r="U68" s="55" t="e">
        <f t="shared" ref="U68:U131" si="23">K68/60/J$189</f>
        <v>#DIV/0!</v>
      </c>
      <c r="V68" s="55" t="e">
        <f>V67+ATM_Conf!$C$5*(Nodes!AL67)/('Off-Ramp'!K253*AA253)</f>
        <v>#DIV/0!</v>
      </c>
      <c r="W68" s="55" t="e">
        <f>W67+ATM_Conf!$C$5*(Nodes!AM67)/('Off-Ramp'!L253*AB253)</f>
        <v>#DIV/0!</v>
      </c>
      <c r="X68" s="55" t="e">
        <f>X67+ATM_Conf!$C$5*(Nodes!AN67)/('Off-Ramp'!M253*AC253)</f>
        <v>#DIV/0!</v>
      </c>
      <c r="Y68" s="55" t="e">
        <f>Y67+ATM_Conf!$C$5*(Nodes!AO67)/('Off-Ramp'!N253*AD253)</f>
        <v>#DIV/0!</v>
      </c>
      <c r="Z68" s="55" t="e">
        <f>Z67+ATM_Conf!$C$5*(Nodes!AP67)/('Off-Ramp'!O253*AE253)</f>
        <v>#DIV/0!</v>
      </c>
      <c r="AA68" s="55" t="e">
        <f>AA67+ATM_Conf!$C$5*(Nodes!AQ67)/('Off-Ramp'!P253*AF253)</f>
        <v>#DIV/0!</v>
      </c>
    </row>
    <row r="69" spans="1:27" x14ac:dyDescent="0.15">
      <c r="A69" s="48">
        <v>67</v>
      </c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55" t="e">
        <f t="shared" si="16"/>
        <v>#DIV/0!</v>
      </c>
      <c r="M69" s="55" t="e">
        <f t="shared" si="17"/>
        <v>#DIV/0!</v>
      </c>
      <c r="N69" s="55" t="e">
        <f t="shared" si="18"/>
        <v>#DIV/0!</v>
      </c>
      <c r="O69" s="55" t="e">
        <f t="shared" si="19"/>
        <v>#DIV/0!</v>
      </c>
      <c r="P69" s="73"/>
      <c r="Q69" s="73"/>
      <c r="R69" s="55" t="e">
        <f t="shared" si="20"/>
        <v>#DIV/0!</v>
      </c>
      <c r="S69" s="55" t="e">
        <f t="shared" si="21"/>
        <v>#DIV/0!</v>
      </c>
      <c r="T69" s="55" t="e">
        <f t="shared" si="22"/>
        <v>#DIV/0!</v>
      </c>
      <c r="U69" s="55" t="e">
        <f t="shared" si="23"/>
        <v>#DIV/0!</v>
      </c>
      <c r="V69" s="55" t="e">
        <f>V68+ATM_Conf!$C$5*(Nodes!AL68)/('Off-Ramp'!K254*AA254)</f>
        <v>#DIV/0!</v>
      </c>
      <c r="W69" s="55" t="e">
        <f>W68+ATM_Conf!$C$5*(Nodes!AM68)/('Off-Ramp'!L254*AB254)</f>
        <v>#DIV/0!</v>
      </c>
      <c r="X69" s="55" t="e">
        <f>X68+ATM_Conf!$C$5*(Nodes!AN68)/('Off-Ramp'!M254*AC254)</f>
        <v>#DIV/0!</v>
      </c>
      <c r="Y69" s="55" t="e">
        <f>Y68+ATM_Conf!$C$5*(Nodes!AO68)/('Off-Ramp'!N254*AD254)</f>
        <v>#DIV/0!</v>
      </c>
      <c r="Z69" s="55" t="e">
        <f>Z68+ATM_Conf!$C$5*(Nodes!AP68)/('Off-Ramp'!O254*AE254)</f>
        <v>#DIV/0!</v>
      </c>
      <c r="AA69" s="55" t="e">
        <f>AA68+ATM_Conf!$C$5*(Nodes!AQ68)/('Off-Ramp'!P254*AF254)</f>
        <v>#DIV/0!</v>
      </c>
    </row>
    <row r="70" spans="1:27" x14ac:dyDescent="0.15">
      <c r="A70" s="48">
        <v>68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55" t="e">
        <f t="shared" si="16"/>
        <v>#DIV/0!</v>
      </c>
      <c r="M70" s="55" t="e">
        <f t="shared" si="17"/>
        <v>#DIV/0!</v>
      </c>
      <c r="N70" s="55" t="e">
        <f t="shared" si="18"/>
        <v>#DIV/0!</v>
      </c>
      <c r="O70" s="55" t="e">
        <f t="shared" si="19"/>
        <v>#DIV/0!</v>
      </c>
      <c r="P70" s="73"/>
      <c r="Q70" s="73"/>
      <c r="R70" s="55" t="e">
        <f t="shared" si="20"/>
        <v>#DIV/0!</v>
      </c>
      <c r="S70" s="55" t="e">
        <f t="shared" si="21"/>
        <v>#DIV/0!</v>
      </c>
      <c r="T70" s="55" t="e">
        <f t="shared" si="22"/>
        <v>#DIV/0!</v>
      </c>
      <c r="U70" s="55" t="e">
        <f t="shared" si="23"/>
        <v>#DIV/0!</v>
      </c>
      <c r="V70" s="55" t="e">
        <f>V69+ATM_Conf!$C$5*(Nodes!AL69)/('Off-Ramp'!K255*AA255)</f>
        <v>#DIV/0!</v>
      </c>
      <c r="W70" s="55" t="e">
        <f>W69+ATM_Conf!$C$5*(Nodes!AM69)/('Off-Ramp'!L255*AB255)</f>
        <v>#DIV/0!</v>
      </c>
      <c r="X70" s="55" t="e">
        <f>X69+ATM_Conf!$C$5*(Nodes!AN69)/('Off-Ramp'!M255*AC255)</f>
        <v>#DIV/0!</v>
      </c>
      <c r="Y70" s="55" t="e">
        <f>Y69+ATM_Conf!$C$5*(Nodes!AO69)/('Off-Ramp'!N255*AD255)</f>
        <v>#DIV/0!</v>
      </c>
      <c r="Z70" s="55" t="e">
        <f>Z69+ATM_Conf!$C$5*(Nodes!AP69)/('Off-Ramp'!O255*AE255)</f>
        <v>#DIV/0!</v>
      </c>
      <c r="AA70" s="55" t="e">
        <f>AA69+ATM_Conf!$C$5*(Nodes!AQ69)/('Off-Ramp'!P255*AF255)</f>
        <v>#DIV/0!</v>
      </c>
    </row>
    <row r="71" spans="1:27" x14ac:dyDescent="0.15">
      <c r="A71" s="48">
        <v>69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55" t="e">
        <f t="shared" si="16"/>
        <v>#DIV/0!</v>
      </c>
      <c r="M71" s="55" t="e">
        <f t="shared" si="17"/>
        <v>#DIV/0!</v>
      </c>
      <c r="N71" s="55" t="e">
        <f t="shared" si="18"/>
        <v>#DIV/0!</v>
      </c>
      <c r="O71" s="55" t="e">
        <f t="shared" si="19"/>
        <v>#DIV/0!</v>
      </c>
      <c r="P71" s="73"/>
      <c r="Q71" s="73"/>
      <c r="R71" s="55" t="e">
        <f t="shared" si="20"/>
        <v>#DIV/0!</v>
      </c>
      <c r="S71" s="55" t="e">
        <f t="shared" si="21"/>
        <v>#DIV/0!</v>
      </c>
      <c r="T71" s="55" t="e">
        <f t="shared" si="22"/>
        <v>#DIV/0!</v>
      </c>
      <c r="U71" s="55" t="e">
        <f t="shared" si="23"/>
        <v>#DIV/0!</v>
      </c>
      <c r="V71" s="55" t="e">
        <f>V70+ATM_Conf!$C$5*(Nodes!AL70)/('Off-Ramp'!K256*AA256)</f>
        <v>#DIV/0!</v>
      </c>
      <c r="W71" s="55" t="e">
        <f>W70+ATM_Conf!$C$5*(Nodes!AM70)/('Off-Ramp'!L256*AB256)</f>
        <v>#DIV/0!</v>
      </c>
      <c r="X71" s="55" t="e">
        <f>X70+ATM_Conf!$C$5*(Nodes!AN70)/('Off-Ramp'!M256*AC256)</f>
        <v>#DIV/0!</v>
      </c>
      <c r="Y71" s="55" t="e">
        <f>Y70+ATM_Conf!$C$5*(Nodes!AO70)/('Off-Ramp'!N256*AD256)</f>
        <v>#DIV/0!</v>
      </c>
      <c r="Z71" s="55" t="e">
        <f>Z70+ATM_Conf!$C$5*(Nodes!AP70)/('Off-Ramp'!O256*AE256)</f>
        <v>#DIV/0!</v>
      </c>
      <c r="AA71" s="55" t="e">
        <f>AA70+ATM_Conf!$C$5*(Nodes!AQ70)/('Off-Ramp'!P256*AF256)</f>
        <v>#DIV/0!</v>
      </c>
    </row>
    <row r="72" spans="1:27" x14ac:dyDescent="0.15">
      <c r="A72" s="48">
        <v>70</v>
      </c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55" t="e">
        <f t="shared" si="16"/>
        <v>#DIV/0!</v>
      </c>
      <c r="M72" s="55" t="e">
        <f t="shared" si="17"/>
        <v>#DIV/0!</v>
      </c>
      <c r="N72" s="55" t="e">
        <f t="shared" si="18"/>
        <v>#DIV/0!</v>
      </c>
      <c r="O72" s="55" t="e">
        <f t="shared" si="19"/>
        <v>#DIV/0!</v>
      </c>
      <c r="P72" s="73"/>
      <c r="Q72" s="73"/>
      <c r="R72" s="55" t="e">
        <f t="shared" si="20"/>
        <v>#DIV/0!</v>
      </c>
      <c r="S72" s="55" t="e">
        <f t="shared" si="21"/>
        <v>#DIV/0!</v>
      </c>
      <c r="T72" s="55" t="e">
        <f t="shared" si="22"/>
        <v>#DIV/0!</v>
      </c>
      <c r="U72" s="55" t="e">
        <f t="shared" si="23"/>
        <v>#DIV/0!</v>
      </c>
      <c r="V72" s="55" t="e">
        <f>V71+ATM_Conf!$C$5*(Nodes!AL71)/('Off-Ramp'!K257*AA257)</f>
        <v>#DIV/0!</v>
      </c>
      <c r="W72" s="55" t="e">
        <f>W71+ATM_Conf!$C$5*(Nodes!AM71)/('Off-Ramp'!L257*AB257)</f>
        <v>#DIV/0!</v>
      </c>
      <c r="X72" s="55" t="e">
        <f>X71+ATM_Conf!$C$5*(Nodes!AN71)/('Off-Ramp'!M257*AC257)</f>
        <v>#DIV/0!</v>
      </c>
      <c r="Y72" s="55" t="e">
        <f>Y71+ATM_Conf!$C$5*(Nodes!AO71)/('Off-Ramp'!N257*AD257)</f>
        <v>#DIV/0!</v>
      </c>
      <c r="Z72" s="55" t="e">
        <f>Z71+ATM_Conf!$C$5*(Nodes!AP71)/('Off-Ramp'!O257*AE257)</f>
        <v>#DIV/0!</v>
      </c>
      <c r="AA72" s="55" t="e">
        <f>AA71+ATM_Conf!$C$5*(Nodes!AQ71)/('Off-Ramp'!P257*AF257)</f>
        <v>#DIV/0!</v>
      </c>
    </row>
    <row r="73" spans="1:27" x14ac:dyDescent="0.15">
      <c r="A73" s="48">
        <v>71</v>
      </c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55" t="e">
        <f t="shared" si="16"/>
        <v>#DIV/0!</v>
      </c>
      <c r="M73" s="55" t="e">
        <f t="shared" si="17"/>
        <v>#DIV/0!</v>
      </c>
      <c r="N73" s="55" t="e">
        <f t="shared" si="18"/>
        <v>#DIV/0!</v>
      </c>
      <c r="O73" s="55" t="e">
        <f t="shared" si="19"/>
        <v>#DIV/0!</v>
      </c>
      <c r="P73" s="73"/>
      <c r="Q73" s="73"/>
      <c r="R73" s="55" t="e">
        <f t="shared" si="20"/>
        <v>#DIV/0!</v>
      </c>
      <c r="S73" s="55" t="e">
        <f t="shared" si="21"/>
        <v>#DIV/0!</v>
      </c>
      <c r="T73" s="55" t="e">
        <f t="shared" si="22"/>
        <v>#DIV/0!</v>
      </c>
      <c r="U73" s="55" t="e">
        <f t="shared" si="23"/>
        <v>#DIV/0!</v>
      </c>
      <c r="V73" s="55" t="e">
        <f>V72+ATM_Conf!$C$5*(Nodes!AL72)/('Off-Ramp'!K258*AA258)</f>
        <v>#DIV/0!</v>
      </c>
      <c r="W73" s="55" t="e">
        <f>W72+ATM_Conf!$C$5*(Nodes!AM72)/('Off-Ramp'!L258*AB258)</f>
        <v>#DIV/0!</v>
      </c>
      <c r="X73" s="55" t="e">
        <f>X72+ATM_Conf!$C$5*(Nodes!AN72)/('Off-Ramp'!M258*AC258)</f>
        <v>#DIV/0!</v>
      </c>
      <c r="Y73" s="55" t="e">
        <f>Y72+ATM_Conf!$C$5*(Nodes!AO72)/('Off-Ramp'!N258*AD258)</f>
        <v>#DIV/0!</v>
      </c>
      <c r="Z73" s="55" t="e">
        <f>Z72+ATM_Conf!$C$5*(Nodes!AP72)/('Off-Ramp'!O258*AE258)</f>
        <v>#DIV/0!</v>
      </c>
      <c r="AA73" s="55" t="e">
        <f>AA72+ATM_Conf!$C$5*(Nodes!AQ72)/('Off-Ramp'!P258*AF258)</f>
        <v>#DIV/0!</v>
      </c>
    </row>
    <row r="74" spans="1:27" x14ac:dyDescent="0.15">
      <c r="A74" s="48">
        <v>72</v>
      </c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55" t="e">
        <f t="shared" si="16"/>
        <v>#DIV/0!</v>
      </c>
      <c r="M74" s="55" t="e">
        <f t="shared" si="17"/>
        <v>#DIV/0!</v>
      </c>
      <c r="N74" s="55" t="e">
        <f t="shared" si="18"/>
        <v>#DIV/0!</v>
      </c>
      <c r="O74" s="55" t="e">
        <f t="shared" si="19"/>
        <v>#DIV/0!</v>
      </c>
      <c r="P74" s="73"/>
      <c r="Q74" s="73"/>
      <c r="R74" s="55" t="e">
        <f t="shared" si="20"/>
        <v>#DIV/0!</v>
      </c>
      <c r="S74" s="55" t="e">
        <f t="shared" si="21"/>
        <v>#DIV/0!</v>
      </c>
      <c r="T74" s="55" t="e">
        <f t="shared" si="22"/>
        <v>#DIV/0!</v>
      </c>
      <c r="U74" s="55" t="e">
        <f t="shared" si="23"/>
        <v>#DIV/0!</v>
      </c>
      <c r="V74" s="55" t="e">
        <f>V73+ATM_Conf!$C$5*(Nodes!AL73)/('Off-Ramp'!K259*AA259)</f>
        <v>#DIV/0!</v>
      </c>
      <c r="W74" s="55" t="e">
        <f>W73+ATM_Conf!$C$5*(Nodes!AM73)/('Off-Ramp'!L259*AB259)</f>
        <v>#DIV/0!</v>
      </c>
      <c r="X74" s="55" t="e">
        <f>X73+ATM_Conf!$C$5*(Nodes!AN73)/('Off-Ramp'!M259*AC259)</f>
        <v>#DIV/0!</v>
      </c>
      <c r="Y74" s="55" t="e">
        <f>Y73+ATM_Conf!$C$5*(Nodes!AO73)/('Off-Ramp'!N259*AD259)</f>
        <v>#DIV/0!</v>
      </c>
      <c r="Z74" s="55" t="e">
        <f>Z73+ATM_Conf!$C$5*(Nodes!AP73)/('Off-Ramp'!O259*AE259)</f>
        <v>#DIV/0!</v>
      </c>
      <c r="AA74" s="55" t="e">
        <f>AA73+ATM_Conf!$C$5*(Nodes!AQ73)/('Off-Ramp'!P259*AF259)</f>
        <v>#DIV/0!</v>
      </c>
    </row>
    <row r="75" spans="1:27" x14ac:dyDescent="0.15">
      <c r="A75" s="48">
        <v>73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55" t="e">
        <f t="shared" si="16"/>
        <v>#DIV/0!</v>
      </c>
      <c r="M75" s="55" t="e">
        <f t="shared" si="17"/>
        <v>#DIV/0!</v>
      </c>
      <c r="N75" s="55" t="e">
        <f t="shared" si="18"/>
        <v>#DIV/0!</v>
      </c>
      <c r="O75" s="55" t="e">
        <f t="shared" si="19"/>
        <v>#DIV/0!</v>
      </c>
      <c r="P75" s="73"/>
      <c r="Q75" s="73"/>
      <c r="R75" s="55" t="e">
        <f t="shared" si="20"/>
        <v>#DIV/0!</v>
      </c>
      <c r="S75" s="55" t="e">
        <f t="shared" si="21"/>
        <v>#DIV/0!</v>
      </c>
      <c r="T75" s="55" t="e">
        <f t="shared" si="22"/>
        <v>#DIV/0!</v>
      </c>
      <c r="U75" s="55" t="e">
        <f t="shared" si="23"/>
        <v>#DIV/0!</v>
      </c>
      <c r="V75" s="55" t="e">
        <f>V74+ATM_Conf!$C$5*(Nodes!AL74)/('Off-Ramp'!K260*AA260)</f>
        <v>#DIV/0!</v>
      </c>
      <c r="W75" s="55" t="e">
        <f>W74+ATM_Conf!$C$5*(Nodes!AM74)/('Off-Ramp'!L260*AB260)</f>
        <v>#DIV/0!</v>
      </c>
      <c r="X75" s="55" t="e">
        <f>X74+ATM_Conf!$C$5*(Nodes!AN74)/('Off-Ramp'!M260*AC260)</f>
        <v>#DIV/0!</v>
      </c>
      <c r="Y75" s="55" t="e">
        <f>Y74+ATM_Conf!$C$5*(Nodes!AO74)/('Off-Ramp'!N260*AD260)</f>
        <v>#DIV/0!</v>
      </c>
      <c r="Z75" s="55" t="e">
        <f>Z74+ATM_Conf!$C$5*(Nodes!AP74)/('Off-Ramp'!O260*AE260)</f>
        <v>#DIV/0!</v>
      </c>
      <c r="AA75" s="55" t="e">
        <f>AA74+ATM_Conf!$C$5*(Nodes!AQ74)/('Off-Ramp'!P260*AF260)</f>
        <v>#DIV/0!</v>
      </c>
    </row>
    <row r="76" spans="1:27" x14ac:dyDescent="0.15">
      <c r="A76" s="48">
        <v>74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55" t="e">
        <f t="shared" si="16"/>
        <v>#DIV/0!</v>
      </c>
      <c r="M76" s="55" t="e">
        <f t="shared" si="17"/>
        <v>#DIV/0!</v>
      </c>
      <c r="N76" s="55" t="e">
        <f t="shared" si="18"/>
        <v>#DIV/0!</v>
      </c>
      <c r="O76" s="55" t="e">
        <f t="shared" si="19"/>
        <v>#DIV/0!</v>
      </c>
      <c r="P76" s="73"/>
      <c r="Q76" s="73"/>
      <c r="R76" s="55" t="e">
        <f t="shared" si="20"/>
        <v>#DIV/0!</v>
      </c>
      <c r="S76" s="55" t="e">
        <f t="shared" si="21"/>
        <v>#DIV/0!</v>
      </c>
      <c r="T76" s="55" t="e">
        <f t="shared" si="22"/>
        <v>#DIV/0!</v>
      </c>
      <c r="U76" s="55" t="e">
        <f t="shared" si="23"/>
        <v>#DIV/0!</v>
      </c>
      <c r="V76" s="55" t="e">
        <f>V75+ATM_Conf!$C$5*(Nodes!AL75)/('Off-Ramp'!K261*AA261)</f>
        <v>#DIV/0!</v>
      </c>
      <c r="W76" s="55" t="e">
        <f>W75+ATM_Conf!$C$5*(Nodes!AM75)/('Off-Ramp'!L261*AB261)</f>
        <v>#DIV/0!</v>
      </c>
      <c r="X76" s="55" t="e">
        <f>X75+ATM_Conf!$C$5*(Nodes!AN75)/('Off-Ramp'!M261*AC261)</f>
        <v>#DIV/0!</v>
      </c>
      <c r="Y76" s="55" t="e">
        <f>Y75+ATM_Conf!$C$5*(Nodes!AO75)/('Off-Ramp'!N261*AD261)</f>
        <v>#DIV/0!</v>
      </c>
      <c r="Z76" s="55" t="e">
        <f>Z75+ATM_Conf!$C$5*(Nodes!AP75)/('Off-Ramp'!O261*AE261)</f>
        <v>#DIV/0!</v>
      </c>
      <c r="AA76" s="55" t="e">
        <f>AA75+ATM_Conf!$C$5*(Nodes!AQ75)/('Off-Ramp'!P261*AF261)</f>
        <v>#DIV/0!</v>
      </c>
    </row>
    <row r="77" spans="1:27" x14ac:dyDescent="0.15">
      <c r="A77" s="48">
        <v>75</v>
      </c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55" t="e">
        <f t="shared" si="16"/>
        <v>#DIV/0!</v>
      </c>
      <c r="M77" s="55" t="e">
        <f t="shared" si="17"/>
        <v>#DIV/0!</v>
      </c>
      <c r="N77" s="55" t="e">
        <f t="shared" si="18"/>
        <v>#DIV/0!</v>
      </c>
      <c r="O77" s="55" t="e">
        <f t="shared" si="19"/>
        <v>#DIV/0!</v>
      </c>
      <c r="P77" s="73"/>
      <c r="Q77" s="73"/>
      <c r="R77" s="55" t="e">
        <f t="shared" si="20"/>
        <v>#DIV/0!</v>
      </c>
      <c r="S77" s="55" t="e">
        <f t="shared" si="21"/>
        <v>#DIV/0!</v>
      </c>
      <c r="T77" s="55" t="e">
        <f t="shared" si="22"/>
        <v>#DIV/0!</v>
      </c>
      <c r="U77" s="55" t="e">
        <f t="shared" si="23"/>
        <v>#DIV/0!</v>
      </c>
      <c r="V77" s="55" t="e">
        <f>V76+ATM_Conf!$C$5*(Nodes!AL76)/('Off-Ramp'!K262*AA262)</f>
        <v>#DIV/0!</v>
      </c>
      <c r="W77" s="55" t="e">
        <f>W76+ATM_Conf!$C$5*(Nodes!AM76)/('Off-Ramp'!L262*AB262)</f>
        <v>#DIV/0!</v>
      </c>
      <c r="X77" s="55" t="e">
        <f>X76+ATM_Conf!$C$5*(Nodes!AN76)/('Off-Ramp'!M262*AC262)</f>
        <v>#DIV/0!</v>
      </c>
      <c r="Y77" s="55" t="e">
        <f>Y76+ATM_Conf!$C$5*(Nodes!AO76)/('Off-Ramp'!N262*AD262)</f>
        <v>#DIV/0!</v>
      </c>
      <c r="Z77" s="55" t="e">
        <f>Z76+ATM_Conf!$C$5*(Nodes!AP76)/('Off-Ramp'!O262*AE262)</f>
        <v>#DIV/0!</v>
      </c>
      <c r="AA77" s="55" t="e">
        <f>AA76+ATM_Conf!$C$5*(Nodes!AQ76)/('Off-Ramp'!P262*AF262)</f>
        <v>#DIV/0!</v>
      </c>
    </row>
    <row r="78" spans="1:27" x14ac:dyDescent="0.15">
      <c r="A78" s="48">
        <v>76</v>
      </c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55" t="e">
        <f t="shared" si="16"/>
        <v>#DIV/0!</v>
      </c>
      <c r="M78" s="55" t="e">
        <f t="shared" si="17"/>
        <v>#DIV/0!</v>
      </c>
      <c r="N78" s="55" t="e">
        <f t="shared" si="18"/>
        <v>#DIV/0!</v>
      </c>
      <c r="O78" s="55" t="e">
        <f t="shared" si="19"/>
        <v>#DIV/0!</v>
      </c>
      <c r="P78" s="73"/>
      <c r="Q78" s="73"/>
      <c r="R78" s="55" t="e">
        <f t="shared" si="20"/>
        <v>#DIV/0!</v>
      </c>
      <c r="S78" s="55" t="e">
        <f t="shared" si="21"/>
        <v>#DIV/0!</v>
      </c>
      <c r="T78" s="55" t="e">
        <f t="shared" si="22"/>
        <v>#DIV/0!</v>
      </c>
      <c r="U78" s="55" t="e">
        <f t="shared" si="23"/>
        <v>#DIV/0!</v>
      </c>
      <c r="V78" s="55" t="e">
        <f>V77+ATM_Conf!$C$5*(Nodes!AL77)/('Off-Ramp'!K263*AA263)</f>
        <v>#DIV/0!</v>
      </c>
      <c r="W78" s="55" t="e">
        <f>W77+ATM_Conf!$C$5*(Nodes!AM77)/('Off-Ramp'!L263*AB263)</f>
        <v>#DIV/0!</v>
      </c>
      <c r="X78" s="55" t="e">
        <f>X77+ATM_Conf!$C$5*(Nodes!AN77)/('Off-Ramp'!M263*AC263)</f>
        <v>#DIV/0!</v>
      </c>
      <c r="Y78" s="55" t="e">
        <f>Y77+ATM_Conf!$C$5*(Nodes!AO77)/('Off-Ramp'!N263*AD263)</f>
        <v>#DIV/0!</v>
      </c>
      <c r="Z78" s="55" t="e">
        <f>Z77+ATM_Conf!$C$5*(Nodes!AP77)/('Off-Ramp'!O263*AE263)</f>
        <v>#DIV/0!</v>
      </c>
      <c r="AA78" s="55" t="e">
        <f>AA77+ATM_Conf!$C$5*(Nodes!AQ77)/('Off-Ramp'!P263*AF263)</f>
        <v>#DIV/0!</v>
      </c>
    </row>
    <row r="79" spans="1:27" x14ac:dyDescent="0.15">
      <c r="A79" s="48">
        <v>77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55" t="e">
        <f t="shared" si="16"/>
        <v>#DIV/0!</v>
      </c>
      <c r="M79" s="55" t="e">
        <f t="shared" si="17"/>
        <v>#DIV/0!</v>
      </c>
      <c r="N79" s="55" t="e">
        <f t="shared" si="18"/>
        <v>#DIV/0!</v>
      </c>
      <c r="O79" s="55" t="e">
        <f t="shared" si="19"/>
        <v>#DIV/0!</v>
      </c>
      <c r="P79" s="73"/>
      <c r="Q79" s="73"/>
      <c r="R79" s="55" t="e">
        <f t="shared" si="20"/>
        <v>#DIV/0!</v>
      </c>
      <c r="S79" s="55" t="e">
        <f t="shared" si="21"/>
        <v>#DIV/0!</v>
      </c>
      <c r="T79" s="55" t="e">
        <f t="shared" si="22"/>
        <v>#DIV/0!</v>
      </c>
      <c r="U79" s="55" t="e">
        <f t="shared" si="23"/>
        <v>#DIV/0!</v>
      </c>
      <c r="V79" s="55" t="e">
        <f>V78+ATM_Conf!$C$5*(Nodes!AL78)/('Off-Ramp'!K264*AA264)</f>
        <v>#DIV/0!</v>
      </c>
      <c r="W79" s="55" t="e">
        <f>W78+ATM_Conf!$C$5*(Nodes!AM78)/('Off-Ramp'!L264*AB264)</f>
        <v>#DIV/0!</v>
      </c>
      <c r="X79" s="55" t="e">
        <f>X78+ATM_Conf!$C$5*(Nodes!AN78)/('Off-Ramp'!M264*AC264)</f>
        <v>#DIV/0!</v>
      </c>
      <c r="Y79" s="55" t="e">
        <f>Y78+ATM_Conf!$C$5*(Nodes!AO78)/('Off-Ramp'!N264*AD264)</f>
        <v>#DIV/0!</v>
      </c>
      <c r="Z79" s="55" t="e">
        <f>Z78+ATM_Conf!$C$5*(Nodes!AP78)/('Off-Ramp'!O264*AE264)</f>
        <v>#DIV/0!</v>
      </c>
      <c r="AA79" s="55" t="e">
        <f>AA78+ATM_Conf!$C$5*(Nodes!AQ78)/('Off-Ramp'!P264*AF264)</f>
        <v>#DIV/0!</v>
      </c>
    </row>
    <row r="80" spans="1:27" x14ac:dyDescent="0.15">
      <c r="A80" s="48">
        <v>78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55" t="e">
        <f t="shared" si="16"/>
        <v>#DIV/0!</v>
      </c>
      <c r="M80" s="55" t="e">
        <f t="shared" si="17"/>
        <v>#DIV/0!</v>
      </c>
      <c r="N80" s="55" t="e">
        <f t="shared" si="18"/>
        <v>#DIV/0!</v>
      </c>
      <c r="O80" s="55" t="e">
        <f t="shared" si="19"/>
        <v>#DIV/0!</v>
      </c>
      <c r="P80" s="73"/>
      <c r="Q80" s="73"/>
      <c r="R80" s="55" t="e">
        <f t="shared" si="20"/>
        <v>#DIV/0!</v>
      </c>
      <c r="S80" s="55" t="e">
        <f t="shared" si="21"/>
        <v>#DIV/0!</v>
      </c>
      <c r="T80" s="55" t="e">
        <f t="shared" si="22"/>
        <v>#DIV/0!</v>
      </c>
      <c r="U80" s="55" t="e">
        <f t="shared" si="23"/>
        <v>#DIV/0!</v>
      </c>
      <c r="V80" s="55" t="e">
        <f>V79+ATM_Conf!$C$5*(Nodes!AL79)/('Off-Ramp'!K265*AA265)</f>
        <v>#DIV/0!</v>
      </c>
      <c r="W80" s="55" t="e">
        <f>W79+ATM_Conf!$C$5*(Nodes!AM79)/('Off-Ramp'!L265*AB265)</f>
        <v>#DIV/0!</v>
      </c>
      <c r="X80" s="55" t="e">
        <f>X79+ATM_Conf!$C$5*(Nodes!AN79)/('Off-Ramp'!M265*AC265)</f>
        <v>#DIV/0!</v>
      </c>
      <c r="Y80" s="55" t="e">
        <f>Y79+ATM_Conf!$C$5*(Nodes!AO79)/('Off-Ramp'!N265*AD265)</f>
        <v>#DIV/0!</v>
      </c>
      <c r="Z80" s="55" t="e">
        <f>Z79+ATM_Conf!$C$5*(Nodes!AP79)/('Off-Ramp'!O265*AE265)</f>
        <v>#DIV/0!</v>
      </c>
      <c r="AA80" s="55" t="e">
        <f>AA79+ATM_Conf!$C$5*(Nodes!AQ79)/('Off-Ramp'!P265*AF265)</f>
        <v>#DIV/0!</v>
      </c>
    </row>
    <row r="81" spans="1:27" x14ac:dyDescent="0.15">
      <c r="A81" s="48">
        <v>79</v>
      </c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55" t="e">
        <f t="shared" si="16"/>
        <v>#DIV/0!</v>
      </c>
      <c r="M81" s="55" t="e">
        <f t="shared" si="17"/>
        <v>#DIV/0!</v>
      </c>
      <c r="N81" s="55" t="e">
        <f t="shared" si="18"/>
        <v>#DIV/0!</v>
      </c>
      <c r="O81" s="55" t="e">
        <f t="shared" si="19"/>
        <v>#DIV/0!</v>
      </c>
      <c r="P81" s="73"/>
      <c r="Q81" s="73"/>
      <c r="R81" s="55" t="e">
        <f t="shared" si="20"/>
        <v>#DIV/0!</v>
      </c>
      <c r="S81" s="55" t="e">
        <f t="shared" si="21"/>
        <v>#DIV/0!</v>
      </c>
      <c r="T81" s="55" t="e">
        <f t="shared" si="22"/>
        <v>#DIV/0!</v>
      </c>
      <c r="U81" s="55" t="e">
        <f t="shared" si="23"/>
        <v>#DIV/0!</v>
      </c>
      <c r="V81" s="55" t="e">
        <f>V80+ATM_Conf!$C$5*(Nodes!AL80)/('Off-Ramp'!K266*AA266)</f>
        <v>#DIV/0!</v>
      </c>
      <c r="W81" s="55" t="e">
        <f>W80+ATM_Conf!$C$5*(Nodes!AM80)/('Off-Ramp'!L266*AB266)</f>
        <v>#DIV/0!</v>
      </c>
      <c r="X81" s="55" t="e">
        <f>X80+ATM_Conf!$C$5*(Nodes!AN80)/('Off-Ramp'!M266*AC266)</f>
        <v>#DIV/0!</v>
      </c>
      <c r="Y81" s="55" t="e">
        <f>Y80+ATM_Conf!$C$5*(Nodes!AO80)/('Off-Ramp'!N266*AD266)</f>
        <v>#DIV/0!</v>
      </c>
      <c r="Z81" s="55" t="e">
        <f>Z80+ATM_Conf!$C$5*(Nodes!AP80)/('Off-Ramp'!O266*AE266)</f>
        <v>#DIV/0!</v>
      </c>
      <c r="AA81" s="55" t="e">
        <f>AA80+ATM_Conf!$C$5*(Nodes!AQ80)/('Off-Ramp'!P266*AF266)</f>
        <v>#DIV/0!</v>
      </c>
    </row>
    <row r="82" spans="1:27" x14ac:dyDescent="0.15">
      <c r="A82" s="48">
        <v>80</v>
      </c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55" t="e">
        <f t="shared" si="16"/>
        <v>#DIV/0!</v>
      </c>
      <c r="M82" s="55" t="e">
        <f t="shared" si="17"/>
        <v>#DIV/0!</v>
      </c>
      <c r="N82" s="55" t="e">
        <f t="shared" si="18"/>
        <v>#DIV/0!</v>
      </c>
      <c r="O82" s="55" t="e">
        <f t="shared" si="19"/>
        <v>#DIV/0!</v>
      </c>
      <c r="P82" s="73"/>
      <c r="Q82" s="73"/>
      <c r="R82" s="55" t="e">
        <f t="shared" si="20"/>
        <v>#DIV/0!</v>
      </c>
      <c r="S82" s="55" t="e">
        <f t="shared" si="21"/>
        <v>#DIV/0!</v>
      </c>
      <c r="T82" s="55" t="e">
        <f t="shared" si="22"/>
        <v>#DIV/0!</v>
      </c>
      <c r="U82" s="55" t="e">
        <f t="shared" si="23"/>
        <v>#DIV/0!</v>
      </c>
      <c r="V82" s="55" t="e">
        <f>V81+ATM_Conf!$C$5*(Nodes!AL81)/('Off-Ramp'!K267*AA267)</f>
        <v>#DIV/0!</v>
      </c>
      <c r="W82" s="55" t="e">
        <f>W81+ATM_Conf!$C$5*(Nodes!AM81)/('Off-Ramp'!L267*AB267)</f>
        <v>#DIV/0!</v>
      </c>
      <c r="X82" s="55" t="e">
        <f>X81+ATM_Conf!$C$5*(Nodes!AN81)/('Off-Ramp'!M267*AC267)</f>
        <v>#DIV/0!</v>
      </c>
      <c r="Y82" s="55" t="e">
        <f>Y81+ATM_Conf!$C$5*(Nodes!AO81)/('Off-Ramp'!N267*AD267)</f>
        <v>#DIV/0!</v>
      </c>
      <c r="Z82" s="55" t="e">
        <f>Z81+ATM_Conf!$C$5*(Nodes!AP81)/('Off-Ramp'!O267*AE267)</f>
        <v>#DIV/0!</v>
      </c>
      <c r="AA82" s="55" t="e">
        <f>AA81+ATM_Conf!$C$5*(Nodes!AQ81)/('Off-Ramp'!P267*AF267)</f>
        <v>#DIV/0!</v>
      </c>
    </row>
    <row r="83" spans="1:27" x14ac:dyDescent="0.15">
      <c r="A83" s="48">
        <v>81</v>
      </c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55" t="e">
        <f t="shared" si="16"/>
        <v>#DIV/0!</v>
      </c>
      <c r="M83" s="55" t="e">
        <f t="shared" si="17"/>
        <v>#DIV/0!</v>
      </c>
      <c r="N83" s="55" t="e">
        <f t="shared" si="18"/>
        <v>#DIV/0!</v>
      </c>
      <c r="O83" s="55" t="e">
        <f t="shared" si="19"/>
        <v>#DIV/0!</v>
      </c>
      <c r="P83" s="73"/>
      <c r="Q83" s="73"/>
      <c r="R83" s="55" t="e">
        <f t="shared" si="20"/>
        <v>#DIV/0!</v>
      </c>
      <c r="S83" s="55" t="e">
        <f t="shared" si="21"/>
        <v>#DIV/0!</v>
      </c>
      <c r="T83" s="55" t="e">
        <f t="shared" si="22"/>
        <v>#DIV/0!</v>
      </c>
      <c r="U83" s="55" t="e">
        <f t="shared" si="23"/>
        <v>#DIV/0!</v>
      </c>
      <c r="V83" s="55" t="e">
        <f>V82+ATM_Conf!$C$5*(Nodes!AL82)/('Off-Ramp'!K268*AA268)</f>
        <v>#DIV/0!</v>
      </c>
      <c r="W83" s="55" t="e">
        <f>W82+ATM_Conf!$C$5*(Nodes!AM82)/('Off-Ramp'!L268*AB268)</f>
        <v>#DIV/0!</v>
      </c>
      <c r="X83" s="55" t="e">
        <f>X82+ATM_Conf!$C$5*(Nodes!AN82)/('Off-Ramp'!M268*AC268)</f>
        <v>#DIV/0!</v>
      </c>
      <c r="Y83" s="55" t="e">
        <f>Y82+ATM_Conf!$C$5*(Nodes!AO82)/('Off-Ramp'!N268*AD268)</f>
        <v>#DIV/0!</v>
      </c>
      <c r="Z83" s="55" t="e">
        <f>Z82+ATM_Conf!$C$5*(Nodes!AP82)/('Off-Ramp'!O268*AE268)</f>
        <v>#DIV/0!</v>
      </c>
      <c r="AA83" s="55" t="e">
        <f>AA82+ATM_Conf!$C$5*(Nodes!AQ82)/('Off-Ramp'!P268*AF268)</f>
        <v>#DIV/0!</v>
      </c>
    </row>
    <row r="84" spans="1:27" x14ac:dyDescent="0.15">
      <c r="A84" s="48">
        <v>82</v>
      </c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55" t="e">
        <f t="shared" si="16"/>
        <v>#DIV/0!</v>
      </c>
      <c r="M84" s="55" t="e">
        <f t="shared" si="17"/>
        <v>#DIV/0!</v>
      </c>
      <c r="N84" s="55" t="e">
        <f t="shared" si="18"/>
        <v>#DIV/0!</v>
      </c>
      <c r="O84" s="55" t="e">
        <f t="shared" si="19"/>
        <v>#DIV/0!</v>
      </c>
      <c r="P84" s="73"/>
      <c r="Q84" s="73"/>
      <c r="R84" s="55" t="e">
        <f t="shared" si="20"/>
        <v>#DIV/0!</v>
      </c>
      <c r="S84" s="55" t="e">
        <f t="shared" si="21"/>
        <v>#DIV/0!</v>
      </c>
      <c r="T84" s="55" t="e">
        <f t="shared" si="22"/>
        <v>#DIV/0!</v>
      </c>
      <c r="U84" s="55" t="e">
        <f t="shared" si="23"/>
        <v>#DIV/0!</v>
      </c>
      <c r="V84" s="55" t="e">
        <f>V83+ATM_Conf!$C$5*(Nodes!AL83)/('Off-Ramp'!K269*AA269)</f>
        <v>#DIV/0!</v>
      </c>
      <c r="W84" s="55" t="e">
        <f>W83+ATM_Conf!$C$5*(Nodes!AM83)/('Off-Ramp'!L269*AB269)</f>
        <v>#DIV/0!</v>
      </c>
      <c r="X84" s="55" t="e">
        <f>X83+ATM_Conf!$C$5*(Nodes!AN83)/('Off-Ramp'!M269*AC269)</f>
        <v>#DIV/0!</v>
      </c>
      <c r="Y84" s="55" t="e">
        <f>Y83+ATM_Conf!$C$5*(Nodes!AO83)/('Off-Ramp'!N269*AD269)</f>
        <v>#DIV/0!</v>
      </c>
      <c r="Z84" s="55" t="e">
        <f>Z83+ATM_Conf!$C$5*(Nodes!AP83)/('Off-Ramp'!O269*AE269)</f>
        <v>#DIV/0!</v>
      </c>
      <c r="AA84" s="55" t="e">
        <f>AA83+ATM_Conf!$C$5*(Nodes!AQ83)/('Off-Ramp'!P269*AF269)</f>
        <v>#DIV/0!</v>
      </c>
    </row>
    <row r="85" spans="1:27" x14ac:dyDescent="0.15">
      <c r="A85" s="48">
        <v>83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55" t="e">
        <f t="shared" si="16"/>
        <v>#DIV/0!</v>
      </c>
      <c r="M85" s="55" t="e">
        <f t="shared" si="17"/>
        <v>#DIV/0!</v>
      </c>
      <c r="N85" s="55" t="e">
        <f t="shared" si="18"/>
        <v>#DIV/0!</v>
      </c>
      <c r="O85" s="55" t="e">
        <f t="shared" si="19"/>
        <v>#DIV/0!</v>
      </c>
      <c r="P85" s="73"/>
      <c r="Q85" s="73"/>
      <c r="R85" s="55" t="e">
        <f t="shared" si="20"/>
        <v>#DIV/0!</v>
      </c>
      <c r="S85" s="55" t="e">
        <f t="shared" si="21"/>
        <v>#DIV/0!</v>
      </c>
      <c r="T85" s="55" t="e">
        <f t="shared" si="22"/>
        <v>#DIV/0!</v>
      </c>
      <c r="U85" s="55" t="e">
        <f t="shared" si="23"/>
        <v>#DIV/0!</v>
      </c>
      <c r="V85" s="55" t="e">
        <f>V84+ATM_Conf!$C$5*(Nodes!AL84)/('Off-Ramp'!K270*AA270)</f>
        <v>#DIV/0!</v>
      </c>
      <c r="W85" s="55" t="e">
        <f>W84+ATM_Conf!$C$5*(Nodes!AM84)/('Off-Ramp'!L270*AB270)</f>
        <v>#DIV/0!</v>
      </c>
      <c r="X85" s="55" t="e">
        <f>X84+ATM_Conf!$C$5*(Nodes!AN84)/('Off-Ramp'!M270*AC270)</f>
        <v>#DIV/0!</v>
      </c>
      <c r="Y85" s="55" t="e">
        <f>Y84+ATM_Conf!$C$5*(Nodes!AO84)/('Off-Ramp'!N270*AD270)</f>
        <v>#DIV/0!</v>
      </c>
      <c r="Z85" s="55" t="e">
        <f>Z84+ATM_Conf!$C$5*(Nodes!AP84)/('Off-Ramp'!O270*AE270)</f>
        <v>#DIV/0!</v>
      </c>
      <c r="AA85" s="55" t="e">
        <f>AA84+ATM_Conf!$C$5*(Nodes!AQ84)/('Off-Ramp'!P270*AF270)</f>
        <v>#DIV/0!</v>
      </c>
    </row>
    <row r="86" spans="1:27" x14ac:dyDescent="0.15">
      <c r="A86" s="48">
        <v>84</v>
      </c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55" t="e">
        <f t="shared" si="16"/>
        <v>#DIV/0!</v>
      </c>
      <c r="M86" s="55" t="e">
        <f t="shared" si="17"/>
        <v>#DIV/0!</v>
      </c>
      <c r="N86" s="55" t="e">
        <f t="shared" si="18"/>
        <v>#DIV/0!</v>
      </c>
      <c r="O86" s="55" t="e">
        <f t="shared" si="19"/>
        <v>#DIV/0!</v>
      </c>
      <c r="P86" s="73"/>
      <c r="Q86" s="73"/>
      <c r="R86" s="55" t="e">
        <f t="shared" si="20"/>
        <v>#DIV/0!</v>
      </c>
      <c r="S86" s="55" t="e">
        <f t="shared" si="21"/>
        <v>#DIV/0!</v>
      </c>
      <c r="T86" s="55" t="e">
        <f t="shared" si="22"/>
        <v>#DIV/0!</v>
      </c>
      <c r="U86" s="55" t="e">
        <f t="shared" si="23"/>
        <v>#DIV/0!</v>
      </c>
      <c r="V86" s="55" t="e">
        <f>V85+ATM_Conf!$C$5*(Nodes!AL85)/('Off-Ramp'!K271*AA271)</f>
        <v>#DIV/0!</v>
      </c>
      <c r="W86" s="55" t="e">
        <f>W85+ATM_Conf!$C$5*(Nodes!AM85)/('Off-Ramp'!L271*AB271)</f>
        <v>#DIV/0!</v>
      </c>
      <c r="X86" s="55" t="e">
        <f>X85+ATM_Conf!$C$5*(Nodes!AN85)/('Off-Ramp'!M271*AC271)</f>
        <v>#DIV/0!</v>
      </c>
      <c r="Y86" s="55" t="e">
        <f>Y85+ATM_Conf!$C$5*(Nodes!AO85)/('Off-Ramp'!N271*AD271)</f>
        <v>#DIV/0!</v>
      </c>
      <c r="Z86" s="55" t="e">
        <f>Z85+ATM_Conf!$C$5*(Nodes!AP85)/('Off-Ramp'!O271*AE271)</f>
        <v>#DIV/0!</v>
      </c>
      <c r="AA86" s="55" t="e">
        <f>AA85+ATM_Conf!$C$5*(Nodes!AQ85)/('Off-Ramp'!P271*AF271)</f>
        <v>#DIV/0!</v>
      </c>
    </row>
    <row r="87" spans="1:27" x14ac:dyDescent="0.15">
      <c r="A87" s="48">
        <v>85</v>
      </c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55" t="e">
        <f t="shared" si="16"/>
        <v>#DIV/0!</v>
      </c>
      <c r="M87" s="55" t="e">
        <f t="shared" si="17"/>
        <v>#DIV/0!</v>
      </c>
      <c r="N87" s="55" t="e">
        <f t="shared" si="18"/>
        <v>#DIV/0!</v>
      </c>
      <c r="O87" s="55" t="e">
        <f t="shared" si="19"/>
        <v>#DIV/0!</v>
      </c>
      <c r="P87" s="73"/>
      <c r="Q87" s="73"/>
      <c r="R87" s="55" t="e">
        <f t="shared" si="20"/>
        <v>#DIV/0!</v>
      </c>
      <c r="S87" s="55" t="e">
        <f t="shared" si="21"/>
        <v>#DIV/0!</v>
      </c>
      <c r="T87" s="55" t="e">
        <f t="shared" si="22"/>
        <v>#DIV/0!</v>
      </c>
      <c r="U87" s="55" t="e">
        <f t="shared" si="23"/>
        <v>#DIV/0!</v>
      </c>
      <c r="V87" s="55" t="e">
        <f>V86+ATM_Conf!$C$5*(Nodes!AL86)/('Off-Ramp'!K272*AA272)</f>
        <v>#DIV/0!</v>
      </c>
      <c r="W87" s="55" t="e">
        <f>W86+ATM_Conf!$C$5*(Nodes!AM86)/('Off-Ramp'!L272*AB272)</f>
        <v>#DIV/0!</v>
      </c>
      <c r="X87" s="55" t="e">
        <f>X86+ATM_Conf!$C$5*(Nodes!AN86)/('Off-Ramp'!M272*AC272)</f>
        <v>#DIV/0!</v>
      </c>
      <c r="Y87" s="55" t="e">
        <f>Y86+ATM_Conf!$C$5*(Nodes!AO86)/('Off-Ramp'!N272*AD272)</f>
        <v>#DIV/0!</v>
      </c>
      <c r="Z87" s="55" t="e">
        <f>Z86+ATM_Conf!$C$5*(Nodes!AP86)/('Off-Ramp'!O272*AE272)</f>
        <v>#DIV/0!</v>
      </c>
      <c r="AA87" s="55" t="e">
        <f>AA86+ATM_Conf!$C$5*(Nodes!AQ86)/('Off-Ramp'!P272*AF272)</f>
        <v>#DIV/0!</v>
      </c>
    </row>
    <row r="88" spans="1:27" x14ac:dyDescent="0.15">
      <c r="A88" s="48">
        <v>86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55" t="e">
        <f t="shared" si="16"/>
        <v>#DIV/0!</v>
      </c>
      <c r="M88" s="55" t="e">
        <f t="shared" si="17"/>
        <v>#DIV/0!</v>
      </c>
      <c r="N88" s="55" t="e">
        <f t="shared" si="18"/>
        <v>#DIV/0!</v>
      </c>
      <c r="O88" s="55" t="e">
        <f t="shared" si="19"/>
        <v>#DIV/0!</v>
      </c>
      <c r="P88" s="73"/>
      <c r="Q88" s="73"/>
      <c r="R88" s="55" t="e">
        <f t="shared" si="20"/>
        <v>#DIV/0!</v>
      </c>
      <c r="S88" s="55" t="e">
        <f t="shared" si="21"/>
        <v>#DIV/0!</v>
      </c>
      <c r="T88" s="55" t="e">
        <f t="shared" si="22"/>
        <v>#DIV/0!</v>
      </c>
      <c r="U88" s="55" t="e">
        <f t="shared" si="23"/>
        <v>#DIV/0!</v>
      </c>
      <c r="V88" s="55" t="e">
        <f>V87+ATM_Conf!$C$5*(Nodes!AL87)/('Off-Ramp'!K273*AA273)</f>
        <v>#DIV/0!</v>
      </c>
      <c r="W88" s="55" t="e">
        <f>W87+ATM_Conf!$C$5*(Nodes!AM87)/('Off-Ramp'!L273*AB273)</f>
        <v>#DIV/0!</v>
      </c>
      <c r="X88" s="55" t="e">
        <f>X87+ATM_Conf!$C$5*(Nodes!AN87)/('Off-Ramp'!M273*AC273)</f>
        <v>#DIV/0!</v>
      </c>
      <c r="Y88" s="55" t="e">
        <f>Y87+ATM_Conf!$C$5*(Nodes!AO87)/('Off-Ramp'!N273*AD273)</f>
        <v>#DIV/0!</v>
      </c>
      <c r="Z88" s="55" t="e">
        <f>Z87+ATM_Conf!$C$5*(Nodes!AP87)/('Off-Ramp'!O273*AE273)</f>
        <v>#DIV/0!</v>
      </c>
      <c r="AA88" s="55" t="e">
        <f>AA87+ATM_Conf!$C$5*(Nodes!AQ87)/('Off-Ramp'!P273*AF273)</f>
        <v>#DIV/0!</v>
      </c>
    </row>
    <row r="89" spans="1:27" x14ac:dyDescent="0.15">
      <c r="A89" s="48">
        <v>87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55" t="e">
        <f t="shared" si="16"/>
        <v>#DIV/0!</v>
      </c>
      <c r="M89" s="55" t="e">
        <f t="shared" si="17"/>
        <v>#DIV/0!</v>
      </c>
      <c r="N89" s="55" t="e">
        <f t="shared" si="18"/>
        <v>#DIV/0!</v>
      </c>
      <c r="O89" s="55" t="e">
        <f t="shared" si="19"/>
        <v>#DIV/0!</v>
      </c>
      <c r="P89" s="73"/>
      <c r="Q89" s="73"/>
      <c r="R89" s="55" t="e">
        <f t="shared" si="20"/>
        <v>#DIV/0!</v>
      </c>
      <c r="S89" s="55" t="e">
        <f t="shared" si="21"/>
        <v>#DIV/0!</v>
      </c>
      <c r="T89" s="55" t="e">
        <f t="shared" si="22"/>
        <v>#DIV/0!</v>
      </c>
      <c r="U89" s="55" t="e">
        <f t="shared" si="23"/>
        <v>#DIV/0!</v>
      </c>
      <c r="V89" s="55" t="e">
        <f>V88+ATM_Conf!$C$5*(Nodes!AL88)/('Off-Ramp'!K274*AA274)</f>
        <v>#DIV/0!</v>
      </c>
      <c r="W89" s="55" t="e">
        <f>W88+ATM_Conf!$C$5*(Nodes!AM88)/('Off-Ramp'!L274*AB274)</f>
        <v>#DIV/0!</v>
      </c>
      <c r="X89" s="55" t="e">
        <f>X88+ATM_Conf!$C$5*(Nodes!AN88)/('Off-Ramp'!M274*AC274)</f>
        <v>#DIV/0!</v>
      </c>
      <c r="Y89" s="55" t="e">
        <f>Y88+ATM_Conf!$C$5*(Nodes!AO88)/('Off-Ramp'!N274*AD274)</f>
        <v>#DIV/0!</v>
      </c>
      <c r="Z89" s="55" t="e">
        <f>Z88+ATM_Conf!$C$5*(Nodes!AP88)/('Off-Ramp'!O274*AE274)</f>
        <v>#DIV/0!</v>
      </c>
      <c r="AA89" s="55" t="e">
        <f>AA88+ATM_Conf!$C$5*(Nodes!AQ88)/('Off-Ramp'!P274*AF274)</f>
        <v>#DIV/0!</v>
      </c>
    </row>
    <row r="90" spans="1:27" x14ac:dyDescent="0.15">
      <c r="A90" s="48">
        <v>88</v>
      </c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55" t="e">
        <f t="shared" si="16"/>
        <v>#DIV/0!</v>
      </c>
      <c r="M90" s="55" t="e">
        <f t="shared" si="17"/>
        <v>#DIV/0!</v>
      </c>
      <c r="N90" s="55" t="e">
        <f t="shared" si="18"/>
        <v>#DIV/0!</v>
      </c>
      <c r="O90" s="55" t="e">
        <f t="shared" si="19"/>
        <v>#DIV/0!</v>
      </c>
      <c r="P90" s="73"/>
      <c r="Q90" s="73"/>
      <c r="R90" s="55" t="e">
        <f t="shared" si="20"/>
        <v>#DIV/0!</v>
      </c>
      <c r="S90" s="55" t="e">
        <f t="shared" si="21"/>
        <v>#DIV/0!</v>
      </c>
      <c r="T90" s="55" t="e">
        <f t="shared" si="22"/>
        <v>#DIV/0!</v>
      </c>
      <c r="U90" s="55" t="e">
        <f t="shared" si="23"/>
        <v>#DIV/0!</v>
      </c>
      <c r="V90" s="55" t="e">
        <f>V89+ATM_Conf!$C$5*(Nodes!AL89)/('Off-Ramp'!K275*AA275)</f>
        <v>#DIV/0!</v>
      </c>
      <c r="W90" s="55" t="e">
        <f>W89+ATM_Conf!$C$5*(Nodes!AM89)/('Off-Ramp'!L275*AB275)</f>
        <v>#DIV/0!</v>
      </c>
      <c r="X90" s="55" t="e">
        <f>X89+ATM_Conf!$C$5*(Nodes!AN89)/('Off-Ramp'!M275*AC275)</f>
        <v>#DIV/0!</v>
      </c>
      <c r="Y90" s="55" t="e">
        <f>Y89+ATM_Conf!$C$5*(Nodes!AO89)/('Off-Ramp'!N275*AD275)</f>
        <v>#DIV/0!</v>
      </c>
      <c r="Z90" s="55" t="e">
        <f>Z89+ATM_Conf!$C$5*(Nodes!AP89)/('Off-Ramp'!O275*AE275)</f>
        <v>#DIV/0!</v>
      </c>
      <c r="AA90" s="55" t="e">
        <f>AA89+ATM_Conf!$C$5*(Nodes!AQ89)/('Off-Ramp'!P275*AF275)</f>
        <v>#DIV/0!</v>
      </c>
    </row>
    <row r="91" spans="1:27" x14ac:dyDescent="0.15">
      <c r="A91" s="48">
        <v>89</v>
      </c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55" t="e">
        <f t="shared" si="16"/>
        <v>#DIV/0!</v>
      </c>
      <c r="M91" s="55" t="e">
        <f t="shared" si="17"/>
        <v>#DIV/0!</v>
      </c>
      <c r="N91" s="55" t="e">
        <f t="shared" si="18"/>
        <v>#DIV/0!</v>
      </c>
      <c r="O91" s="55" t="e">
        <f t="shared" si="19"/>
        <v>#DIV/0!</v>
      </c>
      <c r="P91" s="73"/>
      <c r="Q91" s="73"/>
      <c r="R91" s="55" t="e">
        <f t="shared" si="20"/>
        <v>#DIV/0!</v>
      </c>
      <c r="S91" s="55" t="e">
        <f t="shared" si="21"/>
        <v>#DIV/0!</v>
      </c>
      <c r="T91" s="55" t="e">
        <f t="shared" si="22"/>
        <v>#DIV/0!</v>
      </c>
      <c r="U91" s="55" t="e">
        <f t="shared" si="23"/>
        <v>#DIV/0!</v>
      </c>
      <c r="V91" s="55" t="e">
        <f>V90+ATM_Conf!$C$5*(Nodes!AL90)/('Off-Ramp'!K276*AA276)</f>
        <v>#DIV/0!</v>
      </c>
      <c r="W91" s="55" t="e">
        <f>W90+ATM_Conf!$C$5*(Nodes!AM90)/('Off-Ramp'!L276*AB276)</f>
        <v>#DIV/0!</v>
      </c>
      <c r="X91" s="55" t="e">
        <f>X90+ATM_Conf!$C$5*(Nodes!AN90)/('Off-Ramp'!M276*AC276)</f>
        <v>#DIV/0!</v>
      </c>
      <c r="Y91" s="55" t="e">
        <f>Y90+ATM_Conf!$C$5*(Nodes!AO90)/('Off-Ramp'!N276*AD276)</f>
        <v>#DIV/0!</v>
      </c>
      <c r="Z91" s="55" t="e">
        <f>Z90+ATM_Conf!$C$5*(Nodes!AP90)/('Off-Ramp'!O276*AE276)</f>
        <v>#DIV/0!</v>
      </c>
      <c r="AA91" s="55" t="e">
        <f>AA90+ATM_Conf!$C$5*(Nodes!AQ90)/('Off-Ramp'!P276*AF276)</f>
        <v>#DIV/0!</v>
      </c>
    </row>
    <row r="92" spans="1:27" x14ac:dyDescent="0.15">
      <c r="A92" s="48">
        <v>90</v>
      </c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55" t="e">
        <f t="shared" si="16"/>
        <v>#DIV/0!</v>
      </c>
      <c r="M92" s="55" t="e">
        <f t="shared" si="17"/>
        <v>#DIV/0!</v>
      </c>
      <c r="N92" s="55" t="e">
        <f t="shared" si="18"/>
        <v>#DIV/0!</v>
      </c>
      <c r="O92" s="55" t="e">
        <f t="shared" si="19"/>
        <v>#DIV/0!</v>
      </c>
      <c r="P92" s="73"/>
      <c r="Q92" s="73"/>
      <c r="R92" s="55" t="e">
        <f t="shared" si="20"/>
        <v>#DIV/0!</v>
      </c>
      <c r="S92" s="55" t="e">
        <f t="shared" si="21"/>
        <v>#DIV/0!</v>
      </c>
      <c r="T92" s="55" t="e">
        <f t="shared" si="22"/>
        <v>#DIV/0!</v>
      </c>
      <c r="U92" s="55" t="e">
        <f t="shared" si="23"/>
        <v>#DIV/0!</v>
      </c>
      <c r="V92" s="55" t="e">
        <f>V91+ATM_Conf!$C$5*(Nodes!AL91)/('Off-Ramp'!K277*AA277)</f>
        <v>#DIV/0!</v>
      </c>
      <c r="W92" s="55" t="e">
        <f>W91+ATM_Conf!$C$5*(Nodes!AM91)/('Off-Ramp'!L277*AB277)</f>
        <v>#DIV/0!</v>
      </c>
      <c r="X92" s="55" t="e">
        <f>X91+ATM_Conf!$C$5*(Nodes!AN91)/('Off-Ramp'!M277*AC277)</f>
        <v>#DIV/0!</v>
      </c>
      <c r="Y92" s="55" t="e">
        <f>Y91+ATM_Conf!$C$5*(Nodes!AO91)/('Off-Ramp'!N277*AD277)</f>
        <v>#DIV/0!</v>
      </c>
      <c r="Z92" s="55" t="e">
        <f>Z91+ATM_Conf!$C$5*(Nodes!AP91)/('Off-Ramp'!O277*AE277)</f>
        <v>#DIV/0!</v>
      </c>
      <c r="AA92" s="55" t="e">
        <f>AA91+ATM_Conf!$C$5*(Nodes!AQ91)/('Off-Ramp'!P277*AF277)</f>
        <v>#DIV/0!</v>
      </c>
    </row>
    <row r="93" spans="1:27" x14ac:dyDescent="0.15">
      <c r="A93" s="48">
        <v>91</v>
      </c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55" t="e">
        <f t="shared" si="16"/>
        <v>#DIV/0!</v>
      </c>
      <c r="M93" s="55" t="e">
        <f t="shared" si="17"/>
        <v>#DIV/0!</v>
      </c>
      <c r="N93" s="55" t="e">
        <f t="shared" si="18"/>
        <v>#DIV/0!</v>
      </c>
      <c r="O93" s="55" t="e">
        <f t="shared" si="19"/>
        <v>#DIV/0!</v>
      </c>
      <c r="P93" s="73"/>
      <c r="Q93" s="73"/>
      <c r="R93" s="55" t="e">
        <f t="shared" si="20"/>
        <v>#DIV/0!</v>
      </c>
      <c r="S93" s="55" t="e">
        <f t="shared" si="21"/>
        <v>#DIV/0!</v>
      </c>
      <c r="T93" s="55" t="e">
        <f t="shared" si="22"/>
        <v>#DIV/0!</v>
      </c>
      <c r="U93" s="55" t="e">
        <f t="shared" si="23"/>
        <v>#DIV/0!</v>
      </c>
      <c r="V93" s="55" t="e">
        <f>V92+ATM_Conf!$C$5*(Nodes!AL92)/('Off-Ramp'!K278*AA278)</f>
        <v>#DIV/0!</v>
      </c>
      <c r="W93" s="55" t="e">
        <f>W92+ATM_Conf!$C$5*(Nodes!AM92)/('Off-Ramp'!L278*AB278)</f>
        <v>#DIV/0!</v>
      </c>
      <c r="X93" s="55" t="e">
        <f>X92+ATM_Conf!$C$5*(Nodes!AN92)/('Off-Ramp'!M278*AC278)</f>
        <v>#DIV/0!</v>
      </c>
      <c r="Y93" s="55" t="e">
        <f>Y92+ATM_Conf!$C$5*(Nodes!AO92)/('Off-Ramp'!N278*AD278)</f>
        <v>#DIV/0!</v>
      </c>
      <c r="Z93" s="55" t="e">
        <f>Z92+ATM_Conf!$C$5*(Nodes!AP92)/('Off-Ramp'!O278*AE278)</f>
        <v>#DIV/0!</v>
      </c>
      <c r="AA93" s="55" t="e">
        <f>AA92+ATM_Conf!$C$5*(Nodes!AQ92)/('Off-Ramp'!P278*AF278)</f>
        <v>#DIV/0!</v>
      </c>
    </row>
    <row r="94" spans="1:27" x14ac:dyDescent="0.15">
      <c r="A94" s="48">
        <v>92</v>
      </c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55" t="e">
        <f t="shared" si="16"/>
        <v>#DIV/0!</v>
      </c>
      <c r="M94" s="55" t="e">
        <f t="shared" si="17"/>
        <v>#DIV/0!</v>
      </c>
      <c r="N94" s="55" t="e">
        <f t="shared" si="18"/>
        <v>#DIV/0!</v>
      </c>
      <c r="O94" s="55" t="e">
        <f t="shared" si="19"/>
        <v>#DIV/0!</v>
      </c>
      <c r="P94" s="73"/>
      <c r="Q94" s="73"/>
      <c r="R94" s="55" t="e">
        <f t="shared" si="20"/>
        <v>#DIV/0!</v>
      </c>
      <c r="S94" s="55" t="e">
        <f t="shared" si="21"/>
        <v>#DIV/0!</v>
      </c>
      <c r="T94" s="55" t="e">
        <f t="shared" si="22"/>
        <v>#DIV/0!</v>
      </c>
      <c r="U94" s="55" t="e">
        <f t="shared" si="23"/>
        <v>#DIV/0!</v>
      </c>
      <c r="V94" s="55" t="e">
        <f>V93+ATM_Conf!$C$5*(Nodes!AL93)/('Off-Ramp'!K279*AA279)</f>
        <v>#DIV/0!</v>
      </c>
      <c r="W94" s="55" t="e">
        <f>W93+ATM_Conf!$C$5*(Nodes!AM93)/('Off-Ramp'!L279*AB279)</f>
        <v>#DIV/0!</v>
      </c>
      <c r="X94" s="55" t="e">
        <f>X93+ATM_Conf!$C$5*(Nodes!AN93)/('Off-Ramp'!M279*AC279)</f>
        <v>#DIV/0!</v>
      </c>
      <c r="Y94" s="55" t="e">
        <f>Y93+ATM_Conf!$C$5*(Nodes!AO93)/('Off-Ramp'!N279*AD279)</f>
        <v>#DIV/0!</v>
      </c>
      <c r="Z94" s="55" t="e">
        <f>Z93+ATM_Conf!$C$5*(Nodes!AP93)/('Off-Ramp'!O279*AE279)</f>
        <v>#DIV/0!</v>
      </c>
      <c r="AA94" s="55" t="e">
        <f>AA93+ATM_Conf!$C$5*(Nodes!AQ93)/('Off-Ramp'!P279*AF279)</f>
        <v>#DIV/0!</v>
      </c>
    </row>
    <row r="95" spans="1:27" x14ac:dyDescent="0.15">
      <c r="A95" s="48">
        <v>93</v>
      </c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55" t="e">
        <f t="shared" si="16"/>
        <v>#DIV/0!</v>
      </c>
      <c r="M95" s="55" t="e">
        <f t="shared" si="17"/>
        <v>#DIV/0!</v>
      </c>
      <c r="N95" s="55" t="e">
        <f t="shared" si="18"/>
        <v>#DIV/0!</v>
      </c>
      <c r="O95" s="55" t="e">
        <f t="shared" si="19"/>
        <v>#DIV/0!</v>
      </c>
      <c r="P95" s="73"/>
      <c r="Q95" s="73"/>
      <c r="R95" s="55" t="e">
        <f t="shared" si="20"/>
        <v>#DIV/0!</v>
      </c>
      <c r="S95" s="55" t="e">
        <f t="shared" si="21"/>
        <v>#DIV/0!</v>
      </c>
      <c r="T95" s="55" t="e">
        <f t="shared" si="22"/>
        <v>#DIV/0!</v>
      </c>
      <c r="U95" s="55" t="e">
        <f t="shared" si="23"/>
        <v>#DIV/0!</v>
      </c>
      <c r="V95" s="55" t="e">
        <f>V94+ATM_Conf!$C$5*(Nodes!AL94)/('Off-Ramp'!K280*AA280)</f>
        <v>#DIV/0!</v>
      </c>
      <c r="W95" s="55" t="e">
        <f>W94+ATM_Conf!$C$5*(Nodes!AM94)/('Off-Ramp'!L280*AB280)</f>
        <v>#DIV/0!</v>
      </c>
      <c r="X95" s="55" t="e">
        <f>X94+ATM_Conf!$C$5*(Nodes!AN94)/('Off-Ramp'!M280*AC280)</f>
        <v>#DIV/0!</v>
      </c>
      <c r="Y95" s="55" t="e">
        <f>Y94+ATM_Conf!$C$5*(Nodes!AO94)/('Off-Ramp'!N280*AD280)</f>
        <v>#DIV/0!</v>
      </c>
      <c r="Z95" s="55" t="e">
        <f>Z94+ATM_Conf!$C$5*(Nodes!AP94)/('Off-Ramp'!O280*AE280)</f>
        <v>#DIV/0!</v>
      </c>
      <c r="AA95" s="55" t="e">
        <f>AA94+ATM_Conf!$C$5*(Nodes!AQ94)/('Off-Ramp'!P280*AF280)</f>
        <v>#DIV/0!</v>
      </c>
    </row>
    <row r="96" spans="1:27" x14ac:dyDescent="0.15">
      <c r="A96" s="48">
        <v>94</v>
      </c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55" t="e">
        <f t="shared" si="16"/>
        <v>#DIV/0!</v>
      </c>
      <c r="M96" s="55" t="e">
        <f t="shared" si="17"/>
        <v>#DIV/0!</v>
      </c>
      <c r="N96" s="55" t="e">
        <f t="shared" si="18"/>
        <v>#DIV/0!</v>
      </c>
      <c r="O96" s="55" t="e">
        <f t="shared" si="19"/>
        <v>#DIV/0!</v>
      </c>
      <c r="P96" s="73"/>
      <c r="Q96" s="73"/>
      <c r="R96" s="55" t="e">
        <f t="shared" si="20"/>
        <v>#DIV/0!</v>
      </c>
      <c r="S96" s="55" t="e">
        <f t="shared" si="21"/>
        <v>#DIV/0!</v>
      </c>
      <c r="T96" s="55" t="e">
        <f t="shared" si="22"/>
        <v>#DIV/0!</v>
      </c>
      <c r="U96" s="55" t="e">
        <f t="shared" si="23"/>
        <v>#DIV/0!</v>
      </c>
      <c r="V96" s="55" t="e">
        <f>V95+ATM_Conf!$C$5*(Nodes!AL95)/('Off-Ramp'!K281*AA281)</f>
        <v>#DIV/0!</v>
      </c>
      <c r="W96" s="55" t="e">
        <f>W95+ATM_Conf!$C$5*(Nodes!AM95)/('Off-Ramp'!L281*AB281)</f>
        <v>#DIV/0!</v>
      </c>
      <c r="X96" s="55" t="e">
        <f>X95+ATM_Conf!$C$5*(Nodes!AN95)/('Off-Ramp'!M281*AC281)</f>
        <v>#DIV/0!</v>
      </c>
      <c r="Y96" s="55" t="e">
        <f>Y95+ATM_Conf!$C$5*(Nodes!AO95)/('Off-Ramp'!N281*AD281)</f>
        <v>#DIV/0!</v>
      </c>
      <c r="Z96" s="55" t="e">
        <f>Z95+ATM_Conf!$C$5*(Nodes!AP95)/('Off-Ramp'!O281*AE281)</f>
        <v>#DIV/0!</v>
      </c>
      <c r="AA96" s="55" t="e">
        <f>AA95+ATM_Conf!$C$5*(Nodes!AQ95)/('Off-Ramp'!P281*AF281)</f>
        <v>#DIV/0!</v>
      </c>
    </row>
    <row r="97" spans="1:27" x14ac:dyDescent="0.15">
      <c r="A97" s="48">
        <v>95</v>
      </c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55" t="e">
        <f t="shared" si="16"/>
        <v>#DIV/0!</v>
      </c>
      <c r="M97" s="55" t="e">
        <f t="shared" si="17"/>
        <v>#DIV/0!</v>
      </c>
      <c r="N97" s="55" t="e">
        <f t="shared" si="18"/>
        <v>#DIV/0!</v>
      </c>
      <c r="O97" s="55" t="e">
        <f t="shared" si="19"/>
        <v>#DIV/0!</v>
      </c>
      <c r="P97" s="73"/>
      <c r="Q97" s="73"/>
      <c r="R97" s="55" t="e">
        <f t="shared" si="20"/>
        <v>#DIV/0!</v>
      </c>
      <c r="S97" s="55" t="e">
        <f t="shared" si="21"/>
        <v>#DIV/0!</v>
      </c>
      <c r="T97" s="55" t="e">
        <f t="shared" si="22"/>
        <v>#DIV/0!</v>
      </c>
      <c r="U97" s="55" t="e">
        <f t="shared" si="23"/>
        <v>#DIV/0!</v>
      </c>
      <c r="V97" s="55" t="e">
        <f>V96+ATM_Conf!$C$5*(Nodes!AL96)/('Off-Ramp'!K282*AA282)</f>
        <v>#DIV/0!</v>
      </c>
      <c r="W97" s="55" t="e">
        <f>W96+ATM_Conf!$C$5*(Nodes!AM96)/('Off-Ramp'!L282*AB282)</f>
        <v>#DIV/0!</v>
      </c>
      <c r="X97" s="55" t="e">
        <f>X96+ATM_Conf!$C$5*(Nodes!AN96)/('Off-Ramp'!M282*AC282)</f>
        <v>#DIV/0!</v>
      </c>
      <c r="Y97" s="55" t="e">
        <f>Y96+ATM_Conf!$C$5*(Nodes!AO96)/('Off-Ramp'!N282*AD282)</f>
        <v>#DIV/0!</v>
      </c>
      <c r="Z97" s="55" t="e">
        <f>Z96+ATM_Conf!$C$5*(Nodes!AP96)/('Off-Ramp'!O282*AE282)</f>
        <v>#DIV/0!</v>
      </c>
      <c r="AA97" s="55" t="e">
        <f>AA96+ATM_Conf!$C$5*(Nodes!AQ96)/('Off-Ramp'!P282*AF282)</f>
        <v>#DIV/0!</v>
      </c>
    </row>
    <row r="98" spans="1:27" x14ac:dyDescent="0.15">
      <c r="A98" s="48">
        <v>96</v>
      </c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55" t="e">
        <f t="shared" si="16"/>
        <v>#DIV/0!</v>
      </c>
      <c r="M98" s="55" t="e">
        <f t="shared" si="17"/>
        <v>#DIV/0!</v>
      </c>
      <c r="N98" s="55" t="e">
        <f t="shared" si="18"/>
        <v>#DIV/0!</v>
      </c>
      <c r="O98" s="55" t="e">
        <f t="shared" si="19"/>
        <v>#DIV/0!</v>
      </c>
      <c r="P98" s="73"/>
      <c r="Q98" s="73"/>
      <c r="R98" s="55" t="e">
        <f t="shared" si="20"/>
        <v>#DIV/0!</v>
      </c>
      <c r="S98" s="55" t="e">
        <f t="shared" si="21"/>
        <v>#DIV/0!</v>
      </c>
      <c r="T98" s="55" t="e">
        <f t="shared" si="22"/>
        <v>#DIV/0!</v>
      </c>
      <c r="U98" s="55" t="e">
        <f t="shared" si="23"/>
        <v>#DIV/0!</v>
      </c>
      <c r="V98" s="55" t="e">
        <f>V97+ATM_Conf!$C$5*(Nodes!AL97)/('Off-Ramp'!K283*AA283)</f>
        <v>#DIV/0!</v>
      </c>
      <c r="W98" s="55" t="e">
        <f>W97+ATM_Conf!$C$5*(Nodes!AM97)/('Off-Ramp'!L283*AB283)</f>
        <v>#DIV/0!</v>
      </c>
      <c r="X98" s="55" t="e">
        <f>X97+ATM_Conf!$C$5*(Nodes!AN97)/('Off-Ramp'!M283*AC283)</f>
        <v>#DIV/0!</v>
      </c>
      <c r="Y98" s="55" t="e">
        <f>Y97+ATM_Conf!$C$5*(Nodes!AO97)/('Off-Ramp'!N283*AD283)</f>
        <v>#DIV/0!</v>
      </c>
      <c r="Z98" s="55" t="e">
        <f>Z97+ATM_Conf!$C$5*(Nodes!AP97)/('Off-Ramp'!O283*AE283)</f>
        <v>#DIV/0!</v>
      </c>
      <c r="AA98" s="55" t="e">
        <f>AA97+ATM_Conf!$C$5*(Nodes!AQ97)/('Off-Ramp'!P283*AF283)</f>
        <v>#DIV/0!</v>
      </c>
    </row>
    <row r="99" spans="1:27" x14ac:dyDescent="0.15">
      <c r="A99" s="48">
        <v>97</v>
      </c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55" t="e">
        <f t="shared" si="16"/>
        <v>#DIV/0!</v>
      </c>
      <c r="M99" s="55" t="e">
        <f t="shared" si="17"/>
        <v>#DIV/0!</v>
      </c>
      <c r="N99" s="55" t="e">
        <f t="shared" si="18"/>
        <v>#DIV/0!</v>
      </c>
      <c r="O99" s="55" t="e">
        <f t="shared" si="19"/>
        <v>#DIV/0!</v>
      </c>
      <c r="P99" s="73"/>
      <c r="Q99" s="73"/>
      <c r="R99" s="55" t="e">
        <f t="shared" si="20"/>
        <v>#DIV/0!</v>
      </c>
      <c r="S99" s="55" t="e">
        <f t="shared" si="21"/>
        <v>#DIV/0!</v>
      </c>
      <c r="T99" s="55" t="e">
        <f t="shared" si="22"/>
        <v>#DIV/0!</v>
      </c>
      <c r="U99" s="55" t="e">
        <f t="shared" si="23"/>
        <v>#DIV/0!</v>
      </c>
      <c r="V99" s="55" t="e">
        <f>V98+ATM_Conf!$C$5*(Nodes!AL98)/('Off-Ramp'!K284*AA284)</f>
        <v>#DIV/0!</v>
      </c>
      <c r="W99" s="55" t="e">
        <f>W98+ATM_Conf!$C$5*(Nodes!AM98)/('Off-Ramp'!L284*AB284)</f>
        <v>#DIV/0!</v>
      </c>
      <c r="X99" s="55" t="e">
        <f>X98+ATM_Conf!$C$5*(Nodes!AN98)/('Off-Ramp'!M284*AC284)</f>
        <v>#DIV/0!</v>
      </c>
      <c r="Y99" s="55" t="e">
        <f>Y98+ATM_Conf!$C$5*(Nodes!AO98)/('Off-Ramp'!N284*AD284)</f>
        <v>#DIV/0!</v>
      </c>
      <c r="Z99" s="55" t="e">
        <f>Z98+ATM_Conf!$C$5*(Nodes!AP98)/('Off-Ramp'!O284*AE284)</f>
        <v>#DIV/0!</v>
      </c>
      <c r="AA99" s="55" t="e">
        <f>AA98+ATM_Conf!$C$5*(Nodes!AQ98)/('Off-Ramp'!P284*AF284)</f>
        <v>#DIV/0!</v>
      </c>
    </row>
    <row r="100" spans="1:27" x14ac:dyDescent="0.15">
      <c r="A100" s="48">
        <v>98</v>
      </c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55" t="e">
        <f t="shared" ref="L100:L131" si="24">B100/60/A$189</f>
        <v>#DIV/0!</v>
      </c>
      <c r="M100" s="55" t="e">
        <f t="shared" ref="M100:M131" si="25">C100/60/B$189</f>
        <v>#DIV/0!</v>
      </c>
      <c r="N100" s="55" t="e">
        <f t="shared" ref="N100:N131" si="26">D100/60/C$189</f>
        <v>#DIV/0!</v>
      </c>
      <c r="O100" s="55" t="e">
        <f t="shared" ref="O100:O131" si="27">E100/60/D$189</f>
        <v>#DIV/0!</v>
      </c>
      <c r="P100" s="73"/>
      <c r="Q100" s="73"/>
      <c r="R100" s="55" t="e">
        <f t="shared" ref="R100:R131" si="28">H100/60/G$189</f>
        <v>#DIV/0!</v>
      </c>
      <c r="S100" s="55" t="e">
        <f t="shared" ref="S100:S131" si="29">I100/60/H$189</f>
        <v>#DIV/0!</v>
      </c>
      <c r="T100" s="55" t="e">
        <f t="shared" ref="T100:T131" si="30">J100/60/I$189</f>
        <v>#DIV/0!</v>
      </c>
      <c r="U100" s="55" t="e">
        <f t="shared" si="23"/>
        <v>#DIV/0!</v>
      </c>
      <c r="V100" s="55" t="e">
        <f>V99+ATM_Conf!$C$5*(Nodes!AL99)/('Off-Ramp'!K285*AA285)</f>
        <v>#DIV/0!</v>
      </c>
      <c r="W100" s="55" t="e">
        <f>W99+ATM_Conf!$C$5*(Nodes!AM99)/('Off-Ramp'!L285*AB285)</f>
        <v>#DIV/0!</v>
      </c>
      <c r="X100" s="55" t="e">
        <f>X99+ATM_Conf!$C$5*(Nodes!AN99)/('Off-Ramp'!M285*AC285)</f>
        <v>#DIV/0!</v>
      </c>
      <c r="Y100" s="55" t="e">
        <f>Y99+ATM_Conf!$C$5*(Nodes!AO99)/('Off-Ramp'!N285*AD285)</f>
        <v>#DIV/0!</v>
      </c>
      <c r="Z100" s="55" t="e">
        <f>Z99+ATM_Conf!$C$5*(Nodes!AP99)/('Off-Ramp'!O285*AE285)</f>
        <v>#DIV/0!</v>
      </c>
      <c r="AA100" s="55" t="e">
        <f>AA99+ATM_Conf!$C$5*(Nodes!AQ99)/('Off-Ramp'!P285*AF285)</f>
        <v>#DIV/0!</v>
      </c>
    </row>
    <row r="101" spans="1:27" x14ac:dyDescent="0.15">
      <c r="A101" s="48">
        <v>99</v>
      </c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55" t="e">
        <f t="shared" si="24"/>
        <v>#DIV/0!</v>
      </c>
      <c r="M101" s="55" t="e">
        <f t="shared" si="25"/>
        <v>#DIV/0!</v>
      </c>
      <c r="N101" s="55" t="e">
        <f t="shared" si="26"/>
        <v>#DIV/0!</v>
      </c>
      <c r="O101" s="55" t="e">
        <f t="shared" si="27"/>
        <v>#DIV/0!</v>
      </c>
      <c r="P101" s="73"/>
      <c r="Q101" s="73"/>
      <c r="R101" s="55" t="e">
        <f t="shared" si="28"/>
        <v>#DIV/0!</v>
      </c>
      <c r="S101" s="55" t="e">
        <f t="shared" si="29"/>
        <v>#DIV/0!</v>
      </c>
      <c r="T101" s="55" t="e">
        <f t="shared" si="30"/>
        <v>#DIV/0!</v>
      </c>
      <c r="U101" s="55" t="e">
        <f t="shared" si="23"/>
        <v>#DIV/0!</v>
      </c>
      <c r="V101" s="55" t="e">
        <f>V100+ATM_Conf!$C$5*(Nodes!AL100)/('Off-Ramp'!K286*AA286)</f>
        <v>#DIV/0!</v>
      </c>
      <c r="W101" s="55" t="e">
        <f>W100+ATM_Conf!$C$5*(Nodes!AM100)/('Off-Ramp'!L286*AB286)</f>
        <v>#DIV/0!</v>
      </c>
      <c r="X101" s="55" t="e">
        <f>X100+ATM_Conf!$C$5*(Nodes!AN100)/('Off-Ramp'!M286*AC286)</f>
        <v>#DIV/0!</v>
      </c>
      <c r="Y101" s="55" t="e">
        <f>Y100+ATM_Conf!$C$5*(Nodes!AO100)/('Off-Ramp'!N286*AD286)</f>
        <v>#DIV/0!</v>
      </c>
      <c r="Z101" s="55" t="e">
        <f>Z100+ATM_Conf!$C$5*(Nodes!AP100)/('Off-Ramp'!O286*AE286)</f>
        <v>#DIV/0!</v>
      </c>
      <c r="AA101" s="55" t="e">
        <f>AA100+ATM_Conf!$C$5*(Nodes!AQ100)/('Off-Ramp'!P286*AF286)</f>
        <v>#DIV/0!</v>
      </c>
    </row>
    <row r="102" spans="1:27" x14ac:dyDescent="0.15">
      <c r="A102" s="48">
        <v>100</v>
      </c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55" t="e">
        <f t="shared" si="24"/>
        <v>#DIV/0!</v>
      </c>
      <c r="M102" s="55" t="e">
        <f t="shared" si="25"/>
        <v>#DIV/0!</v>
      </c>
      <c r="N102" s="55" t="e">
        <f t="shared" si="26"/>
        <v>#DIV/0!</v>
      </c>
      <c r="O102" s="55" t="e">
        <f t="shared" si="27"/>
        <v>#DIV/0!</v>
      </c>
      <c r="P102" s="73"/>
      <c r="Q102" s="73"/>
      <c r="R102" s="55" t="e">
        <f t="shared" si="28"/>
        <v>#DIV/0!</v>
      </c>
      <c r="S102" s="55" t="e">
        <f t="shared" si="29"/>
        <v>#DIV/0!</v>
      </c>
      <c r="T102" s="55" t="e">
        <f t="shared" si="30"/>
        <v>#DIV/0!</v>
      </c>
      <c r="U102" s="55" t="e">
        <f t="shared" si="23"/>
        <v>#DIV/0!</v>
      </c>
      <c r="V102" s="55" t="e">
        <f>V101+ATM_Conf!$C$5*(Nodes!AL101)/('Off-Ramp'!K287*AA287)</f>
        <v>#DIV/0!</v>
      </c>
      <c r="W102" s="55" t="e">
        <f>W101+ATM_Conf!$C$5*(Nodes!AM101)/('Off-Ramp'!L287*AB287)</f>
        <v>#DIV/0!</v>
      </c>
      <c r="X102" s="55" t="e">
        <f>X101+ATM_Conf!$C$5*(Nodes!AN101)/('Off-Ramp'!M287*AC287)</f>
        <v>#DIV/0!</v>
      </c>
      <c r="Y102" s="55" t="e">
        <f>Y101+ATM_Conf!$C$5*(Nodes!AO101)/('Off-Ramp'!N287*AD287)</f>
        <v>#DIV/0!</v>
      </c>
      <c r="Z102" s="55" t="e">
        <f>Z101+ATM_Conf!$C$5*(Nodes!AP101)/('Off-Ramp'!O287*AE287)</f>
        <v>#DIV/0!</v>
      </c>
      <c r="AA102" s="55" t="e">
        <f>AA101+ATM_Conf!$C$5*(Nodes!AQ101)/('Off-Ramp'!P287*AF287)</f>
        <v>#DIV/0!</v>
      </c>
    </row>
    <row r="103" spans="1:27" x14ac:dyDescent="0.15">
      <c r="A103" s="48">
        <v>101</v>
      </c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55" t="e">
        <f t="shared" si="24"/>
        <v>#DIV/0!</v>
      </c>
      <c r="M103" s="55" t="e">
        <f t="shared" si="25"/>
        <v>#DIV/0!</v>
      </c>
      <c r="N103" s="55" t="e">
        <f t="shared" si="26"/>
        <v>#DIV/0!</v>
      </c>
      <c r="O103" s="55" t="e">
        <f t="shared" si="27"/>
        <v>#DIV/0!</v>
      </c>
      <c r="P103" s="73"/>
      <c r="Q103" s="73"/>
      <c r="R103" s="55" t="e">
        <f t="shared" si="28"/>
        <v>#DIV/0!</v>
      </c>
      <c r="S103" s="55" t="e">
        <f t="shared" si="29"/>
        <v>#DIV/0!</v>
      </c>
      <c r="T103" s="55" t="e">
        <f t="shared" si="30"/>
        <v>#DIV/0!</v>
      </c>
      <c r="U103" s="55" t="e">
        <f t="shared" si="23"/>
        <v>#DIV/0!</v>
      </c>
      <c r="V103" s="55" t="e">
        <f>V102+ATM_Conf!$C$5*(Nodes!AL102)/('Off-Ramp'!K288*AA288)</f>
        <v>#DIV/0!</v>
      </c>
      <c r="W103" s="55" t="e">
        <f>W102+ATM_Conf!$C$5*(Nodes!AM102)/('Off-Ramp'!L288*AB288)</f>
        <v>#DIV/0!</v>
      </c>
      <c r="X103" s="55" t="e">
        <f>X102+ATM_Conf!$C$5*(Nodes!AN102)/('Off-Ramp'!M288*AC288)</f>
        <v>#DIV/0!</v>
      </c>
      <c r="Y103" s="55" t="e">
        <f>Y102+ATM_Conf!$C$5*(Nodes!AO102)/('Off-Ramp'!N288*AD288)</f>
        <v>#DIV/0!</v>
      </c>
      <c r="Z103" s="55" t="e">
        <f>Z102+ATM_Conf!$C$5*(Nodes!AP102)/('Off-Ramp'!O288*AE288)</f>
        <v>#DIV/0!</v>
      </c>
      <c r="AA103" s="55" t="e">
        <f>AA102+ATM_Conf!$C$5*(Nodes!AQ102)/('Off-Ramp'!P288*AF288)</f>
        <v>#DIV/0!</v>
      </c>
    </row>
    <row r="104" spans="1:27" x14ac:dyDescent="0.15">
      <c r="A104" s="48">
        <v>102</v>
      </c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55" t="e">
        <f t="shared" si="24"/>
        <v>#DIV/0!</v>
      </c>
      <c r="M104" s="55" t="e">
        <f t="shared" si="25"/>
        <v>#DIV/0!</v>
      </c>
      <c r="N104" s="55" t="e">
        <f t="shared" si="26"/>
        <v>#DIV/0!</v>
      </c>
      <c r="O104" s="55" t="e">
        <f t="shared" si="27"/>
        <v>#DIV/0!</v>
      </c>
      <c r="P104" s="73"/>
      <c r="Q104" s="73"/>
      <c r="R104" s="55" t="e">
        <f t="shared" si="28"/>
        <v>#DIV/0!</v>
      </c>
      <c r="S104" s="55" t="e">
        <f t="shared" si="29"/>
        <v>#DIV/0!</v>
      </c>
      <c r="T104" s="55" t="e">
        <f t="shared" si="30"/>
        <v>#DIV/0!</v>
      </c>
      <c r="U104" s="55" t="e">
        <f t="shared" si="23"/>
        <v>#DIV/0!</v>
      </c>
      <c r="V104" s="55" t="e">
        <f>V103+ATM_Conf!$C$5*(Nodes!AL103)/('Off-Ramp'!K289*AA289)</f>
        <v>#DIV/0!</v>
      </c>
      <c r="W104" s="55" t="e">
        <f>W103+ATM_Conf!$C$5*(Nodes!AM103)/('Off-Ramp'!L289*AB289)</f>
        <v>#DIV/0!</v>
      </c>
      <c r="X104" s="55" t="e">
        <f>X103+ATM_Conf!$C$5*(Nodes!AN103)/('Off-Ramp'!M289*AC289)</f>
        <v>#DIV/0!</v>
      </c>
      <c r="Y104" s="55" t="e">
        <f>Y103+ATM_Conf!$C$5*(Nodes!AO103)/('Off-Ramp'!N289*AD289)</f>
        <v>#DIV/0!</v>
      </c>
      <c r="Z104" s="55" t="e">
        <f>Z103+ATM_Conf!$C$5*(Nodes!AP103)/('Off-Ramp'!O289*AE289)</f>
        <v>#DIV/0!</v>
      </c>
      <c r="AA104" s="55" t="e">
        <f>AA103+ATM_Conf!$C$5*(Nodes!AQ103)/('Off-Ramp'!P289*AF289)</f>
        <v>#DIV/0!</v>
      </c>
    </row>
    <row r="105" spans="1:27" x14ac:dyDescent="0.15">
      <c r="A105" s="48">
        <v>103</v>
      </c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55" t="e">
        <f t="shared" si="24"/>
        <v>#DIV/0!</v>
      </c>
      <c r="M105" s="55" t="e">
        <f t="shared" si="25"/>
        <v>#DIV/0!</v>
      </c>
      <c r="N105" s="55" t="e">
        <f t="shared" si="26"/>
        <v>#DIV/0!</v>
      </c>
      <c r="O105" s="55" t="e">
        <f t="shared" si="27"/>
        <v>#DIV/0!</v>
      </c>
      <c r="P105" s="73"/>
      <c r="Q105" s="73"/>
      <c r="R105" s="55" t="e">
        <f t="shared" si="28"/>
        <v>#DIV/0!</v>
      </c>
      <c r="S105" s="55" t="e">
        <f t="shared" si="29"/>
        <v>#DIV/0!</v>
      </c>
      <c r="T105" s="55" t="e">
        <f t="shared" si="30"/>
        <v>#DIV/0!</v>
      </c>
      <c r="U105" s="55" t="e">
        <f t="shared" si="23"/>
        <v>#DIV/0!</v>
      </c>
      <c r="V105" s="55" t="e">
        <f>V104+ATM_Conf!$C$5*(Nodes!AL104)/('Off-Ramp'!K290*AA290)</f>
        <v>#DIV/0!</v>
      </c>
      <c r="W105" s="55" t="e">
        <f>W104+ATM_Conf!$C$5*(Nodes!AM104)/('Off-Ramp'!L290*AB290)</f>
        <v>#DIV/0!</v>
      </c>
      <c r="X105" s="55" t="e">
        <f>X104+ATM_Conf!$C$5*(Nodes!AN104)/('Off-Ramp'!M290*AC290)</f>
        <v>#DIV/0!</v>
      </c>
      <c r="Y105" s="55" t="e">
        <f>Y104+ATM_Conf!$C$5*(Nodes!AO104)/('Off-Ramp'!N290*AD290)</f>
        <v>#DIV/0!</v>
      </c>
      <c r="Z105" s="55" t="e">
        <f>Z104+ATM_Conf!$C$5*(Nodes!AP104)/('Off-Ramp'!O290*AE290)</f>
        <v>#DIV/0!</v>
      </c>
      <c r="AA105" s="55" t="e">
        <f>AA104+ATM_Conf!$C$5*(Nodes!AQ104)/('Off-Ramp'!P290*AF290)</f>
        <v>#DIV/0!</v>
      </c>
    </row>
    <row r="106" spans="1:27" x14ac:dyDescent="0.15">
      <c r="A106" s="48">
        <v>104</v>
      </c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55" t="e">
        <f t="shared" si="24"/>
        <v>#DIV/0!</v>
      </c>
      <c r="M106" s="55" t="e">
        <f t="shared" si="25"/>
        <v>#DIV/0!</v>
      </c>
      <c r="N106" s="55" t="e">
        <f t="shared" si="26"/>
        <v>#DIV/0!</v>
      </c>
      <c r="O106" s="55" t="e">
        <f t="shared" si="27"/>
        <v>#DIV/0!</v>
      </c>
      <c r="P106" s="73"/>
      <c r="Q106" s="73"/>
      <c r="R106" s="55" t="e">
        <f t="shared" si="28"/>
        <v>#DIV/0!</v>
      </c>
      <c r="S106" s="55" t="e">
        <f t="shared" si="29"/>
        <v>#DIV/0!</v>
      </c>
      <c r="T106" s="55" t="e">
        <f t="shared" si="30"/>
        <v>#DIV/0!</v>
      </c>
      <c r="U106" s="55" t="e">
        <f t="shared" si="23"/>
        <v>#DIV/0!</v>
      </c>
      <c r="V106" s="55" t="e">
        <f>V105+ATM_Conf!$C$5*(Nodes!AL105)/('Off-Ramp'!K291*AA291)</f>
        <v>#DIV/0!</v>
      </c>
      <c r="W106" s="55" t="e">
        <f>W105+ATM_Conf!$C$5*(Nodes!AM105)/('Off-Ramp'!L291*AB291)</f>
        <v>#DIV/0!</v>
      </c>
      <c r="X106" s="55" t="e">
        <f>X105+ATM_Conf!$C$5*(Nodes!AN105)/('Off-Ramp'!M291*AC291)</f>
        <v>#DIV/0!</v>
      </c>
      <c r="Y106" s="55" t="e">
        <f>Y105+ATM_Conf!$C$5*(Nodes!AO105)/('Off-Ramp'!N291*AD291)</f>
        <v>#DIV/0!</v>
      </c>
      <c r="Z106" s="55" t="e">
        <f>Z105+ATM_Conf!$C$5*(Nodes!AP105)/('Off-Ramp'!O291*AE291)</f>
        <v>#DIV/0!</v>
      </c>
      <c r="AA106" s="55" t="e">
        <f>AA105+ATM_Conf!$C$5*(Nodes!AQ105)/('Off-Ramp'!P291*AF291)</f>
        <v>#DIV/0!</v>
      </c>
    </row>
    <row r="107" spans="1:27" x14ac:dyDescent="0.15">
      <c r="A107" s="48">
        <v>105</v>
      </c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55" t="e">
        <f t="shared" si="24"/>
        <v>#DIV/0!</v>
      </c>
      <c r="M107" s="55" t="e">
        <f t="shared" si="25"/>
        <v>#DIV/0!</v>
      </c>
      <c r="N107" s="55" t="e">
        <f t="shared" si="26"/>
        <v>#DIV/0!</v>
      </c>
      <c r="O107" s="55" t="e">
        <f t="shared" si="27"/>
        <v>#DIV/0!</v>
      </c>
      <c r="P107" s="73"/>
      <c r="Q107" s="73"/>
      <c r="R107" s="55" t="e">
        <f t="shared" si="28"/>
        <v>#DIV/0!</v>
      </c>
      <c r="S107" s="55" t="e">
        <f t="shared" si="29"/>
        <v>#DIV/0!</v>
      </c>
      <c r="T107" s="55" t="e">
        <f t="shared" si="30"/>
        <v>#DIV/0!</v>
      </c>
      <c r="U107" s="55" t="e">
        <f t="shared" si="23"/>
        <v>#DIV/0!</v>
      </c>
      <c r="V107" s="55" t="e">
        <f>V106+ATM_Conf!$C$5*(Nodes!AL106)/('Off-Ramp'!K292*AA292)</f>
        <v>#DIV/0!</v>
      </c>
      <c r="W107" s="55" t="e">
        <f>W106+ATM_Conf!$C$5*(Nodes!AM106)/('Off-Ramp'!L292*AB292)</f>
        <v>#DIV/0!</v>
      </c>
      <c r="X107" s="55" t="e">
        <f>X106+ATM_Conf!$C$5*(Nodes!AN106)/('Off-Ramp'!M292*AC292)</f>
        <v>#DIV/0!</v>
      </c>
      <c r="Y107" s="55" t="e">
        <f>Y106+ATM_Conf!$C$5*(Nodes!AO106)/('Off-Ramp'!N292*AD292)</f>
        <v>#DIV/0!</v>
      </c>
      <c r="Z107" s="55" t="e">
        <f>Z106+ATM_Conf!$C$5*(Nodes!AP106)/('Off-Ramp'!O292*AE292)</f>
        <v>#DIV/0!</v>
      </c>
      <c r="AA107" s="55" t="e">
        <f>AA106+ATM_Conf!$C$5*(Nodes!AQ106)/('Off-Ramp'!P292*AF292)</f>
        <v>#DIV/0!</v>
      </c>
    </row>
    <row r="108" spans="1:27" x14ac:dyDescent="0.15">
      <c r="A108" s="48">
        <v>106</v>
      </c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55" t="e">
        <f t="shared" si="24"/>
        <v>#DIV/0!</v>
      </c>
      <c r="M108" s="55" t="e">
        <f t="shared" si="25"/>
        <v>#DIV/0!</v>
      </c>
      <c r="N108" s="55" t="e">
        <f t="shared" si="26"/>
        <v>#DIV/0!</v>
      </c>
      <c r="O108" s="55" t="e">
        <f t="shared" si="27"/>
        <v>#DIV/0!</v>
      </c>
      <c r="P108" s="73"/>
      <c r="Q108" s="73"/>
      <c r="R108" s="55" t="e">
        <f t="shared" si="28"/>
        <v>#DIV/0!</v>
      </c>
      <c r="S108" s="55" t="e">
        <f t="shared" si="29"/>
        <v>#DIV/0!</v>
      </c>
      <c r="T108" s="55" t="e">
        <f t="shared" si="30"/>
        <v>#DIV/0!</v>
      </c>
      <c r="U108" s="55" t="e">
        <f t="shared" si="23"/>
        <v>#DIV/0!</v>
      </c>
      <c r="V108" s="55" t="e">
        <f>V107+ATM_Conf!$C$5*(Nodes!AL107)/('Off-Ramp'!K293*AA293)</f>
        <v>#DIV/0!</v>
      </c>
      <c r="W108" s="55" t="e">
        <f>W107+ATM_Conf!$C$5*(Nodes!AM107)/('Off-Ramp'!L293*AB293)</f>
        <v>#DIV/0!</v>
      </c>
      <c r="X108" s="55" t="e">
        <f>X107+ATM_Conf!$C$5*(Nodes!AN107)/('Off-Ramp'!M293*AC293)</f>
        <v>#DIV/0!</v>
      </c>
      <c r="Y108" s="55" t="e">
        <f>Y107+ATM_Conf!$C$5*(Nodes!AO107)/('Off-Ramp'!N293*AD293)</f>
        <v>#DIV/0!</v>
      </c>
      <c r="Z108" s="55" t="e">
        <f>Z107+ATM_Conf!$C$5*(Nodes!AP107)/('Off-Ramp'!O293*AE293)</f>
        <v>#DIV/0!</v>
      </c>
      <c r="AA108" s="55" t="e">
        <f>AA107+ATM_Conf!$C$5*(Nodes!AQ107)/('Off-Ramp'!P293*AF293)</f>
        <v>#DIV/0!</v>
      </c>
    </row>
    <row r="109" spans="1:27" x14ac:dyDescent="0.15">
      <c r="A109" s="48">
        <v>107</v>
      </c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55" t="e">
        <f t="shared" si="24"/>
        <v>#DIV/0!</v>
      </c>
      <c r="M109" s="55" t="e">
        <f t="shared" si="25"/>
        <v>#DIV/0!</v>
      </c>
      <c r="N109" s="55" t="e">
        <f t="shared" si="26"/>
        <v>#DIV/0!</v>
      </c>
      <c r="O109" s="55" t="e">
        <f t="shared" si="27"/>
        <v>#DIV/0!</v>
      </c>
      <c r="P109" s="73"/>
      <c r="Q109" s="73"/>
      <c r="R109" s="55" t="e">
        <f t="shared" si="28"/>
        <v>#DIV/0!</v>
      </c>
      <c r="S109" s="55" t="e">
        <f t="shared" si="29"/>
        <v>#DIV/0!</v>
      </c>
      <c r="T109" s="55" t="e">
        <f t="shared" si="30"/>
        <v>#DIV/0!</v>
      </c>
      <c r="U109" s="55" t="e">
        <f t="shared" si="23"/>
        <v>#DIV/0!</v>
      </c>
      <c r="V109" s="55" t="e">
        <f>V108+ATM_Conf!$C$5*(Nodes!AL108)/('Off-Ramp'!K294*AA294)</f>
        <v>#DIV/0!</v>
      </c>
      <c r="W109" s="55" t="e">
        <f>W108+ATM_Conf!$C$5*(Nodes!AM108)/('Off-Ramp'!L294*AB294)</f>
        <v>#DIV/0!</v>
      </c>
      <c r="X109" s="55" t="e">
        <f>X108+ATM_Conf!$C$5*(Nodes!AN108)/('Off-Ramp'!M294*AC294)</f>
        <v>#DIV/0!</v>
      </c>
      <c r="Y109" s="55" t="e">
        <f>Y108+ATM_Conf!$C$5*(Nodes!AO108)/('Off-Ramp'!N294*AD294)</f>
        <v>#DIV/0!</v>
      </c>
      <c r="Z109" s="55" t="e">
        <f>Z108+ATM_Conf!$C$5*(Nodes!AP108)/('Off-Ramp'!O294*AE294)</f>
        <v>#DIV/0!</v>
      </c>
      <c r="AA109" s="55" t="e">
        <f>AA108+ATM_Conf!$C$5*(Nodes!AQ108)/('Off-Ramp'!P294*AF294)</f>
        <v>#DIV/0!</v>
      </c>
    </row>
    <row r="110" spans="1:27" x14ac:dyDescent="0.15">
      <c r="A110" s="48">
        <v>108</v>
      </c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55" t="e">
        <f t="shared" si="24"/>
        <v>#DIV/0!</v>
      </c>
      <c r="M110" s="55" t="e">
        <f t="shared" si="25"/>
        <v>#DIV/0!</v>
      </c>
      <c r="N110" s="55" t="e">
        <f t="shared" si="26"/>
        <v>#DIV/0!</v>
      </c>
      <c r="O110" s="55" t="e">
        <f t="shared" si="27"/>
        <v>#DIV/0!</v>
      </c>
      <c r="P110" s="73"/>
      <c r="Q110" s="73"/>
      <c r="R110" s="55" t="e">
        <f t="shared" si="28"/>
        <v>#DIV/0!</v>
      </c>
      <c r="S110" s="55" t="e">
        <f t="shared" si="29"/>
        <v>#DIV/0!</v>
      </c>
      <c r="T110" s="55" t="e">
        <f t="shared" si="30"/>
        <v>#DIV/0!</v>
      </c>
      <c r="U110" s="55" t="e">
        <f t="shared" si="23"/>
        <v>#DIV/0!</v>
      </c>
      <c r="V110" s="55" t="e">
        <f>V109+ATM_Conf!$C$5*(Nodes!AL109)/('Off-Ramp'!K295*AA295)</f>
        <v>#DIV/0!</v>
      </c>
      <c r="W110" s="55" t="e">
        <f>W109+ATM_Conf!$C$5*(Nodes!AM109)/('Off-Ramp'!L295*AB295)</f>
        <v>#DIV/0!</v>
      </c>
      <c r="X110" s="55" t="e">
        <f>X109+ATM_Conf!$C$5*(Nodes!AN109)/('Off-Ramp'!M295*AC295)</f>
        <v>#DIV/0!</v>
      </c>
      <c r="Y110" s="55" t="e">
        <f>Y109+ATM_Conf!$C$5*(Nodes!AO109)/('Off-Ramp'!N295*AD295)</f>
        <v>#DIV/0!</v>
      </c>
      <c r="Z110" s="55" t="e">
        <f>Z109+ATM_Conf!$C$5*(Nodes!AP109)/('Off-Ramp'!O295*AE295)</f>
        <v>#DIV/0!</v>
      </c>
      <c r="AA110" s="55" t="e">
        <f>AA109+ATM_Conf!$C$5*(Nodes!AQ109)/('Off-Ramp'!P295*AF295)</f>
        <v>#DIV/0!</v>
      </c>
    </row>
    <row r="111" spans="1:27" x14ac:dyDescent="0.15">
      <c r="A111" s="48">
        <v>109</v>
      </c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55" t="e">
        <f t="shared" si="24"/>
        <v>#DIV/0!</v>
      </c>
      <c r="M111" s="55" t="e">
        <f t="shared" si="25"/>
        <v>#DIV/0!</v>
      </c>
      <c r="N111" s="55" t="e">
        <f t="shared" si="26"/>
        <v>#DIV/0!</v>
      </c>
      <c r="O111" s="55" t="e">
        <f t="shared" si="27"/>
        <v>#DIV/0!</v>
      </c>
      <c r="P111" s="73"/>
      <c r="Q111" s="73"/>
      <c r="R111" s="55" t="e">
        <f t="shared" si="28"/>
        <v>#DIV/0!</v>
      </c>
      <c r="S111" s="55" t="e">
        <f t="shared" si="29"/>
        <v>#DIV/0!</v>
      </c>
      <c r="T111" s="55" t="e">
        <f t="shared" si="30"/>
        <v>#DIV/0!</v>
      </c>
      <c r="U111" s="55" t="e">
        <f t="shared" si="23"/>
        <v>#DIV/0!</v>
      </c>
      <c r="V111" s="55" t="e">
        <f>V110+ATM_Conf!$C$5*(Nodes!AL110)/('Off-Ramp'!K296*AA296)</f>
        <v>#DIV/0!</v>
      </c>
      <c r="W111" s="55" t="e">
        <f>W110+ATM_Conf!$C$5*(Nodes!AM110)/('Off-Ramp'!L296*AB296)</f>
        <v>#DIV/0!</v>
      </c>
      <c r="X111" s="55" t="e">
        <f>X110+ATM_Conf!$C$5*(Nodes!AN110)/('Off-Ramp'!M296*AC296)</f>
        <v>#DIV/0!</v>
      </c>
      <c r="Y111" s="55" t="e">
        <f>Y110+ATM_Conf!$C$5*(Nodes!AO110)/('Off-Ramp'!N296*AD296)</f>
        <v>#DIV/0!</v>
      </c>
      <c r="Z111" s="55" t="e">
        <f>Z110+ATM_Conf!$C$5*(Nodes!AP110)/('Off-Ramp'!O296*AE296)</f>
        <v>#DIV/0!</v>
      </c>
      <c r="AA111" s="55" t="e">
        <f>AA110+ATM_Conf!$C$5*(Nodes!AQ110)/('Off-Ramp'!P296*AF296)</f>
        <v>#DIV/0!</v>
      </c>
    </row>
    <row r="112" spans="1:27" x14ac:dyDescent="0.15">
      <c r="A112" s="48">
        <v>110</v>
      </c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55" t="e">
        <f t="shared" si="24"/>
        <v>#DIV/0!</v>
      </c>
      <c r="M112" s="55" t="e">
        <f t="shared" si="25"/>
        <v>#DIV/0!</v>
      </c>
      <c r="N112" s="55" t="e">
        <f t="shared" si="26"/>
        <v>#DIV/0!</v>
      </c>
      <c r="O112" s="55" t="e">
        <f t="shared" si="27"/>
        <v>#DIV/0!</v>
      </c>
      <c r="P112" s="73"/>
      <c r="Q112" s="73"/>
      <c r="R112" s="55" t="e">
        <f t="shared" si="28"/>
        <v>#DIV/0!</v>
      </c>
      <c r="S112" s="55" t="e">
        <f t="shared" si="29"/>
        <v>#DIV/0!</v>
      </c>
      <c r="T112" s="55" t="e">
        <f t="shared" si="30"/>
        <v>#DIV/0!</v>
      </c>
      <c r="U112" s="55" t="e">
        <f t="shared" si="23"/>
        <v>#DIV/0!</v>
      </c>
      <c r="V112" s="55" t="e">
        <f>V111+ATM_Conf!$C$5*(Nodes!AL111)/('Off-Ramp'!K297*AA297)</f>
        <v>#DIV/0!</v>
      </c>
      <c r="W112" s="55" t="e">
        <f>W111+ATM_Conf!$C$5*(Nodes!AM111)/('Off-Ramp'!L297*AB297)</f>
        <v>#DIV/0!</v>
      </c>
      <c r="X112" s="55" t="e">
        <f>X111+ATM_Conf!$C$5*(Nodes!AN111)/('Off-Ramp'!M297*AC297)</f>
        <v>#DIV/0!</v>
      </c>
      <c r="Y112" s="55" t="e">
        <f>Y111+ATM_Conf!$C$5*(Nodes!AO111)/('Off-Ramp'!N297*AD297)</f>
        <v>#DIV/0!</v>
      </c>
      <c r="Z112" s="55" t="e">
        <f>Z111+ATM_Conf!$C$5*(Nodes!AP111)/('Off-Ramp'!O297*AE297)</f>
        <v>#DIV/0!</v>
      </c>
      <c r="AA112" s="55" t="e">
        <f>AA111+ATM_Conf!$C$5*(Nodes!AQ111)/('Off-Ramp'!P297*AF297)</f>
        <v>#DIV/0!</v>
      </c>
    </row>
    <row r="113" spans="1:27" x14ac:dyDescent="0.15">
      <c r="A113" s="48">
        <v>111</v>
      </c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55" t="e">
        <f t="shared" si="24"/>
        <v>#DIV/0!</v>
      </c>
      <c r="M113" s="55" t="e">
        <f t="shared" si="25"/>
        <v>#DIV/0!</v>
      </c>
      <c r="N113" s="55" t="e">
        <f t="shared" si="26"/>
        <v>#DIV/0!</v>
      </c>
      <c r="O113" s="55" t="e">
        <f t="shared" si="27"/>
        <v>#DIV/0!</v>
      </c>
      <c r="P113" s="73"/>
      <c r="Q113" s="73"/>
      <c r="R113" s="55" t="e">
        <f t="shared" si="28"/>
        <v>#DIV/0!</v>
      </c>
      <c r="S113" s="55" t="e">
        <f t="shared" si="29"/>
        <v>#DIV/0!</v>
      </c>
      <c r="T113" s="55" t="e">
        <f t="shared" si="30"/>
        <v>#DIV/0!</v>
      </c>
      <c r="U113" s="55" t="e">
        <f t="shared" si="23"/>
        <v>#DIV/0!</v>
      </c>
      <c r="V113" s="55" t="e">
        <f>V112+ATM_Conf!$C$5*(Nodes!AL112)/('Off-Ramp'!K298*AA298)</f>
        <v>#DIV/0!</v>
      </c>
      <c r="W113" s="55" t="e">
        <f>W112+ATM_Conf!$C$5*(Nodes!AM112)/('Off-Ramp'!L298*AB298)</f>
        <v>#DIV/0!</v>
      </c>
      <c r="X113" s="55" t="e">
        <f>X112+ATM_Conf!$C$5*(Nodes!AN112)/('Off-Ramp'!M298*AC298)</f>
        <v>#DIV/0!</v>
      </c>
      <c r="Y113" s="55" t="e">
        <f>Y112+ATM_Conf!$C$5*(Nodes!AO112)/('Off-Ramp'!N298*AD298)</f>
        <v>#DIV/0!</v>
      </c>
      <c r="Z113" s="55" t="e">
        <f>Z112+ATM_Conf!$C$5*(Nodes!AP112)/('Off-Ramp'!O298*AE298)</f>
        <v>#DIV/0!</v>
      </c>
      <c r="AA113" s="55" t="e">
        <f>AA112+ATM_Conf!$C$5*(Nodes!AQ112)/('Off-Ramp'!P298*AF298)</f>
        <v>#DIV/0!</v>
      </c>
    </row>
    <row r="114" spans="1:27" x14ac:dyDescent="0.15">
      <c r="A114" s="48">
        <v>112</v>
      </c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55" t="e">
        <f t="shared" si="24"/>
        <v>#DIV/0!</v>
      </c>
      <c r="M114" s="55" t="e">
        <f t="shared" si="25"/>
        <v>#DIV/0!</v>
      </c>
      <c r="N114" s="55" t="e">
        <f t="shared" si="26"/>
        <v>#DIV/0!</v>
      </c>
      <c r="O114" s="55" t="e">
        <f t="shared" si="27"/>
        <v>#DIV/0!</v>
      </c>
      <c r="P114" s="73"/>
      <c r="Q114" s="73"/>
      <c r="R114" s="55" t="e">
        <f t="shared" si="28"/>
        <v>#DIV/0!</v>
      </c>
      <c r="S114" s="55" t="e">
        <f t="shared" si="29"/>
        <v>#DIV/0!</v>
      </c>
      <c r="T114" s="55" t="e">
        <f t="shared" si="30"/>
        <v>#DIV/0!</v>
      </c>
      <c r="U114" s="55" t="e">
        <f t="shared" si="23"/>
        <v>#DIV/0!</v>
      </c>
      <c r="V114" s="55" t="e">
        <f>V113+ATM_Conf!$C$5*(Nodes!AL113)/('Off-Ramp'!K299*AA299)</f>
        <v>#DIV/0!</v>
      </c>
      <c r="W114" s="55" t="e">
        <f>W113+ATM_Conf!$C$5*(Nodes!AM113)/('Off-Ramp'!L299*AB299)</f>
        <v>#DIV/0!</v>
      </c>
      <c r="X114" s="55" t="e">
        <f>X113+ATM_Conf!$C$5*(Nodes!AN113)/('Off-Ramp'!M299*AC299)</f>
        <v>#DIV/0!</v>
      </c>
      <c r="Y114" s="55" t="e">
        <f>Y113+ATM_Conf!$C$5*(Nodes!AO113)/('Off-Ramp'!N299*AD299)</f>
        <v>#DIV/0!</v>
      </c>
      <c r="Z114" s="55" t="e">
        <f>Z113+ATM_Conf!$C$5*(Nodes!AP113)/('Off-Ramp'!O299*AE299)</f>
        <v>#DIV/0!</v>
      </c>
      <c r="AA114" s="55" t="e">
        <f>AA113+ATM_Conf!$C$5*(Nodes!AQ113)/('Off-Ramp'!P299*AF299)</f>
        <v>#DIV/0!</v>
      </c>
    </row>
    <row r="115" spans="1:27" x14ac:dyDescent="0.15">
      <c r="A115" s="48">
        <v>113</v>
      </c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55" t="e">
        <f t="shared" si="24"/>
        <v>#DIV/0!</v>
      </c>
      <c r="M115" s="55" t="e">
        <f t="shared" si="25"/>
        <v>#DIV/0!</v>
      </c>
      <c r="N115" s="55" t="e">
        <f t="shared" si="26"/>
        <v>#DIV/0!</v>
      </c>
      <c r="O115" s="55" t="e">
        <f t="shared" si="27"/>
        <v>#DIV/0!</v>
      </c>
      <c r="P115" s="73"/>
      <c r="Q115" s="73"/>
      <c r="R115" s="55" t="e">
        <f t="shared" si="28"/>
        <v>#DIV/0!</v>
      </c>
      <c r="S115" s="55" t="e">
        <f t="shared" si="29"/>
        <v>#DIV/0!</v>
      </c>
      <c r="T115" s="55" t="e">
        <f t="shared" si="30"/>
        <v>#DIV/0!</v>
      </c>
      <c r="U115" s="55" t="e">
        <f t="shared" si="23"/>
        <v>#DIV/0!</v>
      </c>
      <c r="V115" s="55" t="e">
        <f>V114+ATM_Conf!$C$5*(Nodes!AL114)/('Off-Ramp'!K300*AA300)</f>
        <v>#DIV/0!</v>
      </c>
      <c r="W115" s="55" t="e">
        <f>W114+ATM_Conf!$C$5*(Nodes!AM114)/('Off-Ramp'!L300*AB300)</f>
        <v>#DIV/0!</v>
      </c>
      <c r="X115" s="55" t="e">
        <f>X114+ATM_Conf!$C$5*(Nodes!AN114)/('Off-Ramp'!M300*AC300)</f>
        <v>#DIV/0!</v>
      </c>
      <c r="Y115" s="55" t="e">
        <f>Y114+ATM_Conf!$C$5*(Nodes!AO114)/('Off-Ramp'!N300*AD300)</f>
        <v>#DIV/0!</v>
      </c>
      <c r="Z115" s="55" t="e">
        <f>Z114+ATM_Conf!$C$5*(Nodes!AP114)/('Off-Ramp'!O300*AE300)</f>
        <v>#DIV/0!</v>
      </c>
      <c r="AA115" s="55" t="e">
        <f>AA114+ATM_Conf!$C$5*(Nodes!AQ114)/('Off-Ramp'!P300*AF300)</f>
        <v>#DIV/0!</v>
      </c>
    </row>
    <row r="116" spans="1:27" x14ac:dyDescent="0.15">
      <c r="A116" s="48">
        <v>114</v>
      </c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55" t="e">
        <f t="shared" si="24"/>
        <v>#DIV/0!</v>
      </c>
      <c r="M116" s="55" t="e">
        <f t="shared" si="25"/>
        <v>#DIV/0!</v>
      </c>
      <c r="N116" s="55" t="e">
        <f t="shared" si="26"/>
        <v>#DIV/0!</v>
      </c>
      <c r="O116" s="55" t="e">
        <f t="shared" si="27"/>
        <v>#DIV/0!</v>
      </c>
      <c r="P116" s="73"/>
      <c r="Q116" s="73"/>
      <c r="R116" s="55" t="e">
        <f t="shared" si="28"/>
        <v>#DIV/0!</v>
      </c>
      <c r="S116" s="55" t="e">
        <f t="shared" si="29"/>
        <v>#DIV/0!</v>
      </c>
      <c r="T116" s="55" t="e">
        <f t="shared" si="30"/>
        <v>#DIV/0!</v>
      </c>
      <c r="U116" s="55" t="e">
        <f t="shared" si="23"/>
        <v>#DIV/0!</v>
      </c>
      <c r="V116" s="55" t="e">
        <f>V115+ATM_Conf!$C$5*(Nodes!AL115)/('Off-Ramp'!K301*AA301)</f>
        <v>#DIV/0!</v>
      </c>
      <c r="W116" s="55" t="e">
        <f>W115+ATM_Conf!$C$5*(Nodes!AM115)/('Off-Ramp'!L301*AB301)</f>
        <v>#DIV/0!</v>
      </c>
      <c r="X116" s="55" t="e">
        <f>X115+ATM_Conf!$C$5*(Nodes!AN115)/('Off-Ramp'!M301*AC301)</f>
        <v>#DIV/0!</v>
      </c>
      <c r="Y116" s="55" t="e">
        <f>Y115+ATM_Conf!$C$5*(Nodes!AO115)/('Off-Ramp'!N301*AD301)</f>
        <v>#DIV/0!</v>
      </c>
      <c r="Z116" s="55" t="e">
        <f>Z115+ATM_Conf!$C$5*(Nodes!AP115)/('Off-Ramp'!O301*AE301)</f>
        <v>#DIV/0!</v>
      </c>
      <c r="AA116" s="55" t="e">
        <f>AA115+ATM_Conf!$C$5*(Nodes!AQ115)/('Off-Ramp'!P301*AF301)</f>
        <v>#DIV/0!</v>
      </c>
    </row>
    <row r="117" spans="1:27" x14ac:dyDescent="0.15">
      <c r="A117" s="48">
        <v>115</v>
      </c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55" t="e">
        <f t="shared" si="24"/>
        <v>#DIV/0!</v>
      </c>
      <c r="M117" s="55" t="e">
        <f t="shared" si="25"/>
        <v>#DIV/0!</v>
      </c>
      <c r="N117" s="55" t="e">
        <f t="shared" si="26"/>
        <v>#DIV/0!</v>
      </c>
      <c r="O117" s="55" t="e">
        <f t="shared" si="27"/>
        <v>#DIV/0!</v>
      </c>
      <c r="P117" s="73"/>
      <c r="Q117" s="73"/>
      <c r="R117" s="55" t="e">
        <f t="shared" si="28"/>
        <v>#DIV/0!</v>
      </c>
      <c r="S117" s="55" t="e">
        <f t="shared" si="29"/>
        <v>#DIV/0!</v>
      </c>
      <c r="T117" s="55" t="e">
        <f t="shared" si="30"/>
        <v>#DIV/0!</v>
      </c>
      <c r="U117" s="55" t="e">
        <f t="shared" si="23"/>
        <v>#DIV/0!</v>
      </c>
      <c r="V117" s="55" t="e">
        <f>V116+ATM_Conf!$C$5*(Nodes!AL116)/('Off-Ramp'!K302*AA302)</f>
        <v>#DIV/0!</v>
      </c>
      <c r="W117" s="55" t="e">
        <f>W116+ATM_Conf!$C$5*(Nodes!AM116)/('Off-Ramp'!L302*AB302)</f>
        <v>#DIV/0!</v>
      </c>
      <c r="X117" s="55" t="e">
        <f>X116+ATM_Conf!$C$5*(Nodes!AN116)/('Off-Ramp'!M302*AC302)</f>
        <v>#DIV/0!</v>
      </c>
      <c r="Y117" s="55" t="e">
        <f>Y116+ATM_Conf!$C$5*(Nodes!AO116)/('Off-Ramp'!N302*AD302)</f>
        <v>#DIV/0!</v>
      </c>
      <c r="Z117" s="55" t="e">
        <f>Z116+ATM_Conf!$C$5*(Nodes!AP116)/('Off-Ramp'!O302*AE302)</f>
        <v>#DIV/0!</v>
      </c>
      <c r="AA117" s="55" t="e">
        <f>AA116+ATM_Conf!$C$5*(Nodes!AQ116)/('Off-Ramp'!P302*AF302)</f>
        <v>#DIV/0!</v>
      </c>
    </row>
    <row r="118" spans="1:27" x14ac:dyDescent="0.15">
      <c r="A118" s="48">
        <v>116</v>
      </c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55" t="e">
        <f t="shared" si="24"/>
        <v>#DIV/0!</v>
      </c>
      <c r="M118" s="55" t="e">
        <f t="shared" si="25"/>
        <v>#DIV/0!</v>
      </c>
      <c r="N118" s="55" t="e">
        <f t="shared" si="26"/>
        <v>#DIV/0!</v>
      </c>
      <c r="O118" s="55" t="e">
        <f t="shared" si="27"/>
        <v>#DIV/0!</v>
      </c>
      <c r="P118" s="73"/>
      <c r="Q118" s="73"/>
      <c r="R118" s="55" t="e">
        <f t="shared" si="28"/>
        <v>#DIV/0!</v>
      </c>
      <c r="S118" s="55" t="e">
        <f t="shared" si="29"/>
        <v>#DIV/0!</v>
      </c>
      <c r="T118" s="55" t="e">
        <f t="shared" si="30"/>
        <v>#DIV/0!</v>
      </c>
      <c r="U118" s="55" t="e">
        <f t="shared" si="23"/>
        <v>#DIV/0!</v>
      </c>
      <c r="V118" s="55" t="e">
        <f>V117+ATM_Conf!$C$5*(Nodes!AL117)/('Off-Ramp'!K303*AA303)</f>
        <v>#DIV/0!</v>
      </c>
      <c r="W118" s="55" t="e">
        <f>W117+ATM_Conf!$C$5*(Nodes!AM117)/('Off-Ramp'!L303*AB303)</f>
        <v>#DIV/0!</v>
      </c>
      <c r="X118" s="55" t="e">
        <f>X117+ATM_Conf!$C$5*(Nodes!AN117)/('Off-Ramp'!M303*AC303)</f>
        <v>#DIV/0!</v>
      </c>
      <c r="Y118" s="55" t="e">
        <f>Y117+ATM_Conf!$C$5*(Nodes!AO117)/('Off-Ramp'!N303*AD303)</f>
        <v>#DIV/0!</v>
      </c>
      <c r="Z118" s="55" t="e">
        <f>Z117+ATM_Conf!$C$5*(Nodes!AP117)/('Off-Ramp'!O303*AE303)</f>
        <v>#DIV/0!</v>
      </c>
      <c r="AA118" s="55" t="e">
        <f>AA117+ATM_Conf!$C$5*(Nodes!AQ117)/('Off-Ramp'!P303*AF303)</f>
        <v>#DIV/0!</v>
      </c>
    </row>
    <row r="119" spans="1:27" x14ac:dyDescent="0.15">
      <c r="A119" s="48">
        <v>117</v>
      </c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55" t="e">
        <f t="shared" si="24"/>
        <v>#DIV/0!</v>
      </c>
      <c r="M119" s="55" t="e">
        <f t="shared" si="25"/>
        <v>#DIV/0!</v>
      </c>
      <c r="N119" s="55" t="e">
        <f t="shared" si="26"/>
        <v>#DIV/0!</v>
      </c>
      <c r="O119" s="55" t="e">
        <f t="shared" si="27"/>
        <v>#DIV/0!</v>
      </c>
      <c r="P119" s="73"/>
      <c r="Q119" s="73"/>
      <c r="R119" s="55" t="e">
        <f t="shared" si="28"/>
        <v>#DIV/0!</v>
      </c>
      <c r="S119" s="55" t="e">
        <f t="shared" si="29"/>
        <v>#DIV/0!</v>
      </c>
      <c r="T119" s="55" t="e">
        <f t="shared" si="30"/>
        <v>#DIV/0!</v>
      </c>
      <c r="U119" s="55" t="e">
        <f t="shared" si="23"/>
        <v>#DIV/0!</v>
      </c>
      <c r="V119" s="55" t="e">
        <f>V118+ATM_Conf!$C$5*(Nodes!AL118)/('Off-Ramp'!K304*AA304)</f>
        <v>#DIV/0!</v>
      </c>
      <c r="W119" s="55" t="e">
        <f>W118+ATM_Conf!$C$5*(Nodes!AM118)/('Off-Ramp'!L304*AB304)</f>
        <v>#DIV/0!</v>
      </c>
      <c r="X119" s="55" t="e">
        <f>X118+ATM_Conf!$C$5*(Nodes!AN118)/('Off-Ramp'!M304*AC304)</f>
        <v>#DIV/0!</v>
      </c>
      <c r="Y119" s="55" t="e">
        <f>Y118+ATM_Conf!$C$5*(Nodes!AO118)/('Off-Ramp'!N304*AD304)</f>
        <v>#DIV/0!</v>
      </c>
      <c r="Z119" s="55" t="e">
        <f>Z118+ATM_Conf!$C$5*(Nodes!AP118)/('Off-Ramp'!O304*AE304)</f>
        <v>#DIV/0!</v>
      </c>
      <c r="AA119" s="55" t="e">
        <f>AA118+ATM_Conf!$C$5*(Nodes!AQ118)/('Off-Ramp'!P304*AF304)</f>
        <v>#DIV/0!</v>
      </c>
    </row>
    <row r="120" spans="1:27" x14ac:dyDescent="0.15">
      <c r="A120" s="48">
        <v>118</v>
      </c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55" t="e">
        <f t="shared" si="24"/>
        <v>#DIV/0!</v>
      </c>
      <c r="M120" s="55" t="e">
        <f t="shared" si="25"/>
        <v>#DIV/0!</v>
      </c>
      <c r="N120" s="55" t="e">
        <f t="shared" si="26"/>
        <v>#DIV/0!</v>
      </c>
      <c r="O120" s="55" t="e">
        <f t="shared" si="27"/>
        <v>#DIV/0!</v>
      </c>
      <c r="P120" s="73"/>
      <c r="Q120" s="73"/>
      <c r="R120" s="55" t="e">
        <f t="shared" si="28"/>
        <v>#DIV/0!</v>
      </c>
      <c r="S120" s="55" t="e">
        <f t="shared" si="29"/>
        <v>#DIV/0!</v>
      </c>
      <c r="T120" s="55" t="e">
        <f t="shared" si="30"/>
        <v>#DIV/0!</v>
      </c>
      <c r="U120" s="55" t="e">
        <f t="shared" si="23"/>
        <v>#DIV/0!</v>
      </c>
      <c r="V120" s="55" t="e">
        <f>V119+ATM_Conf!$C$5*(Nodes!AL119)/('Off-Ramp'!K305*AA305)</f>
        <v>#DIV/0!</v>
      </c>
      <c r="W120" s="55" t="e">
        <f>W119+ATM_Conf!$C$5*(Nodes!AM119)/('Off-Ramp'!L305*AB305)</f>
        <v>#DIV/0!</v>
      </c>
      <c r="X120" s="55" t="e">
        <f>X119+ATM_Conf!$C$5*(Nodes!AN119)/('Off-Ramp'!M305*AC305)</f>
        <v>#DIV/0!</v>
      </c>
      <c r="Y120" s="55" t="e">
        <f>Y119+ATM_Conf!$C$5*(Nodes!AO119)/('Off-Ramp'!N305*AD305)</f>
        <v>#DIV/0!</v>
      </c>
      <c r="Z120" s="55" t="e">
        <f>Z119+ATM_Conf!$C$5*(Nodes!AP119)/('Off-Ramp'!O305*AE305)</f>
        <v>#DIV/0!</v>
      </c>
      <c r="AA120" s="55" t="e">
        <f>AA119+ATM_Conf!$C$5*(Nodes!AQ119)/('Off-Ramp'!P305*AF305)</f>
        <v>#DIV/0!</v>
      </c>
    </row>
    <row r="121" spans="1:27" x14ac:dyDescent="0.15">
      <c r="A121" s="48">
        <v>119</v>
      </c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55" t="e">
        <f t="shared" si="24"/>
        <v>#DIV/0!</v>
      </c>
      <c r="M121" s="55" t="e">
        <f t="shared" si="25"/>
        <v>#DIV/0!</v>
      </c>
      <c r="N121" s="55" t="e">
        <f t="shared" si="26"/>
        <v>#DIV/0!</v>
      </c>
      <c r="O121" s="55" t="e">
        <f t="shared" si="27"/>
        <v>#DIV/0!</v>
      </c>
      <c r="P121" s="73"/>
      <c r="Q121" s="73"/>
      <c r="R121" s="55" t="e">
        <f t="shared" si="28"/>
        <v>#DIV/0!</v>
      </c>
      <c r="S121" s="55" t="e">
        <f t="shared" si="29"/>
        <v>#DIV/0!</v>
      </c>
      <c r="T121" s="55" t="e">
        <f t="shared" si="30"/>
        <v>#DIV/0!</v>
      </c>
      <c r="U121" s="55" t="e">
        <f t="shared" si="23"/>
        <v>#DIV/0!</v>
      </c>
      <c r="V121" s="55" t="e">
        <f>V120+ATM_Conf!$C$5*(Nodes!AL120)/('Off-Ramp'!K306*AA306)</f>
        <v>#DIV/0!</v>
      </c>
      <c r="W121" s="55" t="e">
        <f>W120+ATM_Conf!$C$5*(Nodes!AM120)/('Off-Ramp'!L306*AB306)</f>
        <v>#DIV/0!</v>
      </c>
      <c r="X121" s="55" t="e">
        <f>X120+ATM_Conf!$C$5*(Nodes!AN120)/('Off-Ramp'!M306*AC306)</f>
        <v>#DIV/0!</v>
      </c>
      <c r="Y121" s="55" t="e">
        <f>Y120+ATM_Conf!$C$5*(Nodes!AO120)/('Off-Ramp'!N306*AD306)</f>
        <v>#DIV/0!</v>
      </c>
      <c r="Z121" s="55" t="e">
        <f>Z120+ATM_Conf!$C$5*(Nodes!AP120)/('Off-Ramp'!O306*AE306)</f>
        <v>#DIV/0!</v>
      </c>
      <c r="AA121" s="55" t="e">
        <f>AA120+ATM_Conf!$C$5*(Nodes!AQ120)/('Off-Ramp'!P306*AF306)</f>
        <v>#DIV/0!</v>
      </c>
    </row>
    <row r="122" spans="1:27" x14ac:dyDescent="0.15">
      <c r="A122" s="48">
        <v>120</v>
      </c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55" t="e">
        <f t="shared" si="24"/>
        <v>#DIV/0!</v>
      </c>
      <c r="M122" s="55" t="e">
        <f t="shared" si="25"/>
        <v>#DIV/0!</v>
      </c>
      <c r="N122" s="55" t="e">
        <f t="shared" si="26"/>
        <v>#DIV/0!</v>
      </c>
      <c r="O122" s="55" t="e">
        <f t="shared" si="27"/>
        <v>#DIV/0!</v>
      </c>
      <c r="P122" s="73"/>
      <c r="Q122" s="73"/>
      <c r="R122" s="55" t="e">
        <f t="shared" si="28"/>
        <v>#DIV/0!</v>
      </c>
      <c r="S122" s="55" t="e">
        <f t="shared" si="29"/>
        <v>#DIV/0!</v>
      </c>
      <c r="T122" s="55" t="e">
        <f t="shared" si="30"/>
        <v>#DIV/0!</v>
      </c>
      <c r="U122" s="55" t="e">
        <f t="shared" si="23"/>
        <v>#DIV/0!</v>
      </c>
      <c r="V122" s="55" t="e">
        <f>V121+ATM_Conf!$C$5*(Nodes!AL121)/('Off-Ramp'!K307*AA307)</f>
        <v>#DIV/0!</v>
      </c>
      <c r="W122" s="55" t="e">
        <f>W121+ATM_Conf!$C$5*(Nodes!AM121)/('Off-Ramp'!L307*AB307)</f>
        <v>#DIV/0!</v>
      </c>
      <c r="X122" s="55" t="e">
        <f>X121+ATM_Conf!$C$5*(Nodes!AN121)/('Off-Ramp'!M307*AC307)</f>
        <v>#DIV/0!</v>
      </c>
      <c r="Y122" s="55" t="e">
        <f>Y121+ATM_Conf!$C$5*(Nodes!AO121)/('Off-Ramp'!N307*AD307)</f>
        <v>#DIV/0!</v>
      </c>
      <c r="Z122" s="55" t="e">
        <f>Z121+ATM_Conf!$C$5*(Nodes!AP121)/('Off-Ramp'!O307*AE307)</f>
        <v>#DIV/0!</v>
      </c>
      <c r="AA122" s="55" t="e">
        <f>AA121+ATM_Conf!$C$5*(Nodes!AQ121)/('Off-Ramp'!P307*AF307)</f>
        <v>#DIV/0!</v>
      </c>
    </row>
    <row r="123" spans="1:27" x14ac:dyDescent="0.15">
      <c r="A123" s="48">
        <v>121</v>
      </c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55" t="e">
        <f t="shared" si="24"/>
        <v>#DIV/0!</v>
      </c>
      <c r="M123" s="55" t="e">
        <f t="shared" si="25"/>
        <v>#DIV/0!</v>
      </c>
      <c r="N123" s="55" t="e">
        <f t="shared" si="26"/>
        <v>#DIV/0!</v>
      </c>
      <c r="O123" s="55" t="e">
        <f t="shared" si="27"/>
        <v>#DIV/0!</v>
      </c>
      <c r="P123" s="73"/>
      <c r="Q123" s="73"/>
      <c r="R123" s="55" t="e">
        <f t="shared" si="28"/>
        <v>#DIV/0!</v>
      </c>
      <c r="S123" s="55" t="e">
        <f t="shared" si="29"/>
        <v>#DIV/0!</v>
      </c>
      <c r="T123" s="55" t="e">
        <f t="shared" si="30"/>
        <v>#DIV/0!</v>
      </c>
      <c r="U123" s="55" t="e">
        <f t="shared" si="23"/>
        <v>#DIV/0!</v>
      </c>
      <c r="V123" s="55" t="e">
        <f>V122+ATM_Conf!$C$5*(Nodes!AL122)/('Off-Ramp'!K308*AA308)</f>
        <v>#DIV/0!</v>
      </c>
      <c r="W123" s="55" t="e">
        <f>W122+ATM_Conf!$C$5*(Nodes!AM122)/('Off-Ramp'!L308*AB308)</f>
        <v>#DIV/0!</v>
      </c>
      <c r="X123" s="55" t="e">
        <f>X122+ATM_Conf!$C$5*(Nodes!AN122)/('Off-Ramp'!M308*AC308)</f>
        <v>#DIV/0!</v>
      </c>
      <c r="Y123" s="55" t="e">
        <f>Y122+ATM_Conf!$C$5*(Nodes!AO122)/('Off-Ramp'!N308*AD308)</f>
        <v>#DIV/0!</v>
      </c>
      <c r="Z123" s="55" t="e">
        <f>Z122+ATM_Conf!$C$5*(Nodes!AP122)/('Off-Ramp'!O308*AE308)</f>
        <v>#DIV/0!</v>
      </c>
      <c r="AA123" s="55" t="e">
        <f>AA122+ATM_Conf!$C$5*(Nodes!AQ122)/('Off-Ramp'!P308*AF308)</f>
        <v>#DIV/0!</v>
      </c>
    </row>
    <row r="124" spans="1:27" x14ac:dyDescent="0.15">
      <c r="A124" s="48">
        <v>122</v>
      </c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55" t="e">
        <f t="shared" si="24"/>
        <v>#DIV/0!</v>
      </c>
      <c r="M124" s="55" t="e">
        <f t="shared" si="25"/>
        <v>#DIV/0!</v>
      </c>
      <c r="N124" s="55" t="e">
        <f t="shared" si="26"/>
        <v>#DIV/0!</v>
      </c>
      <c r="O124" s="55" t="e">
        <f t="shared" si="27"/>
        <v>#DIV/0!</v>
      </c>
      <c r="P124" s="73"/>
      <c r="Q124" s="73"/>
      <c r="R124" s="55" t="e">
        <f t="shared" si="28"/>
        <v>#DIV/0!</v>
      </c>
      <c r="S124" s="55" t="e">
        <f t="shared" si="29"/>
        <v>#DIV/0!</v>
      </c>
      <c r="T124" s="55" t="e">
        <f t="shared" si="30"/>
        <v>#DIV/0!</v>
      </c>
      <c r="U124" s="55" t="e">
        <f t="shared" si="23"/>
        <v>#DIV/0!</v>
      </c>
      <c r="V124" s="55" t="e">
        <f>V123+ATM_Conf!$C$5*(Nodes!AL123)/('Off-Ramp'!K309*AA309)</f>
        <v>#DIV/0!</v>
      </c>
      <c r="W124" s="55" t="e">
        <f>W123+ATM_Conf!$C$5*(Nodes!AM123)/('Off-Ramp'!L309*AB309)</f>
        <v>#DIV/0!</v>
      </c>
      <c r="X124" s="55" t="e">
        <f>X123+ATM_Conf!$C$5*(Nodes!AN123)/('Off-Ramp'!M309*AC309)</f>
        <v>#DIV/0!</v>
      </c>
      <c r="Y124" s="55" t="e">
        <f>Y123+ATM_Conf!$C$5*(Nodes!AO123)/('Off-Ramp'!N309*AD309)</f>
        <v>#DIV/0!</v>
      </c>
      <c r="Z124" s="55" t="e">
        <f>Z123+ATM_Conf!$C$5*(Nodes!AP123)/('Off-Ramp'!O309*AE309)</f>
        <v>#DIV/0!</v>
      </c>
      <c r="AA124" s="55" t="e">
        <f>AA123+ATM_Conf!$C$5*(Nodes!AQ123)/('Off-Ramp'!P309*AF309)</f>
        <v>#DIV/0!</v>
      </c>
    </row>
    <row r="125" spans="1:27" x14ac:dyDescent="0.15">
      <c r="A125" s="48">
        <v>123</v>
      </c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55" t="e">
        <f t="shared" si="24"/>
        <v>#DIV/0!</v>
      </c>
      <c r="M125" s="55" t="e">
        <f t="shared" si="25"/>
        <v>#DIV/0!</v>
      </c>
      <c r="N125" s="55" t="e">
        <f t="shared" si="26"/>
        <v>#DIV/0!</v>
      </c>
      <c r="O125" s="55" t="e">
        <f t="shared" si="27"/>
        <v>#DIV/0!</v>
      </c>
      <c r="P125" s="73"/>
      <c r="Q125" s="73"/>
      <c r="R125" s="55" t="e">
        <f t="shared" si="28"/>
        <v>#DIV/0!</v>
      </c>
      <c r="S125" s="55" t="e">
        <f t="shared" si="29"/>
        <v>#DIV/0!</v>
      </c>
      <c r="T125" s="55" t="e">
        <f t="shared" si="30"/>
        <v>#DIV/0!</v>
      </c>
      <c r="U125" s="55" t="e">
        <f t="shared" si="23"/>
        <v>#DIV/0!</v>
      </c>
      <c r="V125" s="55" t="e">
        <f>V124+ATM_Conf!$C$5*(Nodes!AL124)/('Off-Ramp'!K310*AA310)</f>
        <v>#DIV/0!</v>
      </c>
      <c r="W125" s="55" t="e">
        <f>W124+ATM_Conf!$C$5*(Nodes!AM124)/('Off-Ramp'!L310*AB310)</f>
        <v>#DIV/0!</v>
      </c>
      <c r="X125" s="55" t="e">
        <f>X124+ATM_Conf!$C$5*(Nodes!AN124)/('Off-Ramp'!M310*AC310)</f>
        <v>#DIV/0!</v>
      </c>
      <c r="Y125" s="55" t="e">
        <f>Y124+ATM_Conf!$C$5*(Nodes!AO124)/('Off-Ramp'!N310*AD310)</f>
        <v>#DIV/0!</v>
      </c>
      <c r="Z125" s="55" t="e">
        <f>Z124+ATM_Conf!$C$5*(Nodes!AP124)/('Off-Ramp'!O310*AE310)</f>
        <v>#DIV/0!</v>
      </c>
      <c r="AA125" s="55" t="e">
        <f>AA124+ATM_Conf!$C$5*(Nodes!AQ124)/('Off-Ramp'!P310*AF310)</f>
        <v>#DIV/0!</v>
      </c>
    </row>
    <row r="126" spans="1:27" x14ac:dyDescent="0.15">
      <c r="A126" s="48">
        <v>124</v>
      </c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55" t="e">
        <f t="shared" si="24"/>
        <v>#DIV/0!</v>
      </c>
      <c r="M126" s="55" t="e">
        <f t="shared" si="25"/>
        <v>#DIV/0!</v>
      </c>
      <c r="N126" s="55" t="e">
        <f t="shared" si="26"/>
        <v>#DIV/0!</v>
      </c>
      <c r="O126" s="55" t="e">
        <f t="shared" si="27"/>
        <v>#DIV/0!</v>
      </c>
      <c r="P126" s="73"/>
      <c r="Q126" s="73"/>
      <c r="R126" s="55" t="e">
        <f t="shared" si="28"/>
        <v>#DIV/0!</v>
      </c>
      <c r="S126" s="55" t="e">
        <f t="shared" si="29"/>
        <v>#DIV/0!</v>
      </c>
      <c r="T126" s="55" t="e">
        <f t="shared" si="30"/>
        <v>#DIV/0!</v>
      </c>
      <c r="U126" s="55" t="e">
        <f t="shared" si="23"/>
        <v>#DIV/0!</v>
      </c>
      <c r="V126" s="55" t="e">
        <f>V125+ATM_Conf!$C$5*(Nodes!AL125)/('Off-Ramp'!K311*AA311)</f>
        <v>#DIV/0!</v>
      </c>
      <c r="W126" s="55" t="e">
        <f>W125+ATM_Conf!$C$5*(Nodes!AM125)/('Off-Ramp'!L311*AB311)</f>
        <v>#DIV/0!</v>
      </c>
      <c r="X126" s="55" t="e">
        <f>X125+ATM_Conf!$C$5*(Nodes!AN125)/('Off-Ramp'!M311*AC311)</f>
        <v>#DIV/0!</v>
      </c>
      <c r="Y126" s="55" t="e">
        <f>Y125+ATM_Conf!$C$5*(Nodes!AO125)/('Off-Ramp'!N311*AD311)</f>
        <v>#DIV/0!</v>
      </c>
      <c r="Z126" s="55" t="e">
        <f>Z125+ATM_Conf!$C$5*(Nodes!AP125)/('Off-Ramp'!O311*AE311)</f>
        <v>#DIV/0!</v>
      </c>
      <c r="AA126" s="55" t="e">
        <f>AA125+ATM_Conf!$C$5*(Nodes!AQ125)/('Off-Ramp'!P311*AF311)</f>
        <v>#DIV/0!</v>
      </c>
    </row>
    <row r="127" spans="1:27" x14ac:dyDescent="0.15">
      <c r="A127" s="48">
        <v>125</v>
      </c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55" t="e">
        <f t="shared" si="24"/>
        <v>#DIV/0!</v>
      </c>
      <c r="M127" s="55" t="e">
        <f t="shared" si="25"/>
        <v>#DIV/0!</v>
      </c>
      <c r="N127" s="55" t="e">
        <f t="shared" si="26"/>
        <v>#DIV/0!</v>
      </c>
      <c r="O127" s="55" t="e">
        <f t="shared" si="27"/>
        <v>#DIV/0!</v>
      </c>
      <c r="P127" s="73"/>
      <c r="Q127" s="73"/>
      <c r="R127" s="55" t="e">
        <f t="shared" si="28"/>
        <v>#DIV/0!</v>
      </c>
      <c r="S127" s="55" t="e">
        <f t="shared" si="29"/>
        <v>#DIV/0!</v>
      </c>
      <c r="T127" s="55" t="e">
        <f t="shared" si="30"/>
        <v>#DIV/0!</v>
      </c>
      <c r="U127" s="55" t="e">
        <f t="shared" si="23"/>
        <v>#DIV/0!</v>
      </c>
      <c r="V127" s="55" t="e">
        <f>V126+ATM_Conf!$C$5*(Nodes!AL126)/('Off-Ramp'!K312*AA312)</f>
        <v>#DIV/0!</v>
      </c>
      <c r="W127" s="55" t="e">
        <f>W126+ATM_Conf!$C$5*(Nodes!AM126)/('Off-Ramp'!L312*AB312)</f>
        <v>#DIV/0!</v>
      </c>
      <c r="X127" s="55" t="e">
        <f>X126+ATM_Conf!$C$5*(Nodes!AN126)/('Off-Ramp'!M312*AC312)</f>
        <v>#DIV/0!</v>
      </c>
      <c r="Y127" s="55" t="e">
        <f>Y126+ATM_Conf!$C$5*(Nodes!AO126)/('Off-Ramp'!N312*AD312)</f>
        <v>#DIV/0!</v>
      </c>
      <c r="Z127" s="55" t="e">
        <f>Z126+ATM_Conf!$C$5*(Nodes!AP126)/('Off-Ramp'!O312*AE312)</f>
        <v>#DIV/0!</v>
      </c>
      <c r="AA127" s="55" t="e">
        <f>AA126+ATM_Conf!$C$5*(Nodes!AQ126)/('Off-Ramp'!P312*AF312)</f>
        <v>#DIV/0!</v>
      </c>
    </row>
    <row r="128" spans="1:27" x14ac:dyDescent="0.15">
      <c r="A128" s="48">
        <v>126</v>
      </c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55" t="e">
        <f t="shared" si="24"/>
        <v>#DIV/0!</v>
      </c>
      <c r="M128" s="55" t="e">
        <f t="shared" si="25"/>
        <v>#DIV/0!</v>
      </c>
      <c r="N128" s="55" t="e">
        <f t="shared" si="26"/>
        <v>#DIV/0!</v>
      </c>
      <c r="O128" s="55" t="e">
        <f t="shared" si="27"/>
        <v>#DIV/0!</v>
      </c>
      <c r="P128" s="73"/>
      <c r="Q128" s="73"/>
      <c r="R128" s="55" t="e">
        <f t="shared" si="28"/>
        <v>#DIV/0!</v>
      </c>
      <c r="S128" s="55" t="e">
        <f t="shared" si="29"/>
        <v>#DIV/0!</v>
      </c>
      <c r="T128" s="55" t="e">
        <f t="shared" si="30"/>
        <v>#DIV/0!</v>
      </c>
      <c r="U128" s="55" t="e">
        <f t="shared" si="23"/>
        <v>#DIV/0!</v>
      </c>
      <c r="V128" s="55" t="e">
        <f>V127+ATM_Conf!$C$5*(Nodes!AL127)/('Off-Ramp'!K313*AA313)</f>
        <v>#DIV/0!</v>
      </c>
      <c r="W128" s="55" t="e">
        <f>W127+ATM_Conf!$C$5*(Nodes!AM127)/('Off-Ramp'!L313*AB313)</f>
        <v>#DIV/0!</v>
      </c>
      <c r="X128" s="55" t="e">
        <f>X127+ATM_Conf!$C$5*(Nodes!AN127)/('Off-Ramp'!M313*AC313)</f>
        <v>#DIV/0!</v>
      </c>
      <c r="Y128" s="55" t="e">
        <f>Y127+ATM_Conf!$C$5*(Nodes!AO127)/('Off-Ramp'!N313*AD313)</f>
        <v>#DIV/0!</v>
      </c>
      <c r="Z128" s="55" t="e">
        <f>Z127+ATM_Conf!$C$5*(Nodes!AP127)/('Off-Ramp'!O313*AE313)</f>
        <v>#DIV/0!</v>
      </c>
      <c r="AA128" s="55" t="e">
        <f>AA127+ATM_Conf!$C$5*(Nodes!AQ127)/('Off-Ramp'!P313*AF313)</f>
        <v>#DIV/0!</v>
      </c>
    </row>
    <row r="129" spans="1:27" x14ac:dyDescent="0.15">
      <c r="A129" s="48">
        <v>127</v>
      </c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55" t="e">
        <f t="shared" si="24"/>
        <v>#DIV/0!</v>
      </c>
      <c r="M129" s="55" t="e">
        <f t="shared" si="25"/>
        <v>#DIV/0!</v>
      </c>
      <c r="N129" s="55" t="e">
        <f t="shared" si="26"/>
        <v>#DIV/0!</v>
      </c>
      <c r="O129" s="55" t="e">
        <f t="shared" si="27"/>
        <v>#DIV/0!</v>
      </c>
      <c r="P129" s="73"/>
      <c r="Q129" s="73"/>
      <c r="R129" s="55" t="e">
        <f t="shared" si="28"/>
        <v>#DIV/0!</v>
      </c>
      <c r="S129" s="55" t="e">
        <f t="shared" si="29"/>
        <v>#DIV/0!</v>
      </c>
      <c r="T129" s="55" t="e">
        <f t="shared" si="30"/>
        <v>#DIV/0!</v>
      </c>
      <c r="U129" s="55" t="e">
        <f t="shared" si="23"/>
        <v>#DIV/0!</v>
      </c>
      <c r="V129" s="55" t="e">
        <f>V128+ATM_Conf!$C$5*(Nodes!AL128)/('Off-Ramp'!K314*AA314)</f>
        <v>#DIV/0!</v>
      </c>
      <c r="W129" s="55" t="e">
        <f>W128+ATM_Conf!$C$5*(Nodes!AM128)/('Off-Ramp'!L314*AB314)</f>
        <v>#DIV/0!</v>
      </c>
      <c r="X129" s="55" t="e">
        <f>X128+ATM_Conf!$C$5*(Nodes!AN128)/('Off-Ramp'!M314*AC314)</f>
        <v>#DIV/0!</v>
      </c>
      <c r="Y129" s="55" t="e">
        <f>Y128+ATM_Conf!$C$5*(Nodes!AO128)/('Off-Ramp'!N314*AD314)</f>
        <v>#DIV/0!</v>
      </c>
      <c r="Z129" s="55" t="e">
        <f>Z128+ATM_Conf!$C$5*(Nodes!AP128)/('Off-Ramp'!O314*AE314)</f>
        <v>#DIV/0!</v>
      </c>
      <c r="AA129" s="55" t="e">
        <f>AA128+ATM_Conf!$C$5*(Nodes!AQ128)/('Off-Ramp'!P314*AF314)</f>
        <v>#DIV/0!</v>
      </c>
    </row>
    <row r="130" spans="1:27" x14ac:dyDescent="0.15">
      <c r="A130" s="48">
        <v>128</v>
      </c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55" t="e">
        <f t="shared" si="24"/>
        <v>#DIV/0!</v>
      </c>
      <c r="M130" s="55" t="e">
        <f t="shared" si="25"/>
        <v>#DIV/0!</v>
      </c>
      <c r="N130" s="55" t="e">
        <f t="shared" si="26"/>
        <v>#DIV/0!</v>
      </c>
      <c r="O130" s="55" t="e">
        <f t="shared" si="27"/>
        <v>#DIV/0!</v>
      </c>
      <c r="P130" s="73"/>
      <c r="Q130" s="73"/>
      <c r="R130" s="55" t="e">
        <f t="shared" si="28"/>
        <v>#DIV/0!</v>
      </c>
      <c r="S130" s="55" t="e">
        <f t="shared" si="29"/>
        <v>#DIV/0!</v>
      </c>
      <c r="T130" s="55" t="e">
        <f t="shared" si="30"/>
        <v>#DIV/0!</v>
      </c>
      <c r="U130" s="55" t="e">
        <f t="shared" si="23"/>
        <v>#DIV/0!</v>
      </c>
      <c r="V130" s="55" t="e">
        <f>V129+ATM_Conf!$C$5*(Nodes!AL129)/('Off-Ramp'!K315*AA315)</f>
        <v>#DIV/0!</v>
      </c>
      <c r="W130" s="55" t="e">
        <f>W129+ATM_Conf!$C$5*(Nodes!AM129)/('Off-Ramp'!L315*AB315)</f>
        <v>#DIV/0!</v>
      </c>
      <c r="X130" s="55" t="e">
        <f>X129+ATM_Conf!$C$5*(Nodes!AN129)/('Off-Ramp'!M315*AC315)</f>
        <v>#DIV/0!</v>
      </c>
      <c r="Y130" s="55" t="e">
        <f>Y129+ATM_Conf!$C$5*(Nodes!AO129)/('Off-Ramp'!N315*AD315)</f>
        <v>#DIV/0!</v>
      </c>
      <c r="Z130" s="55" t="e">
        <f>Z129+ATM_Conf!$C$5*(Nodes!AP129)/('Off-Ramp'!O315*AE315)</f>
        <v>#DIV/0!</v>
      </c>
      <c r="AA130" s="55" t="e">
        <f>AA129+ATM_Conf!$C$5*(Nodes!AQ129)/('Off-Ramp'!P315*AF315)</f>
        <v>#DIV/0!</v>
      </c>
    </row>
    <row r="131" spans="1:27" x14ac:dyDescent="0.15">
      <c r="A131" s="48">
        <v>129</v>
      </c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55" t="e">
        <f t="shared" si="24"/>
        <v>#DIV/0!</v>
      </c>
      <c r="M131" s="55" t="e">
        <f t="shared" si="25"/>
        <v>#DIV/0!</v>
      </c>
      <c r="N131" s="55" t="e">
        <f t="shared" si="26"/>
        <v>#DIV/0!</v>
      </c>
      <c r="O131" s="55" t="e">
        <f t="shared" si="27"/>
        <v>#DIV/0!</v>
      </c>
      <c r="P131" s="73"/>
      <c r="Q131" s="73"/>
      <c r="R131" s="55" t="e">
        <f t="shared" si="28"/>
        <v>#DIV/0!</v>
      </c>
      <c r="S131" s="55" t="e">
        <f t="shared" si="29"/>
        <v>#DIV/0!</v>
      </c>
      <c r="T131" s="55" t="e">
        <f t="shared" si="30"/>
        <v>#DIV/0!</v>
      </c>
      <c r="U131" s="55" t="e">
        <f t="shared" si="23"/>
        <v>#DIV/0!</v>
      </c>
      <c r="V131" s="55" t="e">
        <f>V130+ATM_Conf!$C$5*(Nodes!AL130)/('Off-Ramp'!K316*AA316)</f>
        <v>#DIV/0!</v>
      </c>
      <c r="W131" s="55" t="e">
        <f>W130+ATM_Conf!$C$5*(Nodes!AM130)/('Off-Ramp'!L316*AB316)</f>
        <v>#DIV/0!</v>
      </c>
      <c r="X131" s="55" t="e">
        <f>X130+ATM_Conf!$C$5*(Nodes!AN130)/('Off-Ramp'!M316*AC316)</f>
        <v>#DIV/0!</v>
      </c>
      <c r="Y131" s="55" t="e">
        <f>Y130+ATM_Conf!$C$5*(Nodes!AO130)/('Off-Ramp'!N316*AD316)</f>
        <v>#DIV/0!</v>
      </c>
      <c r="Z131" s="55" t="e">
        <f>Z130+ATM_Conf!$C$5*(Nodes!AP130)/('Off-Ramp'!O316*AE316)</f>
        <v>#DIV/0!</v>
      </c>
      <c r="AA131" s="55" t="e">
        <f>AA130+ATM_Conf!$C$5*(Nodes!AQ130)/('Off-Ramp'!P316*AF316)</f>
        <v>#DIV/0!</v>
      </c>
    </row>
    <row r="132" spans="1:27" x14ac:dyDescent="0.15">
      <c r="A132" s="48">
        <v>130</v>
      </c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55" t="e">
        <f t="shared" ref="L132:L163" si="31">B132/60/A$189</f>
        <v>#DIV/0!</v>
      </c>
      <c r="M132" s="55" t="e">
        <f t="shared" ref="M132:M163" si="32">C132/60/B$189</f>
        <v>#DIV/0!</v>
      </c>
      <c r="N132" s="55" t="e">
        <f t="shared" ref="N132:N163" si="33">D132/60/C$189</f>
        <v>#DIV/0!</v>
      </c>
      <c r="O132" s="55" t="e">
        <f t="shared" ref="O132:O163" si="34">E132/60/D$189</f>
        <v>#DIV/0!</v>
      </c>
      <c r="P132" s="73"/>
      <c r="Q132" s="73"/>
      <c r="R132" s="55" t="e">
        <f t="shared" ref="R132:R163" si="35">H132/60/G$189</f>
        <v>#DIV/0!</v>
      </c>
      <c r="S132" s="55" t="e">
        <f t="shared" ref="S132:S163" si="36">I132/60/H$189</f>
        <v>#DIV/0!</v>
      </c>
      <c r="T132" s="55" t="e">
        <f t="shared" ref="T132:T163" si="37">J132/60/I$189</f>
        <v>#DIV/0!</v>
      </c>
      <c r="U132" s="55" t="e">
        <f t="shared" ref="U132:U182" si="38">K132/60/J$189</f>
        <v>#DIV/0!</v>
      </c>
      <c r="V132" s="55" t="e">
        <f>V131+ATM_Conf!$C$5*(Nodes!AL131)/('Off-Ramp'!K317*AA317)</f>
        <v>#DIV/0!</v>
      </c>
      <c r="W132" s="55" t="e">
        <f>W131+ATM_Conf!$C$5*(Nodes!AM131)/('Off-Ramp'!L317*AB317)</f>
        <v>#DIV/0!</v>
      </c>
      <c r="X132" s="55" t="e">
        <f>X131+ATM_Conf!$C$5*(Nodes!AN131)/('Off-Ramp'!M317*AC317)</f>
        <v>#DIV/0!</v>
      </c>
      <c r="Y132" s="55" t="e">
        <f>Y131+ATM_Conf!$C$5*(Nodes!AO131)/('Off-Ramp'!N317*AD317)</f>
        <v>#DIV/0!</v>
      </c>
      <c r="Z132" s="55" t="e">
        <f>Z131+ATM_Conf!$C$5*(Nodes!AP131)/('Off-Ramp'!O317*AE317)</f>
        <v>#DIV/0!</v>
      </c>
      <c r="AA132" s="55" t="e">
        <f>AA131+ATM_Conf!$C$5*(Nodes!AQ131)/('Off-Ramp'!P317*AF317)</f>
        <v>#DIV/0!</v>
      </c>
    </row>
    <row r="133" spans="1:27" x14ac:dyDescent="0.15">
      <c r="A133" s="48">
        <v>131</v>
      </c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55" t="e">
        <f t="shared" si="31"/>
        <v>#DIV/0!</v>
      </c>
      <c r="M133" s="55" t="e">
        <f t="shared" si="32"/>
        <v>#DIV/0!</v>
      </c>
      <c r="N133" s="55" t="e">
        <f t="shared" si="33"/>
        <v>#DIV/0!</v>
      </c>
      <c r="O133" s="55" t="e">
        <f t="shared" si="34"/>
        <v>#DIV/0!</v>
      </c>
      <c r="P133" s="73"/>
      <c r="Q133" s="73"/>
      <c r="R133" s="55" t="e">
        <f t="shared" si="35"/>
        <v>#DIV/0!</v>
      </c>
      <c r="S133" s="55" t="e">
        <f t="shared" si="36"/>
        <v>#DIV/0!</v>
      </c>
      <c r="T133" s="55" t="e">
        <f t="shared" si="37"/>
        <v>#DIV/0!</v>
      </c>
      <c r="U133" s="55" t="e">
        <f t="shared" si="38"/>
        <v>#DIV/0!</v>
      </c>
      <c r="V133" s="55" t="e">
        <f>V132+ATM_Conf!$C$5*(Nodes!AL132)/('Off-Ramp'!K318*AA318)</f>
        <v>#DIV/0!</v>
      </c>
      <c r="W133" s="55" t="e">
        <f>W132+ATM_Conf!$C$5*(Nodes!AM132)/('Off-Ramp'!L318*AB318)</f>
        <v>#DIV/0!</v>
      </c>
      <c r="X133" s="55" t="e">
        <f>X132+ATM_Conf!$C$5*(Nodes!AN132)/('Off-Ramp'!M318*AC318)</f>
        <v>#DIV/0!</v>
      </c>
      <c r="Y133" s="55" t="e">
        <f>Y132+ATM_Conf!$C$5*(Nodes!AO132)/('Off-Ramp'!N318*AD318)</f>
        <v>#DIV/0!</v>
      </c>
      <c r="Z133" s="55" t="e">
        <f>Z132+ATM_Conf!$C$5*(Nodes!AP132)/('Off-Ramp'!O318*AE318)</f>
        <v>#DIV/0!</v>
      </c>
      <c r="AA133" s="55" t="e">
        <f>AA132+ATM_Conf!$C$5*(Nodes!AQ132)/('Off-Ramp'!P318*AF318)</f>
        <v>#DIV/0!</v>
      </c>
    </row>
    <row r="134" spans="1:27" x14ac:dyDescent="0.15">
      <c r="A134" s="48">
        <v>132</v>
      </c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55" t="e">
        <f t="shared" si="31"/>
        <v>#DIV/0!</v>
      </c>
      <c r="M134" s="55" t="e">
        <f t="shared" si="32"/>
        <v>#DIV/0!</v>
      </c>
      <c r="N134" s="55" t="e">
        <f t="shared" si="33"/>
        <v>#DIV/0!</v>
      </c>
      <c r="O134" s="55" t="e">
        <f t="shared" si="34"/>
        <v>#DIV/0!</v>
      </c>
      <c r="P134" s="73"/>
      <c r="Q134" s="73"/>
      <c r="R134" s="55" t="e">
        <f t="shared" si="35"/>
        <v>#DIV/0!</v>
      </c>
      <c r="S134" s="55" t="e">
        <f t="shared" si="36"/>
        <v>#DIV/0!</v>
      </c>
      <c r="T134" s="55" t="e">
        <f t="shared" si="37"/>
        <v>#DIV/0!</v>
      </c>
      <c r="U134" s="55" t="e">
        <f t="shared" si="38"/>
        <v>#DIV/0!</v>
      </c>
      <c r="V134" s="55" t="e">
        <f>V133+ATM_Conf!$C$5*(Nodes!AL133)/('Off-Ramp'!K319*AA319)</f>
        <v>#DIV/0!</v>
      </c>
      <c r="W134" s="55" t="e">
        <f>W133+ATM_Conf!$C$5*(Nodes!AM133)/('Off-Ramp'!L319*AB319)</f>
        <v>#DIV/0!</v>
      </c>
      <c r="X134" s="55" t="e">
        <f>X133+ATM_Conf!$C$5*(Nodes!AN133)/('Off-Ramp'!M319*AC319)</f>
        <v>#DIV/0!</v>
      </c>
      <c r="Y134" s="55" t="e">
        <f>Y133+ATM_Conf!$C$5*(Nodes!AO133)/('Off-Ramp'!N319*AD319)</f>
        <v>#DIV/0!</v>
      </c>
      <c r="Z134" s="55" t="e">
        <f>Z133+ATM_Conf!$C$5*(Nodes!AP133)/('Off-Ramp'!O319*AE319)</f>
        <v>#DIV/0!</v>
      </c>
      <c r="AA134" s="55" t="e">
        <f>AA133+ATM_Conf!$C$5*(Nodes!AQ133)/('Off-Ramp'!P319*AF319)</f>
        <v>#DIV/0!</v>
      </c>
    </row>
    <row r="135" spans="1:27" x14ac:dyDescent="0.15">
      <c r="A135" s="48">
        <v>133</v>
      </c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55" t="e">
        <f t="shared" si="31"/>
        <v>#DIV/0!</v>
      </c>
      <c r="M135" s="55" t="e">
        <f t="shared" si="32"/>
        <v>#DIV/0!</v>
      </c>
      <c r="N135" s="55" t="e">
        <f t="shared" si="33"/>
        <v>#DIV/0!</v>
      </c>
      <c r="O135" s="55" t="e">
        <f t="shared" si="34"/>
        <v>#DIV/0!</v>
      </c>
      <c r="P135" s="73"/>
      <c r="Q135" s="73"/>
      <c r="R135" s="55" t="e">
        <f t="shared" si="35"/>
        <v>#DIV/0!</v>
      </c>
      <c r="S135" s="55" t="e">
        <f t="shared" si="36"/>
        <v>#DIV/0!</v>
      </c>
      <c r="T135" s="55" t="e">
        <f t="shared" si="37"/>
        <v>#DIV/0!</v>
      </c>
      <c r="U135" s="55" t="e">
        <f t="shared" si="38"/>
        <v>#DIV/0!</v>
      </c>
      <c r="V135" s="55" t="e">
        <f>V134+ATM_Conf!$C$5*(Nodes!AL134)/('Off-Ramp'!K320*AA320)</f>
        <v>#DIV/0!</v>
      </c>
      <c r="W135" s="55" t="e">
        <f>W134+ATM_Conf!$C$5*(Nodes!AM134)/('Off-Ramp'!L320*AB320)</f>
        <v>#DIV/0!</v>
      </c>
      <c r="X135" s="55" t="e">
        <f>X134+ATM_Conf!$C$5*(Nodes!AN134)/('Off-Ramp'!M320*AC320)</f>
        <v>#DIV/0!</v>
      </c>
      <c r="Y135" s="55" t="e">
        <f>Y134+ATM_Conf!$C$5*(Nodes!AO134)/('Off-Ramp'!N320*AD320)</f>
        <v>#DIV/0!</v>
      </c>
      <c r="Z135" s="55" t="e">
        <f>Z134+ATM_Conf!$C$5*(Nodes!AP134)/('Off-Ramp'!O320*AE320)</f>
        <v>#DIV/0!</v>
      </c>
      <c r="AA135" s="55" t="e">
        <f>AA134+ATM_Conf!$C$5*(Nodes!AQ134)/('Off-Ramp'!P320*AF320)</f>
        <v>#DIV/0!</v>
      </c>
    </row>
    <row r="136" spans="1:27" x14ac:dyDescent="0.15">
      <c r="A136" s="48">
        <v>134</v>
      </c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55" t="e">
        <f t="shared" si="31"/>
        <v>#DIV/0!</v>
      </c>
      <c r="M136" s="55" t="e">
        <f t="shared" si="32"/>
        <v>#DIV/0!</v>
      </c>
      <c r="N136" s="55" t="e">
        <f t="shared" si="33"/>
        <v>#DIV/0!</v>
      </c>
      <c r="O136" s="55" t="e">
        <f t="shared" si="34"/>
        <v>#DIV/0!</v>
      </c>
      <c r="P136" s="73"/>
      <c r="Q136" s="73"/>
      <c r="R136" s="55" t="e">
        <f t="shared" si="35"/>
        <v>#DIV/0!</v>
      </c>
      <c r="S136" s="55" t="e">
        <f t="shared" si="36"/>
        <v>#DIV/0!</v>
      </c>
      <c r="T136" s="55" t="e">
        <f t="shared" si="37"/>
        <v>#DIV/0!</v>
      </c>
      <c r="U136" s="55" t="e">
        <f t="shared" si="38"/>
        <v>#DIV/0!</v>
      </c>
      <c r="V136" s="55" t="e">
        <f>V135+ATM_Conf!$C$5*(Nodes!AL135)/('Off-Ramp'!K321*AA321)</f>
        <v>#DIV/0!</v>
      </c>
      <c r="W136" s="55" t="e">
        <f>W135+ATM_Conf!$C$5*(Nodes!AM135)/('Off-Ramp'!L321*AB321)</f>
        <v>#DIV/0!</v>
      </c>
      <c r="X136" s="55" t="e">
        <f>X135+ATM_Conf!$C$5*(Nodes!AN135)/('Off-Ramp'!M321*AC321)</f>
        <v>#DIV/0!</v>
      </c>
      <c r="Y136" s="55" t="e">
        <f>Y135+ATM_Conf!$C$5*(Nodes!AO135)/('Off-Ramp'!N321*AD321)</f>
        <v>#DIV/0!</v>
      </c>
      <c r="Z136" s="55" t="e">
        <f>Z135+ATM_Conf!$C$5*(Nodes!AP135)/('Off-Ramp'!O321*AE321)</f>
        <v>#DIV/0!</v>
      </c>
      <c r="AA136" s="55" t="e">
        <f>AA135+ATM_Conf!$C$5*(Nodes!AQ135)/('Off-Ramp'!P321*AF321)</f>
        <v>#DIV/0!</v>
      </c>
    </row>
    <row r="137" spans="1:27" x14ac:dyDescent="0.15">
      <c r="A137" s="48">
        <v>135</v>
      </c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55" t="e">
        <f t="shared" si="31"/>
        <v>#DIV/0!</v>
      </c>
      <c r="M137" s="55" t="e">
        <f t="shared" si="32"/>
        <v>#DIV/0!</v>
      </c>
      <c r="N137" s="55" t="e">
        <f t="shared" si="33"/>
        <v>#DIV/0!</v>
      </c>
      <c r="O137" s="55" t="e">
        <f t="shared" si="34"/>
        <v>#DIV/0!</v>
      </c>
      <c r="P137" s="73"/>
      <c r="Q137" s="73"/>
      <c r="R137" s="55" t="e">
        <f t="shared" si="35"/>
        <v>#DIV/0!</v>
      </c>
      <c r="S137" s="55" t="e">
        <f t="shared" si="36"/>
        <v>#DIV/0!</v>
      </c>
      <c r="T137" s="55" t="e">
        <f t="shared" si="37"/>
        <v>#DIV/0!</v>
      </c>
      <c r="U137" s="55" t="e">
        <f t="shared" si="38"/>
        <v>#DIV/0!</v>
      </c>
      <c r="V137" s="55" t="e">
        <f>V136+ATM_Conf!$C$5*(Nodes!AL136)/('Off-Ramp'!K322*AA322)</f>
        <v>#DIV/0!</v>
      </c>
      <c r="W137" s="55" t="e">
        <f>W136+ATM_Conf!$C$5*(Nodes!AM136)/('Off-Ramp'!L322*AB322)</f>
        <v>#DIV/0!</v>
      </c>
      <c r="X137" s="55" t="e">
        <f>X136+ATM_Conf!$C$5*(Nodes!AN136)/('Off-Ramp'!M322*AC322)</f>
        <v>#DIV/0!</v>
      </c>
      <c r="Y137" s="55" t="e">
        <f>Y136+ATM_Conf!$C$5*(Nodes!AO136)/('Off-Ramp'!N322*AD322)</f>
        <v>#DIV/0!</v>
      </c>
      <c r="Z137" s="55" t="e">
        <f>Z136+ATM_Conf!$C$5*(Nodes!AP136)/('Off-Ramp'!O322*AE322)</f>
        <v>#DIV/0!</v>
      </c>
      <c r="AA137" s="55" t="e">
        <f>AA136+ATM_Conf!$C$5*(Nodes!AQ136)/('Off-Ramp'!P322*AF322)</f>
        <v>#DIV/0!</v>
      </c>
    </row>
    <row r="138" spans="1:27" x14ac:dyDescent="0.15">
      <c r="A138" s="48">
        <v>136</v>
      </c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55" t="e">
        <f t="shared" si="31"/>
        <v>#DIV/0!</v>
      </c>
      <c r="M138" s="55" t="e">
        <f t="shared" si="32"/>
        <v>#DIV/0!</v>
      </c>
      <c r="N138" s="55" t="e">
        <f t="shared" si="33"/>
        <v>#DIV/0!</v>
      </c>
      <c r="O138" s="55" t="e">
        <f t="shared" si="34"/>
        <v>#DIV/0!</v>
      </c>
      <c r="P138" s="73"/>
      <c r="Q138" s="73"/>
      <c r="R138" s="55" t="e">
        <f t="shared" si="35"/>
        <v>#DIV/0!</v>
      </c>
      <c r="S138" s="55" t="e">
        <f t="shared" si="36"/>
        <v>#DIV/0!</v>
      </c>
      <c r="T138" s="55" t="e">
        <f t="shared" si="37"/>
        <v>#DIV/0!</v>
      </c>
      <c r="U138" s="55" t="e">
        <f t="shared" si="38"/>
        <v>#DIV/0!</v>
      </c>
      <c r="V138" s="55" t="e">
        <f>V137+ATM_Conf!$C$5*(Nodes!AL137)/('Off-Ramp'!K323*AA323)</f>
        <v>#DIV/0!</v>
      </c>
      <c r="W138" s="55" t="e">
        <f>W137+ATM_Conf!$C$5*(Nodes!AM137)/('Off-Ramp'!L323*AB323)</f>
        <v>#DIV/0!</v>
      </c>
      <c r="X138" s="55" t="e">
        <f>X137+ATM_Conf!$C$5*(Nodes!AN137)/('Off-Ramp'!M323*AC323)</f>
        <v>#DIV/0!</v>
      </c>
      <c r="Y138" s="55" t="e">
        <f>Y137+ATM_Conf!$C$5*(Nodes!AO137)/('Off-Ramp'!N323*AD323)</f>
        <v>#DIV/0!</v>
      </c>
      <c r="Z138" s="55" t="e">
        <f>Z137+ATM_Conf!$C$5*(Nodes!AP137)/('Off-Ramp'!O323*AE323)</f>
        <v>#DIV/0!</v>
      </c>
      <c r="AA138" s="55" t="e">
        <f>AA137+ATM_Conf!$C$5*(Nodes!AQ137)/('Off-Ramp'!P323*AF323)</f>
        <v>#DIV/0!</v>
      </c>
    </row>
    <row r="139" spans="1:27" x14ac:dyDescent="0.15">
      <c r="A139" s="48">
        <v>137</v>
      </c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55" t="e">
        <f t="shared" si="31"/>
        <v>#DIV/0!</v>
      </c>
      <c r="M139" s="55" t="e">
        <f t="shared" si="32"/>
        <v>#DIV/0!</v>
      </c>
      <c r="N139" s="55" t="e">
        <f t="shared" si="33"/>
        <v>#DIV/0!</v>
      </c>
      <c r="O139" s="55" t="e">
        <f t="shared" si="34"/>
        <v>#DIV/0!</v>
      </c>
      <c r="P139" s="73"/>
      <c r="Q139" s="73"/>
      <c r="R139" s="55" t="e">
        <f t="shared" si="35"/>
        <v>#DIV/0!</v>
      </c>
      <c r="S139" s="55" t="e">
        <f t="shared" si="36"/>
        <v>#DIV/0!</v>
      </c>
      <c r="T139" s="55" t="e">
        <f t="shared" si="37"/>
        <v>#DIV/0!</v>
      </c>
      <c r="U139" s="55" t="e">
        <f t="shared" si="38"/>
        <v>#DIV/0!</v>
      </c>
      <c r="V139" s="55" t="e">
        <f>V138+ATM_Conf!$C$5*(Nodes!AL138)/('Off-Ramp'!K324*AA324)</f>
        <v>#DIV/0!</v>
      </c>
      <c r="W139" s="55" t="e">
        <f>W138+ATM_Conf!$C$5*(Nodes!AM138)/('Off-Ramp'!L324*AB324)</f>
        <v>#DIV/0!</v>
      </c>
      <c r="X139" s="55" t="e">
        <f>X138+ATM_Conf!$C$5*(Nodes!AN138)/('Off-Ramp'!M324*AC324)</f>
        <v>#DIV/0!</v>
      </c>
      <c r="Y139" s="55" t="e">
        <f>Y138+ATM_Conf!$C$5*(Nodes!AO138)/('Off-Ramp'!N324*AD324)</f>
        <v>#DIV/0!</v>
      </c>
      <c r="Z139" s="55" t="e">
        <f>Z138+ATM_Conf!$C$5*(Nodes!AP138)/('Off-Ramp'!O324*AE324)</f>
        <v>#DIV/0!</v>
      </c>
      <c r="AA139" s="55" t="e">
        <f>AA138+ATM_Conf!$C$5*(Nodes!AQ138)/('Off-Ramp'!P324*AF324)</f>
        <v>#DIV/0!</v>
      </c>
    </row>
    <row r="140" spans="1:27" x14ac:dyDescent="0.15">
      <c r="A140" s="48">
        <v>138</v>
      </c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55" t="e">
        <f t="shared" si="31"/>
        <v>#DIV/0!</v>
      </c>
      <c r="M140" s="55" t="e">
        <f t="shared" si="32"/>
        <v>#DIV/0!</v>
      </c>
      <c r="N140" s="55" t="e">
        <f t="shared" si="33"/>
        <v>#DIV/0!</v>
      </c>
      <c r="O140" s="55" t="e">
        <f t="shared" si="34"/>
        <v>#DIV/0!</v>
      </c>
      <c r="P140" s="73"/>
      <c r="Q140" s="73"/>
      <c r="R140" s="55" t="e">
        <f t="shared" si="35"/>
        <v>#DIV/0!</v>
      </c>
      <c r="S140" s="55" t="e">
        <f t="shared" si="36"/>
        <v>#DIV/0!</v>
      </c>
      <c r="T140" s="55" t="e">
        <f t="shared" si="37"/>
        <v>#DIV/0!</v>
      </c>
      <c r="U140" s="55" t="e">
        <f t="shared" si="38"/>
        <v>#DIV/0!</v>
      </c>
      <c r="V140" s="55" t="e">
        <f>V139+ATM_Conf!$C$5*(Nodes!AL139)/('Off-Ramp'!K325*AA325)</f>
        <v>#DIV/0!</v>
      </c>
      <c r="W140" s="55" t="e">
        <f>W139+ATM_Conf!$C$5*(Nodes!AM139)/('Off-Ramp'!L325*AB325)</f>
        <v>#DIV/0!</v>
      </c>
      <c r="X140" s="55" t="e">
        <f>X139+ATM_Conf!$C$5*(Nodes!AN139)/('Off-Ramp'!M325*AC325)</f>
        <v>#DIV/0!</v>
      </c>
      <c r="Y140" s="55" t="e">
        <f>Y139+ATM_Conf!$C$5*(Nodes!AO139)/('Off-Ramp'!N325*AD325)</f>
        <v>#DIV/0!</v>
      </c>
      <c r="Z140" s="55" t="e">
        <f>Z139+ATM_Conf!$C$5*(Nodes!AP139)/('Off-Ramp'!O325*AE325)</f>
        <v>#DIV/0!</v>
      </c>
      <c r="AA140" s="55" t="e">
        <f>AA139+ATM_Conf!$C$5*(Nodes!AQ139)/('Off-Ramp'!P325*AF325)</f>
        <v>#DIV/0!</v>
      </c>
    </row>
    <row r="141" spans="1:27" x14ac:dyDescent="0.15">
      <c r="A141" s="48">
        <v>139</v>
      </c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55" t="e">
        <f t="shared" si="31"/>
        <v>#DIV/0!</v>
      </c>
      <c r="M141" s="55" t="e">
        <f t="shared" si="32"/>
        <v>#DIV/0!</v>
      </c>
      <c r="N141" s="55" t="e">
        <f t="shared" si="33"/>
        <v>#DIV/0!</v>
      </c>
      <c r="O141" s="55" t="e">
        <f t="shared" si="34"/>
        <v>#DIV/0!</v>
      </c>
      <c r="P141" s="73"/>
      <c r="Q141" s="73"/>
      <c r="R141" s="55" t="e">
        <f t="shared" si="35"/>
        <v>#DIV/0!</v>
      </c>
      <c r="S141" s="55" t="e">
        <f t="shared" si="36"/>
        <v>#DIV/0!</v>
      </c>
      <c r="T141" s="55" t="e">
        <f t="shared" si="37"/>
        <v>#DIV/0!</v>
      </c>
      <c r="U141" s="55" t="e">
        <f t="shared" si="38"/>
        <v>#DIV/0!</v>
      </c>
      <c r="V141" s="55" t="e">
        <f>V140+ATM_Conf!$C$5*(Nodes!AL140)/('Off-Ramp'!K326*AA326)</f>
        <v>#DIV/0!</v>
      </c>
      <c r="W141" s="55" t="e">
        <f>W140+ATM_Conf!$C$5*(Nodes!AM140)/('Off-Ramp'!L326*AB326)</f>
        <v>#DIV/0!</v>
      </c>
      <c r="X141" s="55" t="e">
        <f>X140+ATM_Conf!$C$5*(Nodes!AN140)/('Off-Ramp'!M326*AC326)</f>
        <v>#DIV/0!</v>
      </c>
      <c r="Y141" s="55" t="e">
        <f>Y140+ATM_Conf!$C$5*(Nodes!AO140)/('Off-Ramp'!N326*AD326)</f>
        <v>#DIV/0!</v>
      </c>
      <c r="Z141" s="55" t="e">
        <f>Z140+ATM_Conf!$C$5*(Nodes!AP140)/('Off-Ramp'!O326*AE326)</f>
        <v>#DIV/0!</v>
      </c>
      <c r="AA141" s="55" t="e">
        <f>AA140+ATM_Conf!$C$5*(Nodes!AQ140)/('Off-Ramp'!P326*AF326)</f>
        <v>#DIV/0!</v>
      </c>
    </row>
    <row r="142" spans="1:27" x14ac:dyDescent="0.15">
      <c r="A142" s="48">
        <v>140</v>
      </c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55" t="e">
        <f t="shared" si="31"/>
        <v>#DIV/0!</v>
      </c>
      <c r="M142" s="55" t="e">
        <f t="shared" si="32"/>
        <v>#DIV/0!</v>
      </c>
      <c r="N142" s="55" t="e">
        <f t="shared" si="33"/>
        <v>#DIV/0!</v>
      </c>
      <c r="O142" s="55" t="e">
        <f t="shared" si="34"/>
        <v>#DIV/0!</v>
      </c>
      <c r="P142" s="73"/>
      <c r="Q142" s="73"/>
      <c r="R142" s="55" t="e">
        <f t="shared" si="35"/>
        <v>#DIV/0!</v>
      </c>
      <c r="S142" s="55" t="e">
        <f t="shared" si="36"/>
        <v>#DIV/0!</v>
      </c>
      <c r="T142" s="55" t="e">
        <f t="shared" si="37"/>
        <v>#DIV/0!</v>
      </c>
      <c r="U142" s="55" t="e">
        <f t="shared" si="38"/>
        <v>#DIV/0!</v>
      </c>
      <c r="V142" s="55" t="e">
        <f>V141+ATM_Conf!$C$5*(Nodes!AL141)/('Off-Ramp'!K327*AA327)</f>
        <v>#DIV/0!</v>
      </c>
      <c r="W142" s="55" t="e">
        <f>W141+ATM_Conf!$C$5*(Nodes!AM141)/('Off-Ramp'!L327*AB327)</f>
        <v>#DIV/0!</v>
      </c>
      <c r="X142" s="55" t="e">
        <f>X141+ATM_Conf!$C$5*(Nodes!AN141)/('Off-Ramp'!M327*AC327)</f>
        <v>#DIV/0!</v>
      </c>
      <c r="Y142" s="55" t="e">
        <f>Y141+ATM_Conf!$C$5*(Nodes!AO141)/('Off-Ramp'!N327*AD327)</f>
        <v>#DIV/0!</v>
      </c>
      <c r="Z142" s="55" t="e">
        <f>Z141+ATM_Conf!$C$5*(Nodes!AP141)/('Off-Ramp'!O327*AE327)</f>
        <v>#DIV/0!</v>
      </c>
      <c r="AA142" s="55" t="e">
        <f>AA141+ATM_Conf!$C$5*(Nodes!AQ141)/('Off-Ramp'!P327*AF327)</f>
        <v>#DIV/0!</v>
      </c>
    </row>
    <row r="143" spans="1:27" x14ac:dyDescent="0.15">
      <c r="A143" s="48">
        <v>141</v>
      </c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55" t="e">
        <f t="shared" si="31"/>
        <v>#DIV/0!</v>
      </c>
      <c r="M143" s="55" t="e">
        <f t="shared" si="32"/>
        <v>#DIV/0!</v>
      </c>
      <c r="N143" s="55" t="e">
        <f t="shared" si="33"/>
        <v>#DIV/0!</v>
      </c>
      <c r="O143" s="55" t="e">
        <f t="shared" si="34"/>
        <v>#DIV/0!</v>
      </c>
      <c r="P143" s="73"/>
      <c r="Q143" s="73"/>
      <c r="R143" s="55" t="e">
        <f t="shared" si="35"/>
        <v>#DIV/0!</v>
      </c>
      <c r="S143" s="55" t="e">
        <f t="shared" si="36"/>
        <v>#DIV/0!</v>
      </c>
      <c r="T143" s="55" t="e">
        <f t="shared" si="37"/>
        <v>#DIV/0!</v>
      </c>
      <c r="U143" s="55" t="e">
        <f t="shared" si="38"/>
        <v>#DIV/0!</v>
      </c>
      <c r="V143" s="55" t="e">
        <f>V142+ATM_Conf!$C$5*(Nodes!AL142)/('Off-Ramp'!K328*AA328)</f>
        <v>#DIV/0!</v>
      </c>
      <c r="W143" s="55" t="e">
        <f>W142+ATM_Conf!$C$5*(Nodes!AM142)/('Off-Ramp'!L328*AB328)</f>
        <v>#DIV/0!</v>
      </c>
      <c r="X143" s="55" t="e">
        <f>X142+ATM_Conf!$C$5*(Nodes!AN142)/('Off-Ramp'!M328*AC328)</f>
        <v>#DIV/0!</v>
      </c>
      <c r="Y143" s="55" t="e">
        <f>Y142+ATM_Conf!$C$5*(Nodes!AO142)/('Off-Ramp'!N328*AD328)</f>
        <v>#DIV/0!</v>
      </c>
      <c r="Z143" s="55" t="e">
        <f>Z142+ATM_Conf!$C$5*(Nodes!AP142)/('Off-Ramp'!O328*AE328)</f>
        <v>#DIV/0!</v>
      </c>
      <c r="AA143" s="55" t="e">
        <f>AA142+ATM_Conf!$C$5*(Nodes!AQ142)/('Off-Ramp'!P328*AF328)</f>
        <v>#DIV/0!</v>
      </c>
    </row>
    <row r="144" spans="1:27" x14ac:dyDescent="0.15">
      <c r="A144" s="48">
        <v>142</v>
      </c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55" t="e">
        <f t="shared" si="31"/>
        <v>#DIV/0!</v>
      </c>
      <c r="M144" s="55" t="e">
        <f t="shared" si="32"/>
        <v>#DIV/0!</v>
      </c>
      <c r="N144" s="55" t="e">
        <f t="shared" si="33"/>
        <v>#DIV/0!</v>
      </c>
      <c r="O144" s="55" t="e">
        <f t="shared" si="34"/>
        <v>#DIV/0!</v>
      </c>
      <c r="P144" s="73"/>
      <c r="Q144" s="73"/>
      <c r="R144" s="55" t="e">
        <f t="shared" si="35"/>
        <v>#DIV/0!</v>
      </c>
      <c r="S144" s="55" t="e">
        <f t="shared" si="36"/>
        <v>#DIV/0!</v>
      </c>
      <c r="T144" s="55" t="e">
        <f t="shared" si="37"/>
        <v>#DIV/0!</v>
      </c>
      <c r="U144" s="55" t="e">
        <f t="shared" si="38"/>
        <v>#DIV/0!</v>
      </c>
      <c r="V144" s="55" t="e">
        <f>V143+ATM_Conf!$C$5*(Nodes!AL143)/('Off-Ramp'!K329*AA329)</f>
        <v>#DIV/0!</v>
      </c>
      <c r="W144" s="55" t="e">
        <f>W143+ATM_Conf!$C$5*(Nodes!AM143)/('Off-Ramp'!L329*AB329)</f>
        <v>#DIV/0!</v>
      </c>
      <c r="X144" s="55" t="e">
        <f>X143+ATM_Conf!$C$5*(Nodes!AN143)/('Off-Ramp'!M329*AC329)</f>
        <v>#DIV/0!</v>
      </c>
      <c r="Y144" s="55" t="e">
        <f>Y143+ATM_Conf!$C$5*(Nodes!AO143)/('Off-Ramp'!N329*AD329)</f>
        <v>#DIV/0!</v>
      </c>
      <c r="Z144" s="55" t="e">
        <f>Z143+ATM_Conf!$C$5*(Nodes!AP143)/('Off-Ramp'!O329*AE329)</f>
        <v>#DIV/0!</v>
      </c>
      <c r="AA144" s="55" t="e">
        <f>AA143+ATM_Conf!$C$5*(Nodes!AQ143)/('Off-Ramp'!P329*AF329)</f>
        <v>#DIV/0!</v>
      </c>
    </row>
    <row r="145" spans="1:27" x14ac:dyDescent="0.15">
      <c r="A145" s="48">
        <v>143</v>
      </c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55" t="e">
        <f t="shared" si="31"/>
        <v>#DIV/0!</v>
      </c>
      <c r="M145" s="55" t="e">
        <f t="shared" si="32"/>
        <v>#DIV/0!</v>
      </c>
      <c r="N145" s="55" t="e">
        <f t="shared" si="33"/>
        <v>#DIV/0!</v>
      </c>
      <c r="O145" s="55" t="e">
        <f t="shared" si="34"/>
        <v>#DIV/0!</v>
      </c>
      <c r="P145" s="73"/>
      <c r="Q145" s="73"/>
      <c r="R145" s="55" t="e">
        <f t="shared" si="35"/>
        <v>#DIV/0!</v>
      </c>
      <c r="S145" s="55" t="e">
        <f t="shared" si="36"/>
        <v>#DIV/0!</v>
      </c>
      <c r="T145" s="55" t="e">
        <f t="shared" si="37"/>
        <v>#DIV/0!</v>
      </c>
      <c r="U145" s="55" t="e">
        <f t="shared" si="38"/>
        <v>#DIV/0!</v>
      </c>
      <c r="V145" s="55" t="e">
        <f>V144+ATM_Conf!$C$5*(Nodes!AL144)/('Off-Ramp'!K330*AA330)</f>
        <v>#DIV/0!</v>
      </c>
      <c r="W145" s="55" t="e">
        <f>W144+ATM_Conf!$C$5*(Nodes!AM144)/('Off-Ramp'!L330*AB330)</f>
        <v>#DIV/0!</v>
      </c>
      <c r="X145" s="55" t="e">
        <f>X144+ATM_Conf!$C$5*(Nodes!AN144)/('Off-Ramp'!M330*AC330)</f>
        <v>#DIV/0!</v>
      </c>
      <c r="Y145" s="55" t="e">
        <f>Y144+ATM_Conf!$C$5*(Nodes!AO144)/('Off-Ramp'!N330*AD330)</f>
        <v>#DIV/0!</v>
      </c>
      <c r="Z145" s="55" t="e">
        <f>Z144+ATM_Conf!$C$5*(Nodes!AP144)/('Off-Ramp'!O330*AE330)</f>
        <v>#DIV/0!</v>
      </c>
      <c r="AA145" s="55" t="e">
        <f>AA144+ATM_Conf!$C$5*(Nodes!AQ144)/('Off-Ramp'!P330*AF330)</f>
        <v>#DIV/0!</v>
      </c>
    </row>
    <row r="146" spans="1:27" x14ac:dyDescent="0.15">
      <c r="A146" s="48">
        <v>144</v>
      </c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55" t="e">
        <f t="shared" si="31"/>
        <v>#DIV/0!</v>
      </c>
      <c r="M146" s="55" t="e">
        <f t="shared" si="32"/>
        <v>#DIV/0!</v>
      </c>
      <c r="N146" s="55" t="e">
        <f t="shared" si="33"/>
        <v>#DIV/0!</v>
      </c>
      <c r="O146" s="55" t="e">
        <f t="shared" si="34"/>
        <v>#DIV/0!</v>
      </c>
      <c r="P146" s="73"/>
      <c r="Q146" s="73"/>
      <c r="R146" s="55" t="e">
        <f t="shared" si="35"/>
        <v>#DIV/0!</v>
      </c>
      <c r="S146" s="55" t="e">
        <f t="shared" si="36"/>
        <v>#DIV/0!</v>
      </c>
      <c r="T146" s="55" t="e">
        <f t="shared" si="37"/>
        <v>#DIV/0!</v>
      </c>
      <c r="U146" s="55" t="e">
        <f t="shared" si="38"/>
        <v>#DIV/0!</v>
      </c>
      <c r="V146" s="55" t="e">
        <f>V145+ATM_Conf!$C$5*(Nodes!AL145)/('Off-Ramp'!K331*AA331)</f>
        <v>#DIV/0!</v>
      </c>
      <c r="W146" s="55" t="e">
        <f>W145+ATM_Conf!$C$5*(Nodes!AM145)/('Off-Ramp'!L331*AB331)</f>
        <v>#DIV/0!</v>
      </c>
      <c r="X146" s="55" t="e">
        <f>X145+ATM_Conf!$C$5*(Nodes!AN145)/('Off-Ramp'!M331*AC331)</f>
        <v>#DIV/0!</v>
      </c>
      <c r="Y146" s="55" t="e">
        <f>Y145+ATM_Conf!$C$5*(Nodes!AO145)/('Off-Ramp'!N331*AD331)</f>
        <v>#DIV/0!</v>
      </c>
      <c r="Z146" s="55" t="e">
        <f>Z145+ATM_Conf!$C$5*(Nodes!AP145)/('Off-Ramp'!O331*AE331)</f>
        <v>#DIV/0!</v>
      </c>
      <c r="AA146" s="55" t="e">
        <f>AA145+ATM_Conf!$C$5*(Nodes!AQ145)/('Off-Ramp'!P331*AF331)</f>
        <v>#DIV/0!</v>
      </c>
    </row>
    <row r="147" spans="1:27" x14ac:dyDescent="0.15">
      <c r="A147" s="48">
        <v>145</v>
      </c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55" t="e">
        <f t="shared" si="31"/>
        <v>#DIV/0!</v>
      </c>
      <c r="M147" s="55" t="e">
        <f t="shared" si="32"/>
        <v>#DIV/0!</v>
      </c>
      <c r="N147" s="55" t="e">
        <f t="shared" si="33"/>
        <v>#DIV/0!</v>
      </c>
      <c r="O147" s="55" t="e">
        <f t="shared" si="34"/>
        <v>#DIV/0!</v>
      </c>
      <c r="P147" s="73"/>
      <c r="Q147" s="73"/>
      <c r="R147" s="55" t="e">
        <f t="shared" si="35"/>
        <v>#DIV/0!</v>
      </c>
      <c r="S147" s="55" t="e">
        <f t="shared" si="36"/>
        <v>#DIV/0!</v>
      </c>
      <c r="T147" s="55" t="e">
        <f t="shared" si="37"/>
        <v>#DIV/0!</v>
      </c>
      <c r="U147" s="55" t="e">
        <f t="shared" si="38"/>
        <v>#DIV/0!</v>
      </c>
      <c r="V147" s="55" t="e">
        <f>V146+ATM_Conf!$C$5*(Nodes!AL146)/('Off-Ramp'!K332*AA332)</f>
        <v>#DIV/0!</v>
      </c>
      <c r="W147" s="55" t="e">
        <f>W146+ATM_Conf!$C$5*(Nodes!AM146)/('Off-Ramp'!L332*AB332)</f>
        <v>#DIV/0!</v>
      </c>
      <c r="X147" s="55" t="e">
        <f>X146+ATM_Conf!$C$5*(Nodes!AN146)/('Off-Ramp'!M332*AC332)</f>
        <v>#DIV/0!</v>
      </c>
      <c r="Y147" s="55" t="e">
        <f>Y146+ATM_Conf!$C$5*(Nodes!AO146)/('Off-Ramp'!N332*AD332)</f>
        <v>#DIV/0!</v>
      </c>
      <c r="Z147" s="55" t="e">
        <f>Z146+ATM_Conf!$C$5*(Nodes!AP146)/('Off-Ramp'!O332*AE332)</f>
        <v>#DIV/0!</v>
      </c>
      <c r="AA147" s="55" t="e">
        <f>AA146+ATM_Conf!$C$5*(Nodes!AQ146)/('Off-Ramp'!P332*AF332)</f>
        <v>#DIV/0!</v>
      </c>
    </row>
    <row r="148" spans="1:27" x14ac:dyDescent="0.15">
      <c r="A148" s="48">
        <v>146</v>
      </c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55" t="e">
        <f t="shared" si="31"/>
        <v>#DIV/0!</v>
      </c>
      <c r="M148" s="55" t="e">
        <f t="shared" si="32"/>
        <v>#DIV/0!</v>
      </c>
      <c r="N148" s="55" t="e">
        <f t="shared" si="33"/>
        <v>#DIV/0!</v>
      </c>
      <c r="O148" s="55" t="e">
        <f t="shared" si="34"/>
        <v>#DIV/0!</v>
      </c>
      <c r="P148" s="73"/>
      <c r="Q148" s="73"/>
      <c r="R148" s="55" t="e">
        <f t="shared" si="35"/>
        <v>#DIV/0!</v>
      </c>
      <c r="S148" s="55" t="e">
        <f t="shared" si="36"/>
        <v>#DIV/0!</v>
      </c>
      <c r="T148" s="55" t="e">
        <f t="shared" si="37"/>
        <v>#DIV/0!</v>
      </c>
      <c r="U148" s="55" t="e">
        <f t="shared" si="38"/>
        <v>#DIV/0!</v>
      </c>
      <c r="V148" s="55" t="e">
        <f>V147+ATM_Conf!$C$5*(Nodes!AL147)/('Off-Ramp'!K333*AA333)</f>
        <v>#DIV/0!</v>
      </c>
      <c r="W148" s="55" t="e">
        <f>W147+ATM_Conf!$C$5*(Nodes!AM147)/('Off-Ramp'!L333*AB333)</f>
        <v>#DIV/0!</v>
      </c>
      <c r="X148" s="55" t="e">
        <f>X147+ATM_Conf!$C$5*(Nodes!AN147)/('Off-Ramp'!M333*AC333)</f>
        <v>#DIV/0!</v>
      </c>
      <c r="Y148" s="55" t="e">
        <f>Y147+ATM_Conf!$C$5*(Nodes!AO147)/('Off-Ramp'!N333*AD333)</f>
        <v>#DIV/0!</v>
      </c>
      <c r="Z148" s="55" t="e">
        <f>Z147+ATM_Conf!$C$5*(Nodes!AP147)/('Off-Ramp'!O333*AE333)</f>
        <v>#DIV/0!</v>
      </c>
      <c r="AA148" s="55" t="e">
        <f>AA147+ATM_Conf!$C$5*(Nodes!AQ147)/('Off-Ramp'!P333*AF333)</f>
        <v>#DIV/0!</v>
      </c>
    </row>
    <row r="149" spans="1:27" x14ac:dyDescent="0.15">
      <c r="A149" s="48">
        <v>147</v>
      </c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55" t="e">
        <f t="shared" si="31"/>
        <v>#DIV/0!</v>
      </c>
      <c r="M149" s="55" t="e">
        <f t="shared" si="32"/>
        <v>#DIV/0!</v>
      </c>
      <c r="N149" s="55" t="e">
        <f t="shared" si="33"/>
        <v>#DIV/0!</v>
      </c>
      <c r="O149" s="55" t="e">
        <f t="shared" si="34"/>
        <v>#DIV/0!</v>
      </c>
      <c r="P149" s="73"/>
      <c r="Q149" s="73"/>
      <c r="R149" s="55" t="e">
        <f t="shared" si="35"/>
        <v>#DIV/0!</v>
      </c>
      <c r="S149" s="55" t="e">
        <f t="shared" si="36"/>
        <v>#DIV/0!</v>
      </c>
      <c r="T149" s="55" t="e">
        <f t="shared" si="37"/>
        <v>#DIV/0!</v>
      </c>
      <c r="U149" s="55" t="e">
        <f t="shared" si="38"/>
        <v>#DIV/0!</v>
      </c>
      <c r="V149" s="55" t="e">
        <f>V148+ATM_Conf!$C$5*(Nodes!AL148)/('Off-Ramp'!K334*AA334)</f>
        <v>#DIV/0!</v>
      </c>
      <c r="W149" s="55" t="e">
        <f>W148+ATM_Conf!$C$5*(Nodes!AM148)/('Off-Ramp'!L334*AB334)</f>
        <v>#DIV/0!</v>
      </c>
      <c r="X149" s="55" t="e">
        <f>X148+ATM_Conf!$C$5*(Nodes!AN148)/('Off-Ramp'!M334*AC334)</f>
        <v>#DIV/0!</v>
      </c>
      <c r="Y149" s="55" t="e">
        <f>Y148+ATM_Conf!$C$5*(Nodes!AO148)/('Off-Ramp'!N334*AD334)</f>
        <v>#DIV/0!</v>
      </c>
      <c r="Z149" s="55" t="e">
        <f>Z148+ATM_Conf!$C$5*(Nodes!AP148)/('Off-Ramp'!O334*AE334)</f>
        <v>#DIV/0!</v>
      </c>
      <c r="AA149" s="55" t="e">
        <f>AA148+ATM_Conf!$C$5*(Nodes!AQ148)/('Off-Ramp'!P334*AF334)</f>
        <v>#DIV/0!</v>
      </c>
    </row>
    <row r="150" spans="1:27" x14ac:dyDescent="0.15">
      <c r="A150" s="48">
        <v>148</v>
      </c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55" t="e">
        <f t="shared" si="31"/>
        <v>#DIV/0!</v>
      </c>
      <c r="M150" s="55" t="e">
        <f t="shared" si="32"/>
        <v>#DIV/0!</v>
      </c>
      <c r="N150" s="55" t="e">
        <f t="shared" si="33"/>
        <v>#DIV/0!</v>
      </c>
      <c r="O150" s="55" t="e">
        <f t="shared" si="34"/>
        <v>#DIV/0!</v>
      </c>
      <c r="P150" s="73"/>
      <c r="Q150" s="73"/>
      <c r="R150" s="55" t="e">
        <f t="shared" si="35"/>
        <v>#DIV/0!</v>
      </c>
      <c r="S150" s="55" t="e">
        <f t="shared" si="36"/>
        <v>#DIV/0!</v>
      </c>
      <c r="T150" s="55" t="e">
        <f t="shared" si="37"/>
        <v>#DIV/0!</v>
      </c>
      <c r="U150" s="55" t="e">
        <f t="shared" si="38"/>
        <v>#DIV/0!</v>
      </c>
      <c r="V150" s="55" t="e">
        <f>V149+ATM_Conf!$C$5*(Nodes!AL149)/('Off-Ramp'!K335*AA335)</f>
        <v>#DIV/0!</v>
      </c>
      <c r="W150" s="55" t="e">
        <f>W149+ATM_Conf!$C$5*(Nodes!AM149)/('Off-Ramp'!L335*AB335)</f>
        <v>#DIV/0!</v>
      </c>
      <c r="X150" s="55" t="e">
        <f>X149+ATM_Conf!$C$5*(Nodes!AN149)/('Off-Ramp'!M335*AC335)</f>
        <v>#DIV/0!</v>
      </c>
      <c r="Y150" s="55" t="e">
        <f>Y149+ATM_Conf!$C$5*(Nodes!AO149)/('Off-Ramp'!N335*AD335)</f>
        <v>#DIV/0!</v>
      </c>
      <c r="Z150" s="55" t="e">
        <f>Z149+ATM_Conf!$C$5*(Nodes!AP149)/('Off-Ramp'!O335*AE335)</f>
        <v>#DIV/0!</v>
      </c>
      <c r="AA150" s="55" t="e">
        <f>AA149+ATM_Conf!$C$5*(Nodes!AQ149)/('Off-Ramp'!P335*AF335)</f>
        <v>#DIV/0!</v>
      </c>
    </row>
    <row r="151" spans="1:27" x14ac:dyDescent="0.15">
      <c r="A151" s="48">
        <v>149</v>
      </c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55" t="e">
        <f t="shared" si="31"/>
        <v>#DIV/0!</v>
      </c>
      <c r="M151" s="55" t="e">
        <f t="shared" si="32"/>
        <v>#DIV/0!</v>
      </c>
      <c r="N151" s="55" t="e">
        <f t="shared" si="33"/>
        <v>#DIV/0!</v>
      </c>
      <c r="O151" s="55" t="e">
        <f t="shared" si="34"/>
        <v>#DIV/0!</v>
      </c>
      <c r="P151" s="73"/>
      <c r="Q151" s="73"/>
      <c r="R151" s="55" t="e">
        <f t="shared" si="35"/>
        <v>#DIV/0!</v>
      </c>
      <c r="S151" s="55" t="e">
        <f t="shared" si="36"/>
        <v>#DIV/0!</v>
      </c>
      <c r="T151" s="55" t="e">
        <f t="shared" si="37"/>
        <v>#DIV/0!</v>
      </c>
      <c r="U151" s="55" t="e">
        <f t="shared" si="38"/>
        <v>#DIV/0!</v>
      </c>
      <c r="V151" s="55" t="e">
        <f>V150+ATM_Conf!$C$5*(Nodes!AL150)/('Off-Ramp'!K336*AA336)</f>
        <v>#DIV/0!</v>
      </c>
      <c r="W151" s="55" t="e">
        <f>W150+ATM_Conf!$C$5*(Nodes!AM150)/('Off-Ramp'!L336*AB336)</f>
        <v>#DIV/0!</v>
      </c>
      <c r="X151" s="55" t="e">
        <f>X150+ATM_Conf!$C$5*(Nodes!AN150)/('Off-Ramp'!M336*AC336)</f>
        <v>#DIV/0!</v>
      </c>
      <c r="Y151" s="55" t="e">
        <f>Y150+ATM_Conf!$C$5*(Nodes!AO150)/('Off-Ramp'!N336*AD336)</f>
        <v>#DIV/0!</v>
      </c>
      <c r="Z151" s="55" t="e">
        <f>Z150+ATM_Conf!$C$5*(Nodes!AP150)/('Off-Ramp'!O336*AE336)</f>
        <v>#DIV/0!</v>
      </c>
      <c r="AA151" s="55" t="e">
        <f>AA150+ATM_Conf!$C$5*(Nodes!AQ150)/('Off-Ramp'!P336*AF336)</f>
        <v>#DIV/0!</v>
      </c>
    </row>
    <row r="152" spans="1:27" x14ac:dyDescent="0.15">
      <c r="A152" s="48">
        <v>150</v>
      </c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55" t="e">
        <f t="shared" si="31"/>
        <v>#DIV/0!</v>
      </c>
      <c r="M152" s="55" t="e">
        <f t="shared" si="32"/>
        <v>#DIV/0!</v>
      </c>
      <c r="N152" s="55" t="e">
        <f t="shared" si="33"/>
        <v>#DIV/0!</v>
      </c>
      <c r="O152" s="55" t="e">
        <f t="shared" si="34"/>
        <v>#DIV/0!</v>
      </c>
      <c r="P152" s="73"/>
      <c r="Q152" s="73"/>
      <c r="R152" s="55" t="e">
        <f t="shared" si="35"/>
        <v>#DIV/0!</v>
      </c>
      <c r="S152" s="55" t="e">
        <f t="shared" si="36"/>
        <v>#DIV/0!</v>
      </c>
      <c r="T152" s="55" t="e">
        <f t="shared" si="37"/>
        <v>#DIV/0!</v>
      </c>
      <c r="U152" s="55" t="e">
        <f t="shared" si="38"/>
        <v>#DIV/0!</v>
      </c>
      <c r="V152" s="55" t="e">
        <f>V151+ATM_Conf!$C$5*(Nodes!AL151)/('Off-Ramp'!K337*AA337)</f>
        <v>#DIV/0!</v>
      </c>
      <c r="W152" s="55" t="e">
        <f>W151+ATM_Conf!$C$5*(Nodes!AM151)/('Off-Ramp'!L337*AB337)</f>
        <v>#DIV/0!</v>
      </c>
      <c r="X152" s="55" t="e">
        <f>X151+ATM_Conf!$C$5*(Nodes!AN151)/('Off-Ramp'!M337*AC337)</f>
        <v>#DIV/0!</v>
      </c>
      <c r="Y152" s="55" t="e">
        <f>Y151+ATM_Conf!$C$5*(Nodes!AO151)/('Off-Ramp'!N337*AD337)</f>
        <v>#DIV/0!</v>
      </c>
      <c r="Z152" s="55" t="e">
        <f>Z151+ATM_Conf!$C$5*(Nodes!AP151)/('Off-Ramp'!O337*AE337)</f>
        <v>#DIV/0!</v>
      </c>
      <c r="AA152" s="55" t="e">
        <f>AA151+ATM_Conf!$C$5*(Nodes!AQ151)/('Off-Ramp'!P337*AF337)</f>
        <v>#DIV/0!</v>
      </c>
    </row>
    <row r="153" spans="1:27" x14ac:dyDescent="0.15">
      <c r="A153" s="48">
        <v>151</v>
      </c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55" t="e">
        <f t="shared" si="31"/>
        <v>#DIV/0!</v>
      </c>
      <c r="M153" s="55" t="e">
        <f t="shared" si="32"/>
        <v>#DIV/0!</v>
      </c>
      <c r="N153" s="55" t="e">
        <f t="shared" si="33"/>
        <v>#DIV/0!</v>
      </c>
      <c r="O153" s="55" t="e">
        <f t="shared" si="34"/>
        <v>#DIV/0!</v>
      </c>
      <c r="P153" s="73"/>
      <c r="Q153" s="73"/>
      <c r="R153" s="55" t="e">
        <f t="shared" si="35"/>
        <v>#DIV/0!</v>
      </c>
      <c r="S153" s="55" t="e">
        <f t="shared" si="36"/>
        <v>#DIV/0!</v>
      </c>
      <c r="T153" s="55" t="e">
        <f t="shared" si="37"/>
        <v>#DIV/0!</v>
      </c>
      <c r="U153" s="55" t="e">
        <f t="shared" si="38"/>
        <v>#DIV/0!</v>
      </c>
      <c r="V153" s="55" t="e">
        <f>V152+ATM_Conf!$C$5*(Nodes!AL152)/('Off-Ramp'!K338*AA338)</f>
        <v>#DIV/0!</v>
      </c>
      <c r="W153" s="55" t="e">
        <f>W152+ATM_Conf!$C$5*(Nodes!AM152)/('Off-Ramp'!L338*AB338)</f>
        <v>#DIV/0!</v>
      </c>
      <c r="X153" s="55" t="e">
        <f>X152+ATM_Conf!$C$5*(Nodes!AN152)/('Off-Ramp'!M338*AC338)</f>
        <v>#DIV/0!</v>
      </c>
      <c r="Y153" s="55" t="e">
        <f>Y152+ATM_Conf!$C$5*(Nodes!AO152)/('Off-Ramp'!N338*AD338)</f>
        <v>#DIV/0!</v>
      </c>
      <c r="Z153" s="55" t="e">
        <f>Z152+ATM_Conf!$C$5*(Nodes!AP152)/('Off-Ramp'!O338*AE338)</f>
        <v>#DIV/0!</v>
      </c>
      <c r="AA153" s="55" t="e">
        <f>AA152+ATM_Conf!$C$5*(Nodes!AQ152)/('Off-Ramp'!P338*AF338)</f>
        <v>#DIV/0!</v>
      </c>
    </row>
    <row r="154" spans="1:27" x14ac:dyDescent="0.15">
      <c r="A154" s="48">
        <v>152</v>
      </c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55" t="e">
        <f t="shared" si="31"/>
        <v>#DIV/0!</v>
      </c>
      <c r="M154" s="55" t="e">
        <f t="shared" si="32"/>
        <v>#DIV/0!</v>
      </c>
      <c r="N154" s="55" t="e">
        <f t="shared" si="33"/>
        <v>#DIV/0!</v>
      </c>
      <c r="O154" s="55" t="e">
        <f t="shared" si="34"/>
        <v>#DIV/0!</v>
      </c>
      <c r="P154" s="73"/>
      <c r="Q154" s="73"/>
      <c r="R154" s="55" t="e">
        <f t="shared" si="35"/>
        <v>#DIV/0!</v>
      </c>
      <c r="S154" s="55" t="e">
        <f t="shared" si="36"/>
        <v>#DIV/0!</v>
      </c>
      <c r="T154" s="55" t="e">
        <f t="shared" si="37"/>
        <v>#DIV/0!</v>
      </c>
      <c r="U154" s="55" t="e">
        <f t="shared" si="38"/>
        <v>#DIV/0!</v>
      </c>
      <c r="V154" s="55" t="e">
        <f>V153+ATM_Conf!$C$5*(Nodes!AL153)/('Off-Ramp'!K339*AA339)</f>
        <v>#DIV/0!</v>
      </c>
      <c r="W154" s="55" t="e">
        <f>W153+ATM_Conf!$C$5*(Nodes!AM153)/('Off-Ramp'!L339*AB339)</f>
        <v>#DIV/0!</v>
      </c>
      <c r="X154" s="55" t="e">
        <f>X153+ATM_Conf!$C$5*(Nodes!AN153)/('Off-Ramp'!M339*AC339)</f>
        <v>#DIV/0!</v>
      </c>
      <c r="Y154" s="55" t="e">
        <f>Y153+ATM_Conf!$C$5*(Nodes!AO153)/('Off-Ramp'!N339*AD339)</f>
        <v>#DIV/0!</v>
      </c>
      <c r="Z154" s="55" t="e">
        <f>Z153+ATM_Conf!$C$5*(Nodes!AP153)/('Off-Ramp'!O339*AE339)</f>
        <v>#DIV/0!</v>
      </c>
      <c r="AA154" s="55" t="e">
        <f>AA153+ATM_Conf!$C$5*(Nodes!AQ153)/('Off-Ramp'!P339*AF339)</f>
        <v>#DIV/0!</v>
      </c>
    </row>
    <row r="155" spans="1:27" x14ac:dyDescent="0.15">
      <c r="A155" s="48">
        <v>153</v>
      </c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55" t="e">
        <f t="shared" si="31"/>
        <v>#DIV/0!</v>
      </c>
      <c r="M155" s="55" t="e">
        <f t="shared" si="32"/>
        <v>#DIV/0!</v>
      </c>
      <c r="N155" s="55" t="e">
        <f t="shared" si="33"/>
        <v>#DIV/0!</v>
      </c>
      <c r="O155" s="55" t="e">
        <f t="shared" si="34"/>
        <v>#DIV/0!</v>
      </c>
      <c r="P155" s="73"/>
      <c r="Q155" s="73"/>
      <c r="R155" s="55" t="e">
        <f t="shared" si="35"/>
        <v>#DIV/0!</v>
      </c>
      <c r="S155" s="55" t="e">
        <f t="shared" si="36"/>
        <v>#DIV/0!</v>
      </c>
      <c r="T155" s="55" t="e">
        <f t="shared" si="37"/>
        <v>#DIV/0!</v>
      </c>
      <c r="U155" s="55" t="e">
        <f t="shared" si="38"/>
        <v>#DIV/0!</v>
      </c>
      <c r="V155" s="55" t="e">
        <f>V154+ATM_Conf!$C$5*(Nodes!AL154)/('Off-Ramp'!K340*AA340)</f>
        <v>#DIV/0!</v>
      </c>
      <c r="W155" s="55" t="e">
        <f>W154+ATM_Conf!$C$5*(Nodes!AM154)/('Off-Ramp'!L340*AB340)</f>
        <v>#DIV/0!</v>
      </c>
      <c r="X155" s="55" t="e">
        <f>X154+ATM_Conf!$C$5*(Nodes!AN154)/('Off-Ramp'!M340*AC340)</f>
        <v>#DIV/0!</v>
      </c>
      <c r="Y155" s="55" t="e">
        <f>Y154+ATM_Conf!$C$5*(Nodes!AO154)/('Off-Ramp'!N340*AD340)</f>
        <v>#DIV/0!</v>
      </c>
      <c r="Z155" s="55" t="e">
        <f>Z154+ATM_Conf!$C$5*(Nodes!AP154)/('Off-Ramp'!O340*AE340)</f>
        <v>#DIV/0!</v>
      </c>
      <c r="AA155" s="55" t="e">
        <f>AA154+ATM_Conf!$C$5*(Nodes!AQ154)/('Off-Ramp'!P340*AF340)</f>
        <v>#DIV/0!</v>
      </c>
    </row>
    <row r="156" spans="1:27" x14ac:dyDescent="0.15">
      <c r="A156" s="48">
        <v>154</v>
      </c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55" t="e">
        <f t="shared" si="31"/>
        <v>#DIV/0!</v>
      </c>
      <c r="M156" s="55" t="e">
        <f t="shared" si="32"/>
        <v>#DIV/0!</v>
      </c>
      <c r="N156" s="55" t="e">
        <f t="shared" si="33"/>
        <v>#DIV/0!</v>
      </c>
      <c r="O156" s="55" t="e">
        <f t="shared" si="34"/>
        <v>#DIV/0!</v>
      </c>
      <c r="P156" s="73"/>
      <c r="Q156" s="73"/>
      <c r="R156" s="55" t="e">
        <f t="shared" si="35"/>
        <v>#DIV/0!</v>
      </c>
      <c r="S156" s="55" t="e">
        <f t="shared" si="36"/>
        <v>#DIV/0!</v>
      </c>
      <c r="T156" s="55" t="e">
        <f t="shared" si="37"/>
        <v>#DIV/0!</v>
      </c>
      <c r="U156" s="55" t="e">
        <f t="shared" si="38"/>
        <v>#DIV/0!</v>
      </c>
      <c r="V156" s="55" t="e">
        <f>V155+ATM_Conf!$C$5*(Nodes!AL155)/('Off-Ramp'!K341*AA341)</f>
        <v>#DIV/0!</v>
      </c>
      <c r="W156" s="55" t="e">
        <f>W155+ATM_Conf!$C$5*(Nodes!AM155)/('Off-Ramp'!L341*AB341)</f>
        <v>#DIV/0!</v>
      </c>
      <c r="X156" s="55" t="e">
        <f>X155+ATM_Conf!$C$5*(Nodes!AN155)/('Off-Ramp'!M341*AC341)</f>
        <v>#DIV/0!</v>
      </c>
      <c r="Y156" s="55" t="e">
        <f>Y155+ATM_Conf!$C$5*(Nodes!AO155)/('Off-Ramp'!N341*AD341)</f>
        <v>#DIV/0!</v>
      </c>
      <c r="Z156" s="55" t="e">
        <f>Z155+ATM_Conf!$C$5*(Nodes!AP155)/('Off-Ramp'!O341*AE341)</f>
        <v>#DIV/0!</v>
      </c>
      <c r="AA156" s="55" t="e">
        <f>AA155+ATM_Conf!$C$5*(Nodes!AQ155)/('Off-Ramp'!P341*AF341)</f>
        <v>#DIV/0!</v>
      </c>
    </row>
    <row r="157" spans="1:27" x14ac:dyDescent="0.15">
      <c r="A157" s="48">
        <v>155</v>
      </c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55" t="e">
        <f t="shared" si="31"/>
        <v>#DIV/0!</v>
      </c>
      <c r="M157" s="55" t="e">
        <f t="shared" si="32"/>
        <v>#DIV/0!</v>
      </c>
      <c r="N157" s="55" t="e">
        <f t="shared" si="33"/>
        <v>#DIV/0!</v>
      </c>
      <c r="O157" s="55" t="e">
        <f t="shared" si="34"/>
        <v>#DIV/0!</v>
      </c>
      <c r="P157" s="73"/>
      <c r="Q157" s="73"/>
      <c r="R157" s="55" t="e">
        <f t="shared" si="35"/>
        <v>#DIV/0!</v>
      </c>
      <c r="S157" s="55" t="e">
        <f t="shared" si="36"/>
        <v>#DIV/0!</v>
      </c>
      <c r="T157" s="55" t="e">
        <f t="shared" si="37"/>
        <v>#DIV/0!</v>
      </c>
      <c r="U157" s="55" t="e">
        <f t="shared" si="38"/>
        <v>#DIV/0!</v>
      </c>
      <c r="V157" s="55" t="e">
        <f>V156+ATM_Conf!$C$5*(Nodes!AL156)/('Off-Ramp'!K342*AA342)</f>
        <v>#DIV/0!</v>
      </c>
      <c r="W157" s="55" t="e">
        <f>W156+ATM_Conf!$C$5*(Nodes!AM156)/('Off-Ramp'!L342*AB342)</f>
        <v>#DIV/0!</v>
      </c>
      <c r="X157" s="55" t="e">
        <f>X156+ATM_Conf!$C$5*(Nodes!AN156)/('Off-Ramp'!M342*AC342)</f>
        <v>#DIV/0!</v>
      </c>
      <c r="Y157" s="55" t="e">
        <f>Y156+ATM_Conf!$C$5*(Nodes!AO156)/('Off-Ramp'!N342*AD342)</f>
        <v>#DIV/0!</v>
      </c>
      <c r="Z157" s="55" t="e">
        <f>Z156+ATM_Conf!$C$5*(Nodes!AP156)/('Off-Ramp'!O342*AE342)</f>
        <v>#DIV/0!</v>
      </c>
      <c r="AA157" s="55" t="e">
        <f>AA156+ATM_Conf!$C$5*(Nodes!AQ156)/('Off-Ramp'!P342*AF342)</f>
        <v>#DIV/0!</v>
      </c>
    </row>
    <row r="158" spans="1:27" x14ac:dyDescent="0.15">
      <c r="A158" s="48">
        <v>156</v>
      </c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55" t="e">
        <f t="shared" si="31"/>
        <v>#DIV/0!</v>
      </c>
      <c r="M158" s="55" t="e">
        <f t="shared" si="32"/>
        <v>#DIV/0!</v>
      </c>
      <c r="N158" s="55" t="e">
        <f t="shared" si="33"/>
        <v>#DIV/0!</v>
      </c>
      <c r="O158" s="55" t="e">
        <f t="shared" si="34"/>
        <v>#DIV/0!</v>
      </c>
      <c r="P158" s="73"/>
      <c r="Q158" s="73"/>
      <c r="R158" s="55" t="e">
        <f t="shared" si="35"/>
        <v>#DIV/0!</v>
      </c>
      <c r="S158" s="55" t="e">
        <f t="shared" si="36"/>
        <v>#DIV/0!</v>
      </c>
      <c r="T158" s="55" t="e">
        <f t="shared" si="37"/>
        <v>#DIV/0!</v>
      </c>
      <c r="U158" s="55" t="e">
        <f t="shared" si="38"/>
        <v>#DIV/0!</v>
      </c>
      <c r="V158" s="55" t="e">
        <f>V157+ATM_Conf!$C$5*(Nodes!AL157)/('Off-Ramp'!K343*AA343)</f>
        <v>#DIV/0!</v>
      </c>
      <c r="W158" s="55" t="e">
        <f>W157+ATM_Conf!$C$5*(Nodes!AM157)/('Off-Ramp'!L343*AB343)</f>
        <v>#DIV/0!</v>
      </c>
      <c r="X158" s="55" t="e">
        <f>X157+ATM_Conf!$C$5*(Nodes!AN157)/('Off-Ramp'!M343*AC343)</f>
        <v>#DIV/0!</v>
      </c>
      <c r="Y158" s="55" t="e">
        <f>Y157+ATM_Conf!$C$5*(Nodes!AO157)/('Off-Ramp'!N343*AD343)</f>
        <v>#DIV/0!</v>
      </c>
      <c r="Z158" s="55" t="e">
        <f>Z157+ATM_Conf!$C$5*(Nodes!AP157)/('Off-Ramp'!O343*AE343)</f>
        <v>#DIV/0!</v>
      </c>
      <c r="AA158" s="55" t="e">
        <f>AA157+ATM_Conf!$C$5*(Nodes!AQ157)/('Off-Ramp'!P343*AF343)</f>
        <v>#DIV/0!</v>
      </c>
    </row>
    <row r="159" spans="1:27" x14ac:dyDescent="0.15">
      <c r="A159" s="48">
        <v>157</v>
      </c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55" t="e">
        <f t="shared" si="31"/>
        <v>#DIV/0!</v>
      </c>
      <c r="M159" s="55" t="e">
        <f t="shared" si="32"/>
        <v>#DIV/0!</v>
      </c>
      <c r="N159" s="55" t="e">
        <f t="shared" si="33"/>
        <v>#DIV/0!</v>
      </c>
      <c r="O159" s="55" t="e">
        <f t="shared" si="34"/>
        <v>#DIV/0!</v>
      </c>
      <c r="P159" s="73"/>
      <c r="Q159" s="73"/>
      <c r="R159" s="55" t="e">
        <f t="shared" si="35"/>
        <v>#DIV/0!</v>
      </c>
      <c r="S159" s="55" t="e">
        <f t="shared" si="36"/>
        <v>#DIV/0!</v>
      </c>
      <c r="T159" s="55" t="e">
        <f t="shared" si="37"/>
        <v>#DIV/0!</v>
      </c>
      <c r="U159" s="55" t="e">
        <f t="shared" si="38"/>
        <v>#DIV/0!</v>
      </c>
      <c r="V159" s="55" t="e">
        <f>V158+ATM_Conf!$C$5*(Nodes!AL158)/('Off-Ramp'!K344*AA344)</f>
        <v>#DIV/0!</v>
      </c>
      <c r="W159" s="55" t="e">
        <f>W158+ATM_Conf!$C$5*(Nodes!AM158)/('Off-Ramp'!L344*AB344)</f>
        <v>#DIV/0!</v>
      </c>
      <c r="X159" s="55" t="e">
        <f>X158+ATM_Conf!$C$5*(Nodes!AN158)/('Off-Ramp'!M344*AC344)</f>
        <v>#DIV/0!</v>
      </c>
      <c r="Y159" s="55" t="e">
        <f>Y158+ATM_Conf!$C$5*(Nodes!AO158)/('Off-Ramp'!N344*AD344)</f>
        <v>#DIV/0!</v>
      </c>
      <c r="Z159" s="55" t="e">
        <f>Z158+ATM_Conf!$C$5*(Nodes!AP158)/('Off-Ramp'!O344*AE344)</f>
        <v>#DIV/0!</v>
      </c>
      <c r="AA159" s="55" t="e">
        <f>AA158+ATM_Conf!$C$5*(Nodes!AQ158)/('Off-Ramp'!P344*AF344)</f>
        <v>#DIV/0!</v>
      </c>
    </row>
    <row r="160" spans="1:27" x14ac:dyDescent="0.15">
      <c r="A160" s="48">
        <v>158</v>
      </c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55" t="e">
        <f t="shared" si="31"/>
        <v>#DIV/0!</v>
      </c>
      <c r="M160" s="55" t="e">
        <f t="shared" si="32"/>
        <v>#DIV/0!</v>
      </c>
      <c r="N160" s="55" t="e">
        <f t="shared" si="33"/>
        <v>#DIV/0!</v>
      </c>
      <c r="O160" s="55" t="e">
        <f t="shared" si="34"/>
        <v>#DIV/0!</v>
      </c>
      <c r="P160" s="73"/>
      <c r="Q160" s="73"/>
      <c r="R160" s="55" t="e">
        <f t="shared" si="35"/>
        <v>#DIV/0!</v>
      </c>
      <c r="S160" s="55" t="e">
        <f t="shared" si="36"/>
        <v>#DIV/0!</v>
      </c>
      <c r="T160" s="55" t="e">
        <f t="shared" si="37"/>
        <v>#DIV/0!</v>
      </c>
      <c r="U160" s="55" t="e">
        <f t="shared" si="38"/>
        <v>#DIV/0!</v>
      </c>
      <c r="V160" s="55" t="e">
        <f>V159+ATM_Conf!$C$5*(Nodes!AL159)/('Off-Ramp'!K345*AA345)</f>
        <v>#DIV/0!</v>
      </c>
      <c r="W160" s="55" t="e">
        <f>W159+ATM_Conf!$C$5*(Nodes!AM159)/('Off-Ramp'!L345*AB345)</f>
        <v>#DIV/0!</v>
      </c>
      <c r="X160" s="55" t="e">
        <f>X159+ATM_Conf!$C$5*(Nodes!AN159)/('Off-Ramp'!M345*AC345)</f>
        <v>#DIV/0!</v>
      </c>
      <c r="Y160" s="55" t="e">
        <f>Y159+ATM_Conf!$C$5*(Nodes!AO159)/('Off-Ramp'!N345*AD345)</f>
        <v>#DIV/0!</v>
      </c>
      <c r="Z160" s="55" t="e">
        <f>Z159+ATM_Conf!$C$5*(Nodes!AP159)/('Off-Ramp'!O345*AE345)</f>
        <v>#DIV/0!</v>
      </c>
      <c r="AA160" s="55" t="e">
        <f>AA159+ATM_Conf!$C$5*(Nodes!AQ159)/('Off-Ramp'!P345*AF345)</f>
        <v>#DIV/0!</v>
      </c>
    </row>
    <row r="161" spans="1:27" x14ac:dyDescent="0.15">
      <c r="A161" s="48">
        <v>159</v>
      </c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55" t="e">
        <f t="shared" si="31"/>
        <v>#DIV/0!</v>
      </c>
      <c r="M161" s="55" t="e">
        <f t="shared" si="32"/>
        <v>#DIV/0!</v>
      </c>
      <c r="N161" s="55" t="e">
        <f t="shared" si="33"/>
        <v>#DIV/0!</v>
      </c>
      <c r="O161" s="55" t="e">
        <f t="shared" si="34"/>
        <v>#DIV/0!</v>
      </c>
      <c r="P161" s="73"/>
      <c r="Q161" s="73"/>
      <c r="R161" s="55" t="e">
        <f t="shared" si="35"/>
        <v>#DIV/0!</v>
      </c>
      <c r="S161" s="55" t="e">
        <f t="shared" si="36"/>
        <v>#DIV/0!</v>
      </c>
      <c r="T161" s="55" t="e">
        <f t="shared" si="37"/>
        <v>#DIV/0!</v>
      </c>
      <c r="U161" s="55" t="e">
        <f t="shared" si="38"/>
        <v>#DIV/0!</v>
      </c>
      <c r="V161" s="55" t="e">
        <f>V160+ATM_Conf!$C$5*(Nodes!AL160)/('Off-Ramp'!K346*AA346)</f>
        <v>#DIV/0!</v>
      </c>
      <c r="W161" s="55" t="e">
        <f>W160+ATM_Conf!$C$5*(Nodes!AM160)/('Off-Ramp'!L346*AB346)</f>
        <v>#DIV/0!</v>
      </c>
      <c r="X161" s="55" t="e">
        <f>X160+ATM_Conf!$C$5*(Nodes!AN160)/('Off-Ramp'!M346*AC346)</f>
        <v>#DIV/0!</v>
      </c>
      <c r="Y161" s="55" t="e">
        <f>Y160+ATM_Conf!$C$5*(Nodes!AO160)/('Off-Ramp'!N346*AD346)</f>
        <v>#DIV/0!</v>
      </c>
      <c r="Z161" s="55" t="e">
        <f>Z160+ATM_Conf!$C$5*(Nodes!AP160)/('Off-Ramp'!O346*AE346)</f>
        <v>#DIV/0!</v>
      </c>
      <c r="AA161" s="55" t="e">
        <f>AA160+ATM_Conf!$C$5*(Nodes!AQ160)/('Off-Ramp'!P346*AF346)</f>
        <v>#DIV/0!</v>
      </c>
    </row>
    <row r="162" spans="1:27" x14ac:dyDescent="0.15">
      <c r="A162" s="48">
        <v>160</v>
      </c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55" t="e">
        <f t="shared" si="31"/>
        <v>#DIV/0!</v>
      </c>
      <c r="M162" s="55" t="e">
        <f t="shared" si="32"/>
        <v>#DIV/0!</v>
      </c>
      <c r="N162" s="55" t="e">
        <f t="shared" si="33"/>
        <v>#DIV/0!</v>
      </c>
      <c r="O162" s="55" t="e">
        <f t="shared" si="34"/>
        <v>#DIV/0!</v>
      </c>
      <c r="P162" s="73"/>
      <c r="Q162" s="73"/>
      <c r="R162" s="55" t="e">
        <f t="shared" si="35"/>
        <v>#DIV/0!</v>
      </c>
      <c r="S162" s="55" t="e">
        <f t="shared" si="36"/>
        <v>#DIV/0!</v>
      </c>
      <c r="T162" s="55" t="e">
        <f t="shared" si="37"/>
        <v>#DIV/0!</v>
      </c>
      <c r="U162" s="55" t="e">
        <f t="shared" si="38"/>
        <v>#DIV/0!</v>
      </c>
      <c r="V162" s="55" t="e">
        <f>V161+ATM_Conf!$C$5*(Nodes!AL161)/('Off-Ramp'!K347*AA347)</f>
        <v>#DIV/0!</v>
      </c>
      <c r="W162" s="55" t="e">
        <f>W161+ATM_Conf!$C$5*(Nodes!AM161)/('Off-Ramp'!L347*AB347)</f>
        <v>#DIV/0!</v>
      </c>
      <c r="X162" s="55" t="e">
        <f>X161+ATM_Conf!$C$5*(Nodes!AN161)/('Off-Ramp'!M347*AC347)</f>
        <v>#DIV/0!</v>
      </c>
      <c r="Y162" s="55" t="e">
        <f>Y161+ATM_Conf!$C$5*(Nodes!AO161)/('Off-Ramp'!N347*AD347)</f>
        <v>#DIV/0!</v>
      </c>
      <c r="Z162" s="55" t="e">
        <f>Z161+ATM_Conf!$C$5*(Nodes!AP161)/('Off-Ramp'!O347*AE347)</f>
        <v>#DIV/0!</v>
      </c>
      <c r="AA162" s="55" t="e">
        <f>AA161+ATM_Conf!$C$5*(Nodes!AQ161)/('Off-Ramp'!P347*AF347)</f>
        <v>#DIV/0!</v>
      </c>
    </row>
    <row r="163" spans="1:27" x14ac:dyDescent="0.15">
      <c r="A163" s="48">
        <v>161</v>
      </c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55" t="e">
        <f t="shared" si="31"/>
        <v>#DIV/0!</v>
      </c>
      <c r="M163" s="55" t="e">
        <f t="shared" si="32"/>
        <v>#DIV/0!</v>
      </c>
      <c r="N163" s="55" t="e">
        <f t="shared" si="33"/>
        <v>#DIV/0!</v>
      </c>
      <c r="O163" s="55" t="e">
        <f t="shared" si="34"/>
        <v>#DIV/0!</v>
      </c>
      <c r="P163" s="73"/>
      <c r="Q163" s="73"/>
      <c r="R163" s="55" t="e">
        <f t="shared" si="35"/>
        <v>#DIV/0!</v>
      </c>
      <c r="S163" s="55" t="e">
        <f t="shared" si="36"/>
        <v>#DIV/0!</v>
      </c>
      <c r="T163" s="55" t="e">
        <f t="shared" si="37"/>
        <v>#DIV/0!</v>
      </c>
      <c r="U163" s="55" t="e">
        <f t="shared" si="38"/>
        <v>#DIV/0!</v>
      </c>
      <c r="V163" s="55" t="e">
        <f>V162+ATM_Conf!$C$5*(Nodes!AL162)/('Off-Ramp'!K348*AA348)</f>
        <v>#DIV/0!</v>
      </c>
      <c r="W163" s="55" t="e">
        <f>W162+ATM_Conf!$C$5*(Nodes!AM162)/('Off-Ramp'!L348*AB348)</f>
        <v>#DIV/0!</v>
      </c>
      <c r="X163" s="55" t="e">
        <f>X162+ATM_Conf!$C$5*(Nodes!AN162)/('Off-Ramp'!M348*AC348)</f>
        <v>#DIV/0!</v>
      </c>
      <c r="Y163" s="55" t="e">
        <f>Y162+ATM_Conf!$C$5*(Nodes!AO162)/('Off-Ramp'!N348*AD348)</f>
        <v>#DIV/0!</v>
      </c>
      <c r="Z163" s="55" t="e">
        <f>Z162+ATM_Conf!$C$5*(Nodes!AP162)/('Off-Ramp'!O348*AE348)</f>
        <v>#DIV/0!</v>
      </c>
      <c r="AA163" s="55" t="e">
        <f>AA162+ATM_Conf!$C$5*(Nodes!AQ162)/('Off-Ramp'!P348*AF348)</f>
        <v>#DIV/0!</v>
      </c>
    </row>
    <row r="164" spans="1:27" x14ac:dyDescent="0.15">
      <c r="A164" s="48">
        <v>162</v>
      </c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55" t="e">
        <f t="shared" ref="L164:L182" si="39">B164/60/A$189</f>
        <v>#DIV/0!</v>
      </c>
      <c r="M164" s="55" t="e">
        <f t="shared" ref="M164:M182" si="40">C164/60/B$189</f>
        <v>#DIV/0!</v>
      </c>
      <c r="N164" s="55" t="e">
        <f t="shared" ref="N164:N182" si="41">D164/60/C$189</f>
        <v>#DIV/0!</v>
      </c>
      <c r="O164" s="55" t="e">
        <f t="shared" ref="O164:O182" si="42">E164/60/D$189</f>
        <v>#DIV/0!</v>
      </c>
      <c r="P164" s="73"/>
      <c r="Q164" s="73"/>
      <c r="R164" s="55" t="e">
        <f t="shared" ref="R164:R182" si="43">H164/60/G$189</f>
        <v>#DIV/0!</v>
      </c>
      <c r="S164" s="55" t="e">
        <f t="shared" ref="S164:S182" si="44">I164/60/H$189</f>
        <v>#DIV/0!</v>
      </c>
      <c r="T164" s="55" t="e">
        <f t="shared" ref="T164:T182" si="45">J164/60/I$189</f>
        <v>#DIV/0!</v>
      </c>
      <c r="U164" s="55" t="e">
        <f t="shared" si="38"/>
        <v>#DIV/0!</v>
      </c>
      <c r="V164" s="55" t="e">
        <f>V163+ATM_Conf!$C$5*(Nodes!AL163)/('Off-Ramp'!K349*AA349)</f>
        <v>#DIV/0!</v>
      </c>
      <c r="W164" s="55" t="e">
        <f>W163+ATM_Conf!$C$5*(Nodes!AM163)/('Off-Ramp'!L349*AB349)</f>
        <v>#DIV/0!</v>
      </c>
      <c r="X164" s="55" t="e">
        <f>X163+ATM_Conf!$C$5*(Nodes!AN163)/('Off-Ramp'!M349*AC349)</f>
        <v>#DIV/0!</v>
      </c>
      <c r="Y164" s="55" t="e">
        <f>Y163+ATM_Conf!$C$5*(Nodes!AO163)/('Off-Ramp'!N349*AD349)</f>
        <v>#DIV/0!</v>
      </c>
      <c r="Z164" s="55" t="e">
        <f>Z163+ATM_Conf!$C$5*(Nodes!AP163)/('Off-Ramp'!O349*AE349)</f>
        <v>#DIV/0!</v>
      </c>
      <c r="AA164" s="55" t="e">
        <f>AA163+ATM_Conf!$C$5*(Nodes!AQ163)/('Off-Ramp'!P349*AF349)</f>
        <v>#DIV/0!</v>
      </c>
    </row>
    <row r="165" spans="1:27" x14ac:dyDescent="0.15">
      <c r="A165" s="48">
        <v>163</v>
      </c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55" t="e">
        <f t="shared" si="39"/>
        <v>#DIV/0!</v>
      </c>
      <c r="M165" s="55" t="e">
        <f t="shared" si="40"/>
        <v>#DIV/0!</v>
      </c>
      <c r="N165" s="55" t="e">
        <f t="shared" si="41"/>
        <v>#DIV/0!</v>
      </c>
      <c r="O165" s="55" t="e">
        <f t="shared" si="42"/>
        <v>#DIV/0!</v>
      </c>
      <c r="P165" s="73"/>
      <c r="Q165" s="73"/>
      <c r="R165" s="55" t="e">
        <f t="shared" si="43"/>
        <v>#DIV/0!</v>
      </c>
      <c r="S165" s="55" t="e">
        <f t="shared" si="44"/>
        <v>#DIV/0!</v>
      </c>
      <c r="T165" s="55" t="e">
        <f t="shared" si="45"/>
        <v>#DIV/0!</v>
      </c>
      <c r="U165" s="55" t="e">
        <f t="shared" si="38"/>
        <v>#DIV/0!</v>
      </c>
      <c r="V165" s="55" t="e">
        <f>V164+ATM_Conf!$C$5*(Nodes!AL164)/('Off-Ramp'!K350*AA350)</f>
        <v>#DIV/0!</v>
      </c>
      <c r="W165" s="55" t="e">
        <f>W164+ATM_Conf!$C$5*(Nodes!AM164)/('Off-Ramp'!L350*AB350)</f>
        <v>#DIV/0!</v>
      </c>
      <c r="X165" s="55" t="e">
        <f>X164+ATM_Conf!$C$5*(Nodes!AN164)/('Off-Ramp'!M350*AC350)</f>
        <v>#DIV/0!</v>
      </c>
      <c r="Y165" s="55" t="e">
        <f>Y164+ATM_Conf!$C$5*(Nodes!AO164)/('Off-Ramp'!N350*AD350)</f>
        <v>#DIV/0!</v>
      </c>
      <c r="Z165" s="55" t="e">
        <f>Z164+ATM_Conf!$C$5*(Nodes!AP164)/('Off-Ramp'!O350*AE350)</f>
        <v>#DIV/0!</v>
      </c>
      <c r="AA165" s="55" t="e">
        <f>AA164+ATM_Conf!$C$5*(Nodes!AQ164)/('Off-Ramp'!P350*AF350)</f>
        <v>#DIV/0!</v>
      </c>
    </row>
    <row r="166" spans="1:27" x14ac:dyDescent="0.15">
      <c r="A166" s="48">
        <v>164</v>
      </c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55" t="e">
        <f t="shared" si="39"/>
        <v>#DIV/0!</v>
      </c>
      <c r="M166" s="55" t="e">
        <f t="shared" si="40"/>
        <v>#DIV/0!</v>
      </c>
      <c r="N166" s="55" t="e">
        <f t="shared" si="41"/>
        <v>#DIV/0!</v>
      </c>
      <c r="O166" s="55" t="e">
        <f t="shared" si="42"/>
        <v>#DIV/0!</v>
      </c>
      <c r="P166" s="73"/>
      <c r="Q166" s="73"/>
      <c r="R166" s="55" t="e">
        <f t="shared" si="43"/>
        <v>#DIV/0!</v>
      </c>
      <c r="S166" s="55" t="e">
        <f t="shared" si="44"/>
        <v>#DIV/0!</v>
      </c>
      <c r="T166" s="55" t="e">
        <f t="shared" si="45"/>
        <v>#DIV/0!</v>
      </c>
      <c r="U166" s="55" t="e">
        <f t="shared" si="38"/>
        <v>#DIV/0!</v>
      </c>
      <c r="V166" s="55" t="e">
        <f>V165+ATM_Conf!$C$5*(Nodes!AL165)/('Off-Ramp'!K351*AA351)</f>
        <v>#DIV/0!</v>
      </c>
      <c r="W166" s="55" t="e">
        <f>W165+ATM_Conf!$C$5*(Nodes!AM165)/('Off-Ramp'!L351*AB351)</f>
        <v>#DIV/0!</v>
      </c>
      <c r="X166" s="55" t="e">
        <f>X165+ATM_Conf!$C$5*(Nodes!AN165)/('Off-Ramp'!M351*AC351)</f>
        <v>#DIV/0!</v>
      </c>
      <c r="Y166" s="55" t="e">
        <f>Y165+ATM_Conf!$C$5*(Nodes!AO165)/('Off-Ramp'!N351*AD351)</f>
        <v>#DIV/0!</v>
      </c>
      <c r="Z166" s="55" t="e">
        <f>Z165+ATM_Conf!$C$5*(Nodes!AP165)/('Off-Ramp'!O351*AE351)</f>
        <v>#DIV/0!</v>
      </c>
      <c r="AA166" s="55" t="e">
        <f>AA165+ATM_Conf!$C$5*(Nodes!AQ165)/('Off-Ramp'!P351*AF351)</f>
        <v>#DIV/0!</v>
      </c>
    </row>
    <row r="167" spans="1:27" x14ac:dyDescent="0.15">
      <c r="A167" s="48">
        <v>165</v>
      </c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55" t="e">
        <f t="shared" si="39"/>
        <v>#DIV/0!</v>
      </c>
      <c r="M167" s="55" t="e">
        <f t="shared" si="40"/>
        <v>#DIV/0!</v>
      </c>
      <c r="N167" s="55" t="e">
        <f t="shared" si="41"/>
        <v>#DIV/0!</v>
      </c>
      <c r="O167" s="55" t="e">
        <f t="shared" si="42"/>
        <v>#DIV/0!</v>
      </c>
      <c r="P167" s="73"/>
      <c r="Q167" s="73"/>
      <c r="R167" s="55" t="e">
        <f t="shared" si="43"/>
        <v>#DIV/0!</v>
      </c>
      <c r="S167" s="55" t="e">
        <f t="shared" si="44"/>
        <v>#DIV/0!</v>
      </c>
      <c r="T167" s="55" t="e">
        <f t="shared" si="45"/>
        <v>#DIV/0!</v>
      </c>
      <c r="U167" s="55" t="e">
        <f t="shared" si="38"/>
        <v>#DIV/0!</v>
      </c>
      <c r="V167" s="55" t="e">
        <f>V166+ATM_Conf!$C$5*(Nodes!AL166)/('Off-Ramp'!K352*AA352)</f>
        <v>#DIV/0!</v>
      </c>
      <c r="W167" s="55" t="e">
        <f>W166+ATM_Conf!$C$5*(Nodes!AM166)/('Off-Ramp'!L352*AB352)</f>
        <v>#DIV/0!</v>
      </c>
      <c r="X167" s="55" t="e">
        <f>X166+ATM_Conf!$C$5*(Nodes!AN166)/('Off-Ramp'!M352*AC352)</f>
        <v>#DIV/0!</v>
      </c>
      <c r="Y167" s="55" t="e">
        <f>Y166+ATM_Conf!$C$5*(Nodes!AO166)/('Off-Ramp'!N352*AD352)</f>
        <v>#DIV/0!</v>
      </c>
      <c r="Z167" s="55" t="e">
        <f>Z166+ATM_Conf!$C$5*(Nodes!AP166)/('Off-Ramp'!O352*AE352)</f>
        <v>#DIV/0!</v>
      </c>
      <c r="AA167" s="55" t="e">
        <f>AA166+ATM_Conf!$C$5*(Nodes!AQ166)/('Off-Ramp'!P352*AF352)</f>
        <v>#DIV/0!</v>
      </c>
    </row>
    <row r="168" spans="1:27" x14ac:dyDescent="0.15">
      <c r="A168" s="48">
        <v>166</v>
      </c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55" t="e">
        <f t="shared" si="39"/>
        <v>#DIV/0!</v>
      </c>
      <c r="M168" s="55" t="e">
        <f t="shared" si="40"/>
        <v>#DIV/0!</v>
      </c>
      <c r="N168" s="55" t="e">
        <f t="shared" si="41"/>
        <v>#DIV/0!</v>
      </c>
      <c r="O168" s="55" t="e">
        <f t="shared" si="42"/>
        <v>#DIV/0!</v>
      </c>
      <c r="P168" s="73"/>
      <c r="Q168" s="73"/>
      <c r="R168" s="55" t="e">
        <f t="shared" si="43"/>
        <v>#DIV/0!</v>
      </c>
      <c r="S168" s="55" t="e">
        <f t="shared" si="44"/>
        <v>#DIV/0!</v>
      </c>
      <c r="T168" s="55" t="e">
        <f t="shared" si="45"/>
        <v>#DIV/0!</v>
      </c>
      <c r="U168" s="55" t="e">
        <f t="shared" si="38"/>
        <v>#DIV/0!</v>
      </c>
      <c r="V168" s="55" t="e">
        <f>V167+ATM_Conf!$C$5*(Nodes!AL167)/('Off-Ramp'!K353*AA353)</f>
        <v>#DIV/0!</v>
      </c>
      <c r="W168" s="55" t="e">
        <f>W167+ATM_Conf!$C$5*(Nodes!AM167)/('Off-Ramp'!L353*AB353)</f>
        <v>#DIV/0!</v>
      </c>
      <c r="X168" s="55" t="e">
        <f>X167+ATM_Conf!$C$5*(Nodes!AN167)/('Off-Ramp'!M353*AC353)</f>
        <v>#DIV/0!</v>
      </c>
      <c r="Y168" s="55" t="e">
        <f>Y167+ATM_Conf!$C$5*(Nodes!AO167)/('Off-Ramp'!N353*AD353)</f>
        <v>#DIV/0!</v>
      </c>
      <c r="Z168" s="55" t="e">
        <f>Z167+ATM_Conf!$C$5*(Nodes!AP167)/('Off-Ramp'!O353*AE353)</f>
        <v>#DIV/0!</v>
      </c>
      <c r="AA168" s="55" t="e">
        <f>AA167+ATM_Conf!$C$5*(Nodes!AQ167)/('Off-Ramp'!P353*AF353)</f>
        <v>#DIV/0!</v>
      </c>
    </row>
    <row r="169" spans="1:27" x14ac:dyDescent="0.15">
      <c r="A169" s="48">
        <v>167</v>
      </c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55" t="e">
        <f t="shared" si="39"/>
        <v>#DIV/0!</v>
      </c>
      <c r="M169" s="55" t="e">
        <f t="shared" si="40"/>
        <v>#DIV/0!</v>
      </c>
      <c r="N169" s="55" t="e">
        <f t="shared" si="41"/>
        <v>#DIV/0!</v>
      </c>
      <c r="O169" s="55" t="e">
        <f t="shared" si="42"/>
        <v>#DIV/0!</v>
      </c>
      <c r="P169" s="73"/>
      <c r="Q169" s="73"/>
      <c r="R169" s="55" t="e">
        <f t="shared" si="43"/>
        <v>#DIV/0!</v>
      </c>
      <c r="S169" s="55" t="e">
        <f t="shared" si="44"/>
        <v>#DIV/0!</v>
      </c>
      <c r="T169" s="55" t="e">
        <f t="shared" si="45"/>
        <v>#DIV/0!</v>
      </c>
      <c r="U169" s="55" t="e">
        <f t="shared" si="38"/>
        <v>#DIV/0!</v>
      </c>
      <c r="V169" s="55" t="e">
        <f>V168+ATM_Conf!$C$5*(Nodes!AL168)/('Off-Ramp'!K354*AA354)</f>
        <v>#DIV/0!</v>
      </c>
      <c r="W169" s="55" t="e">
        <f>W168+ATM_Conf!$C$5*(Nodes!AM168)/('Off-Ramp'!L354*AB354)</f>
        <v>#DIV/0!</v>
      </c>
      <c r="X169" s="55" t="e">
        <f>X168+ATM_Conf!$C$5*(Nodes!AN168)/('Off-Ramp'!M354*AC354)</f>
        <v>#DIV/0!</v>
      </c>
      <c r="Y169" s="55" t="e">
        <f>Y168+ATM_Conf!$C$5*(Nodes!AO168)/('Off-Ramp'!N354*AD354)</f>
        <v>#DIV/0!</v>
      </c>
      <c r="Z169" s="55" t="e">
        <f>Z168+ATM_Conf!$C$5*(Nodes!AP168)/('Off-Ramp'!O354*AE354)</f>
        <v>#DIV/0!</v>
      </c>
      <c r="AA169" s="55" t="e">
        <f>AA168+ATM_Conf!$C$5*(Nodes!AQ168)/('Off-Ramp'!P354*AF354)</f>
        <v>#DIV/0!</v>
      </c>
    </row>
    <row r="170" spans="1:27" x14ac:dyDescent="0.15">
      <c r="A170" s="48">
        <v>168</v>
      </c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55" t="e">
        <f t="shared" si="39"/>
        <v>#DIV/0!</v>
      </c>
      <c r="M170" s="55" t="e">
        <f t="shared" si="40"/>
        <v>#DIV/0!</v>
      </c>
      <c r="N170" s="55" t="e">
        <f t="shared" si="41"/>
        <v>#DIV/0!</v>
      </c>
      <c r="O170" s="55" t="e">
        <f t="shared" si="42"/>
        <v>#DIV/0!</v>
      </c>
      <c r="P170" s="73"/>
      <c r="Q170" s="73"/>
      <c r="R170" s="55" t="e">
        <f t="shared" si="43"/>
        <v>#DIV/0!</v>
      </c>
      <c r="S170" s="55" t="e">
        <f t="shared" si="44"/>
        <v>#DIV/0!</v>
      </c>
      <c r="T170" s="55" t="e">
        <f t="shared" si="45"/>
        <v>#DIV/0!</v>
      </c>
      <c r="U170" s="55" t="e">
        <f t="shared" si="38"/>
        <v>#DIV/0!</v>
      </c>
      <c r="V170" s="55" t="e">
        <f>V169+ATM_Conf!$C$5*(Nodes!AL169)/('Off-Ramp'!K355*AA355)</f>
        <v>#DIV/0!</v>
      </c>
      <c r="W170" s="55" t="e">
        <f>W169+ATM_Conf!$C$5*(Nodes!AM169)/('Off-Ramp'!L355*AB355)</f>
        <v>#DIV/0!</v>
      </c>
      <c r="X170" s="55" t="e">
        <f>X169+ATM_Conf!$C$5*(Nodes!AN169)/('Off-Ramp'!M355*AC355)</f>
        <v>#DIV/0!</v>
      </c>
      <c r="Y170" s="55" t="e">
        <f>Y169+ATM_Conf!$C$5*(Nodes!AO169)/('Off-Ramp'!N355*AD355)</f>
        <v>#DIV/0!</v>
      </c>
      <c r="Z170" s="55" t="e">
        <f>Z169+ATM_Conf!$C$5*(Nodes!AP169)/('Off-Ramp'!O355*AE355)</f>
        <v>#DIV/0!</v>
      </c>
      <c r="AA170" s="55" t="e">
        <f>AA169+ATM_Conf!$C$5*(Nodes!AQ169)/('Off-Ramp'!P355*AF355)</f>
        <v>#DIV/0!</v>
      </c>
    </row>
    <row r="171" spans="1:27" x14ac:dyDescent="0.15">
      <c r="A171" s="48">
        <v>169</v>
      </c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55" t="e">
        <f t="shared" si="39"/>
        <v>#DIV/0!</v>
      </c>
      <c r="M171" s="55" t="e">
        <f t="shared" si="40"/>
        <v>#DIV/0!</v>
      </c>
      <c r="N171" s="55" t="e">
        <f t="shared" si="41"/>
        <v>#DIV/0!</v>
      </c>
      <c r="O171" s="55" t="e">
        <f t="shared" si="42"/>
        <v>#DIV/0!</v>
      </c>
      <c r="P171" s="73"/>
      <c r="Q171" s="73"/>
      <c r="R171" s="55" t="e">
        <f t="shared" si="43"/>
        <v>#DIV/0!</v>
      </c>
      <c r="S171" s="55" t="e">
        <f t="shared" si="44"/>
        <v>#DIV/0!</v>
      </c>
      <c r="T171" s="55" t="e">
        <f t="shared" si="45"/>
        <v>#DIV/0!</v>
      </c>
      <c r="U171" s="55" t="e">
        <f t="shared" si="38"/>
        <v>#DIV/0!</v>
      </c>
      <c r="V171" s="55" t="e">
        <f>V170+ATM_Conf!$C$5*(Nodes!AL170)/('Off-Ramp'!K356*AA356)</f>
        <v>#DIV/0!</v>
      </c>
      <c r="W171" s="55" t="e">
        <f>W170+ATM_Conf!$C$5*(Nodes!AM170)/('Off-Ramp'!L356*AB356)</f>
        <v>#DIV/0!</v>
      </c>
      <c r="X171" s="55" t="e">
        <f>X170+ATM_Conf!$C$5*(Nodes!AN170)/('Off-Ramp'!M356*AC356)</f>
        <v>#DIV/0!</v>
      </c>
      <c r="Y171" s="55" t="e">
        <f>Y170+ATM_Conf!$C$5*(Nodes!AO170)/('Off-Ramp'!N356*AD356)</f>
        <v>#DIV/0!</v>
      </c>
      <c r="Z171" s="55" t="e">
        <f>Z170+ATM_Conf!$C$5*(Nodes!AP170)/('Off-Ramp'!O356*AE356)</f>
        <v>#DIV/0!</v>
      </c>
      <c r="AA171" s="55" t="e">
        <f>AA170+ATM_Conf!$C$5*(Nodes!AQ170)/('Off-Ramp'!P356*AF356)</f>
        <v>#DIV/0!</v>
      </c>
    </row>
    <row r="172" spans="1:27" x14ac:dyDescent="0.15">
      <c r="A172" s="48">
        <v>170</v>
      </c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55" t="e">
        <f t="shared" si="39"/>
        <v>#DIV/0!</v>
      </c>
      <c r="M172" s="55" t="e">
        <f t="shared" si="40"/>
        <v>#DIV/0!</v>
      </c>
      <c r="N172" s="55" t="e">
        <f t="shared" si="41"/>
        <v>#DIV/0!</v>
      </c>
      <c r="O172" s="55" t="e">
        <f t="shared" si="42"/>
        <v>#DIV/0!</v>
      </c>
      <c r="P172" s="73"/>
      <c r="Q172" s="73"/>
      <c r="R172" s="55" t="e">
        <f t="shared" si="43"/>
        <v>#DIV/0!</v>
      </c>
      <c r="S172" s="55" t="e">
        <f t="shared" si="44"/>
        <v>#DIV/0!</v>
      </c>
      <c r="T172" s="55" t="e">
        <f t="shared" si="45"/>
        <v>#DIV/0!</v>
      </c>
      <c r="U172" s="55" t="e">
        <f t="shared" si="38"/>
        <v>#DIV/0!</v>
      </c>
      <c r="V172" s="55" t="e">
        <f>V171+ATM_Conf!$C$5*(Nodes!AL171)/('Off-Ramp'!K357*AA357)</f>
        <v>#DIV/0!</v>
      </c>
      <c r="W172" s="55" t="e">
        <f>W171+ATM_Conf!$C$5*(Nodes!AM171)/('Off-Ramp'!L357*AB357)</f>
        <v>#DIV/0!</v>
      </c>
      <c r="X172" s="55" t="e">
        <f>X171+ATM_Conf!$C$5*(Nodes!AN171)/('Off-Ramp'!M357*AC357)</f>
        <v>#DIV/0!</v>
      </c>
      <c r="Y172" s="55" t="e">
        <f>Y171+ATM_Conf!$C$5*(Nodes!AO171)/('Off-Ramp'!N357*AD357)</f>
        <v>#DIV/0!</v>
      </c>
      <c r="Z172" s="55" t="e">
        <f>Z171+ATM_Conf!$C$5*(Nodes!AP171)/('Off-Ramp'!O357*AE357)</f>
        <v>#DIV/0!</v>
      </c>
      <c r="AA172" s="55" t="e">
        <f>AA171+ATM_Conf!$C$5*(Nodes!AQ171)/('Off-Ramp'!P357*AF357)</f>
        <v>#DIV/0!</v>
      </c>
    </row>
    <row r="173" spans="1:27" x14ac:dyDescent="0.15">
      <c r="A173" s="48">
        <v>171</v>
      </c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55" t="e">
        <f t="shared" si="39"/>
        <v>#DIV/0!</v>
      </c>
      <c r="M173" s="55" t="e">
        <f t="shared" si="40"/>
        <v>#DIV/0!</v>
      </c>
      <c r="N173" s="55" t="e">
        <f t="shared" si="41"/>
        <v>#DIV/0!</v>
      </c>
      <c r="O173" s="55" t="e">
        <f t="shared" si="42"/>
        <v>#DIV/0!</v>
      </c>
      <c r="P173" s="73"/>
      <c r="Q173" s="73"/>
      <c r="R173" s="55" t="e">
        <f t="shared" si="43"/>
        <v>#DIV/0!</v>
      </c>
      <c r="S173" s="55" t="e">
        <f t="shared" si="44"/>
        <v>#DIV/0!</v>
      </c>
      <c r="T173" s="55" t="e">
        <f t="shared" si="45"/>
        <v>#DIV/0!</v>
      </c>
      <c r="U173" s="55" t="e">
        <f t="shared" si="38"/>
        <v>#DIV/0!</v>
      </c>
      <c r="V173" s="55" t="e">
        <f>V172+ATM_Conf!$C$5*(Nodes!AL172)/('Off-Ramp'!K358*AA358)</f>
        <v>#DIV/0!</v>
      </c>
      <c r="W173" s="55" t="e">
        <f>W172+ATM_Conf!$C$5*(Nodes!AM172)/('Off-Ramp'!L358*AB358)</f>
        <v>#DIV/0!</v>
      </c>
      <c r="X173" s="55" t="e">
        <f>X172+ATM_Conf!$C$5*(Nodes!AN172)/('Off-Ramp'!M358*AC358)</f>
        <v>#DIV/0!</v>
      </c>
      <c r="Y173" s="55" t="e">
        <f>Y172+ATM_Conf!$C$5*(Nodes!AO172)/('Off-Ramp'!N358*AD358)</f>
        <v>#DIV/0!</v>
      </c>
      <c r="Z173" s="55" t="e">
        <f>Z172+ATM_Conf!$C$5*(Nodes!AP172)/('Off-Ramp'!O358*AE358)</f>
        <v>#DIV/0!</v>
      </c>
      <c r="AA173" s="55" t="e">
        <f>AA172+ATM_Conf!$C$5*(Nodes!AQ172)/('Off-Ramp'!P358*AF358)</f>
        <v>#DIV/0!</v>
      </c>
    </row>
    <row r="174" spans="1:27" x14ac:dyDescent="0.15">
      <c r="A174" s="48">
        <v>172</v>
      </c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55" t="e">
        <f t="shared" si="39"/>
        <v>#DIV/0!</v>
      </c>
      <c r="M174" s="55" t="e">
        <f t="shared" si="40"/>
        <v>#DIV/0!</v>
      </c>
      <c r="N174" s="55" t="e">
        <f t="shared" si="41"/>
        <v>#DIV/0!</v>
      </c>
      <c r="O174" s="55" t="e">
        <f t="shared" si="42"/>
        <v>#DIV/0!</v>
      </c>
      <c r="P174" s="73"/>
      <c r="Q174" s="73"/>
      <c r="R174" s="55" t="e">
        <f t="shared" si="43"/>
        <v>#DIV/0!</v>
      </c>
      <c r="S174" s="55" t="e">
        <f t="shared" si="44"/>
        <v>#DIV/0!</v>
      </c>
      <c r="T174" s="55" t="e">
        <f t="shared" si="45"/>
        <v>#DIV/0!</v>
      </c>
      <c r="U174" s="55" t="e">
        <f t="shared" si="38"/>
        <v>#DIV/0!</v>
      </c>
      <c r="V174" s="55" t="e">
        <f>V173+ATM_Conf!$C$5*(Nodes!AL173)/('Off-Ramp'!K359*AA359)</f>
        <v>#DIV/0!</v>
      </c>
      <c r="W174" s="55" t="e">
        <f>W173+ATM_Conf!$C$5*(Nodes!AM173)/('Off-Ramp'!L359*AB359)</f>
        <v>#DIV/0!</v>
      </c>
      <c r="X174" s="55" t="e">
        <f>X173+ATM_Conf!$C$5*(Nodes!AN173)/('Off-Ramp'!M359*AC359)</f>
        <v>#DIV/0!</v>
      </c>
      <c r="Y174" s="55" t="e">
        <f>Y173+ATM_Conf!$C$5*(Nodes!AO173)/('Off-Ramp'!N359*AD359)</f>
        <v>#DIV/0!</v>
      </c>
      <c r="Z174" s="55" t="e">
        <f>Z173+ATM_Conf!$C$5*(Nodes!AP173)/('Off-Ramp'!O359*AE359)</f>
        <v>#DIV/0!</v>
      </c>
      <c r="AA174" s="55" t="e">
        <f>AA173+ATM_Conf!$C$5*(Nodes!AQ173)/('Off-Ramp'!P359*AF359)</f>
        <v>#DIV/0!</v>
      </c>
    </row>
    <row r="175" spans="1:27" x14ac:dyDescent="0.15">
      <c r="A175" s="48">
        <v>173</v>
      </c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55" t="e">
        <f t="shared" si="39"/>
        <v>#DIV/0!</v>
      </c>
      <c r="M175" s="55" t="e">
        <f t="shared" si="40"/>
        <v>#DIV/0!</v>
      </c>
      <c r="N175" s="55" t="e">
        <f t="shared" si="41"/>
        <v>#DIV/0!</v>
      </c>
      <c r="O175" s="55" t="e">
        <f t="shared" si="42"/>
        <v>#DIV/0!</v>
      </c>
      <c r="P175" s="73"/>
      <c r="Q175" s="73"/>
      <c r="R175" s="55" t="e">
        <f t="shared" si="43"/>
        <v>#DIV/0!</v>
      </c>
      <c r="S175" s="55" t="e">
        <f t="shared" si="44"/>
        <v>#DIV/0!</v>
      </c>
      <c r="T175" s="55" t="e">
        <f t="shared" si="45"/>
        <v>#DIV/0!</v>
      </c>
      <c r="U175" s="55" t="e">
        <f t="shared" si="38"/>
        <v>#DIV/0!</v>
      </c>
      <c r="V175" s="55" t="e">
        <f>V174+ATM_Conf!$C$5*(Nodes!AL174)/('Off-Ramp'!K360*AA360)</f>
        <v>#DIV/0!</v>
      </c>
      <c r="W175" s="55" t="e">
        <f>W174+ATM_Conf!$C$5*(Nodes!AM174)/('Off-Ramp'!L360*AB360)</f>
        <v>#DIV/0!</v>
      </c>
      <c r="X175" s="55" t="e">
        <f>X174+ATM_Conf!$C$5*(Nodes!AN174)/('Off-Ramp'!M360*AC360)</f>
        <v>#DIV/0!</v>
      </c>
      <c r="Y175" s="55" t="e">
        <f>Y174+ATM_Conf!$C$5*(Nodes!AO174)/('Off-Ramp'!N360*AD360)</f>
        <v>#DIV/0!</v>
      </c>
      <c r="Z175" s="55" t="e">
        <f>Z174+ATM_Conf!$C$5*(Nodes!AP174)/('Off-Ramp'!O360*AE360)</f>
        <v>#DIV/0!</v>
      </c>
      <c r="AA175" s="55" t="e">
        <f>AA174+ATM_Conf!$C$5*(Nodes!AQ174)/('Off-Ramp'!P360*AF360)</f>
        <v>#DIV/0!</v>
      </c>
    </row>
    <row r="176" spans="1:27" x14ac:dyDescent="0.15">
      <c r="A176" s="48">
        <v>174</v>
      </c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55" t="e">
        <f t="shared" si="39"/>
        <v>#DIV/0!</v>
      </c>
      <c r="M176" s="55" t="e">
        <f t="shared" si="40"/>
        <v>#DIV/0!</v>
      </c>
      <c r="N176" s="55" t="e">
        <f t="shared" si="41"/>
        <v>#DIV/0!</v>
      </c>
      <c r="O176" s="55" t="e">
        <f t="shared" si="42"/>
        <v>#DIV/0!</v>
      </c>
      <c r="P176" s="73"/>
      <c r="Q176" s="73"/>
      <c r="R176" s="55" t="e">
        <f t="shared" si="43"/>
        <v>#DIV/0!</v>
      </c>
      <c r="S176" s="55" t="e">
        <f t="shared" si="44"/>
        <v>#DIV/0!</v>
      </c>
      <c r="T176" s="55" t="e">
        <f t="shared" si="45"/>
        <v>#DIV/0!</v>
      </c>
      <c r="U176" s="55" t="e">
        <f t="shared" si="38"/>
        <v>#DIV/0!</v>
      </c>
      <c r="V176" s="55" t="e">
        <f>V175+ATM_Conf!$C$5*(Nodes!AL175)/('Off-Ramp'!K361*AA361)</f>
        <v>#DIV/0!</v>
      </c>
      <c r="W176" s="55" t="e">
        <f>W175+ATM_Conf!$C$5*(Nodes!AM175)/('Off-Ramp'!L361*AB361)</f>
        <v>#DIV/0!</v>
      </c>
      <c r="X176" s="55" t="e">
        <f>X175+ATM_Conf!$C$5*(Nodes!AN175)/('Off-Ramp'!M361*AC361)</f>
        <v>#DIV/0!</v>
      </c>
      <c r="Y176" s="55" t="e">
        <f>Y175+ATM_Conf!$C$5*(Nodes!AO175)/('Off-Ramp'!N361*AD361)</f>
        <v>#DIV/0!</v>
      </c>
      <c r="Z176" s="55" t="e">
        <f>Z175+ATM_Conf!$C$5*(Nodes!AP175)/('Off-Ramp'!O361*AE361)</f>
        <v>#DIV/0!</v>
      </c>
      <c r="AA176" s="55" t="e">
        <f>AA175+ATM_Conf!$C$5*(Nodes!AQ175)/('Off-Ramp'!P361*AF361)</f>
        <v>#DIV/0!</v>
      </c>
    </row>
    <row r="177" spans="1:32" x14ac:dyDescent="0.15">
      <c r="A177" s="48">
        <v>175</v>
      </c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55" t="e">
        <f t="shared" si="39"/>
        <v>#DIV/0!</v>
      </c>
      <c r="M177" s="55" t="e">
        <f t="shared" si="40"/>
        <v>#DIV/0!</v>
      </c>
      <c r="N177" s="55" t="e">
        <f t="shared" si="41"/>
        <v>#DIV/0!</v>
      </c>
      <c r="O177" s="55" t="e">
        <f t="shared" si="42"/>
        <v>#DIV/0!</v>
      </c>
      <c r="P177" s="73"/>
      <c r="Q177" s="73"/>
      <c r="R177" s="55" t="e">
        <f t="shared" si="43"/>
        <v>#DIV/0!</v>
      </c>
      <c r="S177" s="55" t="e">
        <f t="shared" si="44"/>
        <v>#DIV/0!</v>
      </c>
      <c r="T177" s="55" t="e">
        <f t="shared" si="45"/>
        <v>#DIV/0!</v>
      </c>
      <c r="U177" s="55" t="e">
        <f t="shared" si="38"/>
        <v>#DIV/0!</v>
      </c>
      <c r="V177" s="55" t="e">
        <f>V176+ATM_Conf!$C$5*(Nodes!AL176)/('Off-Ramp'!K362*AA362)</f>
        <v>#DIV/0!</v>
      </c>
      <c r="W177" s="55" t="e">
        <f>W176+ATM_Conf!$C$5*(Nodes!AM176)/('Off-Ramp'!L362*AB362)</f>
        <v>#DIV/0!</v>
      </c>
      <c r="X177" s="55" t="e">
        <f>X176+ATM_Conf!$C$5*(Nodes!AN176)/('Off-Ramp'!M362*AC362)</f>
        <v>#DIV/0!</v>
      </c>
      <c r="Y177" s="55" t="e">
        <f>Y176+ATM_Conf!$C$5*(Nodes!AO176)/('Off-Ramp'!N362*AD362)</f>
        <v>#DIV/0!</v>
      </c>
      <c r="Z177" s="55" t="e">
        <f>Z176+ATM_Conf!$C$5*(Nodes!AP176)/('Off-Ramp'!O362*AE362)</f>
        <v>#DIV/0!</v>
      </c>
      <c r="AA177" s="55" t="e">
        <f>AA176+ATM_Conf!$C$5*(Nodes!AQ176)/('Off-Ramp'!P362*AF362)</f>
        <v>#DIV/0!</v>
      </c>
    </row>
    <row r="178" spans="1:32" x14ac:dyDescent="0.15">
      <c r="A178" s="48">
        <v>176</v>
      </c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55" t="e">
        <f t="shared" si="39"/>
        <v>#DIV/0!</v>
      </c>
      <c r="M178" s="55" t="e">
        <f t="shared" si="40"/>
        <v>#DIV/0!</v>
      </c>
      <c r="N178" s="55" t="e">
        <f t="shared" si="41"/>
        <v>#DIV/0!</v>
      </c>
      <c r="O178" s="55" t="e">
        <f t="shared" si="42"/>
        <v>#DIV/0!</v>
      </c>
      <c r="P178" s="73"/>
      <c r="Q178" s="73"/>
      <c r="R178" s="55" t="e">
        <f t="shared" si="43"/>
        <v>#DIV/0!</v>
      </c>
      <c r="S178" s="55" t="e">
        <f t="shared" si="44"/>
        <v>#DIV/0!</v>
      </c>
      <c r="T178" s="55" t="e">
        <f t="shared" si="45"/>
        <v>#DIV/0!</v>
      </c>
      <c r="U178" s="55" t="e">
        <f t="shared" si="38"/>
        <v>#DIV/0!</v>
      </c>
      <c r="V178" s="55" t="e">
        <f>V177+ATM_Conf!$C$5*(Nodes!AL177)/('Off-Ramp'!K363*AA363)</f>
        <v>#DIV/0!</v>
      </c>
      <c r="W178" s="55" t="e">
        <f>W177+ATM_Conf!$C$5*(Nodes!AM177)/('Off-Ramp'!L363*AB363)</f>
        <v>#DIV/0!</v>
      </c>
      <c r="X178" s="55" t="e">
        <f>X177+ATM_Conf!$C$5*(Nodes!AN177)/('Off-Ramp'!M363*AC363)</f>
        <v>#DIV/0!</v>
      </c>
      <c r="Y178" s="55" t="e">
        <f>Y177+ATM_Conf!$C$5*(Nodes!AO177)/('Off-Ramp'!N363*AD363)</f>
        <v>#DIV/0!</v>
      </c>
      <c r="Z178" s="55" t="e">
        <f>Z177+ATM_Conf!$C$5*(Nodes!AP177)/('Off-Ramp'!O363*AE363)</f>
        <v>#DIV/0!</v>
      </c>
      <c r="AA178" s="55" t="e">
        <f>AA177+ATM_Conf!$C$5*(Nodes!AQ177)/('Off-Ramp'!P363*AF363)</f>
        <v>#DIV/0!</v>
      </c>
    </row>
    <row r="179" spans="1:32" x14ac:dyDescent="0.15">
      <c r="A179" s="48">
        <v>177</v>
      </c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55" t="e">
        <f t="shared" si="39"/>
        <v>#DIV/0!</v>
      </c>
      <c r="M179" s="55" t="e">
        <f t="shared" si="40"/>
        <v>#DIV/0!</v>
      </c>
      <c r="N179" s="55" t="e">
        <f t="shared" si="41"/>
        <v>#DIV/0!</v>
      </c>
      <c r="O179" s="55" t="e">
        <f t="shared" si="42"/>
        <v>#DIV/0!</v>
      </c>
      <c r="P179" s="73"/>
      <c r="Q179" s="73"/>
      <c r="R179" s="55" t="e">
        <f t="shared" si="43"/>
        <v>#DIV/0!</v>
      </c>
      <c r="S179" s="55" t="e">
        <f t="shared" si="44"/>
        <v>#DIV/0!</v>
      </c>
      <c r="T179" s="55" t="e">
        <f t="shared" si="45"/>
        <v>#DIV/0!</v>
      </c>
      <c r="U179" s="55" t="e">
        <f t="shared" si="38"/>
        <v>#DIV/0!</v>
      </c>
      <c r="V179" s="55" t="e">
        <f>V178+ATM_Conf!$C$5*(Nodes!AL178)/('Off-Ramp'!K364*AA364)</f>
        <v>#DIV/0!</v>
      </c>
      <c r="W179" s="55" t="e">
        <f>W178+ATM_Conf!$C$5*(Nodes!AM178)/('Off-Ramp'!L364*AB364)</f>
        <v>#DIV/0!</v>
      </c>
      <c r="X179" s="55" t="e">
        <f>X178+ATM_Conf!$C$5*(Nodes!AN178)/('Off-Ramp'!M364*AC364)</f>
        <v>#DIV/0!</v>
      </c>
      <c r="Y179" s="55" t="e">
        <f>Y178+ATM_Conf!$C$5*(Nodes!AO178)/('Off-Ramp'!N364*AD364)</f>
        <v>#DIV/0!</v>
      </c>
      <c r="Z179" s="55" t="e">
        <f>Z178+ATM_Conf!$C$5*(Nodes!AP178)/('Off-Ramp'!O364*AE364)</f>
        <v>#DIV/0!</v>
      </c>
      <c r="AA179" s="55" t="e">
        <f>AA178+ATM_Conf!$C$5*(Nodes!AQ178)/('Off-Ramp'!P364*AF364)</f>
        <v>#DIV/0!</v>
      </c>
    </row>
    <row r="180" spans="1:32" x14ac:dyDescent="0.15">
      <c r="A180" s="48">
        <v>178</v>
      </c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55" t="e">
        <f t="shared" si="39"/>
        <v>#DIV/0!</v>
      </c>
      <c r="M180" s="55" t="e">
        <f t="shared" si="40"/>
        <v>#DIV/0!</v>
      </c>
      <c r="N180" s="55" t="e">
        <f t="shared" si="41"/>
        <v>#DIV/0!</v>
      </c>
      <c r="O180" s="55" t="e">
        <f t="shared" si="42"/>
        <v>#DIV/0!</v>
      </c>
      <c r="P180" s="73"/>
      <c r="Q180" s="73"/>
      <c r="R180" s="55" t="e">
        <f t="shared" si="43"/>
        <v>#DIV/0!</v>
      </c>
      <c r="S180" s="55" t="e">
        <f t="shared" si="44"/>
        <v>#DIV/0!</v>
      </c>
      <c r="T180" s="55" t="e">
        <f t="shared" si="45"/>
        <v>#DIV/0!</v>
      </c>
      <c r="U180" s="55" t="e">
        <f t="shared" si="38"/>
        <v>#DIV/0!</v>
      </c>
      <c r="V180" s="55" t="e">
        <f>V179+ATM_Conf!$C$5*(Nodes!AL179)/('Off-Ramp'!K365*AA365)</f>
        <v>#DIV/0!</v>
      </c>
      <c r="W180" s="55" t="e">
        <f>W179+ATM_Conf!$C$5*(Nodes!AM179)/('Off-Ramp'!L365*AB365)</f>
        <v>#DIV/0!</v>
      </c>
      <c r="X180" s="55" t="e">
        <f>X179+ATM_Conf!$C$5*(Nodes!AN179)/('Off-Ramp'!M365*AC365)</f>
        <v>#DIV/0!</v>
      </c>
      <c r="Y180" s="55" t="e">
        <f>Y179+ATM_Conf!$C$5*(Nodes!AO179)/('Off-Ramp'!N365*AD365)</f>
        <v>#DIV/0!</v>
      </c>
      <c r="Z180" s="55" t="e">
        <f>Z179+ATM_Conf!$C$5*(Nodes!AP179)/('Off-Ramp'!O365*AE365)</f>
        <v>#DIV/0!</v>
      </c>
      <c r="AA180" s="55" t="e">
        <f>AA179+ATM_Conf!$C$5*(Nodes!AQ179)/('Off-Ramp'!P365*AF365)</f>
        <v>#DIV/0!</v>
      </c>
    </row>
    <row r="181" spans="1:32" x14ac:dyDescent="0.15">
      <c r="A181" s="48">
        <v>179</v>
      </c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55" t="e">
        <f t="shared" si="39"/>
        <v>#DIV/0!</v>
      </c>
      <c r="M181" s="55" t="e">
        <f t="shared" si="40"/>
        <v>#DIV/0!</v>
      </c>
      <c r="N181" s="55" t="e">
        <f t="shared" si="41"/>
        <v>#DIV/0!</v>
      </c>
      <c r="O181" s="55" t="e">
        <f t="shared" si="42"/>
        <v>#DIV/0!</v>
      </c>
      <c r="P181" s="73"/>
      <c r="Q181" s="73"/>
      <c r="R181" s="55" t="e">
        <f t="shared" si="43"/>
        <v>#DIV/0!</v>
      </c>
      <c r="S181" s="55" t="e">
        <f t="shared" si="44"/>
        <v>#DIV/0!</v>
      </c>
      <c r="T181" s="55" t="e">
        <f t="shared" si="45"/>
        <v>#DIV/0!</v>
      </c>
      <c r="U181" s="55" t="e">
        <f t="shared" si="38"/>
        <v>#DIV/0!</v>
      </c>
      <c r="V181" s="55" t="e">
        <f>V180+ATM_Conf!$C$5*(Nodes!AL180)/('Off-Ramp'!K366*AA366)</f>
        <v>#DIV/0!</v>
      </c>
      <c r="W181" s="55" t="e">
        <f>W180+ATM_Conf!$C$5*(Nodes!AM180)/('Off-Ramp'!L366*AB366)</f>
        <v>#DIV/0!</v>
      </c>
      <c r="X181" s="55" t="e">
        <f>X180+ATM_Conf!$C$5*(Nodes!AN180)/('Off-Ramp'!M366*AC366)</f>
        <v>#DIV/0!</v>
      </c>
      <c r="Y181" s="55" t="e">
        <f>Y180+ATM_Conf!$C$5*(Nodes!AO180)/('Off-Ramp'!N366*AD366)</f>
        <v>#DIV/0!</v>
      </c>
      <c r="Z181" s="55" t="e">
        <f>Z180+ATM_Conf!$C$5*(Nodes!AP180)/('Off-Ramp'!O366*AE366)</f>
        <v>#DIV/0!</v>
      </c>
      <c r="AA181" s="55" t="e">
        <f>AA180+ATM_Conf!$C$5*(Nodes!AQ180)/('Off-Ramp'!P366*AF366)</f>
        <v>#DIV/0!</v>
      </c>
    </row>
    <row r="182" spans="1:32" x14ac:dyDescent="0.15">
      <c r="A182" s="48">
        <v>180</v>
      </c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55" t="e">
        <f t="shared" si="39"/>
        <v>#DIV/0!</v>
      </c>
      <c r="M182" s="55" t="e">
        <f t="shared" si="40"/>
        <v>#DIV/0!</v>
      </c>
      <c r="N182" s="55" t="e">
        <f t="shared" si="41"/>
        <v>#DIV/0!</v>
      </c>
      <c r="O182" s="55" t="e">
        <f t="shared" si="42"/>
        <v>#DIV/0!</v>
      </c>
      <c r="P182" s="73"/>
      <c r="Q182" s="73"/>
      <c r="R182" s="55" t="e">
        <f t="shared" si="43"/>
        <v>#DIV/0!</v>
      </c>
      <c r="S182" s="55" t="e">
        <f t="shared" si="44"/>
        <v>#DIV/0!</v>
      </c>
      <c r="T182" s="55" t="e">
        <f t="shared" si="45"/>
        <v>#DIV/0!</v>
      </c>
      <c r="U182" s="55" t="e">
        <f t="shared" si="38"/>
        <v>#DIV/0!</v>
      </c>
      <c r="V182" s="55" t="e">
        <f>V181+ATM_Conf!$C$5*(Nodes!AL181)/('Off-Ramp'!K367*AA367)</f>
        <v>#DIV/0!</v>
      </c>
      <c r="W182" s="55" t="e">
        <f>W181+ATM_Conf!$C$5*(Nodes!AM181)/('Off-Ramp'!L367*AB367)</f>
        <v>#DIV/0!</v>
      </c>
      <c r="X182" s="55" t="e">
        <f>X181+ATM_Conf!$C$5*(Nodes!AN181)/('Off-Ramp'!M367*AC367)</f>
        <v>#DIV/0!</v>
      </c>
      <c r="Y182" s="55" t="e">
        <f>Y181+ATM_Conf!$C$5*(Nodes!AO181)/('Off-Ramp'!N367*AD367)</f>
        <v>#DIV/0!</v>
      </c>
      <c r="Z182" s="55" t="e">
        <f>Z181+ATM_Conf!$C$5*(Nodes!AP181)/('Off-Ramp'!O367*AE367)</f>
        <v>#DIV/0!</v>
      </c>
      <c r="AA182" s="55" t="e">
        <f>AA181+ATM_Conf!$C$5*(Nodes!AQ181)/('Off-Ramp'!P367*AF367)</f>
        <v>#DIV/0!</v>
      </c>
    </row>
    <row r="187" spans="1:32" x14ac:dyDescent="0.15">
      <c r="A187" s="83" t="s">
        <v>207</v>
      </c>
      <c r="B187" s="83"/>
      <c r="C187" s="83"/>
      <c r="D187" s="83"/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83"/>
      <c r="P187" s="83"/>
      <c r="Q187" s="83" t="s">
        <v>208</v>
      </c>
      <c r="R187" s="83"/>
      <c r="S187" s="83"/>
      <c r="T187" s="83"/>
      <c r="U187" s="83"/>
      <c r="V187" s="83"/>
      <c r="W187" s="83"/>
      <c r="X187" s="83"/>
      <c r="Y187" s="83"/>
      <c r="Z187" s="83"/>
      <c r="AA187" s="83"/>
      <c r="AB187" s="83"/>
      <c r="AC187" s="83"/>
      <c r="AD187" s="83"/>
      <c r="AE187" s="83"/>
      <c r="AF187" s="83"/>
    </row>
    <row r="188" spans="1:32" x14ac:dyDescent="0.15">
      <c r="A188" s="41">
        <v>1</v>
      </c>
      <c r="B188" s="41">
        <v>2</v>
      </c>
      <c r="C188" s="41">
        <v>3</v>
      </c>
      <c r="D188" s="41">
        <v>4</v>
      </c>
      <c r="E188" s="41">
        <v>5</v>
      </c>
      <c r="F188" s="41">
        <v>6</v>
      </c>
      <c r="G188" s="41">
        <v>7</v>
      </c>
      <c r="H188" s="41">
        <v>8</v>
      </c>
      <c r="I188" s="41">
        <v>9</v>
      </c>
      <c r="J188" s="41">
        <v>10</v>
      </c>
      <c r="K188" s="41" t="s">
        <v>236</v>
      </c>
      <c r="L188" s="41" t="s">
        <v>237</v>
      </c>
      <c r="M188" s="41" t="s">
        <v>238</v>
      </c>
      <c r="N188" s="41" t="s">
        <v>239</v>
      </c>
      <c r="O188" s="41" t="s">
        <v>240</v>
      </c>
      <c r="P188" s="41" t="s">
        <v>241</v>
      </c>
      <c r="Q188" s="41">
        <v>1</v>
      </c>
      <c r="R188" s="41">
        <v>2</v>
      </c>
      <c r="S188" s="41">
        <v>3</v>
      </c>
      <c r="T188" s="41">
        <v>4</v>
      </c>
      <c r="U188" s="41">
        <v>5</v>
      </c>
      <c r="V188" s="41">
        <v>6</v>
      </c>
      <c r="W188" s="41">
        <v>7</v>
      </c>
      <c r="X188" s="41">
        <v>8</v>
      </c>
      <c r="Y188" s="41">
        <v>9</v>
      </c>
      <c r="Z188" s="41">
        <v>10</v>
      </c>
      <c r="AA188" s="41" t="s">
        <v>236</v>
      </c>
      <c r="AB188" s="41" t="s">
        <v>237</v>
      </c>
      <c r="AC188" s="41" t="s">
        <v>238</v>
      </c>
      <c r="AD188" s="41" t="s">
        <v>239</v>
      </c>
      <c r="AE188" s="41" t="s">
        <v>240</v>
      </c>
      <c r="AF188" s="41" t="s">
        <v>241</v>
      </c>
    </row>
    <row r="189" spans="1:32" x14ac:dyDescent="0.15">
      <c r="A189" s="45"/>
      <c r="B189" s="45"/>
      <c r="C189" s="45"/>
      <c r="D189" s="45"/>
      <c r="E189" s="73"/>
      <c r="F189" s="73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74"/>
      <c r="R189" s="74"/>
      <c r="S189" s="74"/>
      <c r="T189" s="74"/>
      <c r="U189" s="73"/>
      <c r="V189" s="73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</row>
    <row r="192" spans="1:32" x14ac:dyDescent="0.15">
      <c r="A192" s="94" t="s">
        <v>190</v>
      </c>
      <c r="B192" s="103" t="s">
        <v>232</v>
      </c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</row>
    <row r="193" spans="1:19" x14ac:dyDescent="0.15">
      <c r="A193" s="94"/>
      <c r="B193" s="41">
        <v>1</v>
      </c>
      <c r="C193" s="41">
        <v>2</v>
      </c>
      <c r="D193" s="41">
        <v>3</v>
      </c>
      <c r="E193" s="41">
        <v>4</v>
      </c>
      <c r="F193" s="41">
        <v>5</v>
      </c>
      <c r="G193" s="41">
        <v>6</v>
      </c>
      <c r="H193" s="41">
        <v>7</v>
      </c>
      <c r="I193" s="41">
        <v>8</v>
      </c>
      <c r="J193" s="41">
        <v>9</v>
      </c>
      <c r="K193" s="41">
        <v>10</v>
      </c>
      <c r="L193" s="41" t="s">
        <v>236</v>
      </c>
      <c r="M193" s="41" t="s">
        <v>237</v>
      </c>
      <c r="N193" s="41" t="s">
        <v>238</v>
      </c>
      <c r="O193" s="41" t="s">
        <v>239</v>
      </c>
      <c r="P193" s="41" t="s">
        <v>240</v>
      </c>
      <c r="Q193" s="41" t="s">
        <v>241</v>
      </c>
    </row>
    <row r="194" spans="1:19" x14ac:dyDescent="0.15">
      <c r="A194" s="48" t="s">
        <v>233</v>
      </c>
      <c r="B194" s="43"/>
      <c r="C194" s="43"/>
      <c r="D194" s="43"/>
      <c r="E194" s="43"/>
      <c r="F194" s="73"/>
      <c r="G194" s="73"/>
      <c r="H194" s="43"/>
      <c r="I194" s="43"/>
      <c r="J194" s="43"/>
      <c r="K194" s="43"/>
      <c r="L194" s="43"/>
      <c r="M194" s="43"/>
      <c r="N194" s="43"/>
      <c r="O194" s="43"/>
      <c r="P194" s="43"/>
      <c r="Q194" s="43"/>
    </row>
    <row r="195" spans="1:19" x14ac:dyDescent="0.15">
      <c r="A195" s="48" t="s">
        <v>234</v>
      </c>
      <c r="B195" s="43"/>
      <c r="C195" s="43"/>
      <c r="D195" s="43"/>
      <c r="E195" s="43"/>
      <c r="F195" s="73"/>
      <c r="G195" s="73"/>
      <c r="H195" s="43"/>
      <c r="I195" s="43"/>
      <c r="J195" s="43"/>
      <c r="K195" s="43"/>
      <c r="L195" s="43"/>
      <c r="M195" s="43"/>
      <c r="N195" s="43"/>
      <c r="O195" s="43"/>
      <c r="P195" s="43"/>
      <c r="Q195" s="43"/>
    </row>
    <row r="196" spans="1:19" x14ac:dyDescent="0.15">
      <c r="A196" s="48" t="s">
        <v>235</v>
      </c>
      <c r="B196" s="45"/>
      <c r="C196" s="45"/>
      <c r="D196" s="45"/>
      <c r="E196" s="45"/>
      <c r="F196" s="73"/>
      <c r="G196" s="73"/>
      <c r="H196" s="45"/>
      <c r="I196" s="45"/>
      <c r="J196" s="45"/>
      <c r="K196" s="45"/>
      <c r="L196" s="45"/>
      <c r="M196" s="45"/>
      <c r="N196" s="45"/>
      <c r="O196" s="45"/>
      <c r="P196" s="45"/>
      <c r="Q196" s="45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</row>
    <row r="200" spans="1:19" x14ac:dyDescent="0.1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</row>
    <row r="201" spans="1:19" x14ac:dyDescent="0.1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</row>
    <row r="202" spans="1:19" x14ac:dyDescent="0.1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</row>
    <row r="203" spans="1:19" x14ac:dyDescent="0.1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</row>
  </sheetData>
  <mergeCells count="7">
    <mergeCell ref="B1:K1"/>
    <mergeCell ref="A1:A2"/>
    <mergeCell ref="L1:AA1"/>
    <mergeCell ref="A187:P187"/>
    <mergeCell ref="Q187:AF187"/>
    <mergeCell ref="A192:A193"/>
    <mergeCell ref="B192:Q19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S94" workbookViewId="0">
      <selection activeCell="L743" sqref="L743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B11" sqref="B11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98" t="s">
        <v>47</v>
      </c>
      <c r="C1" s="99"/>
      <c r="D1" s="100"/>
      <c r="E1" s="98" t="s">
        <v>48</v>
      </c>
      <c r="F1" s="99"/>
      <c r="G1" s="99"/>
      <c r="H1" s="99"/>
      <c r="I1" s="99"/>
      <c r="J1" s="99"/>
      <c r="K1" s="99"/>
      <c r="L1" s="100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98" t="s">
        <v>50</v>
      </c>
      <c r="D1" s="99"/>
      <c r="E1" s="99"/>
      <c r="F1" s="99"/>
      <c r="G1" s="99"/>
      <c r="H1" s="99"/>
      <c r="I1" s="99"/>
      <c r="J1" s="100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6"/>
  <sheetViews>
    <sheetView workbookViewId="0"/>
  </sheetViews>
  <sheetFormatPr defaultRowHeight="13.5" x14ac:dyDescent="0.15"/>
  <cols>
    <col min="1" max="1" width="11.875" customWidth="1"/>
  </cols>
  <sheetData>
    <row r="1" spans="1:5" ht="15" x14ac:dyDescent="0.15">
      <c r="A1" s="23" t="s">
        <v>145</v>
      </c>
      <c r="B1" s="101" t="s">
        <v>146</v>
      </c>
      <c r="C1" s="101"/>
      <c r="D1" s="101"/>
      <c r="E1" s="101"/>
    </row>
    <row r="2" spans="1:5" ht="15" x14ac:dyDescent="0.15">
      <c r="A2" s="24">
        <v>1</v>
      </c>
      <c r="B2" s="25">
        <v>1</v>
      </c>
      <c r="C2" s="25">
        <v>2</v>
      </c>
      <c r="D2" s="25">
        <v>3</v>
      </c>
      <c r="E2" s="25"/>
    </row>
    <row r="3" spans="1:5" ht="15" x14ac:dyDescent="0.15">
      <c r="A3" s="24">
        <v>2</v>
      </c>
      <c r="B3" s="25">
        <v>4</v>
      </c>
      <c r="C3" s="25">
        <v>5</v>
      </c>
      <c r="D3" s="25">
        <v>6</v>
      </c>
      <c r="E3" s="25"/>
    </row>
    <row r="4" spans="1:5" ht="15" x14ac:dyDescent="0.15">
      <c r="A4" s="24">
        <v>3</v>
      </c>
      <c r="B4" s="25">
        <v>7</v>
      </c>
      <c r="C4" s="25">
        <v>8</v>
      </c>
      <c r="D4" s="25">
        <v>9</v>
      </c>
      <c r="E4" s="25"/>
    </row>
    <row r="5" spans="1:5" ht="15" x14ac:dyDescent="0.15">
      <c r="A5" s="24">
        <v>4</v>
      </c>
      <c r="B5" s="25">
        <v>10</v>
      </c>
      <c r="C5" s="25">
        <v>11</v>
      </c>
      <c r="D5" s="25">
        <v>12</v>
      </c>
      <c r="E5" s="25"/>
    </row>
    <row r="6" spans="1:5" ht="15" x14ac:dyDescent="0.15">
      <c r="A6" s="24">
        <v>5</v>
      </c>
      <c r="B6" s="25">
        <v>13</v>
      </c>
      <c r="C6" s="25">
        <v>14</v>
      </c>
      <c r="D6" s="25">
        <v>15</v>
      </c>
      <c r="E6" s="25"/>
    </row>
    <row r="7" spans="1:5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</row>
    <row r="8" spans="1:5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</row>
    <row r="9" spans="1:5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</row>
    <row r="10" spans="1:5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</row>
    <row r="11" spans="1:5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</row>
    <row r="12" spans="1:5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</row>
    <row r="13" spans="1:5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</row>
    <row r="14" spans="1:5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</row>
    <row r="15" spans="1:5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</row>
    <row r="16" spans="1:5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C26" sqref="C26"/>
    </sheetView>
  </sheetViews>
  <sheetFormatPr defaultRowHeight="13.5" x14ac:dyDescent="0.15"/>
  <cols>
    <col min="1" max="1" width="11.125" customWidth="1"/>
  </cols>
  <sheetData>
    <row r="1" spans="1:3" ht="15" x14ac:dyDescent="0.15">
      <c r="A1" s="27" t="s">
        <v>147</v>
      </c>
      <c r="B1" s="27" t="s">
        <v>148</v>
      </c>
      <c r="C1" s="27" t="s">
        <v>149</v>
      </c>
    </row>
    <row r="2" spans="1:3" ht="15" x14ac:dyDescent="0.15">
      <c r="A2" s="28">
        <v>1</v>
      </c>
      <c r="B2" s="26">
        <v>1</v>
      </c>
      <c r="C2" s="26" t="s">
        <v>150</v>
      </c>
    </row>
    <row r="3" spans="1:3" ht="15" x14ac:dyDescent="0.15">
      <c r="A3" s="28">
        <v>2</v>
      </c>
      <c r="B3" s="26">
        <v>2</v>
      </c>
      <c r="C3" s="26" t="s">
        <v>151</v>
      </c>
    </row>
    <row r="4" spans="1:3" ht="15" x14ac:dyDescent="0.15">
      <c r="A4" s="28">
        <v>3</v>
      </c>
      <c r="B4" s="26">
        <v>3</v>
      </c>
      <c r="C4" s="26" t="s">
        <v>152</v>
      </c>
    </row>
    <row r="5" spans="1:3" ht="15" x14ac:dyDescent="0.15">
      <c r="A5" s="28">
        <v>4</v>
      </c>
      <c r="B5" s="26">
        <v>4</v>
      </c>
      <c r="C5" s="26" t="s">
        <v>153</v>
      </c>
    </row>
    <row r="6" spans="1:3" ht="15" x14ac:dyDescent="0.15">
      <c r="A6" s="28">
        <v>5</v>
      </c>
      <c r="B6" s="26">
        <v>5</v>
      </c>
      <c r="C6" s="26" t="s">
        <v>154</v>
      </c>
    </row>
    <row r="7" spans="1:3" ht="15" x14ac:dyDescent="0.15">
      <c r="A7" s="28">
        <v>6</v>
      </c>
      <c r="B7" s="26">
        <v>6</v>
      </c>
      <c r="C7" s="26" t="s">
        <v>155</v>
      </c>
    </row>
    <row r="8" spans="1:3" ht="15" x14ac:dyDescent="0.15">
      <c r="A8" s="28">
        <v>7</v>
      </c>
      <c r="B8" s="26">
        <v>7</v>
      </c>
      <c r="C8" s="26" t="s">
        <v>156</v>
      </c>
    </row>
    <row r="9" spans="1:3" ht="15" x14ac:dyDescent="0.15">
      <c r="A9" s="28">
        <v>8</v>
      </c>
      <c r="B9" s="26">
        <v>8</v>
      </c>
      <c r="C9" s="26" t="s">
        <v>157</v>
      </c>
    </row>
    <row r="10" spans="1:3" ht="15" x14ac:dyDescent="0.15">
      <c r="A10" s="28">
        <v>9</v>
      </c>
      <c r="B10" s="26">
        <v>9</v>
      </c>
      <c r="C10" s="26" t="s">
        <v>158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3"/>
  <sheetViews>
    <sheetView topLeftCell="A16" zoomScaleNormal="100" workbookViewId="0">
      <selection sqref="A1:A2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4" width="9" style="29"/>
    <col min="15" max="15" width="13.125" style="29" customWidth="1"/>
    <col min="16" max="16" width="10.625" style="29" customWidth="1"/>
    <col min="17" max="16384" width="9" style="29"/>
  </cols>
  <sheetData>
    <row r="1" spans="1:16" ht="15" x14ac:dyDescent="0.15">
      <c r="A1" s="101" t="s">
        <v>166</v>
      </c>
      <c r="B1" s="101" t="s">
        <v>167</v>
      </c>
      <c r="C1" s="102" t="s">
        <v>160</v>
      </c>
      <c r="D1" s="101" t="s">
        <v>165</v>
      </c>
      <c r="E1" s="101"/>
      <c r="F1" s="101"/>
      <c r="G1" s="101"/>
      <c r="H1" s="101"/>
      <c r="I1" s="101"/>
      <c r="J1" s="101"/>
      <c r="K1" s="101"/>
      <c r="L1" s="40"/>
      <c r="M1" s="40"/>
      <c r="N1" s="40"/>
      <c r="O1" s="40"/>
      <c r="P1" s="34"/>
    </row>
    <row r="2" spans="1:16" ht="15" x14ac:dyDescent="0.15">
      <c r="A2" s="101"/>
      <c r="B2" s="101"/>
      <c r="C2" s="101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</row>
    <row r="3" spans="1:16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</row>
    <row r="4" spans="1:16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</row>
    <row r="5" spans="1:16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</row>
    <row r="6" spans="1:16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</row>
    <row r="7" spans="1:16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</row>
    <row r="8" spans="1:16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</row>
    <row r="9" spans="1:16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</row>
    <row r="10" spans="1:16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</row>
    <row r="11" spans="1:16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</row>
    <row r="12" spans="1:16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</row>
    <row r="13" spans="1:16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</row>
    <row r="14" spans="1:16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</row>
    <row r="15" spans="1:16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</row>
    <row r="16" spans="1:16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</row>
    <row r="17" spans="1:11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</row>
    <row r="18" spans="1:11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</row>
    <row r="19" spans="1:11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</row>
    <row r="20" spans="1:11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</row>
    <row r="21" spans="1:11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</row>
    <row r="22" spans="1:11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</row>
    <row r="23" spans="1:11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</row>
    <row r="24" spans="1:11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</row>
    <row r="25" spans="1:11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</row>
    <row r="26" spans="1:11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</row>
    <row r="27" spans="1:11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</row>
    <row r="28" spans="1:11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</row>
    <row r="29" spans="1:11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</row>
    <row r="30" spans="1:11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</row>
    <row r="31" spans="1:11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</row>
    <row r="32" spans="1:11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</row>
    <row r="33" spans="1:1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</row>
  </sheetData>
  <mergeCells count="4">
    <mergeCell ref="C1:C2"/>
    <mergeCell ref="B1:B2"/>
    <mergeCell ref="A1:A2"/>
    <mergeCell ref="D1:K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2018-04-25T01:09:01Z</dcterms:modified>
</cp:coreProperties>
</file>